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codeName="ThisWorkbook" defaultThemeVersion="124226"/>
  <mc:AlternateContent xmlns:mc="http://schemas.openxmlformats.org/markup-compatibility/2006">
    <mc:Choice Requires="x15">
      <x15ac:absPath xmlns:x15ac="http://schemas.microsoft.com/office/spreadsheetml/2010/11/ac" url="/Users/johnhalstead/matlab/DIGNAD/DIGNAD_Toolkit/"/>
    </mc:Choice>
  </mc:AlternateContent>
  <xr:revisionPtr revIDLastSave="0" documentId="13_ncr:1_{7FA43568-70F5-5B40-89F3-406758FE9A70}" xr6:coauthVersionLast="47" xr6:coauthVersionMax="47" xr10:uidLastSave="{00000000-0000-0000-0000-000000000000}"/>
  <bookViews>
    <workbookView xWindow="14460" yWindow="500" windowWidth="19140" windowHeight="18900" tabRatio="822" activeTab="2" xr2:uid="{00000000-000D-0000-FFFF-FFFF00000000}"/>
  </bookViews>
  <sheets>
    <sheet name="Calibration" sheetId="24" r:id="rId1"/>
    <sheet name="Exogenous_series" sheetId="5" r:id="rId2"/>
    <sheet name="Scenario" sheetId="19" r:id="rId3"/>
    <sheet name="Disasters" sheetId="21" r:id="rId4"/>
    <sheet name="Graphs" sheetId="11" r:id="rId5"/>
    <sheet name="XLSoutput" sheetId="9" r:id="rId6"/>
    <sheet name="Realism" sheetId="15" r:id="rId7"/>
    <sheet name="Alignment" sheetId="18" r:id="rId8"/>
    <sheet name="Donor_Savings" sheetId="16" r:id="rId9"/>
    <sheet name="Disclaimer" sheetId="25" r:id="rId10"/>
  </sheets>
  <externalReferences>
    <externalReference r:id="rId11"/>
    <externalReference r:id="rId12"/>
  </externalReferences>
  <definedNames>
    <definedName name="_xlnm._FilterDatabase" localSheetId="4" hidden="1">Graphs!$B$7:$C$35</definedName>
    <definedName name="CountryCode">[1]Contents!$B$8</definedName>
    <definedName name="curdb">[2]Content!$E$5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5" l="1"/>
  <c r="G6" i="15"/>
  <c r="G7" i="15"/>
  <c r="G8" i="15"/>
  <c r="G9" i="15" s="1"/>
  <c r="G10" i="15" s="1"/>
  <c r="G11" i="15" s="1"/>
  <c r="G12" i="15" s="1"/>
  <c r="G13" i="15" s="1"/>
  <c r="G14" i="15" s="1"/>
  <c r="G15" i="15" s="1"/>
  <c r="G16" i="15" s="1"/>
  <c r="G17" i="15" s="1"/>
  <c r="G18" i="15" s="1"/>
  <c r="G19" i="15" s="1"/>
  <c r="G20" i="15" s="1"/>
  <c r="G21" i="15" s="1"/>
  <c r="G22" i="15" s="1"/>
  <c r="G23" i="15" s="1"/>
  <c r="G24" i="15" s="1"/>
  <c r="G25" i="15" s="1"/>
  <c r="G26" i="15" s="1"/>
  <c r="G27" i="15" s="1"/>
  <c r="G28" i="15" s="1"/>
  <c r="G29" i="15" s="1"/>
  <c r="G30" i="15" s="1"/>
  <c r="G31" i="15" s="1"/>
  <c r="G32" i="15" s="1"/>
  <c r="G33" i="15" s="1"/>
  <c r="G34" i="15" s="1"/>
  <c r="G35" i="15" s="1"/>
  <c r="G36" i="15" s="1"/>
  <c r="G37" i="15" s="1"/>
  <c r="G38" i="15" s="1"/>
  <c r="G39" i="15" s="1"/>
  <c r="G4" i="15"/>
  <c r="I2" i="19"/>
  <c r="D3" i="15" l="1"/>
  <c r="C3" i="15" l="1"/>
  <c r="I9" i="15"/>
  <c r="I17" i="15"/>
  <c r="I25" i="15"/>
  <c r="I33" i="15"/>
  <c r="I10" i="15"/>
  <c r="I18" i="15"/>
  <c r="I26" i="15"/>
  <c r="I34" i="15"/>
  <c r="I15" i="15"/>
  <c r="I11" i="15"/>
  <c r="I19" i="15"/>
  <c r="I27" i="15"/>
  <c r="I35" i="15"/>
  <c r="I4" i="15"/>
  <c r="I12" i="15"/>
  <c r="I20" i="15"/>
  <c r="I28" i="15"/>
  <c r="I36" i="15"/>
  <c r="I23" i="15"/>
  <c r="I39" i="15"/>
  <c r="I16" i="15"/>
  <c r="I32" i="15"/>
  <c r="I5" i="15"/>
  <c r="I13" i="15"/>
  <c r="I21" i="15"/>
  <c r="I29" i="15"/>
  <c r="I37" i="15"/>
  <c r="I6" i="15"/>
  <c r="I14" i="15"/>
  <c r="I22" i="15"/>
  <c r="I30" i="15"/>
  <c r="I38" i="15"/>
  <c r="I7" i="15"/>
  <c r="I31" i="15"/>
  <c r="I8" i="15"/>
  <c r="I24" i="15"/>
  <c r="I3" i="15"/>
  <c r="E3" i="15"/>
  <c r="J6" i="15" l="1"/>
  <c r="J14" i="15"/>
  <c r="J22" i="15"/>
  <c r="J30" i="15"/>
  <c r="J38" i="15"/>
  <c r="J7" i="15"/>
  <c r="J15" i="15"/>
  <c r="J23" i="15"/>
  <c r="J31" i="15"/>
  <c r="J39" i="15"/>
  <c r="J8" i="15"/>
  <c r="J16" i="15"/>
  <c r="J24" i="15"/>
  <c r="J32" i="15"/>
  <c r="J3" i="15"/>
  <c r="J9" i="15"/>
  <c r="J17" i="15"/>
  <c r="J25" i="15"/>
  <c r="J33" i="15"/>
  <c r="J12" i="15"/>
  <c r="J20" i="15"/>
  <c r="J36" i="15"/>
  <c r="J13" i="15"/>
  <c r="J21" i="15"/>
  <c r="J37" i="15"/>
  <c r="J10" i="15"/>
  <c r="J18" i="15"/>
  <c r="J26" i="15"/>
  <c r="J34" i="15"/>
  <c r="J11" i="15"/>
  <c r="J19" i="15"/>
  <c r="J27" i="15"/>
  <c r="J35" i="15"/>
  <c r="J4" i="15"/>
  <c r="J28" i="15"/>
  <c r="J5" i="15"/>
  <c r="J29" i="15"/>
  <c r="H3" i="15"/>
  <c r="H4" i="15"/>
  <c r="H12" i="15"/>
  <c r="H20" i="15"/>
  <c r="H28" i="15"/>
  <c r="H36" i="15"/>
  <c r="H5" i="15"/>
  <c r="H13" i="15"/>
  <c r="H21" i="15"/>
  <c r="H29" i="15"/>
  <c r="H37" i="15"/>
  <c r="H18" i="15"/>
  <c r="H6" i="15"/>
  <c r="H14" i="15"/>
  <c r="H22" i="15"/>
  <c r="H30" i="15"/>
  <c r="H38" i="15"/>
  <c r="H7" i="15"/>
  <c r="H15" i="15"/>
  <c r="H23" i="15"/>
  <c r="H31" i="15"/>
  <c r="H39" i="15"/>
  <c r="H26" i="15"/>
  <c r="H11" i="15"/>
  <c r="H27" i="15"/>
  <c r="H8" i="15"/>
  <c r="H16" i="15"/>
  <c r="H24" i="15"/>
  <c r="H32" i="15"/>
  <c r="H9" i="15"/>
  <c r="H17" i="15"/>
  <c r="H25" i="15"/>
  <c r="H33" i="15"/>
  <c r="H10" i="15"/>
  <c r="H34" i="15"/>
  <c r="H19" i="15"/>
  <c r="H35" i="15"/>
  <c r="D18" i="21"/>
  <c r="D17" i="21"/>
  <c r="C10" i="15" l="1"/>
  <c r="C11" i="15" s="1"/>
  <c r="C12" i="15" s="1"/>
  <c r="C13" i="15" s="1"/>
  <c r="C14" i="15" s="1"/>
  <c r="C15" i="15" s="1"/>
  <c r="C16" i="15" s="1"/>
  <c r="C17" i="15" s="1"/>
  <c r="C18" i="15" s="1"/>
  <c r="C19" i="15" s="1"/>
  <c r="C20" i="15" s="1"/>
  <c r="C21" i="15" s="1"/>
  <c r="C22" i="15" s="1"/>
  <c r="C23" i="15" s="1"/>
  <c r="C24" i="15" s="1"/>
  <c r="C25" i="15" s="1"/>
  <c r="C26" i="15" s="1"/>
  <c r="C27" i="15" s="1"/>
  <c r="C28" i="15" s="1"/>
  <c r="C29" i="15" s="1"/>
  <c r="C30" i="15" s="1"/>
  <c r="C31" i="15" s="1"/>
  <c r="C32" i="15" s="1"/>
  <c r="C33" i="15" s="1"/>
  <c r="C34" i="15" s="1"/>
  <c r="C35" i="15" s="1"/>
  <c r="C36" i="15" s="1"/>
  <c r="C37" i="15" s="1"/>
  <c r="C38" i="15" s="1"/>
  <c r="C39" i="15" s="1"/>
  <c r="D10" i="15"/>
  <c r="D11" i="15" s="1"/>
  <c r="D12" i="15" s="1"/>
  <c r="D13" i="15" s="1"/>
  <c r="D14" i="15" s="1"/>
  <c r="D15" i="15" s="1"/>
  <c r="B10" i="15"/>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B34" i="15" s="1"/>
  <c r="B35" i="15" s="1"/>
  <c r="B36" i="15" s="1"/>
  <c r="B37" i="15" s="1"/>
  <c r="B38" i="15" s="1"/>
  <c r="B39" i="15" s="1"/>
  <c r="D16" i="15" l="1"/>
  <c r="D17" i="15" s="1"/>
  <c r="D18" i="15" s="1"/>
  <c r="D19" i="15" s="1"/>
  <c r="D20" i="15" s="1"/>
  <c r="D21" i="15" s="1"/>
  <c r="D22" i="15" s="1"/>
  <c r="D23" i="15" s="1"/>
  <c r="D24" i="15" s="1"/>
  <c r="D25" i="15" s="1"/>
  <c r="D26" i="15" s="1"/>
  <c r="D27" i="15" s="1"/>
  <c r="D28" i="15" s="1"/>
  <c r="D29" i="15" s="1"/>
  <c r="D30" i="15" s="1"/>
  <c r="D31" i="15" s="1"/>
  <c r="D32" i="15" s="1"/>
  <c r="D33" i="15" s="1"/>
  <c r="D34" i="15" s="1"/>
  <c r="D35" i="15" s="1"/>
  <c r="D36" i="15" s="1"/>
  <c r="D37" i="15" s="1"/>
  <c r="D38" i="15" s="1"/>
  <c r="D39" i="15" s="1"/>
  <c r="C4" i="5" l="1"/>
  <c r="C21" i="21" l="1"/>
  <c r="C24" i="21" s="1"/>
  <c r="C27" i="21" s="1"/>
  <c r="C20" i="21"/>
  <c r="C23" i="21" s="1"/>
  <c r="C26" i="21" s="1"/>
  <c r="A4" i="18"/>
  <c r="A5" i="18" s="1"/>
  <c r="A6" i="18" s="1"/>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E2" i="9" l="1"/>
  <c r="C5" i="5" l="1"/>
  <c r="A10" i="15" l="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G3" i="11"/>
  <c r="H3" i="11"/>
  <c r="H2" i="11" l="1"/>
  <c r="G2" i="11"/>
  <c r="B5" i="5" l="1"/>
  <c r="B6" i="5" l="1"/>
  <c r="C6" i="5"/>
  <c r="C7" i="5" l="1"/>
  <c r="B7" i="5"/>
  <c r="C8" i="5" l="1"/>
  <c r="B8" i="5"/>
  <c r="B9" i="5" l="1"/>
  <c r="C9" i="5"/>
  <c r="C10" i="5" l="1"/>
  <c r="B10" i="5"/>
  <c r="B11" i="5" l="1"/>
  <c r="C11" i="5"/>
  <c r="C12" i="5" l="1"/>
  <c r="B12" i="5"/>
  <c r="B13" i="5" l="1"/>
  <c r="C13" i="5"/>
  <c r="C14" i="5" l="1"/>
  <c r="B14" i="5"/>
  <c r="B15" i="5" l="1"/>
  <c r="C15" i="5"/>
  <c r="C16" i="5" l="1"/>
  <c r="B16" i="5"/>
  <c r="B17" i="5" l="1"/>
  <c r="C17" i="5"/>
  <c r="C18" i="5" l="1"/>
  <c r="B18" i="5"/>
  <c r="B19" i="5" l="1"/>
  <c r="C19" i="5"/>
  <c r="C20" i="5" l="1"/>
  <c r="B20" i="5"/>
  <c r="B21" i="5" l="1"/>
  <c r="C21" i="5"/>
  <c r="C22" i="5" l="1"/>
  <c r="B22" i="5"/>
  <c r="B23" i="5" l="1"/>
  <c r="C23" i="5"/>
  <c r="C24" i="5" l="1"/>
  <c r="B24" i="5"/>
  <c r="B25" i="5" l="1"/>
  <c r="B26" i="5" s="1"/>
  <c r="B27" i="5" s="1"/>
  <c r="B28" i="5" s="1"/>
  <c r="B29" i="5" s="1"/>
  <c r="B30" i="5" s="1"/>
  <c r="B31" i="5" s="1"/>
  <c r="B32" i="5" s="1"/>
  <c r="B33" i="5" s="1"/>
  <c r="B34" i="5" s="1"/>
  <c r="B35" i="5" s="1"/>
  <c r="B36" i="5" s="1"/>
  <c r="B37" i="5" s="1"/>
  <c r="B38" i="5" s="1"/>
  <c r="B39" i="5" s="1"/>
  <c r="B40" i="5" s="1"/>
  <c r="B41" i="5" s="1"/>
  <c r="B42" i="5" s="1"/>
  <c r="B43" i="5" s="1"/>
  <c r="B44" i="5" s="1"/>
  <c r="B45" i="5" s="1"/>
  <c r="B46" i="5" s="1"/>
  <c r="B47" i="5" s="1"/>
  <c r="B48" i="5" s="1"/>
  <c r="B49" i="5" s="1"/>
  <c r="B50" i="5" s="1"/>
  <c r="B51" i="5" s="1"/>
  <c r="B52" i="5" s="1"/>
  <c r="B53" i="5" s="1"/>
  <c r="C25" i="5"/>
  <c r="C26" i="5" s="1"/>
  <c r="C27" i="5" s="1"/>
  <c r="C28" i="5" s="1"/>
  <c r="C29" i="5" s="1"/>
  <c r="C30" i="5" s="1"/>
  <c r="C31" i="5" s="1"/>
  <c r="C32" i="5" s="1"/>
  <c r="C33" i="5" s="1"/>
  <c r="C34" i="5" s="1"/>
  <c r="C35" i="5" s="1"/>
  <c r="C36" i="5" s="1"/>
  <c r="C37" i="5" s="1"/>
  <c r="C38" i="5" s="1"/>
  <c r="C39" i="5" s="1"/>
  <c r="C40" i="5" s="1"/>
  <c r="C41" i="5" s="1"/>
  <c r="C42" i="5" s="1"/>
  <c r="C43" i="5" s="1"/>
  <c r="C44" i="5" s="1"/>
  <c r="C45" i="5" s="1"/>
  <c r="C46" i="5" s="1"/>
  <c r="C47" i="5" s="1"/>
  <c r="C48" i="5" s="1"/>
  <c r="C49" i="5" s="1"/>
  <c r="C50" i="5" s="1"/>
  <c r="C51" i="5" s="1"/>
  <c r="C52" i="5" s="1"/>
  <c r="C53" i="5" s="1"/>
</calcChain>
</file>

<file path=xl/sharedStrings.xml><?xml version="1.0" encoding="utf-8"?>
<sst xmlns="http://schemas.openxmlformats.org/spreadsheetml/2006/main" count="498" uniqueCount="331">
  <si>
    <t xml:space="preserve">                                                </t>
  </si>
  <si>
    <t xml:space="preserve"> Parameter Description</t>
  </si>
  <si>
    <t>Parameters</t>
  </si>
  <si>
    <t>Values</t>
  </si>
  <si>
    <t>Calibration</t>
  </si>
  <si>
    <t xml:space="preserve"> Country-specific parameters and moments</t>
  </si>
  <si>
    <t>Public infrastructure investment to GDP ratio</t>
  </si>
  <si>
    <t>iziy</t>
  </si>
  <si>
    <t>Public adaptation infrastructure investment to GDP ratio</t>
  </si>
  <si>
    <t>izay</t>
  </si>
  <si>
    <t>Consumption tax rate (VAT)</t>
  </si>
  <si>
    <t>ho</t>
  </si>
  <si>
    <t>Labor income tax rate</t>
  </si>
  <si>
    <t>hlo</t>
  </si>
  <si>
    <t>Public domestic debt to GDP ratio</t>
  </si>
  <si>
    <t>share_b</t>
  </si>
  <si>
    <t>Public concessional debt to GDP ratio</t>
  </si>
  <si>
    <t>share_d</t>
  </si>
  <si>
    <t>Public external commercial debt to GDP ratio</t>
  </si>
  <si>
    <t>share_dc</t>
  </si>
  <si>
    <t>Private external debt to GDP ratio</t>
  </si>
  <si>
    <t>share_bstar</t>
  </si>
  <si>
    <t>Real interest rate on public domestic debt</t>
  </si>
  <si>
    <t>ro</t>
  </si>
  <si>
    <t>Real interest rate on public external commercial debt</t>
  </si>
  <si>
    <t>r_dco</t>
  </si>
  <si>
    <t>Grants to GDP ratio</t>
  </si>
  <si>
    <t>share_grants</t>
  </si>
  <si>
    <t>oilro</t>
  </si>
  <si>
    <t>Remittances to GDP ratio</t>
  </si>
  <si>
    <t>share_remit</t>
  </si>
  <si>
    <t>Imports to GDP ratio</t>
  </si>
  <si>
    <t>imp2gdp</t>
  </si>
  <si>
    <t>Government savings to GDP ratio (use only for contingency fund)</t>
  </si>
  <si>
    <t>Savo</t>
  </si>
  <si>
    <t>Trend per capita growth rate in absence of natural disasters</t>
  </si>
  <si>
    <t xml:space="preserve">g </t>
  </si>
  <si>
    <t>Value added in NT-sector</t>
  </si>
  <si>
    <t>VA_n</t>
  </si>
  <si>
    <t>NS/S - Labor ratio of Non-Savers(NS) to Savers(S)</t>
  </si>
  <si>
    <t>a_ratio</t>
  </si>
  <si>
    <t>Efficiency of public infrastructure investment</t>
  </si>
  <si>
    <t>s_o</t>
  </si>
  <si>
    <t>Cost share of NT-inputs in the production of private capital</t>
  </si>
  <si>
    <t>alpha_k</t>
  </si>
  <si>
    <t>Cost share of NT-inputs in the production of public capital</t>
  </si>
  <si>
    <t>alpha_z</t>
  </si>
  <si>
    <t>Capital's share in value added in the T-sector</t>
  </si>
  <si>
    <t>alpha_x</t>
  </si>
  <si>
    <t>Capital's share in value added in the NT-sector</t>
  </si>
  <si>
    <t>alpha_n</t>
  </si>
  <si>
    <t>Parameters determining main characteristics of standard and adaptation infrastructure</t>
  </si>
  <si>
    <t>Scaling parameter determining ability of adaptation capital to withstand natural disaster (see Realism sheet)</t>
  </si>
  <si>
    <t>ppi_nd_n</t>
  </si>
  <si>
    <t>Cost ratio adaptation vs standard investment [adaptation is % expensive than standard]</t>
  </si>
  <si>
    <t>a_za</t>
  </si>
  <si>
    <t>Initial return standard on infrastructure investment</t>
  </si>
  <si>
    <t>R_zio</t>
  </si>
  <si>
    <t>Initial return on adaptation infrastructure investment</t>
  </si>
  <si>
    <t>R_zao</t>
  </si>
  <si>
    <t>Depreciation rate of public capital (standard infrastructure)</t>
  </si>
  <si>
    <t>delta_zi</t>
  </si>
  <si>
    <t>Depreciation rate of public capital (adaptation)</t>
  </si>
  <si>
    <t>delta_za</t>
  </si>
  <si>
    <t>Speed of reconstruction of public standard infrastructure</t>
  </si>
  <si>
    <t>pgamma_zi</t>
  </si>
  <si>
    <t>Speed of recovery of public investment efficiency</t>
  </si>
  <si>
    <t>pgamma_s</t>
  </si>
  <si>
    <t>Speed of recovery of tradable sector TFP</t>
  </si>
  <si>
    <t>pgamma_ax</t>
  </si>
  <si>
    <t>Speed of recovery of country risk premium</t>
  </si>
  <si>
    <t>pgamma_rdc</t>
  </si>
  <si>
    <t>User fees for infrastructure services (% of recurrent costs)</t>
  </si>
  <si>
    <t>fo</t>
  </si>
  <si>
    <t>Fiscal adjustment parameters</t>
  </si>
  <si>
    <t>Division of fiscal adjustment parameter  - Transfers</t>
  </si>
  <si>
    <t>lambda</t>
  </si>
  <si>
    <t>Division of fiscal adjustment parameter - Consumption tax</t>
  </si>
  <si>
    <t>lambda_h</t>
  </si>
  <si>
    <t>Division of fiscal adjustment parameter -Labor income tax</t>
  </si>
  <si>
    <t>lambda_hl</t>
  </si>
  <si>
    <t>Share of public debt adj. between commercial external and domestic (=1 when only domestic debt is used)</t>
  </si>
  <si>
    <t>upsilon</t>
  </si>
  <si>
    <t>Fiscal reaction parameter (policy instrument terms) - Consumption VAT</t>
  </si>
  <si>
    <t>lambda1</t>
  </si>
  <si>
    <t>Fiscal reaction parameter (debt terms) - Consumption VAT</t>
  </si>
  <si>
    <t>lambda2</t>
  </si>
  <si>
    <t>Fiscal reaction parameter (policy instrument terms) - Transfers</t>
  </si>
  <si>
    <t>lambda3</t>
  </si>
  <si>
    <t>Fiscal reaction parameter (debt terms) - Transfers</t>
  </si>
  <si>
    <t>lambda4</t>
  </si>
  <si>
    <t>Fiscal reaction parameter (policy instrument terms) - Labor income tax</t>
  </si>
  <si>
    <t>lambda5</t>
  </si>
  <si>
    <t>Fiscal reaction parameter (debt terms) - Labor income tax</t>
  </si>
  <si>
    <t>lambda6</t>
  </si>
  <si>
    <t>Other structural parametrs</t>
  </si>
  <si>
    <t>Risk-free foreign RIR (r^f)</t>
  </si>
  <si>
    <t>rstar</t>
  </si>
  <si>
    <t>Depreciation rate in T-sector</t>
  </si>
  <si>
    <t>delta_x</t>
  </si>
  <si>
    <t>Depreciation rate in NT-sector</t>
  </si>
  <si>
    <t>delta_n</t>
  </si>
  <si>
    <t>Intertemporal elasticity of substitution</t>
  </si>
  <si>
    <t>tau</t>
  </si>
  <si>
    <t>Inverse of Frisch elasticity of labor supply</t>
  </si>
  <si>
    <t>phhi</t>
  </si>
  <si>
    <t>Determines the severity of absorptive capacity constraint in public sector</t>
  </si>
  <si>
    <t>phi</t>
  </si>
  <si>
    <t>Portfolio adjustment costs parameter</t>
  </si>
  <si>
    <t>eta</t>
  </si>
  <si>
    <t>Public debt risk premium [=0 (the interest rate on public commercial debt is not affected by the total debt level) or =1]</t>
  </si>
  <si>
    <t>etag</t>
  </si>
  <si>
    <t>Capital learning externalities in NT-sector</t>
  </si>
  <si>
    <t>xi_n</t>
  </si>
  <si>
    <t>Traded T-sector output learning externality</t>
  </si>
  <si>
    <t>sigma_x</t>
  </si>
  <si>
    <t>Non-traded NT-sector output learning externality</t>
  </si>
  <si>
    <t>sigma_n</t>
  </si>
  <si>
    <t xml:space="preserve">Ratio of [the elasticity of the NT-sector to infrastructure] and [the elast. of the T-sector to infrastructure]. </t>
  </si>
  <si>
    <t>nxpsi</t>
  </si>
  <si>
    <t xml:space="preserve">Tobin's q-elasticity of investment spending </t>
  </si>
  <si>
    <t>omega</t>
  </si>
  <si>
    <t>Parameters which can typically be calibrated based on information country sector files.</t>
  </si>
  <si>
    <t xml:space="preserve">Other parameters which should be calibrated based on country-specific data if available. </t>
  </si>
  <si>
    <t xml:space="preserve">Key parameters determining features of adaptation infrastructure which should be calibrated on case-by-case basis (see user manual).  </t>
  </si>
  <si>
    <t>Model specific parameter for advanced users (based on LICs averages when available)</t>
  </si>
  <si>
    <t>Make an effort to populate the green and orange parameters. Blue parameters can be left unchanged.</t>
  </si>
  <si>
    <t>Period</t>
  </si>
  <si>
    <t>Year</t>
  </si>
  <si>
    <t>Option 1</t>
  </si>
  <si>
    <t>Option 2</t>
  </si>
  <si>
    <t>Option 3</t>
  </si>
  <si>
    <t>Public Infrastructure Investment 
(% of Initial GDP)</t>
  </si>
  <si>
    <t>Public Adaptation Investment 
(% of Initial GDP)</t>
  </si>
  <si>
    <t>Delta Contingency Fund
(% of Initial GDP)</t>
  </si>
  <si>
    <t>Grants
(% of Initial GDP)</t>
  </si>
  <si>
    <t>Concessional Debt
(% of Initial GDP)</t>
  </si>
  <si>
    <t>Terms of trade shock</t>
  </si>
  <si>
    <t>Price of Exported Goods (Index)</t>
  </si>
  <si>
    <t>Price of Imported Consumption Goods (Index)</t>
  </si>
  <si>
    <t>Price of Imported Capital Goods (Index)</t>
  </si>
  <si>
    <t>Exogenous series</t>
  </si>
  <si>
    <t>Define how financing is achieved in each scenario</t>
  </si>
  <si>
    <t>Define which exogenous series are used in each scenario                         (From Exogeneous_series sheet)</t>
  </si>
  <si>
    <t>Option</t>
  </si>
  <si>
    <t>Periods</t>
  </si>
  <si>
    <t>Define name of shock</t>
  </si>
  <si>
    <t>PIE Reform Target</t>
  </si>
  <si>
    <t>Financing 1</t>
  </si>
  <si>
    <t>all_debt</t>
  </si>
  <si>
    <t>Scenario 1</t>
  </si>
  <si>
    <t>Baseline</t>
  </si>
  <si>
    <t>yes</t>
  </si>
  <si>
    <t>Financing 2</t>
  </si>
  <si>
    <t>Scenario 2</t>
  </si>
  <si>
    <t>no</t>
  </si>
  <si>
    <t>Financing 3</t>
  </si>
  <si>
    <t>Scenario 3</t>
  </si>
  <si>
    <t>Scenarios</t>
  </si>
  <si>
    <t>Label</t>
  </si>
  <si>
    <t>Debt scenarios</t>
  </si>
  <si>
    <t>exogeneous</t>
  </si>
  <si>
    <t>commercial_debt</t>
  </si>
  <si>
    <t>Public external commercial debt is allowed to cover the fiscal gap, while public domestic debt and fiscal instuments are held constant.</t>
  </si>
  <si>
    <t>domestic_debt</t>
  </si>
  <si>
    <t xml:space="preserve">Public domestic debt is allowed to cover the fiscal gap, while public external commercial debt is held constant. </t>
  </si>
  <si>
    <t xml:space="preserve">Note: </t>
  </si>
  <si>
    <t>Would you like to incorporate a natural disaster?</t>
  </si>
  <si>
    <t>In which period does the natural disaster strike?</t>
  </si>
  <si>
    <t>Impact of natural disaster</t>
  </si>
  <si>
    <t>Natural disaster scenario</t>
  </si>
  <si>
    <t>Damages and losses</t>
  </si>
  <si>
    <r>
      <t xml:space="preserve">Impact of natural disaster on </t>
    </r>
    <r>
      <rPr>
        <b/>
        <sz val="11"/>
        <color theme="1"/>
        <rFont val="Calibri"/>
        <family val="2"/>
        <scheme val="minor"/>
      </rPr>
      <t>tradable output</t>
    </r>
    <r>
      <rPr>
        <sz val="11"/>
        <color theme="1"/>
        <rFont val="Calibri"/>
        <family val="2"/>
        <scheme val="minor"/>
      </rPr>
      <t>? Specify destruction in %.</t>
    </r>
  </si>
  <si>
    <r>
      <t xml:space="preserve">Impact of natural disaster on </t>
    </r>
    <r>
      <rPr>
        <b/>
        <sz val="11"/>
        <color theme="1"/>
        <rFont val="Calibri"/>
        <family val="2"/>
        <scheme val="minor"/>
      </rPr>
      <t>nontradable output</t>
    </r>
    <r>
      <rPr>
        <sz val="11"/>
        <color theme="1"/>
        <rFont val="Calibri"/>
        <family val="2"/>
        <scheme val="minor"/>
      </rPr>
      <t>? Specify destruction in %.</t>
    </r>
  </si>
  <si>
    <r>
      <t xml:space="preserve">Impact of natural disaster on </t>
    </r>
    <r>
      <rPr>
        <b/>
        <sz val="11"/>
        <color theme="1"/>
        <rFont val="Calibri"/>
        <family val="2"/>
        <scheme val="minor"/>
      </rPr>
      <t>reconstruction efficiency</t>
    </r>
    <r>
      <rPr>
        <sz val="11"/>
        <color theme="1"/>
        <rFont val="Calibri"/>
        <family val="2"/>
        <scheme val="minor"/>
      </rPr>
      <t xml:space="preserve"> (%)</t>
    </r>
  </si>
  <si>
    <r>
      <t>Impact of natural disaster on</t>
    </r>
    <r>
      <rPr>
        <b/>
        <sz val="11"/>
        <color theme="1"/>
        <rFont val="Calibri"/>
        <family val="2"/>
        <scheme val="minor"/>
      </rPr>
      <t xml:space="preserve"> external public debt risk premium</t>
    </r>
    <r>
      <rPr>
        <sz val="11"/>
        <color theme="1"/>
        <rFont val="Calibri"/>
        <family val="2"/>
        <scheme val="minor"/>
      </rPr>
      <t>? (increase in percentage points)</t>
    </r>
  </si>
  <si>
    <r>
      <t>Impact of natural disaster on</t>
    </r>
    <r>
      <rPr>
        <b/>
        <sz val="11"/>
        <color theme="1"/>
        <rFont val="Calibri"/>
        <family val="2"/>
        <scheme val="minor"/>
      </rPr>
      <t xml:space="preserve"> public capital</t>
    </r>
    <r>
      <rPr>
        <sz val="11"/>
        <color theme="1"/>
        <rFont val="Calibri"/>
        <family val="2"/>
        <scheme val="minor"/>
      </rPr>
      <t xml:space="preserve"> (% of GDP)</t>
    </r>
  </si>
  <si>
    <r>
      <t xml:space="preserve">Impact of natural disaster on </t>
    </r>
    <r>
      <rPr>
        <b/>
        <sz val="11"/>
        <color theme="1"/>
        <rFont val="Calibri"/>
        <family val="2"/>
        <scheme val="minor"/>
      </rPr>
      <t>private capital</t>
    </r>
    <r>
      <rPr>
        <sz val="11"/>
        <color theme="1"/>
        <rFont val="Calibri"/>
        <family val="2"/>
        <scheme val="minor"/>
      </rPr>
      <t xml:space="preserve">  (% of GDP)</t>
    </r>
  </si>
  <si>
    <r>
      <t>Share of damages to</t>
    </r>
    <r>
      <rPr>
        <b/>
        <sz val="11"/>
        <color theme="1"/>
        <rFont val="Calibri"/>
        <family val="2"/>
        <scheme val="minor"/>
      </rPr>
      <t xml:space="preserve"> tradable sector capital</t>
    </r>
    <r>
      <rPr>
        <sz val="11"/>
        <color theme="1"/>
        <rFont val="Calibri"/>
        <family val="2"/>
        <scheme val="minor"/>
      </rPr>
      <t xml:space="preserve">  (% total private capital damages)</t>
    </r>
  </si>
  <si>
    <t>Recovery Periods</t>
  </si>
  <si>
    <t xml:space="preserve">                  Loss of productivity</t>
  </si>
  <si>
    <t>Traded sector TFP</t>
  </si>
  <si>
    <t>Nontraded sector TFP</t>
  </si>
  <si>
    <t>When does the recovery start?</t>
  </si>
  <si>
    <t>Year in which recovery is complete?</t>
  </si>
  <si>
    <t xml:space="preserve">Efficiency for reconstruction </t>
  </si>
  <si>
    <t>Public capital reconstruction</t>
  </si>
  <si>
    <t>External debt risk premium</t>
  </si>
  <si>
    <t>Graphs</t>
  </si>
  <si>
    <t>Graph Description</t>
  </si>
  <si>
    <r>
      <t xml:space="preserve"> 'yes' or 'no' </t>
    </r>
    <r>
      <rPr>
        <b/>
        <i/>
        <sz val="11"/>
        <color theme="0"/>
        <rFont val="Calibri"/>
        <family val="2"/>
        <scheme val="minor"/>
      </rPr>
      <t xml:space="preserve">
(case sensitive)</t>
    </r>
  </si>
  <si>
    <t>Number of periods to plot</t>
  </si>
  <si>
    <t>Number of rows</t>
  </si>
  <si>
    <t>Number of columns</t>
  </si>
  <si>
    <t>Number of variables allowed to be plotted</t>
  </si>
  <si>
    <t>Number of variables being plotted</t>
  </si>
  <si>
    <t>Variable 1</t>
  </si>
  <si>
    <t>Variable 2</t>
  </si>
  <si>
    <t>Variable 3</t>
  </si>
  <si>
    <t>Variable 4</t>
  </si>
  <si>
    <t>Variable 5</t>
  </si>
  <si>
    <t>Variable 6</t>
  </si>
  <si>
    <t>Variable 7</t>
  </si>
  <si>
    <t>Variable 8</t>
  </si>
  <si>
    <t>Variable 9</t>
  </si>
  <si>
    <t>Variable 10</t>
  </si>
  <si>
    <t>Variable 11</t>
  </si>
  <si>
    <t>Variable 12</t>
  </si>
  <si>
    <t>Variable 13</t>
  </si>
  <si>
    <t>Variable 14</t>
  </si>
  <si>
    <t>Variable 15</t>
  </si>
  <si>
    <t>Variable 16</t>
  </si>
  <si>
    <r>
      <rPr>
        <b/>
        <sz val="11"/>
        <color theme="1"/>
        <rFont val="Calibri"/>
        <family val="2"/>
        <scheme val="minor"/>
      </rPr>
      <t>Graph 1</t>
    </r>
    <r>
      <rPr>
        <sz val="11"/>
        <color theme="1"/>
        <rFont val="Calibri"/>
        <family val="2"/>
        <scheme val="minor"/>
      </rPr>
      <t>. Comparing debt financing scenarios for each calibration selected</t>
    </r>
  </si>
  <si>
    <t>pubinvgdp</t>
  </si>
  <si>
    <t>pubadapgdp</t>
  </si>
  <si>
    <t>rgdp</t>
  </si>
  <si>
    <t>fiscaldef</t>
  </si>
  <si>
    <t>cadef</t>
  </si>
  <si>
    <t>privconsgr</t>
  </si>
  <si>
    <t>privinvgr</t>
  </si>
  <si>
    <t>curexpgdp</t>
  </si>
  <si>
    <t>domdebtgdp</t>
  </si>
  <si>
    <t>totpubdebt</t>
  </si>
  <si>
    <t>commdebtgdp</t>
  </si>
  <si>
    <t>concdebtgdp</t>
  </si>
  <si>
    <t>a_x</t>
  </si>
  <si>
    <t>a_n</t>
  </si>
  <si>
    <t>hpercent</t>
  </si>
  <si>
    <t>Plot each financing option in a separate chart</t>
  </si>
  <si>
    <t>grantsgdp</t>
  </si>
  <si>
    <t>extpdebtgdp</t>
  </si>
  <si>
    <t>hlpercent</t>
  </si>
  <si>
    <t>Variables available to graph</t>
  </si>
  <si>
    <t>Public Infrastructure Investment (% of GDP)</t>
  </si>
  <si>
    <t>Public Infrastructure Adaptation Investment (% of GDP)</t>
  </si>
  <si>
    <t>Real GDP Growth (% dev from SS)</t>
  </si>
  <si>
    <t>Private Investment Growth (% dev from SS)</t>
  </si>
  <si>
    <t>Domestic Public Debt (% of GDP)</t>
  </si>
  <si>
    <t>Concessional Debt (% of GDP)</t>
  </si>
  <si>
    <t xml:space="preserve">Total Public Debt (% of GDP) </t>
  </si>
  <si>
    <t>Fiscal Deficit (% of GDP)</t>
  </si>
  <si>
    <t>Grants (% of GDP)</t>
  </si>
  <si>
    <t>Public Effective Standard Capital (level)</t>
  </si>
  <si>
    <t>zie</t>
  </si>
  <si>
    <t>Public Effective Adaptation Capital (level)</t>
  </si>
  <si>
    <t>zae</t>
  </si>
  <si>
    <t>Real GDP Growth (%, YoY)</t>
  </si>
  <si>
    <t>rgdpgryoy</t>
  </si>
  <si>
    <t>Tradable Output (% dev from SS)</t>
  </si>
  <si>
    <t>rgdpx</t>
  </si>
  <si>
    <t>Non-Tradable Output (% dev from SS)</t>
  </si>
  <si>
    <t>rgdpn</t>
  </si>
  <si>
    <t>TFP in the Tradable sector (level)</t>
  </si>
  <si>
    <t>TFP in the Non-Tradable sector (level)</t>
  </si>
  <si>
    <t>Private Consumption Growth (% dev from SS)</t>
  </si>
  <si>
    <t>Current Expenditures (% of GDP)</t>
  </si>
  <si>
    <t>External Private Debt (% of GDP)</t>
  </si>
  <si>
    <t>External Public Commercial Debt (% of GDP)</t>
  </si>
  <si>
    <t>Current Account Deficit (% of GDP)</t>
  </si>
  <si>
    <t>Real Interest Rate on Domestic Debt (%)</t>
  </si>
  <si>
    <t>rpercent</t>
  </si>
  <si>
    <t>Real Interest Rate on External Commercial Debt (%)</t>
  </si>
  <si>
    <t>rextgpercent</t>
  </si>
  <si>
    <t>Real Exchange Rate  (% dev from SS)</t>
  </si>
  <si>
    <t>rerpercent</t>
  </si>
  <si>
    <t>Consumption Tax (%)</t>
  </si>
  <si>
    <t>Labor Income Tax (%)</t>
  </si>
  <si>
    <t>Natural Disaster Fund (% of GDP)</t>
  </si>
  <si>
    <t>savgdp</t>
  </si>
  <si>
    <t>Real Wages  (% dev from SS)</t>
  </si>
  <si>
    <t>rwages</t>
  </si>
  <si>
    <t>XLS</t>
  </si>
  <si>
    <t>Excel output</t>
  </si>
  <si>
    <r>
      <t xml:space="preserve">yes' or 'no' </t>
    </r>
    <r>
      <rPr>
        <b/>
        <i/>
        <sz val="11"/>
        <color theme="0"/>
        <rFont val="Calibri"/>
        <family val="2"/>
        <scheme val="minor"/>
      </rPr>
      <t xml:space="preserve">
(case sensitive)</t>
    </r>
  </si>
  <si>
    <t>Number of periods to export</t>
  </si>
  <si>
    <t>Number of variables being exported</t>
  </si>
  <si>
    <t>Would you like to have the time series of selected variables exported to Excel?</t>
  </si>
  <si>
    <t>Variables available to export</t>
  </si>
  <si>
    <t xml:space="preserve"> Parameter </t>
  </si>
  <si>
    <t>Adaptation capital to initial year GDP (percent)</t>
  </si>
  <si>
    <t>Disaster damage mitigated by adaptation capital (percent)</t>
  </si>
  <si>
    <t>Scaling parameter in ability of adaptation capital to withstand natural disaster</t>
  </si>
  <si>
    <t>Low</t>
  </si>
  <si>
    <t>High</t>
  </si>
  <si>
    <t xml:space="preserve">Year </t>
  </si>
  <si>
    <t>Approximate level of adaptation capital  (based on exogenous series)</t>
  </si>
  <si>
    <t xml:space="preserve">1. Uses only Financing 1 from Scenario worksheet. </t>
  </si>
  <si>
    <t>2. Uses only  Option 1 from Exogenous_series worksheet.</t>
  </si>
  <si>
    <t>3. Do not change BASELINE value (it is taken from CALIBRATION worksheet)!</t>
  </si>
  <si>
    <t>real GDP</t>
  </si>
  <si>
    <t>Alignment tool</t>
  </si>
  <si>
    <t>(percent deviation from initial year)</t>
  </si>
  <si>
    <t>Do you wish to use shocks generated by the Alignment tool?  (No = 0; Yes = 1)</t>
  </si>
  <si>
    <t>2. Assumes NO shocks from exogenous series worksheet.</t>
  </si>
  <si>
    <t>Donor Savings</t>
  </si>
  <si>
    <t>Description</t>
  </si>
  <si>
    <t>Baseline GDP (initial year, in billions US$)</t>
  </si>
  <si>
    <t>Discount rate for calculation Net Present Value (NPV)</t>
  </si>
  <si>
    <t>1. Uses only Financing 1 from Scenario worksheet.</t>
  </si>
  <si>
    <t>2. Uses only Option 1 from Exogenous_series worksheet.</t>
  </si>
  <si>
    <t>This toolkit is part of a research project on macroeconomic policy in low-income countries (IATI Identifier: GB-1-202960) supported by the U.K.’s Foreign, Commonwealth and Development Office (FCDO) and the partners in the IMF’s COVID-19 Crisis Capacity Development Initiative (CCCDI)—Belgium, Canada, China, Germany, Japan, Korea, Singapore, Spain, and Switzerland. The outputs, analyses, and views expressed herein are those of the authors and should not be attributed to the IMF, its Executive Board, its management, the FCDO, or the partners in the CCCDI.</t>
  </si>
  <si>
    <t xml:space="preserve">IMF Copyright and Usage terms </t>
  </si>
  <si>
    <t xml:space="preserve">IMF Copyright and Usage terms govern the provision of the DIGNAD Toolkit and associated content. </t>
  </si>
  <si>
    <t>https://www.imf.org/external/terms.htm</t>
  </si>
  <si>
    <t xml:space="preserve">Inclusion of or reference to third-party software in the DIGNAD Toolkit does not represent or imply sponsorship, approval or endorsement of the software by the IMF. </t>
  </si>
  <si>
    <t>Users are responsible for using any third-party software referenced in the DIGNAD Toolkit in accordance with the terms of use associated with each software.</t>
  </si>
  <si>
    <t>Dynare</t>
  </si>
  <si>
    <t xml:space="preserve">Dynare is a software platform for handling a wide class of economic models, in particular dynamic stochastic general equilibrium (DSGE) and overlapping generations (OLG) models. Dynare is a free software, which means that it can be downloaded free of charge, that its source code is freely available, and that it can be used for both non-profit and for-profit purposes. Most of the source files are covered by the GNU General Public Licence (GPL) version 3 or later (see license.txt in Dynare distribution). It is available for the Windows, macOS, and Linux platforms and is fully documented through a reference manual. </t>
  </si>
  <si>
    <t>Stéphane Adjemian, Houtan Bastani, Michel Juillard, Frédéric Karamé, Ferhat Mihoubi, Willi Mutschler, Johannes Pfeifer, Marco Ratto, Normann Rion and Sébastien Villemot (2022), “Dynare: Reference Manual, Version 5,” Dynare Working Papers, 72, CEPREMAP.</t>
  </si>
  <si>
    <t>Copyright © 1996-2022, Dynare Team.</t>
  </si>
  <si>
    <t xml:space="preserve">
</t>
  </si>
  <si>
    <t xml:space="preserve">CompEcon Toolbox 
</t>
  </si>
  <si>
    <t xml:space="preserve">CompEcon is a set of MATLAB functions for solving a variety of problems in economics and finance. The CompEcon Toolbox was developed to accompany:
</t>
  </si>
  <si>
    <t>Applied Computational Economics and Finance, Mario J. Miranda &amp; Paul L. Fackler, MIT Press. 2002</t>
  </si>
  <si>
    <t xml:space="preserve">For additional information or to report any problems, please visit: </t>
  </si>
  <si>
    <t>CompEcon Toolbox for Matlab</t>
  </si>
  <si>
    <t xml:space="preserve">For any questions or comments, please contact </t>
  </si>
  <si>
    <t>dignad@imf.org</t>
  </si>
  <si>
    <t>The entire fiscal gap is covered by fiscal instuments (labor tax, consumption tax, and cash transfers) conditional on exogenous paths for grants and concessional debt (supplied in the 'Exogenous_series' worksheet).</t>
  </si>
  <si>
    <t>3. If you wish to use shocks generated by the Alignment tool, after you run alignment module insert "1" (cell "E2") and run simulate again.</t>
  </si>
  <si>
    <t>Natural resources revenue to GDP ratio</t>
  </si>
  <si>
    <r>
      <t xml:space="preserve">Public domestic and external commercial debt are allowed to cover the fiscal gap, in addition to the path for concessional debt and grants specified in the 'Exogenous_series' worksheet. (define </t>
    </r>
    <r>
      <rPr>
        <i/>
        <sz val="11"/>
        <color theme="1"/>
        <rFont val="Calibri"/>
        <family val="2"/>
        <scheme val="minor"/>
      </rPr>
      <t xml:space="preserve">upsilon </t>
    </r>
    <r>
      <rPr>
        <sz val="11"/>
        <color theme="1"/>
        <rFont val="Calibri"/>
        <family val="2"/>
        <scheme val="minor"/>
      </rPr>
      <t>in Calibration)</t>
    </r>
  </si>
  <si>
    <t xml:space="preserve">Baseline Adaptation </t>
  </si>
  <si>
    <t>Baseline Standard</t>
  </si>
  <si>
    <t>Adaptation &amp; PIE</t>
  </si>
  <si>
    <t>Please enter the country specific data before running the module</t>
  </si>
  <si>
    <t>1. Uses only Financing 1 from Scenario worksheet. Please use "all_debt" scenario.</t>
  </si>
  <si>
    <r>
      <rPr>
        <b/>
        <sz val="11"/>
        <color theme="1"/>
        <rFont val="Calibri"/>
        <family val="2"/>
        <scheme val="minor"/>
      </rPr>
      <t>DISCLAIMER</t>
    </r>
    <r>
      <rPr>
        <sz val="11"/>
        <color theme="1"/>
        <rFont val="Calibri"/>
        <family val="2"/>
        <scheme val="minor"/>
      </rPr>
      <t>: This manual for DIGNAD toolkit should not be reported as representing the views of the IMF. The views expressed here are those of the authors and do not necessarily represent the views of the IMF, its Executive Board, or IMF management.</t>
    </r>
  </si>
  <si>
    <t>zi</t>
  </si>
  <si>
    <t>k</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</si>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</sst>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6">
    <numFmt numFmtId="41" formatCode="_(* #,##0_);_(* \(#,##0\);_(* &quot;-&quot;_);_(@_)"/>
    <numFmt numFmtId="43" formatCode="_(* #,##0.00_);_(* \(#,##0.00\);_(* &quot;-&quot;??_);_(@_)"/>
    <numFmt numFmtId="164" formatCode="&quot;$&quot;#,##0_);\(&quot;$&quot;#,##0\)"/>
    <numFmt numFmtId="165" formatCode="_(&quot;$&quot;* #,##0_);_(&quot;$&quot;* \(#,##0\);_(&quot;$&quot;* &quot;-&quot;_);_(@_)"/>
    <numFmt numFmtId="166" formatCode="_(&quot;$&quot;* #,##0.00_);_(&quot;$&quot;* \(#,##0.00\);_(&quot;$&quot;* &quot;-&quot;??_);_(@_)"/>
    <numFmt numFmtId="167" formatCode="[$-F400]h:mm:ss\ AM/PM"/>
    <numFmt numFmtId="168" formatCode="#,##0.0"/>
    <numFmt numFmtId="169" formatCode="0.0%"/>
    <numFmt numFmtId="170" formatCode="_([$€-2]* #,##0.00_);_([$€-2]* \(#,##0.00\);_([$€-2]* &quot;-&quot;??_)"/>
    <numFmt numFmtId="171" formatCode="0_)"/>
    <numFmt numFmtId="172" formatCode="#,##0.000"/>
    <numFmt numFmtId="173" formatCode="_-&quot;$&quot;* #,##0_-;\-&quot;$&quot;* #,##0_-;_-&quot;$&quot;* &quot;-&quot;_-;_-@_-"/>
    <numFmt numFmtId="174" formatCode="0&quot;.&quot;000%"/>
    <numFmt numFmtId="175" formatCode="###,0&quot;.&quot;00\ &quot;F&quot;;[Red]\-###,0&quot;.&quot;00\ &quot;F&quot;"/>
    <numFmt numFmtId="176" formatCode="_-* #,##0_-;\-* #,##0_-;_-* &quot;-&quot;_-;_-@_-"/>
    <numFmt numFmtId="177" formatCode="_-* #,##0.00_-;\-* #,##0.00_-;_-* &quot;-&quot;??_-;_-@_-"/>
    <numFmt numFmtId="178" formatCode="_-* #,##0.00\ _V_N_D_-;\-* #,##0.00\ _V_N_D_-;_-* &quot;-&quot;??\ _V_N_D_-;_-@_-"/>
    <numFmt numFmtId="179" formatCode="_-* #,##0\ _V_N_D_-;\-* #,##0\ _V_N_D_-;_-* &quot;-&quot;\ _V_N_D_-;_-@_-"/>
    <numFmt numFmtId="180" formatCode="&quot;   &quot;@"/>
    <numFmt numFmtId="181" formatCode="&quot;      &quot;@"/>
    <numFmt numFmtId="182" formatCode="&quot;         &quot;@"/>
    <numFmt numFmtId="183" formatCode="&quot;            &quot;@"/>
    <numFmt numFmtId="184" formatCode="&quot;               &quot;@"/>
    <numFmt numFmtId="185" formatCode="&quot;SFr.&quot;\ #,##0.00;[Red]&quot;SFr.&quot;\ \-#,##0.00"/>
    <numFmt numFmtId="186" formatCode="_ &quot;SFr.&quot;\ * #,##0_ ;_ &quot;SFr.&quot;\ * \-#,##0_ ;_ &quot;SFr.&quot;\ * &quot;-&quot;_ ;_ @_ "/>
    <numFmt numFmtId="187" formatCode="_ * #,##0_ ;_ * \-#,##0_ ;_ * &quot;-&quot;_ ;_ @_ "/>
    <numFmt numFmtId="188" formatCode="_ * #,##0.00_ ;_ * \-#,##0.00_ ;_ * &quot;-&quot;??_ ;_ @_ "/>
    <numFmt numFmtId="189" formatCode="#,##0.0_);\(#,##0.0\)"/>
    <numFmt numFmtId="190" formatCode="mmmm\-yy"/>
    <numFmt numFmtId="191" formatCode="[$-409]mmm\-yy;@"/>
    <numFmt numFmtId="192" formatCode="_-* #,##0.00\ &quot;F&quot;_-;\-* #,##0.00\ &quot;F&quot;_-;_-* &quot;-&quot;??\ &quot;F&quot;_-;_-@_-"/>
    <numFmt numFmtId="193" formatCode="_-[$CHF]\ \ #,##0.00_-;\-[$CHF]\ * #,##0.00_-;_-[$CHF]\ * &quot;-&quot;??_-;_-@_-"/>
    <numFmt numFmtId="194" formatCode="[$-409]mmmmm;@"/>
    <numFmt numFmtId="195" formatCode="#,##0;[Red]\(#,##0\)"/>
    <numFmt numFmtId="196" formatCode="#,##0.0000"/>
    <numFmt numFmtId="197" formatCode="0.0000%"/>
    <numFmt numFmtId="198" formatCode="_-* #,##0\ _P_t_s_-;\-* #,##0\ _P_t_s_-;_-* &quot;-&quot;\ _P_t_s_-;_-@_-"/>
    <numFmt numFmtId="199" formatCode="_-* #,##0.00\ _₫_-;\-* #,##0.00\ _₫_-;_-* &quot;-&quot;??\ _₫_-;_-@_-"/>
    <numFmt numFmtId="200" formatCode="_(&quot;₮&quot;\ * #,##0_);_(&quot;₮&quot;\ * \(#,##0\);_(&quot;₮&quot;\ * &quot;-&quot;_);_(@_)"/>
    <numFmt numFmtId="201" formatCode="_-* #,##0.00\ _€_-;\-* #,##0.00\ _€_-;_-* &quot;-&quot;??\ _€_-;_-@_-"/>
    <numFmt numFmtId="202" formatCode="#,##0;\(#,##0\)"/>
    <numFmt numFmtId="203" formatCode="_ * #,##0.00_)\ &quot;ĐỒNG&quot;_ ;_ * \(#,##0.00\)\ &quot;ĐỒNG&quot;_ ;_ * &quot;-&quot;??_)\ &quot;ĐỒNG&quot;_ ;_ @_ "/>
    <numFmt numFmtId="204" formatCode="\$#,##0\ ;\(\$#,##0\)"/>
    <numFmt numFmtId="205" formatCode="&quot;$&quot;#,##0\ ;\(&quot;$&quot;#,##0\)"/>
    <numFmt numFmtId="206" formatCode="#,##0\ &quot;SIT&quot;;\-#,##0\ &quot;SIT&quot;"/>
    <numFmt numFmtId="207" formatCode="\t0.00%"/>
    <numFmt numFmtId="208" formatCode="[$DEM-4C0A]#,##0.00_ ;\-[$DEM-4C0A]#,##0.00\ "/>
    <numFmt numFmtId="209" formatCode="_-* #,##0\ _D_M_-;\-* #,##0\ _D_M_-;_-* &quot;-&quot;\ _D_M_-;_-@_-"/>
    <numFmt numFmtId="210" formatCode="_-* #,##0.00\ _D_M_-;\-* #,##0.00\ _D_M_-;_-* &quot;-&quot;??\ _D_M_-;_-@_-"/>
    <numFmt numFmtId="211" formatCode="0.0"/>
    <numFmt numFmtId="212" formatCode="\t#\ ??/??"/>
    <numFmt numFmtId="213" formatCode="#,##0.00\ &quot;F&quot;;\-#,##0.00\ &quot;F&quot;"/>
    <numFmt numFmtId="214" formatCode="_-[$€-2]* #,##0.00_-;\-[$€-2]* #,##0.00_-;_-[$€-2]* &quot;-&quot;??_-"/>
    <numFmt numFmtId="215" formatCode="#,##0.00[$€];[Red]\-#,##0.00[$€]"/>
    <numFmt numFmtId="216" formatCode="General_)"/>
    <numFmt numFmtId="217" formatCode="#."/>
    <numFmt numFmtId="218" formatCode="#,#00"/>
    <numFmt numFmtId="219" formatCode="#.00"/>
    <numFmt numFmtId="220" formatCode="[$JPY]\ #,##0.00;\-[$JPY]\ #,##0.00"/>
    <numFmt numFmtId="221" formatCode="#,##0\ &quot;Kč&quot;;\-#,##0\ &quot;Kč&quot;"/>
    <numFmt numFmtId="222" formatCode="_-* #,##0\ _F_-;\-* #,##0\ _F_-;_-* &quot;-&quot;\ _F_-;_-@_-"/>
    <numFmt numFmtId="223" formatCode="_-* #,##0.00\ _F_-;\-* #,##0.00\ _F_-;_-* &quot;-&quot;??\ _F_-;_-@_-"/>
    <numFmt numFmtId="224" formatCode="&quot;Cr$&quot;#,##0_);[Red]\(&quot;Cr$&quot;#,##0\)"/>
    <numFmt numFmtId="225" formatCode="&quot;Cr$&quot;#,##0.00_);[Red]\(&quot;Cr$&quot;#,##0.00\)"/>
    <numFmt numFmtId="226" formatCode="\$#,"/>
    <numFmt numFmtId="227" formatCode="_-&quot;$&quot;* #,##0.00_-;\-&quot;$&quot;* #,##0.00_-;_-&quot;$&quot;* &quot;-&quot;??_-;_-@_-"/>
    <numFmt numFmtId="228" formatCode="_-* #,##0\ &quot;F&quot;_-;\-* #,##0\ &quot;F&quot;_-;_-* &quot;-&quot;\ &quot;F&quot;_-;_-@_-"/>
    <numFmt numFmtId="229" formatCode="&quot;$&quot;#,#00"/>
    <numFmt numFmtId="230" formatCode="&quot;$&quot;#,"/>
    <numFmt numFmtId="231" formatCode="ddd\ d\-mmm\-yy"/>
    <numFmt numFmtId="232" formatCode="0.00_)"/>
    <numFmt numFmtId="233" formatCode="[&gt;=0.05]#,##0.0;[&lt;=-0.05]\-#,##0.0;?0.0"/>
    <numFmt numFmtId="234" formatCode="[&gt;=0.05]\(#,##0.0\);[&lt;=-0.05]\(\-#,##0.0\);\(\-\-\);\(@\)"/>
    <numFmt numFmtId="235" formatCode="[Black]#,##0.0;[Black]\-#,##0.0;;"/>
    <numFmt numFmtId="236" formatCode="[Black][&gt;0.05]#,##0.0;[Black][&lt;-0.05]\-#,##0.0;;"/>
    <numFmt numFmtId="237" formatCode="[Black][&gt;0.5]#,##0;[Black][&lt;-0.5]\-#,##0;;"/>
    <numFmt numFmtId="238" formatCode="%#,#00"/>
    <numFmt numFmtId="239" formatCode="#\ ###\ ##0\ \ \ \ \ \ "/>
    <numFmt numFmtId="240" formatCode="#.##000"/>
    <numFmt numFmtId="241" formatCode="dd\-mmm\-yy_)"/>
    <numFmt numFmtId="242" formatCode="#,##0_)"/>
    <numFmt numFmtId="243" formatCode="#,##0.0____"/>
    <numFmt numFmtId="244" formatCode="###\ ###\ ##0.00"/>
    <numFmt numFmtId="245" formatCode="\ General"/>
    <numFmt numFmtId="246" formatCode="#\ ##0"/>
    <numFmt numFmtId="247" formatCode="###\ ###\ ##0"/>
    <numFmt numFmtId="248" formatCode="#\ ##0.0"/>
    <numFmt numFmtId="249" formatCode="\(#\ ##0.0\);\(\-#\ ##0.0\)"/>
    <numFmt numFmtId="250" formatCode="#.##0,"/>
    <numFmt numFmtId="251" formatCode="#,##0.000000"/>
    <numFmt numFmtId="252" formatCode="_###,###,###"/>
    <numFmt numFmtId="253" formatCode="#,##0&quot;£&quot;_);\(#,##0&quot;£&quot;\)"/>
    <numFmt numFmtId="254" formatCode="[$$-409]#,##0.00_ ;\-[$$-409]#,##0.00\ "/>
    <numFmt numFmtId="255" formatCode="\(\$#,###\)"/>
    <numFmt numFmtId="256" formatCode="[$$-1009]#,##0.00;\-[$$-1009]#,##0.00"/>
    <numFmt numFmtId="257" formatCode="_-&quot;£&quot;* #,##0_-;\-&quot;£&quot;* #,##0_-;_-&quot;£&quot;* &quot;-&quot;_-;_-@_-"/>
    <numFmt numFmtId="258" formatCode="_-&quot;€&quot;\ * #,##0_-;_-&quot;€&quot;\ * #,##0\-;_-&quot;€&quot;\ * &quot;-&quot;_-;_-@_-"/>
    <numFmt numFmtId="259" formatCode="_-&quot;€&quot;\ * #,##0.00_-;_-&quot;€&quot;\ * #,##0.00\-;_-&quot;€&quot;\ * &quot;-&quot;??_-;_-@_-"/>
    <numFmt numFmtId="260" formatCode="_-* #,##0\ &quot;DM&quot;_-;\-* #,##0\ &quot;DM&quot;_-;_-* &quot;-&quot;\ &quot;DM&quot;_-;_-@_-"/>
    <numFmt numFmtId="261" formatCode="_-* #,##0.00\ &quot;DM&quot;_-;\-* #,##0.00\ &quot;DM&quot;_-;_-* &quot;-&quot;??\ &quot;DM&quot;_-;_-@_-"/>
    <numFmt numFmtId="262" formatCode="General\ \ \ \ \ \ "/>
    <numFmt numFmtId="263" formatCode="0.0\ \ \ \ \ \ \ \ "/>
    <numFmt numFmtId="264" formatCode="mmmm\ yyyy"/>
    <numFmt numFmtId="265" formatCode="#,##0;[Red]\-#,##0"/>
    <numFmt numFmtId="266" formatCode="0.000_)"/>
    <numFmt numFmtId="267" formatCode="_-* #,##0_р_._-;\-* #,##0_р_._-;_-* &quot;-&quot;_р_._-;_-@_-"/>
    <numFmt numFmtId="268" formatCode="_-* #,##0.00_р_._-;\-* #,##0.00_р_._-;_-* &quot;-&quot;??_р_._-;_-@_-"/>
    <numFmt numFmtId="269" formatCode="dd\-mmm_)"/>
    <numFmt numFmtId="270" formatCode="#,##0\ &quot;DM&quot;;\-#,##0\ &quot;DM&quot;"/>
    <numFmt numFmtId="271" formatCode="0.000%"/>
    <numFmt numFmtId="272" formatCode="&quot;￥&quot;#,##0;&quot;￥&quot;\-#,##0"/>
    <numFmt numFmtId="273" formatCode="00.000"/>
    <numFmt numFmtId="274" formatCode="#,##0\ &quot;$&quot;_);[Red]\(#,##0\ &quot;$&quot;\)"/>
    <numFmt numFmtId="275" formatCode="0.0000"/>
    <numFmt numFmtId="276" formatCode="0.000000000000000%"/>
    <numFmt numFmtId="277" formatCode="#,##0.00000000000"/>
  </numFmts>
  <fonts count="274">
    <font>
      <sz val="11"/>
      <color theme="1"/>
      <name val="Calibri"/>
      <family val="2"/>
      <scheme val="minor"/>
    </font>
    <font>
      <sz val="11"/>
      <color theme="1"/>
      <name val="Calibri"/>
      <family val="2"/>
      <scheme val="minor"/>
    </font>
    <font>
      <sz val="36"/>
      <color theme="1"/>
      <name val="Calibri"/>
      <family val="2"/>
      <scheme val="minor"/>
    </font>
    <font>
      <sz val="10"/>
      <name val="Times New Roman"/>
      <family val="1"/>
    </font>
    <font>
      <sz val="10"/>
      <name val="Arial"/>
      <family val="2"/>
    </font>
    <font>
      <b/>
      <sz val="11"/>
      <color theme="0"/>
      <name val="Calibri"/>
      <family val="2"/>
      <scheme val="minor"/>
    </font>
    <font>
      <b/>
      <sz val="11"/>
      <color theme="1"/>
      <name val="Calibri"/>
      <family val="2"/>
      <scheme val="minor"/>
    </font>
    <font>
      <b/>
      <sz val="11"/>
      <name val="Calibri"/>
      <family val="2"/>
      <scheme val="minor"/>
    </font>
    <font>
      <sz val="8"/>
      <name val="Arial"/>
      <family val="2"/>
    </font>
    <font>
      <b/>
      <sz val="10"/>
      <name val="Arial"/>
      <family val="2"/>
    </font>
    <font>
      <sz val="10"/>
      <color indexed="8"/>
      <name val="Verdana"/>
      <family val="2"/>
    </font>
    <font>
      <i/>
      <sz val="10"/>
      <color indexed="8"/>
      <name val="Verdana"/>
      <family val="2"/>
    </font>
    <font>
      <b/>
      <sz val="10"/>
      <color indexed="8"/>
      <name val="Verdana"/>
      <family val="2"/>
    </font>
    <font>
      <sz val="11"/>
      <color indexed="8"/>
      <name val="Verdana"/>
      <family val="2"/>
    </font>
    <font>
      <b/>
      <sz val="11"/>
      <color indexed="8"/>
      <name val="Verdana"/>
      <family val="2"/>
    </font>
    <font>
      <b/>
      <sz val="13"/>
      <color indexed="9"/>
      <name val="Verdana"/>
      <family val="2"/>
    </font>
    <font>
      <sz val="10"/>
      <color indexed="54"/>
      <name val="Verdana"/>
      <family val="2"/>
    </font>
    <font>
      <sz val="11"/>
      <color indexed="8"/>
      <name val="Arial"/>
      <family val="2"/>
    </font>
    <font>
      <sz val="11"/>
      <name val="Tms Rmn"/>
    </font>
    <font>
      <sz val="12"/>
      <name val="VNI-Times"/>
    </font>
    <font>
      <sz val="11"/>
      <name val="??"/>
      <family val="3"/>
    </font>
    <font>
      <sz val="14"/>
      <name val="??"/>
      <family val="3"/>
    </font>
    <font>
      <sz val="12"/>
      <name val="????"/>
      <charset val="136"/>
    </font>
    <font>
      <sz val="12"/>
      <name val="???"/>
      <family val="3"/>
    </font>
    <font>
      <sz val="10"/>
      <name val="???"/>
      <family val="3"/>
    </font>
    <font>
      <sz val="10"/>
      <name val="VNI-Times"/>
    </font>
    <font>
      <sz val="10"/>
      <name val="Arial"/>
      <family val="2"/>
      <charset val="163"/>
    </font>
    <font>
      <sz val="10"/>
      <color indexed="8"/>
      <name val="Arial"/>
      <family val="2"/>
    </font>
    <font>
      <sz val="10"/>
      <name val="Courier"/>
      <family val="3"/>
    </font>
    <font>
      <sz val="9"/>
      <name val="Times New Roman"/>
      <family val="1"/>
    </font>
    <font>
      <sz val="11"/>
      <name val="Arial"/>
      <family val="2"/>
    </font>
    <font>
      <sz val="11"/>
      <name val=".VnTime"/>
      <family val="2"/>
    </font>
    <font>
      <sz val="12"/>
      <color indexed="8"/>
      <name val="¹ÙÅÁÃ¼"/>
      <family val="1"/>
      <charset val="129"/>
    </font>
    <font>
      <sz val="11"/>
      <color indexed="8"/>
      <name val="Calibri"/>
      <family val="2"/>
    </font>
    <font>
      <sz val="11"/>
      <color indexed="8"/>
      <name val="Calibri"/>
      <family val="2"/>
      <charset val="1"/>
    </font>
    <font>
      <sz val="12"/>
      <color indexed="8"/>
      <name val=".VnTime"/>
      <family val="2"/>
    </font>
    <font>
      <sz val="10"/>
      <color indexed="8"/>
      <name val="맑은 고딕"/>
      <family val="3"/>
      <charset val="129"/>
    </font>
    <font>
      <sz val="11"/>
      <color indexed="9"/>
      <name val="Calibri"/>
      <family val="2"/>
    </font>
    <font>
      <sz val="11"/>
      <color indexed="9"/>
      <name val="Calibri"/>
      <family val="2"/>
      <charset val="1"/>
    </font>
    <font>
      <sz val="12"/>
      <color indexed="9"/>
      <name val=".VnTime"/>
      <family val="2"/>
    </font>
    <font>
      <sz val="10"/>
      <color indexed="9"/>
      <name val="맑은 고딕"/>
      <family val="3"/>
      <charset val="129"/>
    </font>
    <font>
      <sz val="11"/>
      <color indexed="9"/>
      <name val="Arial"/>
      <family val="2"/>
    </font>
    <font>
      <sz val="12"/>
      <name val="¹UAAA¼"/>
      <family val="3"/>
      <charset val="129"/>
    </font>
    <font>
      <sz val="8"/>
      <color indexed="12"/>
      <name val="Helv"/>
    </font>
    <font>
      <sz val="10"/>
      <name val="Geneva"/>
      <family val="2"/>
    </font>
    <font>
      <sz val="12"/>
      <name val="¹ÙÅÁÃ¼"/>
      <charset val="129"/>
    </font>
    <font>
      <sz val="11"/>
      <color indexed="20"/>
      <name val="Calibri"/>
      <family val="2"/>
    </font>
    <font>
      <sz val="11"/>
      <color indexed="20"/>
      <name val="Calibri"/>
      <family val="2"/>
      <charset val="1"/>
    </font>
    <font>
      <sz val="12"/>
      <color indexed="20"/>
      <name val=".VnTime"/>
      <family val="2"/>
    </font>
    <font>
      <sz val="1"/>
      <color indexed="8"/>
      <name val="Courier"/>
      <family val="3"/>
    </font>
    <font>
      <i/>
      <sz val="1"/>
      <color indexed="8"/>
      <name val="Courier"/>
      <family val="3"/>
    </font>
    <font>
      <sz val="12"/>
      <name val="Times New Roman"/>
      <family val="1"/>
    </font>
    <font>
      <b/>
      <sz val="11"/>
      <color indexed="10"/>
      <name val="Calibri"/>
      <family val="2"/>
    </font>
    <font>
      <b/>
      <sz val="11"/>
      <color indexed="52"/>
      <name val="Calibri"/>
      <family val="2"/>
      <charset val="1"/>
    </font>
    <font>
      <b/>
      <sz val="11"/>
      <color indexed="52"/>
      <name val="Calibri"/>
      <family val="2"/>
    </font>
    <font>
      <b/>
      <sz val="12"/>
      <color indexed="52"/>
      <name val=".VnTime"/>
      <family val="2"/>
    </font>
    <font>
      <b/>
      <sz val="10"/>
      <name val="Helv"/>
    </font>
    <font>
      <sz val="10"/>
      <name val="Arial CE"/>
      <charset val="238"/>
    </font>
    <font>
      <b/>
      <sz val="11"/>
      <color indexed="9"/>
      <name val="Calibri"/>
      <family val="2"/>
    </font>
    <font>
      <b/>
      <sz val="11"/>
      <color indexed="9"/>
      <name val="Calibri"/>
      <family val="2"/>
      <charset val="1"/>
    </font>
    <font>
      <b/>
      <sz val="12"/>
      <color indexed="9"/>
      <name val=".VnTime"/>
      <family val="2"/>
    </font>
    <font>
      <sz val="12"/>
      <name val="Times"/>
      <family val="1"/>
    </font>
    <font>
      <sz val="12"/>
      <name val=".VnTime"/>
    </font>
    <font>
      <sz val="12"/>
      <name val=".VnTime"/>
      <family val="2"/>
    </font>
    <font>
      <sz val="13"/>
      <color indexed="8"/>
      <name val="Times New Roman"/>
      <family val="2"/>
    </font>
    <font>
      <sz val="13"/>
      <color theme="1"/>
      <name val="Times New Roman"/>
      <family val="2"/>
    </font>
    <font>
      <sz val="8"/>
      <color indexed="8"/>
      <name val="Arial"/>
      <family val="2"/>
      <charset val="1"/>
    </font>
    <font>
      <sz val="13"/>
      <name val=".VnTime"/>
      <family val="2"/>
    </font>
    <font>
      <sz val="12"/>
      <name val="Arial"/>
      <family val="2"/>
      <charset val="163"/>
    </font>
    <font>
      <sz val="11"/>
      <name val="UVnTime"/>
      <family val="2"/>
    </font>
    <font>
      <sz val="12"/>
      <name val="Times New Roman"/>
      <family val="1"/>
      <charset val="163"/>
    </font>
    <font>
      <sz val="8"/>
      <name val="Tahoma"/>
      <family val="2"/>
      <charset val="163"/>
    </font>
    <font>
      <sz val="9"/>
      <name val="Times"/>
      <family val="1"/>
    </font>
    <font>
      <b/>
      <sz val="12"/>
      <name val="VNTime"/>
      <family val="2"/>
    </font>
    <font>
      <b/>
      <sz val="12"/>
      <name val="VNTimeH"/>
      <family val="2"/>
    </font>
    <font>
      <b/>
      <sz val="9"/>
      <name val="Arial"/>
      <family val="2"/>
    </font>
    <font>
      <sz val="10"/>
      <name val="Times"/>
      <family val="1"/>
    </font>
    <font>
      <sz val="9"/>
      <name val="Tms Rmn"/>
    </font>
    <font>
      <sz val="10"/>
      <name val="MS Sans Serif"/>
      <family val="2"/>
    </font>
    <font>
      <sz val="8"/>
      <name val="Times New Roman"/>
      <family val="1"/>
    </font>
    <font>
      <sz val="10"/>
      <name val="Tms Rmn"/>
    </font>
    <font>
      <sz val="12"/>
      <name val="Helv"/>
    </font>
    <font>
      <i/>
      <sz val="11"/>
      <color indexed="23"/>
      <name val="Calibri"/>
      <family val="2"/>
    </font>
    <font>
      <i/>
      <sz val="11"/>
      <color indexed="23"/>
      <name val="Calibri"/>
      <family val="2"/>
      <charset val="1"/>
    </font>
    <font>
      <i/>
      <sz val="12"/>
      <color indexed="23"/>
      <name val=".VnTime"/>
      <family val="2"/>
    </font>
    <font>
      <b/>
      <sz val="12"/>
      <name val="Helv"/>
    </font>
    <font>
      <sz val="1"/>
      <color indexed="16"/>
      <name val="Courier"/>
      <family val="3"/>
    </font>
    <font>
      <sz val="14"/>
      <name val="Helv"/>
    </font>
    <font>
      <sz val="12"/>
      <name val="Arial"/>
      <family val="2"/>
    </font>
    <font>
      <sz val="12"/>
      <name val="Arial CE"/>
      <family val="2"/>
      <charset val="238"/>
    </font>
    <font>
      <u/>
      <sz val="10"/>
      <color indexed="36"/>
      <name val="Arial"/>
      <family val="2"/>
    </font>
    <font>
      <vertAlign val="superscript"/>
      <sz val="11"/>
      <name val="Arial"/>
      <family val="2"/>
    </font>
    <font>
      <sz val="10"/>
      <color indexed="12"/>
      <name val="Arial"/>
      <family val="2"/>
    </font>
    <font>
      <sz val="10"/>
      <color indexed="20"/>
      <name val="Arial"/>
      <family val="2"/>
    </font>
    <font>
      <sz val="10"/>
      <color indexed="14"/>
      <name val="Arial"/>
      <family val="2"/>
    </font>
    <font>
      <sz val="12"/>
      <name val="VNTime"/>
      <family val="2"/>
    </font>
    <font>
      <sz val="11"/>
      <color indexed="17"/>
      <name val="Calibri"/>
      <family val="2"/>
    </font>
    <font>
      <sz val="11"/>
      <color indexed="17"/>
      <name val="Calibri"/>
      <family val="2"/>
      <charset val="1"/>
    </font>
    <font>
      <sz val="12"/>
      <color indexed="17"/>
      <name val=".VnTime"/>
      <family val="2"/>
    </font>
    <font>
      <b/>
      <sz val="12"/>
      <name val="Arial"/>
      <family val="2"/>
    </font>
    <font>
      <b/>
      <sz val="15"/>
      <color indexed="62"/>
      <name val="Calibri"/>
      <family val="2"/>
    </font>
    <font>
      <b/>
      <sz val="18"/>
      <name val="Arial"/>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1"/>
      <color indexed="56"/>
      <name val=".VnTime"/>
      <family val="2"/>
    </font>
    <font>
      <b/>
      <sz val="1"/>
      <color indexed="8"/>
      <name val="Courier"/>
      <family val="3"/>
    </font>
    <font>
      <u/>
      <sz val="10"/>
      <color indexed="12"/>
      <name val="Courier"/>
      <family val="3"/>
    </font>
    <font>
      <u/>
      <sz val="10"/>
      <color indexed="36"/>
      <name val="Courier"/>
      <family val="3"/>
    </font>
    <font>
      <u/>
      <sz val="5"/>
      <color indexed="12"/>
      <name val="Courier"/>
      <family val="3"/>
    </font>
    <font>
      <u/>
      <sz val="10"/>
      <color indexed="12"/>
      <name val="Arial"/>
      <family val="2"/>
    </font>
    <font>
      <u/>
      <sz val="11"/>
      <color theme="10"/>
      <name val="Calibri"/>
      <family val="2"/>
    </font>
    <font>
      <u/>
      <sz val="10"/>
      <color indexed="12"/>
      <name val="Times New Roman"/>
      <family val="1"/>
    </font>
    <font>
      <u/>
      <sz val="10.199999999999999"/>
      <color indexed="12"/>
      <name val="Times New Roman"/>
      <family val="1"/>
    </font>
    <font>
      <u/>
      <sz val="12"/>
      <color theme="10"/>
      <name val="Times New Roman"/>
      <family val="1"/>
    </font>
    <font>
      <sz val="10"/>
      <name val="Arial Cyr"/>
      <charset val="204"/>
    </font>
    <font>
      <sz val="11"/>
      <color indexed="62"/>
      <name val="Calibri"/>
      <family val="2"/>
    </font>
    <font>
      <u/>
      <sz val="10"/>
      <color indexed="36"/>
      <name val="Arial Tur"/>
      <charset val="162"/>
    </font>
    <font>
      <u/>
      <sz val="10"/>
      <color indexed="12"/>
      <name val="Arial Tur"/>
      <charset val="162"/>
    </font>
    <font>
      <sz val="10"/>
      <name val="CTimesRoman"/>
    </font>
    <font>
      <u/>
      <sz val="10"/>
      <color indexed="12"/>
      <name val="MS Sans Serif"/>
      <family val="2"/>
    </font>
    <font>
      <u/>
      <sz val="10"/>
      <color indexed="36"/>
      <name val="MS Sans Serif"/>
      <family val="2"/>
    </font>
    <font>
      <sz val="10"/>
      <color indexed="10"/>
      <name val="Arial"/>
      <family val="2"/>
    </font>
    <font>
      <sz val="11"/>
      <color indexed="10"/>
      <name val="Calibri"/>
      <family val="2"/>
    </font>
    <font>
      <sz val="11"/>
      <color indexed="52"/>
      <name val="Calibri"/>
      <family val="2"/>
    </font>
    <font>
      <sz val="12"/>
      <color indexed="52"/>
      <name val=".VnTime"/>
      <family val="2"/>
    </font>
    <font>
      <sz val="8"/>
      <color indexed="8"/>
      <name val="Helv"/>
    </font>
    <font>
      <b/>
      <sz val="9"/>
      <name val="Times New Roman"/>
      <family val="1"/>
    </font>
    <font>
      <sz val="26"/>
      <name val="Arial"/>
      <family val="2"/>
    </font>
    <font>
      <sz val="30"/>
      <name val="Arial"/>
      <family val="2"/>
    </font>
    <font>
      <sz val="48"/>
      <name val="Arial"/>
      <family val="2"/>
    </font>
    <font>
      <b/>
      <sz val="100"/>
      <name val="Arial"/>
      <family val="2"/>
    </font>
    <font>
      <b/>
      <sz val="11"/>
      <name val="Helv"/>
    </font>
    <font>
      <sz val="10"/>
      <color indexed="8"/>
      <name val="جيزة"/>
      <charset val="178"/>
    </font>
    <font>
      <sz val="9"/>
      <name val="Arial"/>
      <family val="2"/>
    </font>
    <font>
      <sz val="11"/>
      <color indexed="19"/>
      <name val="Calibri"/>
      <family val="2"/>
    </font>
    <font>
      <sz val="11"/>
      <color indexed="60"/>
      <name val="Calibri"/>
      <family val="2"/>
    </font>
    <font>
      <sz val="12"/>
      <color indexed="60"/>
      <name val=".VnTime"/>
      <family val="2"/>
    </font>
    <font>
      <sz val="7"/>
      <name val="Small Fonts"/>
      <family val="2"/>
    </font>
    <font>
      <sz val="10"/>
      <name val="DUTCH"/>
    </font>
    <font>
      <sz val="10"/>
      <name val="Helv"/>
    </font>
    <font>
      <b/>
      <i/>
      <sz val="16"/>
      <name val="Helv"/>
      <family val="2"/>
    </font>
    <font>
      <b/>
      <i/>
      <sz val="16"/>
      <name val="Helv"/>
    </font>
    <font>
      <sz val="12"/>
      <name val="Tms Rmn"/>
    </font>
    <font>
      <sz val="13"/>
      <name val="Times New Roman"/>
      <family val="1"/>
      <charset val="163"/>
    </font>
    <font>
      <sz val="10"/>
      <name val=".VnArial"/>
      <family val="2"/>
    </font>
    <font>
      <sz val="11"/>
      <name val=".vntime"/>
    </font>
    <font>
      <sz val="10"/>
      <name val=".VnTime"/>
    </font>
    <font>
      <sz val="11"/>
      <color theme="1"/>
      <name val="Calibri"/>
      <family val="2"/>
      <charset val="134"/>
      <scheme val="minor"/>
    </font>
    <font>
      <sz val="12"/>
      <name val=".VnArial Narrow"/>
      <family val="2"/>
    </font>
    <font>
      <sz val="14"/>
      <name val="Times New Roman"/>
      <family val="1"/>
      <charset val="163"/>
    </font>
    <font>
      <sz val="10"/>
      <color theme="1"/>
      <name val="Arial"/>
      <family val="2"/>
    </font>
    <font>
      <sz val="8"/>
      <name val=".VnTime"/>
      <family val="2"/>
    </font>
    <font>
      <i/>
      <sz val="10"/>
      <name val="Helv"/>
    </font>
    <font>
      <i/>
      <sz val="10"/>
      <name val="Helv"/>
      <family val="2"/>
    </font>
    <font>
      <sz val="11"/>
      <name val="Times New Roman"/>
      <family val="1"/>
    </font>
    <font>
      <sz val="12"/>
      <name val="新細明體"/>
      <family val="1"/>
      <charset val="136"/>
    </font>
    <font>
      <b/>
      <sz val="11"/>
      <color indexed="63"/>
      <name val="Calibri"/>
      <family val="2"/>
    </font>
    <font>
      <b/>
      <sz val="12"/>
      <color indexed="63"/>
      <name val=".VnTime"/>
      <family val="2"/>
    </font>
    <font>
      <sz val="10"/>
      <color indexed="16"/>
      <name val="Arial"/>
      <family val="2"/>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b/>
      <sz val="10"/>
      <name val="MS Sans Serif"/>
      <family val="2"/>
    </font>
    <font>
      <sz val="10"/>
      <color indexed="10"/>
      <name val="MS Sans Serif"/>
      <family val="2"/>
    </font>
    <font>
      <b/>
      <sz val="11"/>
      <color indexed="18"/>
      <name val="Arial"/>
      <family val="2"/>
    </font>
    <font>
      <b/>
      <i/>
      <sz val="11"/>
      <color indexed="18"/>
      <name val="Arial"/>
      <family val="2"/>
    </font>
    <font>
      <sz val="12"/>
      <color indexed="9"/>
      <name val="MS Sans Serif"/>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62"/>
      <name val="Cambria"/>
      <family val="2"/>
    </font>
    <font>
      <b/>
      <sz val="10"/>
      <name val="Tms Rmn"/>
    </font>
    <font>
      <sz val="10"/>
      <name val=".VnTime"/>
      <family val="2"/>
    </font>
    <font>
      <b/>
      <sz val="12"/>
      <name val=".VnArial Narrow"/>
      <family val="2"/>
    </font>
    <font>
      <sz val="13"/>
      <name val=".VnArialH"/>
      <family val="2"/>
    </font>
    <font>
      <i/>
      <sz val="11"/>
      <name val=".VnTime"/>
      <family val="2"/>
    </font>
    <font>
      <i/>
      <sz val="12"/>
      <name val=".VnArial Narrow"/>
      <family val="2"/>
    </font>
    <font>
      <b/>
      <sz val="8"/>
      <name val=".VnTime"/>
      <family val="2"/>
    </font>
    <font>
      <sz val="11"/>
      <name val=".VnArial Narrow"/>
      <family val="2"/>
    </font>
    <font>
      <sz val="10"/>
      <color indexed="17"/>
      <name val="Arial"/>
      <family val="2"/>
    </font>
    <font>
      <i/>
      <sz val="8"/>
      <name val="Tms Rmn"/>
    </font>
    <font>
      <sz val="14"/>
      <name val=".Vn3DH"/>
      <family val="2"/>
    </font>
    <font>
      <b/>
      <sz val="18"/>
      <color indexed="56"/>
      <name val="Cambria"/>
      <family val="2"/>
    </font>
    <font>
      <sz val="8"/>
      <name val="Helv"/>
    </font>
    <font>
      <b/>
      <sz val="11"/>
      <color indexed="8"/>
      <name val="Calibri"/>
      <family val="2"/>
    </font>
    <font>
      <sz val="8"/>
      <color indexed="10"/>
      <name val="Arial Narrow"/>
      <family val="2"/>
    </font>
    <font>
      <sz val="12"/>
      <color indexed="10"/>
      <name val=".VnTime"/>
      <family val="2"/>
    </font>
    <font>
      <b/>
      <sz val="10"/>
      <name val="Times New Roman"/>
      <family val="1"/>
    </font>
    <font>
      <b/>
      <i/>
      <sz val="10"/>
      <name val="Times New Roman"/>
      <family val="1"/>
    </font>
    <font>
      <sz val="12"/>
      <name val="Comic Sans MS"/>
      <family val="4"/>
    </font>
    <font>
      <sz val="10"/>
      <name val="Comic Sans MS"/>
      <family val="4"/>
    </font>
    <font>
      <vertAlign val="superscript"/>
      <sz val="9"/>
      <color indexed="8"/>
      <name val="Times New Roman"/>
      <family val="1"/>
    </font>
    <font>
      <sz val="9"/>
      <color indexed="8"/>
      <name val="Times New Roman"/>
      <family val="1"/>
    </font>
    <font>
      <sz val="10"/>
      <color indexed="62"/>
      <name val="Arial"/>
      <family val="2"/>
    </font>
    <font>
      <b/>
      <sz val="18"/>
      <name val="Arial CE"/>
      <charset val="238"/>
    </font>
    <font>
      <b/>
      <sz val="12"/>
      <name val="Arial CE"/>
      <charset val="238"/>
    </font>
    <font>
      <u/>
      <sz val="10"/>
      <color indexed="12"/>
      <name val="Arial Cyr"/>
      <charset val="204"/>
    </font>
    <font>
      <sz val="12"/>
      <color indexed="24"/>
      <name val="Modern"/>
      <family val="3"/>
      <charset val="255"/>
    </font>
    <font>
      <b/>
      <sz val="18"/>
      <color indexed="24"/>
      <name val="Modern"/>
      <family val="3"/>
      <charset val="255"/>
    </font>
    <font>
      <b/>
      <sz val="12"/>
      <color indexed="24"/>
      <name val="Modern"/>
      <family val="3"/>
      <charset val="255"/>
    </font>
    <font>
      <sz val="12"/>
      <name val="Times New Roman Cyr"/>
      <charset val="204"/>
    </font>
    <font>
      <u/>
      <sz val="10"/>
      <color indexed="36"/>
      <name val="Arial Cyr"/>
      <charset val="204"/>
    </font>
    <font>
      <sz val="16"/>
      <name val="AngsanaUPC"/>
      <family val="1"/>
      <charset val="222"/>
    </font>
    <font>
      <sz val="10"/>
      <name val=" "/>
      <family val="1"/>
      <charset val="136"/>
    </font>
    <font>
      <sz val="10"/>
      <color indexed="10"/>
      <name val="맑은 고딕"/>
      <family val="3"/>
      <charset val="129"/>
    </font>
    <font>
      <b/>
      <sz val="10"/>
      <color indexed="52"/>
      <name val="맑은 고딕"/>
      <family val="3"/>
      <charset val="129"/>
    </font>
    <font>
      <sz val="10"/>
      <color indexed="20"/>
      <name val="맑은 고딕"/>
      <family val="3"/>
      <charset val="129"/>
    </font>
    <font>
      <sz val="14"/>
      <name val="뼻뮝"/>
      <family val="3"/>
    </font>
    <font>
      <sz val="11"/>
      <name val="돋움"/>
      <family val="3"/>
      <charset val="129"/>
    </font>
    <font>
      <sz val="12"/>
      <name val="바탕체"/>
      <family val="3"/>
    </font>
    <font>
      <sz val="10"/>
      <color indexed="60"/>
      <name val="맑은 고딕"/>
      <family val="3"/>
      <charset val="129"/>
    </font>
    <font>
      <sz val="12"/>
      <name val="뼻뮝"/>
      <family val="3"/>
    </font>
    <font>
      <i/>
      <sz val="10"/>
      <color indexed="23"/>
      <name val="맑은 고딕"/>
      <family val="3"/>
      <charset val="129"/>
    </font>
    <font>
      <b/>
      <sz val="10"/>
      <color indexed="9"/>
      <name val="맑은 고딕"/>
      <family val="3"/>
      <charset val="129"/>
    </font>
    <font>
      <sz val="10"/>
      <color indexed="52"/>
      <name val="맑은 고딕"/>
      <family val="3"/>
      <charset val="129"/>
    </font>
    <font>
      <b/>
      <sz val="10"/>
      <color indexed="8"/>
      <name val="맑은 고딕"/>
      <family val="3"/>
      <charset val="129"/>
    </font>
    <font>
      <sz val="10"/>
      <color indexed="62"/>
      <name val="맑은 고딕"/>
      <family val="3"/>
      <charset val="129"/>
    </font>
    <font>
      <b/>
      <sz val="18"/>
      <color indexed="62"/>
      <name val="맑은 고딕"/>
      <family val="3"/>
      <charset val="129"/>
    </font>
    <font>
      <b/>
      <sz val="15"/>
      <color indexed="62"/>
      <name val="맑은 고딕"/>
      <family val="3"/>
      <charset val="129"/>
    </font>
    <font>
      <b/>
      <sz val="13"/>
      <color indexed="62"/>
      <name val="맑은 고딕"/>
      <family val="3"/>
      <charset val="129"/>
    </font>
    <font>
      <b/>
      <sz val="11"/>
      <color indexed="62"/>
      <name val="맑은 고딕"/>
      <family val="3"/>
      <charset val="129"/>
    </font>
    <font>
      <sz val="10"/>
      <color indexed="17"/>
      <name val="맑은 고딕"/>
      <family val="3"/>
      <charset val="129"/>
    </font>
    <font>
      <b/>
      <sz val="10"/>
      <color indexed="63"/>
      <name val="맑은 고딕"/>
      <family val="3"/>
      <charset val="129"/>
    </font>
    <font>
      <sz val="11"/>
      <name val="돋움"/>
      <family val="3"/>
    </font>
    <font>
      <sz val="10"/>
      <name val="굴림체"/>
      <family val="3"/>
    </font>
    <font>
      <u/>
      <sz val="11"/>
      <color indexed="12"/>
      <name val="Comic Sans MS"/>
      <family val="4"/>
    </font>
    <font>
      <u/>
      <sz val="9"/>
      <color indexed="12"/>
      <name val="Times New Roman"/>
      <family val="1"/>
    </font>
    <font>
      <sz val="12"/>
      <name val="宋体"/>
      <charset val="134"/>
    </font>
    <font>
      <sz val="12"/>
      <name val="Courier"/>
      <family val="3"/>
    </font>
    <font>
      <b/>
      <sz val="12"/>
      <name val="Times"/>
      <family val="1"/>
    </font>
    <font>
      <sz val="10"/>
      <name val="Helv"/>
      <family val="2"/>
    </font>
    <font>
      <sz val="12"/>
      <name val="新細明體"/>
      <family val="1"/>
      <charset val="136"/>
    </font>
    <font>
      <sz val="32"/>
      <color theme="1"/>
      <name val="Calibri"/>
      <family val="2"/>
      <scheme val="minor"/>
    </font>
    <font>
      <sz val="24"/>
      <color theme="1"/>
      <name val="Calibri"/>
      <family val="2"/>
      <scheme val="minor"/>
    </font>
    <font>
      <b/>
      <i/>
      <sz val="11"/>
      <color theme="0"/>
      <name val="Calibri"/>
      <family val="2"/>
      <scheme val="minor"/>
    </font>
    <font>
      <sz val="11"/>
      <name val="Calibri"/>
      <family val="2"/>
      <scheme val="minor"/>
    </font>
    <font>
      <b/>
      <sz val="14"/>
      <color theme="1"/>
      <name val="Calibri"/>
      <family val="2"/>
      <scheme val="minor"/>
    </font>
    <font>
      <b/>
      <sz val="11"/>
      <color theme="6" tint="0.79998168889431442"/>
      <name val="Calibri"/>
      <family val="2"/>
      <scheme val="minor"/>
    </font>
    <font>
      <i/>
      <sz val="11"/>
      <color theme="0"/>
      <name val="Calibri"/>
      <family val="2"/>
      <scheme val="minor"/>
    </font>
    <font>
      <sz val="8"/>
      <name val="Calibri"/>
      <family val="2"/>
      <scheme val="minor"/>
    </font>
    <font>
      <b/>
      <sz val="12"/>
      <color theme="1"/>
      <name val="Calibri"/>
      <family val="2"/>
      <scheme val="minor"/>
    </font>
    <font>
      <b/>
      <sz val="16"/>
      <color theme="0"/>
      <name val="Calibri"/>
      <family val="2"/>
      <scheme val="minor"/>
    </font>
    <font>
      <b/>
      <sz val="11"/>
      <color rgb="FFFF0000"/>
      <name val="Calibri"/>
      <family val="2"/>
      <scheme val="minor"/>
    </font>
    <font>
      <b/>
      <sz val="11"/>
      <color theme="4"/>
      <name val="Calibri"/>
      <family val="2"/>
      <scheme val="minor"/>
    </font>
    <font>
      <b/>
      <sz val="11"/>
      <color rgb="FF0070C0"/>
      <name val="Calibri"/>
      <family val="2"/>
      <scheme val="minor"/>
    </font>
    <font>
      <b/>
      <sz val="11"/>
      <color rgb="FF002060"/>
      <name val="Calibri"/>
      <family val="2"/>
      <scheme val="minor"/>
    </font>
    <font>
      <b/>
      <sz val="10"/>
      <color theme="0"/>
      <name val="Calibri"/>
      <family val="2"/>
      <scheme val="minor"/>
    </font>
    <font>
      <u/>
      <sz val="11"/>
      <color theme="10"/>
      <name val="Calibri"/>
      <family val="2"/>
      <scheme val="minor"/>
    </font>
    <font>
      <i/>
      <sz val="11"/>
      <color theme="1"/>
      <name val="Calibri"/>
      <family val="2"/>
      <scheme val="minor"/>
    </font>
    <font>
      <b/>
      <u/>
      <sz val="12"/>
      <color theme="10"/>
      <name val="Calibri"/>
      <family val="2"/>
      <scheme val="minor"/>
    </font>
    <font>
      <b/>
      <sz val="20"/>
      <color rgb="FFFF0000"/>
      <name val="Calibri"/>
      <family val="2"/>
      <scheme val="minor"/>
    </font>
    <font>
      <sz val="11"/>
      <color theme="0"/>
      <name val="Calibri"/>
      <family val="2"/>
      <scheme val="minor"/>
    </font>
    <font>
      <sz val="11"/>
      <color rgb="FF00B0F0"/>
      <name val="Calibri"/>
      <family val="2"/>
      <scheme val="minor"/>
    </font>
    <font>
      <sz val="16"/>
      <color theme="0"/>
      <name val="Calibri"/>
      <family val="2"/>
      <scheme val="minor"/>
    </font>
    <font>
      <sz val="14"/>
      <color theme="1"/>
      <name val="Calibri"/>
      <family val="2"/>
      <scheme val="minor"/>
    </font>
    <font>
      <b/>
      <sz val="18"/>
      <color theme="1"/>
      <name val="Calibri"/>
      <family val="2"/>
      <scheme val="minor"/>
    </font>
  </fonts>
  <fills count="6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47"/>
        <bgColor indexed="64"/>
      </patternFill>
    </fill>
    <fill>
      <patternFill patternType="solid">
        <fgColor indexed="24"/>
        <bgColor indexed="64"/>
      </patternFill>
    </fill>
    <fill>
      <patternFill patternType="solid">
        <fgColor indexed="22"/>
        <bgColor indexed="64"/>
      </patternFill>
    </fill>
    <fill>
      <patternFill patternType="solid">
        <fgColor indexed="24"/>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56"/>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solid">
        <fgColor indexed="9"/>
      </patternFill>
    </fill>
    <fill>
      <patternFill patternType="solid">
        <fgColor indexed="55"/>
      </patternFill>
    </fill>
    <fill>
      <patternFill patternType="solid">
        <fgColor indexed="27"/>
        <bgColor indexed="8"/>
      </patternFill>
    </fill>
    <fill>
      <patternFill patternType="solid">
        <fgColor indexed="26"/>
        <bgColor indexed="64"/>
      </patternFill>
    </fill>
    <fill>
      <patternFill patternType="mediumGray">
        <fgColor indexed="22"/>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0070C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23"/>
      </left>
      <right style="thin">
        <color indexed="23"/>
      </right>
      <top style="thin">
        <color indexed="23"/>
      </top>
      <bottom style="thin">
        <color indexed="23"/>
      </bottom>
      <diagonal/>
    </border>
    <border>
      <left/>
      <right/>
      <top style="double">
        <color indexed="8"/>
      </top>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style="thin">
        <color indexed="8"/>
      </left>
      <right/>
      <top/>
      <bottom/>
      <diagonal/>
    </border>
    <border>
      <left/>
      <right/>
      <top/>
      <bottom style="double">
        <color indexed="1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medium">
        <color indexed="64"/>
      </top>
      <bottom style="thin">
        <color indexed="64"/>
      </bottom>
      <diagonal/>
    </border>
    <border>
      <left/>
      <right/>
      <top style="dotted">
        <color indexed="64"/>
      </top>
      <bottom style="thin">
        <color indexed="64"/>
      </bottom>
      <diagonal/>
    </border>
    <border>
      <left/>
      <right/>
      <top style="dashed">
        <color indexed="64"/>
      </top>
      <bottom style="dashed">
        <color indexed="64"/>
      </bottom>
      <diagonal/>
    </border>
    <border>
      <left/>
      <right/>
      <top/>
      <bottom style="thick">
        <color indexed="44"/>
      </bottom>
      <diagonal/>
    </border>
    <border>
      <left/>
      <right style="medium">
        <color indexed="64"/>
      </right>
      <top/>
      <bottom/>
      <diagonal/>
    </border>
    <border>
      <left/>
      <right/>
      <top style="thin">
        <color auto="1"/>
      </top>
      <bottom/>
      <diagonal/>
    </border>
    <border>
      <left/>
      <right/>
      <top style="thin">
        <color indexed="56"/>
      </top>
      <bottom style="double">
        <color indexed="56"/>
      </bottom>
      <diagonal/>
    </border>
    <border>
      <left/>
      <right/>
      <top style="double">
        <color indexed="64"/>
      </top>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style="double">
        <color indexed="64"/>
      </bottom>
      <diagonal/>
    </border>
    <border>
      <left/>
      <right/>
      <top style="thin">
        <color indexed="49"/>
      </top>
      <bottom style="double">
        <color indexed="49"/>
      </bottom>
      <diagonal/>
    </border>
    <border>
      <left/>
      <right/>
      <top/>
      <bottom style="thick">
        <color indexed="49"/>
      </bottom>
      <diagonal/>
    </border>
    <border>
      <left/>
      <right/>
      <top/>
      <bottom style="medium">
        <color indexed="49"/>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medium">
        <color indexed="64"/>
      </left>
      <right/>
      <top/>
      <bottom/>
      <diagonal/>
    </border>
    <border>
      <left/>
      <right style="medium">
        <color indexed="64"/>
      </right>
      <top style="thin">
        <color auto="1"/>
      </top>
      <bottom/>
      <diagonal/>
    </border>
    <border>
      <left/>
      <right style="medium">
        <color indexed="64"/>
      </right>
      <top/>
      <bottom style="thin">
        <color indexed="64"/>
      </bottom>
      <diagonal/>
    </border>
    <border>
      <left/>
      <right style="thin">
        <color indexed="64"/>
      </right>
      <top/>
      <bottom style="medium">
        <color indexed="64"/>
      </bottom>
      <diagonal/>
    </border>
    <border>
      <left/>
      <right style="thin">
        <color indexed="64"/>
      </right>
      <top style="thin">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55074">
    <xf numFmtId="0" fontId="0" fillId="0" borderId="0"/>
    <xf numFmtId="167" fontId="1" fillId="0" borderId="0"/>
    <xf numFmtId="0" fontId="3" fillId="0" borderId="0"/>
    <xf numFmtId="0" fontId="3" fillId="0" borderId="0"/>
    <xf numFmtId="0" fontId="4" fillId="0" borderId="0"/>
    <xf numFmtId="0" fontId="3" fillId="0" borderId="0"/>
    <xf numFmtId="9" fontId="1" fillId="0" borderId="0" applyFont="0" applyFill="0" applyBorder="0" applyAlignment="0" applyProtection="0"/>
    <xf numFmtId="0" fontId="10" fillId="3" borderId="1">
      <alignment horizontal="right" vertical="center"/>
    </xf>
    <xf numFmtId="0" fontId="11" fillId="3" borderId="1">
      <alignment horizontal="right" vertical="center"/>
    </xf>
    <xf numFmtId="0" fontId="4" fillId="3" borderId="13"/>
    <xf numFmtId="0" fontId="12" fillId="4" borderId="1">
      <alignment horizontal="center" vertical="center"/>
    </xf>
    <xf numFmtId="0" fontId="10" fillId="3" borderId="1">
      <alignment horizontal="right" vertical="center"/>
    </xf>
    <xf numFmtId="0" fontId="4" fillId="3" borderId="0"/>
    <xf numFmtId="0" fontId="13" fillId="3" borderId="1">
      <alignment horizontal="left" vertical="center"/>
    </xf>
    <xf numFmtId="0" fontId="13" fillId="3" borderId="14">
      <alignment vertical="center"/>
    </xf>
    <xf numFmtId="0" fontId="14" fillId="3" borderId="15">
      <alignment vertical="center"/>
    </xf>
    <xf numFmtId="0" fontId="13" fillId="3" borderId="1"/>
    <xf numFmtId="0" fontId="11" fillId="3" borderId="1">
      <alignment horizontal="right" vertical="center"/>
    </xf>
    <xf numFmtId="0" fontId="15" fillId="5" borderId="1">
      <alignment horizontal="left" vertical="center"/>
    </xf>
    <xf numFmtId="0" fontId="15" fillId="5" borderId="1">
      <alignment horizontal="left" vertical="center"/>
    </xf>
    <xf numFmtId="0" fontId="16" fillId="3" borderId="1">
      <alignment horizontal="left" vertical="center"/>
    </xf>
    <xf numFmtId="0" fontId="17" fillId="3" borderId="13"/>
    <xf numFmtId="0" fontId="12" fillId="6" borderId="1">
      <alignment horizontal="left" vertical="center"/>
    </xf>
    <xf numFmtId="168" fontId="4" fillId="0" borderId="0" applyFont="0" applyFill="0" applyBorder="0" applyAlignment="0" applyProtection="0"/>
    <xf numFmtId="168" fontId="4" fillId="0" borderId="0" applyFont="0" applyFill="0" applyBorder="0" applyAlignment="0" applyProtection="0"/>
    <xf numFmtId="170" fontId="18" fillId="0" borderId="0" applyFont="0" applyFill="0" applyBorder="0" applyAlignment="0" applyProtection="0"/>
    <xf numFmtId="171" fontId="18" fillId="0" borderId="0"/>
    <xf numFmtId="0" fontId="1" fillId="0" borderId="0"/>
    <xf numFmtId="171" fontId="18" fillId="0" borderId="0"/>
    <xf numFmtId="9" fontId="4" fillId="0" borderId="0" applyFont="0" applyFill="0" applyBorder="0" applyAlignment="0" applyProtection="0"/>
    <xf numFmtId="9" fontId="4" fillId="0" borderId="0" applyFont="0" applyFill="0" applyBorder="0" applyAlignment="0" applyProtection="0"/>
    <xf numFmtId="173" fontId="19" fillId="0" borderId="0" applyFont="0" applyFill="0" applyBorder="0" applyAlignment="0" applyProtection="0"/>
    <xf numFmtId="174" fontId="20" fillId="0" borderId="0" applyFont="0" applyFill="0" applyBorder="0" applyAlignment="0" applyProtection="0"/>
    <xf numFmtId="0" fontId="21"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76" fontId="22" fillId="0" borderId="0" applyFont="0" applyFill="0" applyBorder="0" applyAlignment="0" applyProtection="0"/>
    <xf numFmtId="9" fontId="23" fillId="0" borderId="0" applyFont="0" applyFill="0" applyBorder="0" applyAlignment="0" applyProtection="0"/>
    <xf numFmtId="0" fontId="24" fillId="0" borderId="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0" fontId="4" fillId="0" borderId="0"/>
    <xf numFmtId="0" fontId="4" fillId="0" borderId="0"/>
    <xf numFmtId="0" fontId="4" fillId="0" borderId="0"/>
    <xf numFmtId="0" fontId="4" fillId="0" borderId="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173" fontId="19" fillId="0" borderId="0" applyFont="0" applyFill="0" applyBorder="0" applyAlignment="0" applyProtection="0"/>
    <xf numFmtId="177" fontId="19" fillId="0" borderId="0" applyFont="0" applyFill="0" applyBorder="0" applyAlignment="0" applyProtection="0"/>
    <xf numFmtId="178" fontId="25" fillId="0" borderId="0" applyFont="0" applyFill="0" applyBorder="0" applyAlignment="0" applyProtection="0"/>
    <xf numFmtId="176" fontId="19" fillId="0" borderId="0" applyFont="0" applyFill="0" applyBorder="0" applyAlignment="0" applyProtection="0"/>
    <xf numFmtId="165" fontId="25" fillId="0" borderId="0" applyFont="0" applyFill="0" applyBorder="0" applyAlignment="0" applyProtection="0"/>
    <xf numFmtId="178" fontId="25" fillId="0" borderId="0" applyFont="0" applyFill="0" applyBorder="0" applyAlignment="0" applyProtection="0"/>
    <xf numFmtId="177" fontId="19" fillId="0" borderId="0" applyFont="0" applyFill="0" applyBorder="0" applyAlignment="0" applyProtection="0"/>
    <xf numFmtId="179" fontId="25" fillId="0" borderId="0" applyFont="0" applyFill="0" applyBorder="0" applyAlignment="0" applyProtection="0"/>
    <xf numFmtId="176" fontId="19" fillId="0" borderId="0" applyFont="0" applyFill="0" applyBorder="0" applyAlignment="0" applyProtection="0"/>
    <xf numFmtId="177" fontId="19" fillId="0" borderId="0" applyFont="0" applyFill="0" applyBorder="0" applyAlignment="0" applyProtection="0"/>
    <xf numFmtId="179" fontId="25" fillId="0" borderId="0" applyFont="0" applyFill="0" applyBorder="0" applyAlignment="0" applyProtection="0"/>
    <xf numFmtId="178" fontId="25" fillId="0" borderId="0" applyFont="0" applyFill="0" applyBorder="0" applyAlignment="0" applyProtection="0"/>
    <xf numFmtId="176" fontId="19" fillId="0" borderId="0" applyFont="0" applyFill="0" applyBorder="0" applyAlignment="0" applyProtection="0"/>
    <xf numFmtId="173" fontId="19"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0" fontId="4" fillId="0" borderId="0" applyFont="0" applyFill="0" applyBorder="0" applyAlignment="0" applyProtection="0"/>
    <xf numFmtId="0" fontId="27" fillId="0" borderId="0">
      <alignment vertical="top"/>
    </xf>
    <xf numFmtId="0" fontId="27" fillId="0" borderId="0">
      <alignment vertical="top"/>
    </xf>
    <xf numFmtId="0" fontId="27" fillId="0" borderId="0">
      <alignment vertical="top"/>
    </xf>
    <xf numFmtId="0" fontId="27" fillId="0" borderId="0">
      <alignment vertical="top"/>
    </xf>
    <xf numFmtId="0" fontId="4"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165" fontId="25" fillId="0" borderId="0" applyFont="0" applyFill="0" applyBorder="0" applyAlignment="0" applyProtection="0"/>
    <xf numFmtId="176" fontId="19" fillId="0" borderId="0" applyFont="0" applyFill="0" applyBorder="0" applyAlignment="0" applyProtection="0"/>
    <xf numFmtId="179" fontId="25" fillId="0" borderId="0" applyFont="0" applyFill="0" applyBorder="0" applyAlignment="0" applyProtection="0"/>
    <xf numFmtId="178" fontId="25" fillId="0" borderId="0" applyFont="0" applyFill="0" applyBorder="0" applyAlignment="0" applyProtection="0"/>
    <xf numFmtId="173" fontId="19" fillId="0" borderId="0" applyFont="0" applyFill="0" applyBorder="0" applyAlignment="0" applyProtection="0"/>
    <xf numFmtId="177" fontId="19"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8" fillId="0" borderId="0"/>
    <xf numFmtId="0" fontId="28" fillId="0" borderId="0"/>
    <xf numFmtId="0" fontId="28" fillId="0" borderId="0"/>
    <xf numFmtId="0" fontId="4" fillId="0" borderId="0"/>
    <xf numFmtId="0" fontId="3" fillId="0" borderId="0"/>
    <xf numFmtId="0" fontId="3" fillId="0" borderId="0"/>
    <xf numFmtId="0" fontId="3" fillId="0" borderId="0"/>
    <xf numFmtId="0" fontId="4" fillId="7" borderId="0" applyNumberFormat="0"/>
    <xf numFmtId="0" fontId="4" fillId="7" borderId="0" applyNumberFormat="0"/>
    <xf numFmtId="180" fontId="29"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29" fillId="0" borderId="0" applyFont="0" applyFill="0" applyBorder="0" applyAlignment="0" applyProtection="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7" borderId="0" applyNumberFormat="0"/>
    <xf numFmtId="0" fontId="4" fillId="7" borderId="0" applyNumberFormat="0"/>
    <xf numFmtId="0" fontId="4" fillId="7" borderId="0" applyNumberFormat="0"/>
    <xf numFmtId="0" fontId="4" fillId="0" borderId="0"/>
    <xf numFmtId="0" fontId="4" fillId="0" borderId="0"/>
    <xf numFmtId="0" fontId="4" fillId="0" borderId="0"/>
    <xf numFmtId="0" fontId="4" fillId="0" borderId="0"/>
    <xf numFmtId="0" fontId="4" fillId="0" borderId="0"/>
    <xf numFmtId="0" fontId="4" fillId="7" borderId="0" applyNumberFormat="0"/>
    <xf numFmtId="0" fontId="4" fillId="7" borderId="0" applyNumberFormat="0"/>
    <xf numFmtId="0" fontId="4" fillId="7" borderId="0" applyNumberFormat="0"/>
    <xf numFmtId="0" fontId="4" fillId="0" borderId="0"/>
    <xf numFmtId="0" fontId="4" fillId="0" borderId="0"/>
    <xf numFmtId="0" fontId="4" fillId="0" borderId="0"/>
    <xf numFmtId="0" fontId="4" fillId="0" borderId="0"/>
    <xf numFmtId="0" fontId="4" fillId="0" borderId="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0" borderId="0"/>
    <xf numFmtId="0" fontId="4" fillId="0" borderId="0"/>
    <xf numFmtId="0" fontId="4" fillId="0" borderId="0"/>
    <xf numFmtId="0" fontId="4" fillId="0" borderId="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0" borderId="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0" fillId="0" borderId="0"/>
    <xf numFmtId="0" fontId="30" fillId="7" borderId="0" applyNumberFormat="0"/>
    <xf numFmtId="0" fontId="30"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9" fillId="0" borderId="0"/>
    <xf numFmtId="0" fontId="4" fillId="0" borderId="0"/>
    <xf numFmtId="0" fontId="4" fillId="0" borderId="0"/>
    <xf numFmtId="0" fontId="4" fillId="0" borderId="0"/>
    <xf numFmtId="0" fontId="4" fillId="0" borderId="0"/>
    <xf numFmtId="0" fontId="4" fillId="0" borderId="0"/>
    <xf numFmtId="0" fontId="31" fillId="7" borderId="0" applyNumberFormat="0"/>
    <xf numFmtId="0" fontId="31" fillId="7" borderId="0" applyNumberFormat="0"/>
    <xf numFmtId="0" fontId="31" fillId="7" borderId="0" applyNumberFormat="0"/>
    <xf numFmtId="0" fontId="31" fillId="7" borderId="0" applyNumberFormat="0"/>
    <xf numFmtId="0" fontId="31" fillId="7" borderId="0" applyNumberFormat="0"/>
    <xf numFmtId="0" fontId="31" fillId="7" borderId="0" applyNumberFormat="0"/>
    <xf numFmtId="0" fontId="31" fillId="7" borderId="0" applyNumberFormat="0"/>
    <xf numFmtId="0" fontId="31" fillId="7" borderId="0" applyNumberFormat="0"/>
    <xf numFmtId="0" fontId="31" fillId="7" borderId="0" applyNumberFormat="0"/>
    <xf numFmtId="0" fontId="31" fillId="7" borderId="0" applyNumberFormat="0"/>
    <xf numFmtId="0" fontId="31" fillId="7" borderId="0" applyNumberFormat="0"/>
    <xf numFmtId="0" fontId="31" fillId="7" borderId="0" applyNumberFormat="0"/>
    <xf numFmtId="0" fontId="31" fillId="7" borderId="0" applyNumberFormat="0"/>
    <xf numFmtId="0" fontId="30"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0" borderId="0"/>
    <xf numFmtId="0" fontId="4" fillId="0" borderId="0"/>
    <xf numFmtId="0" fontId="4" fillId="0" borderId="0"/>
    <xf numFmtId="0" fontId="4" fillId="0" borderId="0"/>
    <xf numFmtId="0" fontId="4" fillId="0" borderId="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6"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29" fillId="0" borderId="0"/>
    <xf numFmtId="0" fontId="4" fillId="0" borderId="0"/>
    <xf numFmtId="0" fontId="4" fillId="0" borderId="0"/>
    <xf numFmtId="0" fontId="4" fillId="0" borderId="0"/>
    <xf numFmtId="0" fontId="4" fillId="0" borderId="0"/>
    <xf numFmtId="0" fontId="4" fillId="0" borderId="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0" fontId="4" fillId="7" borderId="0" applyNumberFormat="0"/>
    <xf numFmtId="9" fontId="32" fillId="0" borderId="0" applyBorder="0" applyAlignment="0" applyProtection="0"/>
    <xf numFmtId="181" fontId="29"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29" fillId="0" borderId="0" applyFont="0" applyFill="0" applyBorder="0" applyAlignment="0" applyProtection="0"/>
    <xf numFmtId="0" fontId="33" fillId="8"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8" borderId="0" applyNumberFormat="0" applyBorder="0" applyAlignment="0" applyProtection="0"/>
    <xf numFmtId="0" fontId="35" fillId="9"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10"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0" borderId="0" applyNumberFormat="0" applyBorder="0" applyAlignment="0" applyProtection="0"/>
    <xf numFmtId="0" fontId="35" fillId="11"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2"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2" borderId="0" applyNumberFormat="0" applyBorder="0" applyAlignment="0" applyProtection="0"/>
    <xf numFmtId="0" fontId="35" fillId="13"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4" borderId="0" applyNumberFormat="0" applyBorder="0" applyAlignment="0" applyProtection="0"/>
    <xf numFmtId="0" fontId="35" fillId="15"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3" fillId="16" borderId="0" applyNumberFormat="0" applyBorder="0" applyAlignment="0" applyProtection="0"/>
    <xf numFmtId="0" fontId="35"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2"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2" borderId="0" applyNumberFormat="0" applyBorder="0" applyAlignment="0" applyProtection="0"/>
    <xf numFmtId="0" fontId="35" fillId="14"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6" fillId="11" borderId="0" applyNumberFormat="0" applyBorder="0" applyAlignment="0" applyProtection="0">
      <alignment vertical="center"/>
    </xf>
    <xf numFmtId="0" fontId="36" fillId="10" borderId="0" applyNumberFormat="0" applyBorder="0" applyAlignment="0" applyProtection="0">
      <alignment vertical="center"/>
    </xf>
    <xf numFmtId="0" fontId="36" fillId="12" borderId="0" applyNumberFormat="0" applyBorder="0" applyAlignment="0" applyProtection="0">
      <alignment vertical="center"/>
    </xf>
    <xf numFmtId="0" fontId="36" fillId="11" borderId="0" applyNumberFormat="0" applyBorder="0" applyAlignment="0" applyProtection="0">
      <alignment vertical="center"/>
    </xf>
    <xf numFmtId="0" fontId="36" fillId="16" borderId="0" applyNumberFormat="0" applyBorder="0" applyAlignment="0" applyProtection="0">
      <alignment vertical="center"/>
    </xf>
    <xf numFmtId="0" fontId="36" fillId="12" borderId="0" applyNumberFormat="0" applyBorder="0" applyAlignment="0" applyProtection="0">
      <alignment vertical="center"/>
    </xf>
    <xf numFmtId="182" fontId="29"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29" fillId="0" borderId="0" applyFont="0" applyFill="0" applyBorder="0" applyAlignment="0" applyProtection="0"/>
    <xf numFmtId="183" fontId="29"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29" fillId="0" borderId="0" applyFont="0" applyFill="0" applyBorder="0" applyAlignment="0" applyProtection="0"/>
    <xf numFmtId="0" fontId="33" fillId="16"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16" borderId="0" applyNumberFormat="0" applyBorder="0" applyAlignment="0" applyProtection="0"/>
    <xf numFmtId="0" fontId="35" fillId="8"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3" fillId="10" borderId="0" applyNumberFormat="0" applyBorder="0" applyAlignment="0" applyProtection="0"/>
    <xf numFmtId="0" fontId="35"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7"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7" borderId="0" applyNumberFormat="0" applyBorder="0" applyAlignment="0" applyProtection="0"/>
    <xf numFmtId="0" fontId="35" fillId="18" borderId="0" applyNumberFormat="0" applyBorder="0" applyAlignment="0" applyProtection="0"/>
    <xf numFmtId="0" fontId="33" fillId="17" borderId="0" applyNumberFormat="0" applyBorder="0" applyAlignment="0" applyProtection="0"/>
    <xf numFmtId="0" fontId="33" fillId="17" borderId="0" applyNumberFormat="0" applyBorder="0" applyAlignment="0" applyProtection="0"/>
    <xf numFmtId="0" fontId="33" fillId="17" borderId="0" applyNumberFormat="0" applyBorder="0" applyAlignment="0" applyProtection="0"/>
    <xf numFmtId="0" fontId="33" fillId="17" borderId="0" applyNumberFormat="0" applyBorder="0" applyAlignment="0" applyProtection="0"/>
    <xf numFmtId="0" fontId="33" fillId="17" borderId="0" applyNumberFormat="0" applyBorder="0" applyAlignment="0" applyProtection="0"/>
    <xf numFmtId="0" fontId="33" fillId="17" borderId="0" applyNumberFormat="0" applyBorder="0" applyAlignment="0" applyProtection="0"/>
    <xf numFmtId="0" fontId="33" fillId="17" borderId="0" applyNumberFormat="0" applyBorder="0" applyAlignment="0" applyProtection="0"/>
    <xf numFmtId="0" fontId="33" fillId="11"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1" borderId="0" applyNumberFormat="0" applyBorder="0" applyAlignment="0" applyProtection="0"/>
    <xf numFmtId="0" fontId="35" fillId="15"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6"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16" borderId="0" applyNumberFormat="0" applyBorder="0" applyAlignment="0" applyProtection="0"/>
    <xf numFmtId="0" fontId="35" fillId="8"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6" borderId="0" applyNumberFormat="0" applyBorder="0" applyAlignment="0" applyProtection="0"/>
    <xf numFmtId="0" fontId="33" fillId="12"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2" borderId="0" applyNumberFormat="0" applyBorder="0" applyAlignment="0" applyProtection="0"/>
    <xf numFmtId="0" fontId="35" fillId="19"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6" fillId="20" borderId="0" applyNumberFormat="0" applyBorder="0" applyAlignment="0" applyProtection="0">
      <alignment vertical="center"/>
    </xf>
    <xf numFmtId="0" fontId="36" fillId="10" borderId="0" applyNumberFormat="0" applyBorder="0" applyAlignment="0" applyProtection="0">
      <alignment vertical="center"/>
    </xf>
    <xf numFmtId="0" fontId="36" fillId="17" borderId="0" applyNumberFormat="0" applyBorder="0" applyAlignment="0" applyProtection="0">
      <alignment vertical="center"/>
    </xf>
    <xf numFmtId="0" fontId="36" fillId="20" borderId="0" applyNumberFormat="0" applyBorder="0" applyAlignment="0" applyProtection="0">
      <alignment vertical="center"/>
    </xf>
    <xf numFmtId="0" fontId="36" fillId="8" borderId="0" applyNumberFormat="0" applyBorder="0" applyAlignment="0" applyProtection="0">
      <alignment vertical="center"/>
    </xf>
    <xf numFmtId="0" fontId="36" fillId="17" borderId="0" applyNumberFormat="0" applyBorder="0" applyAlignment="0" applyProtection="0">
      <alignment vertical="center"/>
    </xf>
    <xf numFmtId="184" fontId="29" fillId="0" borderId="0" applyFont="0" applyFill="0" applyBorder="0" applyAlignment="0" applyProtection="0"/>
    <xf numFmtId="0" fontId="37" fillId="16" borderId="0" applyNumberFormat="0" applyBorder="0" applyAlignment="0" applyProtection="0"/>
    <xf numFmtId="0" fontId="38" fillId="21" borderId="0" applyNumberFormat="0" applyBorder="0" applyAlignment="0" applyProtection="0"/>
    <xf numFmtId="0" fontId="38" fillId="21" borderId="0" applyNumberFormat="0" applyBorder="0" applyAlignment="0" applyProtection="0"/>
    <xf numFmtId="0" fontId="38" fillId="21" borderId="0" applyNumberFormat="0" applyBorder="0" applyAlignment="0" applyProtection="0"/>
    <xf numFmtId="0" fontId="38" fillId="21" borderId="0" applyNumberFormat="0" applyBorder="0" applyAlignment="0" applyProtection="0"/>
    <xf numFmtId="0" fontId="38" fillId="21" borderId="0" applyNumberFormat="0" applyBorder="0" applyAlignment="0" applyProtection="0"/>
    <xf numFmtId="0" fontId="38" fillId="21" borderId="0" applyNumberFormat="0" applyBorder="0" applyAlignment="0" applyProtection="0"/>
    <xf numFmtId="0" fontId="38"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16" borderId="0" applyNumberFormat="0" applyBorder="0" applyAlignment="0" applyProtection="0"/>
    <xf numFmtId="0" fontId="39" fillId="21"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22"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22" borderId="0" applyNumberFormat="0" applyBorder="0" applyAlignment="0" applyProtection="0"/>
    <xf numFmtId="0" fontId="39" fillId="10"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19"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9" fillId="18"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1"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11" borderId="0" applyNumberFormat="0" applyBorder="0" applyAlignment="0" applyProtection="0"/>
    <xf numFmtId="0" fontId="39" fillId="23"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6"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16" borderId="0" applyNumberFormat="0" applyBorder="0" applyAlignment="0" applyProtection="0"/>
    <xf numFmtId="0" fontId="39" fillId="24"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0"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7" fillId="25" borderId="0" applyNumberFormat="0" applyBorder="0" applyAlignment="0" applyProtection="0"/>
    <xf numFmtId="0" fontId="37" fillId="25" borderId="0" applyNumberFormat="0" applyBorder="0" applyAlignment="0" applyProtection="0"/>
    <xf numFmtId="0" fontId="37" fillId="10" borderId="0" applyNumberFormat="0" applyBorder="0" applyAlignment="0" applyProtection="0"/>
    <xf numFmtId="0" fontId="39" fillId="25"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40" fillId="24" borderId="0" applyNumberFormat="0" applyBorder="0" applyAlignment="0" applyProtection="0">
      <alignment vertical="center"/>
    </xf>
    <xf numFmtId="0" fontId="40" fillId="10" borderId="0" applyNumberFormat="0" applyBorder="0" applyAlignment="0" applyProtection="0">
      <alignment vertical="center"/>
    </xf>
    <xf numFmtId="0" fontId="40" fillId="17" borderId="0" applyNumberFormat="0" applyBorder="0" applyAlignment="0" applyProtection="0">
      <alignment vertical="center"/>
    </xf>
    <xf numFmtId="0" fontId="40" fillId="20" borderId="0" applyNumberFormat="0" applyBorder="0" applyAlignment="0" applyProtection="0">
      <alignment vertical="center"/>
    </xf>
    <xf numFmtId="0" fontId="40" fillId="24" borderId="0" applyNumberFormat="0" applyBorder="0" applyAlignment="0" applyProtection="0">
      <alignment vertical="center"/>
    </xf>
    <xf numFmtId="0" fontId="40" fillId="10" borderId="0" applyNumberFormat="0" applyBorder="0" applyAlignment="0" applyProtection="0">
      <alignment vertical="center"/>
    </xf>
    <xf numFmtId="0" fontId="17" fillId="26" borderId="0" applyNumberFormat="0" applyBorder="0" applyAlignment="0" applyProtection="0"/>
    <xf numFmtId="0" fontId="17" fillId="26" borderId="0" applyNumberFormat="0" applyBorder="0" applyAlignment="0" applyProtection="0"/>
    <xf numFmtId="0" fontId="41" fillId="27" borderId="0" applyNumberFormat="0" applyBorder="0" applyAlignment="0" applyProtection="0"/>
    <xf numFmtId="0" fontId="37" fillId="28"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9" fillId="29"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41" fillId="32" borderId="0" applyNumberFormat="0" applyBorder="0" applyAlignment="0" applyProtection="0"/>
    <xf numFmtId="0" fontId="37" fillId="22"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9" fillId="33"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17" fillId="30" borderId="0" applyNumberFormat="0" applyBorder="0" applyAlignment="0" applyProtection="0"/>
    <xf numFmtId="0" fontId="17" fillId="34" borderId="0" applyNumberFormat="0" applyBorder="0" applyAlignment="0" applyProtection="0"/>
    <xf numFmtId="0" fontId="41" fillId="31" borderId="0" applyNumberFormat="0" applyBorder="0" applyAlignment="0" applyProtection="0"/>
    <xf numFmtId="0" fontId="37" fillId="19"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35" borderId="0" applyNumberFormat="0" applyBorder="0" applyAlignment="0" applyProtection="0"/>
    <xf numFmtId="0" fontId="37" fillId="35"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9" fillId="35"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17" fillId="26" borderId="0" applyNumberFormat="0" applyBorder="0" applyAlignment="0" applyProtection="0"/>
    <xf numFmtId="0" fontId="17" fillId="31" borderId="0" applyNumberFormat="0" applyBorder="0" applyAlignment="0" applyProtection="0"/>
    <xf numFmtId="0" fontId="41" fillId="31" borderId="0" applyNumberFormat="0" applyBorder="0" applyAlignment="0" applyProtection="0"/>
    <xf numFmtId="0" fontId="37" fillId="36"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9" fillId="23"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17" fillId="37" borderId="0" applyNumberFormat="0" applyBorder="0" applyAlignment="0" applyProtection="0"/>
    <xf numFmtId="0" fontId="17" fillId="26" borderId="0" applyNumberFormat="0" applyBorder="0" applyAlignment="0" applyProtection="0"/>
    <xf numFmtId="0" fontId="41" fillId="27" borderId="0" applyNumberFormat="0" applyBorder="0" applyAlignment="0" applyProtection="0"/>
    <xf numFmtId="0" fontId="37"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9"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17" fillId="30" borderId="0" applyNumberFormat="0" applyBorder="0" applyAlignment="0" applyProtection="0"/>
    <xf numFmtId="0" fontId="17" fillId="38" borderId="0" applyNumberFormat="0" applyBorder="0" applyAlignment="0" applyProtection="0"/>
    <xf numFmtId="0" fontId="41" fillId="38" borderId="0" applyNumberFormat="0" applyBorder="0" applyAlignment="0" applyProtection="0"/>
    <xf numFmtId="0" fontId="37" fillId="33"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9" fillId="22"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185" fontId="4" fillId="0" borderId="0" applyFont="0" applyFill="0" applyBorder="0" applyAlignment="0" applyProtection="0"/>
    <xf numFmtId="186" fontId="4" fillId="0" borderId="0" applyFont="0" applyFill="0" applyBorder="0" applyAlignment="0" applyProtection="0"/>
    <xf numFmtId="0" fontId="42" fillId="0" borderId="0" applyFont="0" applyFill="0" applyBorder="0" applyAlignment="0" applyProtection="0"/>
    <xf numFmtId="186" fontId="4" fillId="0" borderId="0" applyFont="0" applyFill="0" applyBorder="0" applyAlignment="0" applyProtection="0"/>
    <xf numFmtId="0" fontId="9" fillId="0" borderId="0">
      <alignment horizontal="left" wrapText="1"/>
    </xf>
    <xf numFmtId="0" fontId="43" fillId="0" borderId="4">
      <protection hidden="1"/>
    </xf>
    <xf numFmtId="0" fontId="43" fillId="0" borderId="4">
      <protection hidden="1"/>
    </xf>
    <xf numFmtId="0" fontId="44" fillId="20" borderId="4" applyNumberFormat="0" applyFont="0" applyBorder="0" applyAlignment="0" applyProtection="0">
      <protection hidden="1"/>
    </xf>
    <xf numFmtId="0" fontId="44" fillId="20" borderId="4" applyNumberFormat="0" applyFont="0" applyBorder="0" applyAlignment="0" applyProtection="0">
      <protection hidden="1"/>
    </xf>
    <xf numFmtId="0" fontId="43" fillId="0" borderId="4">
      <protection hidden="1"/>
    </xf>
    <xf numFmtId="187" fontId="45" fillId="0" borderId="0" applyFont="0" applyFill="0" applyBorder="0" applyAlignment="0" applyProtection="0"/>
    <xf numFmtId="0" fontId="42"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0" fontId="42" fillId="0" borderId="0" applyFont="0" applyFill="0" applyBorder="0" applyAlignment="0" applyProtection="0"/>
    <xf numFmtId="188" fontId="45" fillId="0" borderId="0" applyFont="0" applyFill="0" applyBorder="0" applyAlignment="0" applyProtection="0"/>
    <xf numFmtId="173" fontId="19" fillId="0" borderId="0" applyFont="0" applyFill="0" applyBorder="0" applyAlignment="0" applyProtection="0"/>
    <xf numFmtId="0" fontId="4" fillId="0" borderId="0"/>
    <xf numFmtId="0" fontId="4" fillId="0" borderId="0"/>
    <xf numFmtId="0" fontId="4" fillId="0" borderId="0"/>
    <xf numFmtId="0" fontId="4" fillId="0" borderId="0"/>
    <xf numFmtId="0" fontId="46" fillId="15"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46" fillId="15" borderId="0" applyNumberFormat="0" applyBorder="0" applyAlignment="0" applyProtection="0"/>
    <xf numFmtId="0" fontId="48" fillId="11" borderId="0" applyNumberFormat="0" applyBorder="0" applyAlignment="0" applyProtection="0"/>
    <xf numFmtId="0" fontId="46" fillId="15" borderId="0" applyNumberFormat="0" applyBorder="0" applyAlignment="0" applyProtection="0"/>
    <xf numFmtId="0" fontId="46" fillId="15" borderId="0" applyNumberFormat="0" applyBorder="0" applyAlignment="0" applyProtection="0"/>
    <xf numFmtId="0" fontId="46" fillId="15" borderId="0" applyNumberFormat="0" applyBorder="0" applyAlignment="0" applyProtection="0"/>
    <xf numFmtId="0" fontId="46" fillId="15" borderId="0" applyNumberFormat="0" applyBorder="0" applyAlignment="0" applyProtection="0"/>
    <xf numFmtId="0" fontId="46" fillId="15" borderId="0" applyNumberFormat="0" applyBorder="0" applyAlignment="0" applyProtection="0"/>
    <xf numFmtId="0" fontId="46" fillId="15" borderId="0" applyNumberFormat="0" applyBorder="0" applyAlignment="0" applyProtection="0"/>
    <xf numFmtId="0" fontId="46" fillId="15" borderId="0" applyNumberFormat="0" applyBorder="0" applyAlignment="0" applyProtection="0"/>
    <xf numFmtId="0" fontId="42" fillId="0" borderId="0"/>
    <xf numFmtId="0" fontId="3" fillId="0" borderId="0"/>
    <xf numFmtId="2" fontId="49" fillId="0" borderId="0">
      <protection locked="0"/>
    </xf>
    <xf numFmtId="2" fontId="50" fillId="0" borderId="0">
      <protection locked="0"/>
    </xf>
    <xf numFmtId="0" fontId="49" fillId="0" borderId="0">
      <protection locked="0"/>
    </xf>
    <xf numFmtId="0" fontId="49" fillId="0" borderId="0">
      <protection locked="0"/>
    </xf>
    <xf numFmtId="188" fontId="4" fillId="0" borderId="0" applyFill="0" applyBorder="0" applyAlignment="0"/>
    <xf numFmtId="0" fontId="51" fillId="0" borderId="0" applyFill="0" applyBorder="0" applyAlignment="0"/>
    <xf numFmtId="0" fontId="4" fillId="0" borderId="0" applyFill="0" applyBorder="0" applyAlignment="0"/>
    <xf numFmtId="189" fontId="28" fillId="0" borderId="0" applyFill="0" applyBorder="0" applyAlignment="0"/>
    <xf numFmtId="190" fontId="4" fillId="0" borderId="0" applyFill="0" applyBorder="0" applyAlignment="0"/>
    <xf numFmtId="188" fontId="4" fillId="0" borderId="0" applyFill="0" applyBorder="0" applyAlignment="0"/>
    <xf numFmtId="173" fontId="4" fillId="0" borderId="0" applyFill="0" applyBorder="0" applyAlignment="0"/>
    <xf numFmtId="0" fontId="51" fillId="0" borderId="0" applyFill="0" applyBorder="0" applyAlignment="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4"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4"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5"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2" fillId="39"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3" fillId="20" borderId="16" applyNumberFormat="0" applyAlignment="0" applyProtection="0"/>
    <xf numFmtId="0" fontId="56" fillId="0" borderId="0"/>
    <xf numFmtId="191" fontId="57" fillId="0" borderId="17" applyNumberFormat="0" applyFont="0" applyFill="0" applyAlignment="0" applyProtection="0"/>
    <xf numFmtId="191" fontId="57" fillId="0" borderId="17" applyNumberFormat="0" applyFont="0" applyFill="0" applyAlignment="0" applyProtection="0"/>
    <xf numFmtId="0" fontId="57" fillId="0" borderId="17" applyNumberFormat="0" applyFont="0" applyFill="0" applyAlignment="0" applyProtection="0"/>
    <xf numFmtId="0" fontId="57" fillId="0" borderId="17" applyNumberFormat="0" applyFont="0" applyFill="0" applyAlignment="0" applyProtection="0"/>
    <xf numFmtId="192" fontId="25" fillId="0" borderId="0" applyFont="0" applyFill="0" applyBorder="0" applyAlignment="0" applyProtection="0"/>
    <xf numFmtId="0" fontId="58" fillId="40" borderId="18" applyNumberFormat="0" applyAlignment="0" applyProtection="0"/>
    <xf numFmtId="0" fontId="59" fillId="40" borderId="18" applyNumberFormat="0" applyAlignment="0" applyProtection="0"/>
    <xf numFmtId="0" fontId="59" fillId="40" borderId="18" applyNumberFormat="0" applyAlignment="0" applyProtection="0"/>
    <xf numFmtId="0" fontId="59" fillId="40" borderId="18" applyNumberFormat="0" applyAlignment="0" applyProtection="0"/>
    <xf numFmtId="0" fontId="59" fillId="40" borderId="18" applyNumberFormat="0" applyAlignment="0" applyProtection="0"/>
    <xf numFmtId="0" fontId="59" fillId="40" borderId="18" applyNumberFormat="0" applyAlignment="0" applyProtection="0"/>
    <xf numFmtId="0" fontId="59" fillId="40" borderId="18" applyNumberFormat="0" applyAlignment="0" applyProtection="0"/>
    <xf numFmtId="0" fontId="59" fillId="40" borderId="18" applyNumberFormat="0" applyAlignment="0" applyProtection="0"/>
    <xf numFmtId="0" fontId="58" fillId="40" borderId="18" applyNumberFormat="0" applyAlignment="0" applyProtection="0"/>
    <xf numFmtId="0" fontId="60" fillId="40" borderId="18" applyNumberFormat="0" applyAlignment="0" applyProtection="0"/>
    <xf numFmtId="0" fontId="58" fillId="40" borderId="18" applyNumberFormat="0" applyAlignment="0" applyProtection="0"/>
    <xf numFmtId="0" fontId="58" fillId="40" borderId="18" applyNumberFormat="0" applyAlignment="0" applyProtection="0"/>
    <xf numFmtId="0" fontId="58" fillId="40" borderId="18" applyNumberFormat="0" applyAlignment="0" applyProtection="0"/>
    <xf numFmtId="0" fontId="58" fillId="40" borderId="18" applyNumberFormat="0" applyAlignment="0" applyProtection="0"/>
    <xf numFmtId="0" fontId="58" fillId="40" borderId="18" applyNumberFormat="0" applyAlignment="0" applyProtection="0"/>
    <xf numFmtId="0" fontId="58" fillId="40" borderId="18" applyNumberFormat="0" applyAlignment="0" applyProtection="0"/>
    <xf numFmtId="0" fontId="58" fillId="40" borderId="18" applyNumberFormat="0" applyAlignment="0" applyProtection="0"/>
    <xf numFmtId="193" fontId="9" fillId="0" borderId="0"/>
    <xf numFmtId="194" fontId="9" fillId="0" borderId="0"/>
    <xf numFmtId="195" fontId="4" fillId="0" borderId="0"/>
    <xf numFmtId="195" fontId="4" fillId="0" borderId="0"/>
    <xf numFmtId="195" fontId="4" fillId="0" borderId="0"/>
    <xf numFmtId="195" fontId="4" fillId="0" borderId="0"/>
    <xf numFmtId="195" fontId="4" fillId="0" borderId="0"/>
    <xf numFmtId="195" fontId="4" fillId="0" borderId="0"/>
    <xf numFmtId="195" fontId="4" fillId="0" borderId="0"/>
    <xf numFmtId="195" fontId="4" fillId="0" borderId="0"/>
    <xf numFmtId="0" fontId="10" fillId="3" borderId="1">
      <alignment horizontal="right" vertical="center"/>
    </xf>
    <xf numFmtId="0" fontId="10" fillId="3" borderId="1">
      <alignment horizontal="right" vertical="center"/>
    </xf>
    <xf numFmtId="0" fontId="10" fillId="3" borderId="1">
      <alignment horizontal="right" vertical="center"/>
    </xf>
    <xf numFmtId="0" fontId="10" fillId="3" borderId="1">
      <alignment horizontal="right" vertical="center"/>
    </xf>
    <xf numFmtId="0" fontId="10" fillId="3" borderId="1">
      <alignment horizontal="right" vertical="center"/>
    </xf>
    <xf numFmtId="0" fontId="10" fillId="3" borderId="1">
      <alignment horizontal="right" vertical="center"/>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0" fontId="11" fillId="3" borderId="1">
      <alignment horizontal="right" vertical="center"/>
    </xf>
    <xf numFmtId="0" fontId="11" fillId="3" borderId="1">
      <alignment horizontal="right" vertical="center"/>
    </xf>
    <xf numFmtId="0" fontId="11" fillId="3" borderId="1">
      <alignment horizontal="right" vertical="center"/>
    </xf>
    <xf numFmtId="0" fontId="11" fillId="3" borderId="1">
      <alignment horizontal="right" vertical="center"/>
    </xf>
    <xf numFmtId="0" fontId="11" fillId="3" borderId="1">
      <alignment horizontal="right" vertical="center"/>
    </xf>
    <xf numFmtId="0" fontId="11" fillId="3" borderId="1">
      <alignment horizontal="right" vertical="center"/>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0" fontId="4" fillId="3" borderId="13"/>
    <xf numFmtId="0" fontId="4" fillId="3" borderId="13"/>
    <xf numFmtId="0" fontId="4" fillId="3" borderId="13"/>
    <xf numFmtId="0" fontId="4" fillId="3" borderId="13"/>
    <xf numFmtId="0" fontId="4" fillId="3" borderId="13"/>
    <xf numFmtId="0" fontId="12" fillId="4" borderId="1">
      <alignment horizontal="center" vertical="center"/>
    </xf>
    <xf numFmtId="0" fontId="12" fillId="4" borderId="1">
      <alignment horizontal="center" vertical="center"/>
    </xf>
    <xf numFmtId="0" fontId="12" fillId="4" borderId="1">
      <alignment horizontal="center" vertical="center"/>
    </xf>
    <xf numFmtId="0" fontId="12" fillId="4" borderId="1">
      <alignment horizontal="center" vertical="center"/>
    </xf>
    <xf numFmtId="0" fontId="12" fillId="4" borderId="1">
      <alignment horizontal="center" vertical="center"/>
    </xf>
    <xf numFmtId="0" fontId="12" fillId="4" borderId="1">
      <alignment horizontal="center" vertical="center"/>
    </xf>
    <xf numFmtId="0" fontId="10" fillId="3" borderId="1">
      <alignment horizontal="right" vertical="center"/>
    </xf>
    <xf numFmtId="0" fontId="10" fillId="3" borderId="1">
      <alignment horizontal="right" vertical="center"/>
    </xf>
    <xf numFmtId="0" fontId="10" fillId="3" borderId="1">
      <alignment horizontal="right" vertical="center"/>
    </xf>
    <xf numFmtId="0" fontId="10" fillId="3" borderId="1">
      <alignment horizontal="right" vertical="center"/>
    </xf>
    <xf numFmtId="0" fontId="10" fillId="3" borderId="1">
      <alignment horizontal="right" vertical="center"/>
    </xf>
    <xf numFmtId="0" fontId="10" fillId="3" borderId="1">
      <alignment horizontal="right" vertical="center"/>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3"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168"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4"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72"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196" fontId="10" fillId="3" borderId="1">
      <alignment horizontal="right" vertical="center" indent="1"/>
    </xf>
    <xf numFmtId="0" fontId="4" fillId="3" borderId="0"/>
    <xf numFmtId="0" fontId="4" fillId="3" borderId="0"/>
    <xf numFmtId="0" fontId="4" fillId="3" borderId="0"/>
    <xf numFmtId="0" fontId="4" fillId="3" borderId="0"/>
    <xf numFmtId="0" fontId="4" fillId="3" borderId="0"/>
    <xf numFmtId="0" fontId="13" fillId="3" borderId="1">
      <alignment horizontal="left" vertical="center"/>
    </xf>
    <xf numFmtId="0" fontId="13" fillId="3" borderId="1">
      <alignment horizontal="left" vertical="center"/>
    </xf>
    <xf numFmtId="0" fontId="13" fillId="3" borderId="1">
      <alignment horizontal="left" vertical="center"/>
    </xf>
    <xf numFmtId="0" fontId="13" fillId="3" borderId="1">
      <alignment horizontal="left" vertical="center"/>
    </xf>
    <xf numFmtId="0" fontId="13" fillId="3" borderId="1">
      <alignment horizontal="left" vertical="center"/>
    </xf>
    <xf numFmtId="0" fontId="13" fillId="3" borderId="1">
      <alignment horizontal="left" vertical="center"/>
    </xf>
    <xf numFmtId="0" fontId="13" fillId="3" borderId="1"/>
    <xf numFmtId="0" fontId="13" fillId="3" borderId="1"/>
    <xf numFmtId="0" fontId="13" fillId="3" borderId="1"/>
    <xf numFmtId="0" fontId="13" fillId="3" borderId="1"/>
    <xf numFmtId="0" fontId="13" fillId="3" borderId="1"/>
    <xf numFmtId="0" fontId="13" fillId="3" borderId="1"/>
    <xf numFmtId="0" fontId="11" fillId="3" borderId="1">
      <alignment horizontal="right" vertical="center"/>
    </xf>
    <xf numFmtId="0" fontId="11" fillId="3" borderId="1">
      <alignment horizontal="right" vertical="center"/>
    </xf>
    <xf numFmtId="0" fontId="11" fillId="3" borderId="1">
      <alignment horizontal="right" vertical="center"/>
    </xf>
    <xf numFmtId="0" fontId="11" fillId="3" borderId="1">
      <alignment horizontal="right" vertical="center"/>
    </xf>
    <xf numFmtId="0" fontId="11" fillId="3" borderId="1">
      <alignment horizontal="right" vertical="center"/>
    </xf>
    <xf numFmtId="0" fontId="11" fillId="3" borderId="1">
      <alignment horizontal="right" vertical="center"/>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3"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168"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4"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72"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196" fontId="11" fillId="3" borderId="1">
      <alignment horizontal="right" vertical="center" indent="1"/>
    </xf>
    <xf numFmtId="0" fontId="15" fillId="5" borderId="1">
      <alignment horizontal="left" vertical="center"/>
    </xf>
    <xf numFmtId="0" fontId="15" fillId="5" borderId="1">
      <alignment horizontal="left" vertical="center"/>
    </xf>
    <xf numFmtId="0" fontId="15" fillId="5" borderId="1">
      <alignment horizontal="left" vertical="center"/>
    </xf>
    <xf numFmtId="0" fontId="15" fillId="5" borderId="1">
      <alignment horizontal="left" vertical="center"/>
    </xf>
    <xf numFmtId="0" fontId="15" fillId="5" borderId="1">
      <alignment horizontal="left" vertical="center"/>
    </xf>
    <xf numFmtId="0" fontId="15" fillId="5" borderId="1">
      <alignment horizontal="left" vertical="center"/>
    </xf>
    <xf numFmtId="0" fontId="15" fillId="5" borderId="1">
      <alignment horizontal="left" vertical="center"/>
    </xf>
    <xf numFmtId="0" fontId="15" fillId="5" borderId="1">
      <alignment horizontal="left" vertical="center"/>
    </xf>
    <xf numFmtId="0" fontId="15" fillId="5" borderId="1">
      <alignment horizontal="left" vertical="center"/>
    </xf>
    <xf numFmtId="0" fontId="15" fillId="5" borderId="1">
      <alignment horizontal="left" vertical="center"/>
    </xf>
    <xf numFmtId="0" fontId="15" fillId="5" borderId="1">
      <alignment horizontal="left" vertical="center"/>
    </xf>
    <xf numFmtId="0" fontId="15" fillId="5" borderId="1">
      <alignment horizontal="left" vertical="center"/>
    </xf>
    <xf numFmtId="0" fontId="16" fillId="3" borderId="1">
      <alignment horizontal="left" vertical="center"/>
    </xf>
    <xf numFmtId="0" fontId="16" fillId="3" borderId="1">
      <alignment horizontal="left" vertical="center"/>
    </xf>
    <xf numFmtId="0" fontId="16" fillId="3" borderId="1">
      <alignment horizontal="left" vertical="center"/>
    </xf>
    <xf numFmtId="0" fontId="16" fillId="3" borderId="1">
      <alignment horizontal="left" vertical="center"/>
    </xf>
    <xf numFmtId="0" fontId="16" fillId="3" borderId="1">
      <alignment horizontal="left" vertical="center"/>
    </xf>
    <xf numFmtId="0" fontId="16" fillId="3" borderId="1">
      <alignment horizontal="left" vertical="center"/>
    </xf>
    <xf numFmtId="0" fontId="17" fillId="3" borderId="13"/>
    <xf numFmtId="0" fontId="17" fillId="3" borderId="13"/>
    <xf numFmtId="0" fontId="17" fillId="3" borderId="13"/>
    <xf numFmtId="0" fontId="12" fillId="3" borderId="1">
      <alignment horizontal="left" vertical="center"/>
    </xf>
    <xf numFmtId="0" fontId="12" fillId="3" borderId="1">
      <alignment horizontal="left" vertical="center"/>
    </xf>
    <xf numFmtId="0" fontId="12" fillId="3" borderId="1">
      <alignment horizontal="left" vertical="center"/>
    </xf>
    <xf numFmtId="0" fontId="12" fillId="3" borderId="1">
      <alignment horizontal="left" vertical="center"/>
    </xf>
    <xf numFmtId="0" fontId="12" fillId="3" borderId="1">
      <alignment horizontal="left" vertical="center"/>
    </xf>
    <xf numFmtId="0" fontId="12" fillId="3" borderId="1">
      <alignment horizontal="left" vertical="center"/>
    </xf>
    <xf numFmtId="0" fontId="12" fillId="3" borderId="1">
      <alignment horizontal="left" vertical="center"/>
    </xf>
    <xf numFmtId="0" fontId="61" fillId="0" borderId="0"/>
    <xf numFmtId="191" fontId="61" fillId="0" borderId="0"/>
    <xf numFmtId="191" fontId="61" fillId="0" borderId="0"/>
    <xf numFmtId="0" fontId="61" fillId="0" borderId="0"/>
    <xf numFmtId="0" fontId="61" fillId="0" borderId="0"/>
    <xf numFmtId="0" fontId="61" fillId="0" borderId="0"/>
    <xf numFmtId="197" fontId="4" fillId="0" borderId="0"/>
    <xf numFmtId="197" fontId="4" fillId="0" borderId="0"/>
    <xf numFmtId="197" fontId="4" fillId="0" borderId="0"/>
    <xf numFmtId="197" fontId="4" fillId="0" borderId="0"/>
    <xf numFmtId="197" fontId="4" fillId="0" borderId="0"/>
    <xf numFmtId="197" fontId="4" fillId="0" borderId="0"/>
    <xf numFmtId="197" fontId="4" fillId="0" borderId="0"/>
    <xf numFmtId="41" fontId="4" fillId="0" borderId="0" applyFont="0" applyFill="0" applyBorder="0" applyAlignment="0" applyProtection="0"/>
    <xf numFmtId="188" fontId="4" fillId="0" borderId="0" applyFont="0" applyFill="0" applyBorder="0" applyAlignment="0" applyProtection="0"/>
    <xf numFmtId="43" fontId="33"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3"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198" fontId="6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8" fontId="6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8" fontId="62"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43" fontId="4"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43" fontId="4"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98" fontId="6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4" fillId="0" borderId="0" applyFont="0" applyFill="0" applyBorder="0" applyAlignment="0" applyProtection="0"/>
    <xf numFmtId="43" fontId="1" fillId="0" borderId="0" applyFont="0" applyFill="0" applyBorder="0" applyAlignment="0" applyProtection="0"/>
    <xf numFmtId="43" fontId="64" fillId="0" borderId="0" applyFont="0" applyFill="0" applyBorder="0" applyAlignment="0" applyProtection="0"/>
    <xf numFmtId="198" fontId="6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4" fillId="0" borderId="0" applyFont="0" applyFill="0" applyBorder="0" applyAlignment="0" applyProtection="0"/>
    <xf numFmtId="43" fontId="1" fillId="0" borderId="0" applyFont="0" applyFill="0" applyBorder="0" applyAlignment="0" applyProtection="0"/>
    <xf numFmtId="43" fontId="64" fillId="0" borderId="0" applyFont="0" applyFill="0" applyBorder="0" applyAlignment="0" applyProtection="0"/>
    <xf numFmtId="198" fontId="62" fillId="0" borderId="0" applyFont="0" applyFill="0" applyBorder="0" applyAlignment="0" applyProtection="0"/>
    <xf numFmtId="43" fontId="1" fillId="0" borderId="0" applyFont="0" applyFill="0" applyBorder="0" applyAlignment="0" applyProtection="0"/>
    <xf numFmtId="198" fontId="63" fillId="0" borderId="0" applyFont="0" applyFill="0" applyBorder="0" applyAlignment="0" applyProtection="0"/>
    <xf numFmtId="198" fontId="62" fillId="0" borderId="0" applyFont="0" applyFill="0" applyBorder="0" applyAlignment="0" applyProtection="0"/>
    <xf numFmtId="198" fontId="63" fillId="0" borderId="0" applyFont="0" applyFill="0" applyBorder="0" applyAlignment="0" applyProtection="0"/>
    <xf numFmtId="199" fontId="4"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1" fillId="0" borderId="0" applyFont="0" applyFill="0" applyBorder="0" applyAlignment="0" applyProtection="0"/>
    <xf numFmtId="43" fontId="65" fillId="0" borderId="0" applyFont="0" applyFill="0" applyBorder="0" applyAlignment="0" applyProtection="0"/>
    <xf numFmtId="43" fontId="66" fillId="0" borderId="0" applyFont="0" applyFill="0" applyBorder="0" applyAlignment="0" applyProtection="0"/>
    <xf numFmtId="198" fontId="6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67" fillId="0" borderId="0" applyFont="0" applyFill="0" applyBorder="0" applyAlignment="0" applyProtection="0"/>
    <xf numFmtId="43" fontId="4"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43" fontId="4" fillId="0" borderId="0" applyFont="0" applyFill="0" applyBorder="0" applyAlignment="0" applyProtection="0"/>
    <xf numFmtId="43" fontId="64" fillId="0" borderId="0" applyFont="0" applyFill="0" applyBorder="0" applyAlignment="0" applyProtection="0"/>
    <xf numFmtId="43" fontId="1" fillId="0" borderId="0" applyFont="0" applyFill="0" applyBorder="0" applyAlignment="0" applyProtection="0"/>
    <xf numFmtId="43" fontId="64" fillId="0" borderId="0" applyFont="0" applyFill="0" applyBorder="0" applyAlignment="0" applyProtection="0"/>
    <xf numFmtId="198" fontId="62" fillId="0" borderId="0" applyFont="0" applyFill="0" applyBorder="0" applyAlignment="0" applyProtection="0"/>
    <xf numFmtId="43" fontId="1"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8" fillId="0" borderId="0" applyFont="0" applyFill="0" applyBorder="0" applyAlignment="0" applyProtection="0"/>
    <xf numFmtId="43" fontId="1"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3" fillId="0" borderId="0" applyFont="0" applyFill="0" applyBorder="0" applyAlignment="0" applyProtection="0"/>
    <xf numFmtId="43" fontId="4"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198" fontId="62"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198" fontId="63" fillId="0" borderId="0" applyFont="0" applyFill="0" applyBorder="0" applyAlignment="0" applyProtection="0"/>
    <xf numFmtId="198" fontId="62" fillId="0" borderId="0" applyFont="0" applyFill="0" applyBorder="0" applyAlignment="0" applyProtection="0"/>
    <xf numFmtId="198" fontId="63" fillId="0" borderId="0" applyFont="0" applyFill="0" applyBorder="0" applyAlignment="0" applyProtection="0"/>
    <xf numFmtId="43" fontId="1"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43" fontId="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43" fontId="64" fillId="0" borderId="0" applyFont="0" applyFill="0" applyBorder="0" applyAlignment="0" applyProtection="0"/>
    <xf numFmtId="43" fontId="64" fillId="0" borderId="0" applyFont="0" applyFill="0" applyBorder="0" applyAlignment="0" applyProtection="0"/>
    <xf numFmtId="198" fontId="63"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43" fontId="69" fillId="0" borderId="0" applyFont="0" applyFill="0" applyBorder="0" applyAlignment="0" applyProtection="0"/>
    <xf numFmtId="43" fontId="4" fillId="0" borderId="0" applyFont="0" applyFill="0" applyBorder="0" applyAlignment="0" applyProtection="0"/>
    <xf numFmtId="43" fontId="3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43" fontId="3" fillId="0" borderId="0" applyFont="0" applyFill="0" applyBorder="0" applyAlignment="0" applyProtection="0"/>
    <xf numFmtId="43" fontId="63" fillId="0" borderId="0" applyFont="0" applyFill="0" applyBorder="0" applyAlignment="0" applyProtection="0"/>
    <xf numFmtId="200" fontId="66" fillId="0" borderId="0" applyFont="0" applyFill="0" applyBorder="0" applyAlignment="0" applyProtection="0"/>
    <xf numFmtId="198" fontId="63" fillId="0" borderId="0" applyFont="0" applyFill="0" applyBorder="0" applyAlignment="0" applyProtection="0"/>
    <xf numFmtId="201" fontId="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198" fontId="63" fillId="0" borderId="0" applyFont="0" applyFill="0" applyBorder="0" applyAlignment="0" applyProtection="0"/>
    <xf numFmtId="198" fontId="62" fillId="0" borderId="0" applyFont="0" applyFill="0" applyBorder="0" applyAlignment="0" applyProtection="0"/>
    <xf numFmtId="198" fontId="6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198" fontId="63" fillId="0" borderId="0" applyFont="0" applyFill="0" applyBorder="0" applyAlignment="0" applyProtection="0"/>
    <xf numFmtId="198" fontId="62"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2" fillId="0" borderId="0" applyFont="0" applyFill="0" applyBorder="0" applyAlignment="0" applyProtection="0"/>
    <xf numFmtId="43" fontId="3" fillId="0" borderId="0" applyFont="0" applyFill="0" applyBorder="0" applyAlignment="0" applyProtection="0"/>
    <xf numFmtId="198" fontId="6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98" fontId="62"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3"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8" fontId="6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198" fontId="62" fillId="0" borderId="0" applyFont="0" applyFill="0" applyBorder="0" applyAlignment="0" applyProtection="0"/>
    <xf numFmtId="202" fontId="3" fillId="0" borderId="0"/>
    <xf numFmtId="172" fontId="72" fillId="0" borderId="0">
      <alignment horizontal="right" vertical="top"/>
    </xf>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0" fontId="73" fillId="0" borderId="0">
      <alignment horizontal="center"/>
    </xf>
    <xf numFmtId="0" fontId="3" fillId="0" borderId="0"/>
    <xf numFmtId="0" fontId="3" fillId="0" borderId="0"/>
    <xf numFmtId="0" fontId="3" fillId="0" borderId="0"/>
    <xf numFmtId="0" fontId="61" fillId="0" borderId="0"/>
    <xf numFmtId="191" fontId="61" fillId="0" borderId="0"/>
    <xf numFmtId="191" fontId="61" fillId="0" borderId="0"/>
    <xf numFmtId="0" fontId="61" fillId="0" borderId="0"/>
    <xf numFmtId="0" fontId="61" fillId="0" borderId="0"/>
    <xf numFmtId="0" fontId="61" fillId="0" borderId="0"/>
    <xf numFmtId="0" fontId="61" fillId="0" borderId="0"/>
    <xf numFmtId="191" fontId="61" fillId="0" borderId="0"/>
    <xf numFmtId="191" fontId="61" fillId="0" borderId="0"/>
    <xf numFmtId="0" fontId="61" fillId="0" borderId="0"/>
    <xf numFmtId="0" fontId="61" fillId="0" borderId="0"/>
    <xf numFmtId="0" fontId="61" fillId="0" borderId="0"/>
    <xf numFmtId="0" fontId="5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03" fontId="2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04" fontId="4" fillId="0" borderId="0" applyFont="0" applyFill="0" applyBorder="0" applyAlignment="0" applyProtection="0"/>
    <xf numFmtId="204" fontId="4" fillId="0" borderId="0" applyFont="0" applyFill="0" applyBorder="0" applyAlignment="0" applyProtection="0"/>
    <xf numFmtId="204" fontId="4" fillId="0" borderId="0" applyFont="0" applyFill="0" applyBorder="0" applyAlignment="0" applyProtection="0"/>
    <xf numFmtId="204" fontId="4" fillId="0" borderId="0" applyFont="0" applyFill="0" applyBorder="0" applyAlignment="0" applyProtection="0"/>
    <xf numFmtId="164" fontId="4" fillId="0" borderId="0" applyFont="0" applyFill="0" applyBorder="0" applyAlignment="0" applyProtection="0"/>
    <xf numFmtId="204" fontId="4" fillId="0" borderId="0" applyFont="0" applyFill="0" applyBorder="0" applyAlignment="0" applyProtection="0"/>
    <xf numFmtId="204" fontId="4" fillId="0" borderId="0" applyFont="0" applyFill="0" applyBorder="0" applyAlignment="0" applyProtection="0"/>
    <xf numFmtId="205" fontId="4" fillId="0" borderId="0" applyFont="0" applyFill="0" applyBorder="0" applyAlignment="0" applyProtection="0"/>
    <xf numFmtId="204" fontId="4" fillId="0" borderId="0" applyFont="0" applyFill="0" applyBorder="0" applyAlignment="0" applyProtection="0"/>
    <xf numFmtId="206" fontId="4" fillId="41" borderId="0" applyFont="0" applyFill="0" applyBorder="0" applyAlignment="0" applyProtection="0"/>
    <xf numFmtId="207" fontId="4" fillId="0" borderId="0"/>
    <xf numFmtId="207" fontId="4" fillId="0" borderId="0"/>
    <xf numFmtId="207" fontId="4" fillId="0" borderId="0"/>
    <xf numFmtId="2" fontId="49" fillId="0" borderId="0">
      <protection locked="0"/>
    </xf>
    <xf numFmtId="0"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0" fontId="4" fillId="0" borderId="0" applyFont="0" applyFill="0" applyBorder="0" applyAlignment="0" applyProtection="0"/>
    <xf numFmtId="191" fontId="4" fillId="0" borderId="0" applyFont="0" applyFill="0" applyBorder="0" applyAlignment="0" applyProtection="0"/>
    <xf numFmtId="0"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4" fontId="27" fillId="0" borderId="0" applyFill="0" applyBorder="0" applyAlignment="0"/>
    <xf numFmtId="191" fontId="57" fillId="0" borderId="0" applyFont="0" applyFill="0" applyBorder="0" applyAlignment="0" applyProtection="0"/>
    <xf numFmtId="191"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3" fontId="74" fillId="0" borderId="4">
      <alignment horizontal="left" vertical="top" wrapText="1"/>
    </xf>
    <xf numFmtId="3" fontId="74" fillId="0" borderId="4">
      <alignment horizontal="left" vertical="top" wrapText="1"/>
    </xf>
    <xf numFmtId="3" fontId="74" fillId="0" borderId="4">
      <alignment horizontal="left" vertical="top" wrapText="1"/>
    </xf>
    <xf numFmtId="3" fontId="74" fillId="0" borderId="4">
      <alignment horizontal="left" vertical="top" wrapText="1"/>
    </xf>
    <xf numFmtId="15" fontId="75" fillId="0" borderId="0"/>
    <xf numFmtId="208" fontId="3" fillId="0" borderId="0"/>
    <xf numFmtId="194" fontId="3" fillId="0" borderId="0"/>
    <xf numFmtId="209" fontId="76" fillId="0" borderId="0" applyFont="0" applyFill="0" applyBorder="0" applyAlignment="0" applyProtection="0"/>
    <xf numFmtId="210" fontId="76" fillId="0" borderId="0" applyFont="0" applyFill="0" applyBorder="0" applyAlignment="0" applyProtection="0"/>
    <xf numFmtId="211" fontId="77" fillId="0" borderId="0"/>
    <xf numFmtId="41" fontId="51" fillId="0" borderId="0" applyFont="0" applyFill="0" applyBorder="0" applyProtection="0">
      <alignment horizontal="right" vertical="center"/>
    </xf>
    <xf numFmtId="212" fontId="4" fillId="0" borderId="0"/>
    <xf numFmtId="212" fontId="4" fillId="0" borderId="0"/>
    <xf numFmtId="212" fontId="4" fillId="0" borderId="0"/>
    <xf numFmtId="41" fontId="51" fillId="0" borderId="0" applyFont="0" applyFill="0" applyBorder="0" applyProtection="0">
      <alignment horizontal="right" vertical="center"/>
    </xf>
    <xf numFmtId="211" fontId="3" fillId="0" borderId="0" applyBorder="0"/>
    <xf numFmtId="188" fontId="4" fillId="0" borderId="0" applyFill="0" applyBorder="0" applyAlignment="0"/>
    <xf numFmtId="0" fontId="51" fillId="0" borderId="0" applyFill="0" applyBorder="0" applyAlignment="0"/>
    <xf numFmtId="188" fontId="4" fillId="0" borderId="0" applyFill="0" applyBorder="0" applyAlignment="0"/>
    <xf numFmtId="173" fontId="4" fillId="0" borderId="0" applyFill="0" applyBorder="0" applyAlignment="0"/>
    <xf numFmtId="0" fontId="51" fillId="0" borderId="0" applyFill="0" applyBorder="0" applyAlignment="0"/>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213" fontId="78" fillId="0" borderId="12">
      <alignment horizontal="center"/>
    </xf>
    <xf numFmtId="170" fontId="79" fillId="0" borderId="0" applyFont="0" applyFill="0" applyBorder="0" applyAlignment="0" applyProtection="0"/>
    <xf numFmtId="214" fontId="4" fillId="0" borderId="0" applyFont="0" applyFill="0" applyBorder="0" applyAlignment="0" applyProtection="0"/>
    <xf numFmtId="170" fontId="79" fillId="0" borderId="0" applyFont="0" applyFill="0" applyBorder="0" applyAlignment="0" applyProtection="0"/>
    <xf numFmtId="191" fontId="79" fillId="0" borderId="0" applyFont="0" applyFill="0" applyBorder="0" applyAlignment="0" applyProtection="0"/>
    <xf numFmtId="191" fontId="79" fillId="0" borderId="0" applyFont="0" applyFill="0" applyBorder="0" applyAlignment="0" applyProtection="0"/>
    <xf numFmtId="214" fontId="4" fillId="0" borderId="0" applyFont="0" applyFill="0" applyBorder="0" applyAlignment="0" applyProtection="0"/>
    <xf numFmtId="214" fontId="4" fillId="0" borderId="0" applyFont="0" applyFill="0" applyBorder="0" applyAlignment="0" applyProtection="0"/>
    <xf numFmtId="214" fontId="4" fillId="0" borderId="0" applyFont="0" applyFill="0" applyBorder="0" applyAlignment="0" applyProtection="0"/>
    <xf numFmtId="191" fontId="79" fillId="0" borderId="0" applyFont="0" applyFill="0" applyBorder="0" applyAlignment="0" applyProtection="0"/>
    <xf numFmtId="191" fontId="79" fillId="0" borderId="0" applyFont="0" applyFill="0" applyBorder="0" applyAlignment="0" applyProtection="0"/>
    <xf numFmtId="215" fontId="78" fillId="0" borderId="0" applyFont="0" applyFill="0" applyBorder="0" applyAlignment="0" applyProtection="0"/>
    <xf numFmtId="191" fontId="79" fillId="0" borderId="0" applyFont="0" applyFill="0" applyBorder="0" applyAlignment="0" applyProtection="0"/>
    <xf numFmtId="170" fontId="79" fillId="0" borderId="0" applyFont="0" applyFill="0" applyBorder="0" applyAlignment="0" applyProtection="0"/>
    <xf numFmtId="191" fontId="79" fillId="0" borderId="0" applyFont="0" applyFill="0" applyBorder="0" applyAlignment="0" applyProtection="0"/>
    <xf numFmtId="191" fontId="79" fillId="0" borderId="0" applyFont="0" applyFill="0" applyBorder="0" applyAlignment="0" applyProtection="0"/>
    <xf numFmtId="214" fontId="4" fillId="0" borderId="0" applyFont="0" applyFill="0" applyBorder="0" applyAlignment="0" applyProtection="0"/>
    <xf numFmtId="214" fontId="4" fillId="0" borderId="0" applyFont="0" applyFill="0" applyBorder="0" applyAlignment="0" applyProtection="0"/>
    <xf numFmtId="170" fontId="80" fillId="0" borderId="0" applyFont="0" applyFill="0" applyBorder="0" applyAlignment="0" applyProtection="0"/>
    <xf numFmtId="170" fontId="79" fillId="0" borderId="0" applyFont="0" applyFill="0" applyBorder="0" applyAlignment="0" applyProtection="0"/>
    <xf numFmtId="170" fontId="79" fillId="0" borderId="0" applyFont="0" applyFill="0" applyBorder="0" applyAlignment="0" applyProtection="0"/>
    <xf numFmtId="214" fontId="4" fillId="0" borderId="0" applyFont="0" applyFill="0" applyBorder="0" applyAlignment="0" applyProtection="0"/>
    <xf numFmtId="216" fontId="81" fillId="0" borderId="0"/>
    <xf numFmtId="0" fontId="82"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2" fillId="0" borderId="0" applyNumberFormat="0" applyFill="0" applyBorder="0" applyAlignment="0" applyProtection="0"/>
    <xf numFmtId="0" fontId="84"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9" fillId="0" borderId="0">
      <protection locked="0"/>
    </xf>
    <xf numFmtId="191" fontId="49" fillId="0" borderId="0">
      <protection locked="0"/>
    </xf>
    <xf numFmtId="0" fontId="49" fillId="0" borderId="0">
      <protection locked="0"/>
    </xf>
    <xf numFmtId="0" fontId="49" fillId="0" borderId="0">
      <protection locked="0"/>
    </xf>
    <xf numFmtId="191" fontId="49" fillId="0" borderId="0">
      <protection locked="0"/>
    </xf>
    <xf numFmtId="0" fontId="49" fillId="0" borderId="0">
      <protection locked="0"/>
    </xf>
    <xf numFmtId="0" fontId="50" fillId="0" borderId="0">
      <protection locked="0"/>
    </xf>
    <xf numFmtId="191" fontId="50" fillId="0" borderId="0">
      <protection locked="0"/>
    </xf>
    <xf numFmtId="0" fontId="50" fillId="0" borderId="0">
      <protection locked="0"/>
    </xf>
    <xf numFmtId="0" fontId="49" fillId="0" borderId="0">
      <protection locked="0"/>
    </xf>
    <xf numFmtId="0" fontId="85" fillId="0" borderId="0"/>
    <xf numFmtId="191" fontId="49" fillId="0" borderId="0">
      <protection locked="0"/>
    </xf>
    <xf numFmtId="191" fontId="49" fillId="0" borderId="0">
      <protection locked="0"/>
    </xf>
    <xf numFmtId="191" fontId="49" fillId="0" borderId="0">
      <protection locked="0"/>
    </xf>
    <xf numFmtId="0" fontId="49" fillId="0" borderId="0">
      <protection locked="0"/>
    </xf>
    <xf numFmtId="0" fontId="8" fillId="0" borderId="0" applyProtection="0"/>
    <xf numFmtId="0" fontId="8" fillId="0" borderId="0" applyProtection="0"/>
    <xf numFmtId="191" fontId="49" fillId="0" borderId="0">
      <protection locked="0"/>
    </xf>
    <xf numFmtId="191" fontId="49" fillId="0" borderId="0">
      <protection locked="0"/>
    </xf>
    <xf numFmtId="191" fontId="49" fillId="0" borderId="0">
      <protection locked="0"/>
    </xf>
    <xf numFmtId="191" fontId="49" fillId="0" borderId="0">
      <protection locked="0"/>
    </xf>
    <xf numFmtId="217" fontId="86" fillId="0" borderId="0">
      <protection locked="0"/>
    </xf>
    <xf numFmtId="0" fontId="49" fillId="0" borderId="0">
      <protection locked="0"/>
    </xf>
    <xf numFmtId="0" fontId="87" fillId="0" borderId="0"/>
    <xf numFmtId="191" fontId="49" fillId="0" borderId="0">
      <protection locked="0"/>
    </xf>
    <xf numFmtId="191" fontId="49" fillId="0" borderId="0">
      <protection locked="0"/>
    </xf>
    <xf numFmtId="191" fontId="49" fillId="0" borderId="0">
      <protection locked="0"/>
    </xf>
    <xf numFmtId="0" fontId="49" fillId="0" borderId="0">
      <protection locked="0"/>
    </xf>
    <xf numFmtId="0" fontId="4" fillId="0" borderId="0" applyProtection="0"/>
    <xf numFmtId="0" fontId="4" fillId="0" borderId="0" applyProtection="0"/>
    <xf numFmtId="191" fontId="49" fillId="0" borderId="0">
      <protection locked="0"/>
    </xf>
    <xf numFmtId="191" fontId="49" fillId="0" borderId="0">
      <protection locked="0"/>
    </xf>
    <xf numFmtId="191" fontId="49" fillId="0" borderId="0">
      <protection locked="0"/>
    </xf>
    <xf numFmtId="191" fontId="49" fillId="0" borderId="0">
      <protection locked="0"/>
    </xf>
    <xf numFmtId="217" fontId="86" fillId="0" borderId="0">
      <protection locked="0"/>
    </xf>
    <xf numFmtId="0" fontId="49" fillId="0" borderId="0">
      <protection locked="0"/>
    </xf>
    <xf numFmtId="0" fontId="87" fillId="0" borderId="0"/>
    <xf numFmtId="191" fontId="49" fillId="0" borderId="0">
      <protection locked="0"/>
    </xf>
    <xf numFmtId="191" fontId="49" fillId="0" borderId="0">
      <protection locked="0"/>
    </xf>
    <xf numFmtId="191" fontId="49" fillId="0" borderId="0">
      <protection locked="0"/>
    </xf>
    <xf numFmtId="0" fontId="49" fillId="0" borderId="0">
      <protection locked="0"/>
    </xf>
    <xf numFmtId="0" fontId="88" fillId="0" borderId="0" applyProtection="0"/>
    <xf numFmtId="0" fontId="88" fillId="0" borderId="0" applyProtection="0"/>
    <xf numFmtId="191" fontId="49" fillId="0" borderId="0">
      <protection locked="0"/>
    </xf>
    <xf numFmtId="191" fontId="49" fillId="0" borderId="0">
      <protection locked="0"/>
    </xf>
    <xf numFmtId="191" fontId="49" fillId="0" borderId="0">
      <protection locked="0"/>
    </xf>
    <xf numFmtId="191" fontId="49" fillId="0" borderId="0">
      <protection locked="0"/>
    </xf>
    <xf numFmtId="217" fontId="86" fillId="0" borderId="0">
      <protection locked="0"/>
    </xf>
    <xf numFmtId="0" fontId="50" fillId="0" borderId="0">
      <protection locked="0"/>
    </xf>
    <xf numFmtId="0" fontId="87" fillId="0" borderId="0"/>
    <xf numFmtId="191" fontId="50" fillId="0" borderId="0">
      <protection locked="0"/>
    </xf>
    <xf numFmtId="191" fontId="50" fillId="0" borderId="0">
      <protection locked="0"/>
    </xf>
    <xf numFmtId="191" fontId="50" fillId="0" borderId="0">
      <protection locked="0"/>
    </xf>
    <xf numFmtId="0" fontId="50" fillId="0" borderId="0">
      <protection locked="0"/>
    </xf>
    <xf numFmtId="0" fontId="88" fillId="0" borderId="0" applyProtection="0"/>
    <xf numFmtId="0" fontId="88" fillId="0" borderId="0" applyProtection="0"/>
    <xf numFmtId="191" fontId="50" fillId="0" borderId="0">
      <protection locked="0"/>
    </xf>
    <xf numFmtId="191" fontId="50" fillId="0" borderId="0">
      <protection locked="0"/>
    </xf>
    <xf numFmtId="191" fontId="50" fillId="0" borderId="0">
      <protection locked="0"/>
    </xf>
    <xf numFmtId="191" fontId="50" fillId="0" borderId="0">
      <protection locked="0"/>
    </xf>
    <xf numFmtId="217" fontId="86" fillId="0" borderId="0">
      <protection locked="0"/>
    </xf>
    <xf numFmtId="0" fontId="78" fillId="0" borderId="0"/>
    <xf numFmtId="0" fontId="49" fillId="0" borderId="0">
      <protection locked="0"/>
    </xf>
    <xf numFmtId="218" fontId="49" fillId="0" borderId="0">
      <protection locked="0"/>
    </xf>
    <xf numFmtId="3" fontId="57" fillId="0" borderId="0" applyFont="0" applyFill="0" applyBorder="0" applyAlignment="0" applyProtection="0"/>
    <xf numFmtId="3" fontId="89" fillId="0" borderId="0"/>
    <xf numFmtId="3" fontId="57" fillId="0" borderId="0" applyFont="0" applyFill="0" applyBorder="0" applyAlignment="0" applyProtection="0"/>
    <xf numFmtId="2" fontId="4" fillId="0" borderId="0" applyFont="0" applyFill="0" applyBorder="0" applyAlignment="0" applyProtection="0"/>
    <xf numFmtId="2" fontId="4" fillId="0" borderId="0" applyFont="0" applyFill="0" applyBorder="0" applyAlignment="0" applyProtection="0"/>
    <xf numFmtId="2" fontId="4" fillId="0" borderId="0" applyFont="0" applyFill="0" applyBorder="0" applyAlignment="0" applyProtection="0"/>
    <xf numFmtId="2" fontId="4" fillId="0" borderId="0" applyFont="0" applyFill="0" applyBorder="0" applyAlignment="0" applyProtection="0"/>
    <xf numFmtId="2" fontId="4" fillId="0" borderId="0" applyFont="0" applyFill="0" applyBorder="0" applyAlignment="0" applyProtection="0"/>
    <xf numFmtId="2" fontId="4" fillId="0" borderId="0" applyFont="0" applyFill="0" applyBorder="0" applyAlignment="0" applyProtection="0"/>
    <xf numFmtId="219" fontId="49" fillId="0" borderId="0">
      <protection locked="0"/>
    </xf>
    <xf numFmtId="2" fontId="4" fillId="0" borderId="0" applyFont="0" applyFill="0" applyBorder="0" applyAlignment="0" applyProtection="0"/>
    <xf numFmtId="0" fontId="87" fillId="0" borderId="0"/>
    <xf numFmtId="191" fontId="87" fillId="0" borderId="0"/>
    <xf numFmtId="0" fontId="87" fillId="0" borderId="0"/>
    <xf numFmtId="0" fontId="81" fillId="0" borderId="0"/>
    <xf numFmtId="0" fontId="87" fillId="0" borderId="0"/>
    <xf numFmtId="218" fontId="49" fillId="0" borderId="0">
      <protection locked="0"/>
    </xf>
    <xf numFmtId="0" fontId="90" fillId="0" borderId="0" applyNumberFormat="0" applyFill="0" applyBorder="0" applyAlignment="0" applyProtection="0">
      <alignment vertical="top"/>
      <protection locked="0"/>
    </xf>
    <xf numFmtId="1" fontId="91" fillId="0" borderId="0" applyNumberFormat="0" applyFill="0" applyBorder="0" applyAlignment="0" applyProtection="0">
      <alignment horizontal="center" vertical="top"/>
    </xf>
    <xf numFmtId="168" fontId="92" fillId="0" borderId="0" applyProtection="0"/>
    <xf numFmtId="168" fontId="93" fillId="0" borderId="0" applyProtection="0"/>
    <xf numFmtId="168" fontId="94" fillId="0" borderId="0" applyProtection="0"/>
    <xf numFmtId="0" fontId="95" fillId="0" borderId="0">
      <alignment vertical="top" wrapText="1"/>
    </xf>
    <xf numFmtId="0" fontId="96" fillId="16" borderId="0" applyNumberFormat="0" applyBorder="0" applyAlignment="0" applyProtection="0"/>
    <xf numFmtId="0" fontId="97" fillId="13" borderId="0" applyNumberFormat="0" applyBorder="0" applyAlignment="0" applyProtection="0"/>
    <xf numFmtId="0" fontId="97" fillId="13" borderId="0" applyNumberFormat="0" applyBorder="0" applyAlignment="0" applyProtection="0"/>
    <xf numFmtId="0" fontId="96" fillId="13" borderId="0" applyNumberFormat="0" applyBorder="0" applyAlignment="0" applyProtection="0"/>
    <xf numFmtId="0" fontId="96" fillId="13" borderId="0" applyNumberFormat="0" applyBorder="0" applyAlignment="0" applyProtection="0"/>
    <xf numFmtId="0" fontId="96" fillId="16" borderId="0" applyNumberFormat="0" applyBorder="0" applyAlignment="0" applyProtection="0"/>
    <xf numFmtId="0" fontId="98" fillId="13" borderId="0" applyNumberFormat="0" applyBorder="0" applyAlignment="0" applyProtection="0"/>
    <xf numFmtId="0" fontId="96" fillId="16" borderId="0" applyNumberFormat="0" applyBorder="0" applyAlignment="0" applyProtection="0"/>
    <xf numFmtId="0" fontId="96" fillId="16" borderId="0" applyNumberFormat="0" applyBorder="0" applyAlignment="0" applyProtection="0"/>
    <xf numFmtId="0" fontId="96" fillId="16" borderId="0" applyNumberFormat="0" applyBorder="0" applyAlignment="0" applyProtection="0"/>
    <xf numFmtId="0" fontId="96" fillId="16" borderId="0" applyNumberFormat="0" applyBorder="0" applyAlignment="0" applyProtection="0"/>
    <xf numFmtId="0" fontId="96" fillId="16" borderId="0" applyNumberFormat="0" applyBorder="0" applyAlignment="0" applyProtection="0"/>
    <xf numFmtId="0" fontId="96" fillId="16" borderId="0" applyNumberFormat="0" applyBorder="0" applyAlignment="0" applyProtection="0"/>
    <xf numFmtId="0" fontId="96" fillId="16" borderId="0" applyNumberFormat="0" applyBorder="0" applyAlignment="0" applyProtection="0"/>
    <xf numFmtId="37" fontId="3" fillId="0" borderId="0" applyNumberFormat="0" applyFont="0" applyFill="0"/>
    <xf numFmtId="38" fontId="8" fillId="6" borderId="0" applyNumberFormat="0" applyBorder="0" applyAlignment="0" applyProtection="0"/>
    <xf numFmtId="38" fontId="8" fillId="6" borderId="0" applyNumberFormat="0" applyBorder="0" applyAlignment="0" applyProtection="0"/>
    <xf numFmtId="38" fontId="8" fillId="6" borderId="0" applyNumberFormat="0" applyBorder="0" applyAlignment="0" applyProtection="0"/>
    <xf numFmtId="168" fontId="4" fillId="0" borderId="0" applyProtection="0"/>
    <xf numFmtId="0" fontId="85" fillId="0" borderId="0">
      <alignment horizontal="left"/>
    </xf>
    <xf numFmtId="0" fontId="99" fillId="0" borderId="0"/>
    <xf numFmtId="194" fontId="99" fillId="0" borderId="0"/>
    <xf numFmtId="0" fontId="99" fillId="0" borderId="19" applyNumberFormat="0" applyAlignment="0" applyProtection="0">
      <alignment horizontal="left" vertical="center"/>
    </xf>
    <xf numFmtId="191" fontId="99" fillId="0" borderId="19" applyNumberFormat="0" applyAlignment="0" applyProtection="0">
      <alignment horizontal="left" vertical="center"/>
    </xf>
    <xf numFmtId="0" fontId="99" fillId="0" borderId="19" applyNumberFormat="0" applyAlignment="0" applyProtection="0">
      <alignment horizontal="left" vertical="center"/>
    </xf>
    <xf numFmtId="0"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191"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99" fillId="0" borderId="12">
      <alignment horizontal="left" vertical="center"/>
    </xf>
    <xf numFmtId="0" fontId="100" fillId="0" borderId="20" applyNumberFormat="0" applyFill="0" applyAlignment="0" applyProtection="0"/>
    <xf numFmtId="0" fontId="101" fillId="0" borderId="0" applyNumberFormat="0" applyFill="0" applyBorder="0" applyAlignment="0" applyProtection="0"/>
    <xf numFmtId="0" fontId="102" fillId="0" borderId="21" applyNumberFormat="0" applyFill="0" applyAlignment="0" applyProtection="0"/>
    <xf numFmtId="0" fontId="100" fillId="0" borderId="20" applyNumberFormat="0" applyFill="0" applyAlignment="0" applyProtection="0"/>
    <xf numFmtId="0" fontId="102" fillId="0" borderId="21" applyNumberFormat="0" applyFill="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191" fontId="101" fillId="0" borderId="0" applyNumberFormat="0" applyFill="0" applyBorder="0" applyAlignment="0" applyProtection="0"/>
    <xf numFmtId="0" fontId="101" fillId="0" borderId="0" applyNumberFormat="0" applyFill="0" applyBorder="0" applyAlignment="0" applyProtection="0"/>
    <xf numFmtId="191" fontId="101" fillId="0" borderId="0" applyNumberFormat="0" applyFill="0" applyBorder="0" applyAlignment="0" applyProtection="0"/>
    <xf numFmtId="191" fontId="101" fillId="0" borderId="0" applyNumberFormat="0" applyFill="0" applyBorder="0" applyAlignment="0" applyProtection="0"/>
    <xf numFmtId="0" fontId="100" fillId="0" borderId="20" applyNumberFormat="0" applyFill="0" applyAlignment="0" applyProtection="0"/>
    <xf numFmtId="0" fontId="100" fillId="0" borderId="20" applyNumberFormat="0" applyFill="0" applyAlignment="0" applyProtection="0"/>
    <xf numFmtId="0" fontId="100" fillId="0" borderId="20" applyNumberFormat="0" applyFill="0" applyAlignment="0" applyProtection="0"/>
    <xf numFmtId="0" fontId="100" fillId="0" borderId="20" applyNumberFormat="0" applyFill="0" applyAlignment="0" applyProtection="0"/>
    <xf numFmtId="0" fontId="100" fillId="0" borderId="20" applyNumberFormat="0" applyFill="0" applyAlignment="0" applyProtection="0"/>
    <xf numFmtId="0" fontId="103" fillId="0" borderId="22" applyNumberFormat="0" applyFill="0" applyAlignment="0" applyProtection="0"/>
    <xf numFmtId="0" fontId="99" fillId="0" borderId="0" applyNumberFormat="0" applyFill="0" applyBorder="0" applyAlignment="0" applyProtection="0"/>
    <xf numFmtId="0" fontId="104" fillId="0" borderId="23" applyNumberFormat="0" applyFill="0" applyAlignment="0" applyProtection="0"/>
    <xf numFmtId="0" fontId="103" fillId="0" borderId="22" applyNumberFormat="0" applyFill="0" applyAlignment="0" applyProtection="0"/>
    <xf numFmtId="0" fontId="104" fillId="0" borderId="23" applyNumberFormat="0" applyFill="0" applyAlignment="0" applyProtection="0"/>
    <xf numFmtId="0" fontId="99" fillId="0" borderId="0" applyNumberFormat="0" applyFill="0" applyBorder="0" applyAlignment="0" applyProtection="0"/>
    <xf numFmtId="0" fontId="99" fillId="0" borderId="0" applyNumberFormat="0" applyFill="0" applyBorder="0" applyAlignment="0" applyProtection="0"/>
    <xf numFmtId="191" fontId="99" fillId="0" borderId="0" applyNumberFormat="0" applyFill="0" applyBorder="0" applyAlignment="0" applyProtection="0"/>
    <xf numFmtId="0" fontId="99" fillId="0" borderId="0" applyNumberFormat="0" applyFill="0" applyBorder="0" applyAlignment="0" applyProtection="0"/>
    <xf numFmtId="191" fontId="99" fillId="0" borderId="0" applyNumberFormat="0" applyFill="0" applyBorder="0" applyAlignment="0" applyProtection="0"/>
    <xf numFmtId="191" fontId="99" fillId="0" borderId="0" applyNumberFormat="0" applyFill="0" applyBorder="0" applyAlignment="0" applyProtection="0"/>
    <xf numFmtId="0" fontId="103" fillId="0" borderId="22" applyNumberFormat="0" applyFill="0" applyAlignment="0" applyProtection="0"/>
    <xf numFmtId="0" fontId="103" fillId="0" borderId="22" applyNumberFormat="0" applyFill="0" applyAlignment="0" applyProtection="0"/>
    <xf numFmtId="0" fontId="103" fillId="0" borderId="22" applyNumberFormat="0" applyFill="0" applyAlignment="0" applyProtection="0"/>
    <xf numFmtId="0" fontId="103" fillId="0" borderId="22" applyNumberFormat="0" applyFill="0" applyAlignment="0" applyProtection="0"/>
    <xf numFmtId="0" fontId="103" fillId="0" borderId="22" applyNumberFormat="0" applyFill="0" applyAlignment="0" applyProtection="0"/>
    <xf numFmtId="0" fontId="105" fillId="0" borderId="24" applyNumberFormat="0" applyFill="0" applyAlignment="0" applyProtection="0"/>
    <xf numFmtId="0" fontId="106" fillId="0" borderId="25" applyNumberFormat="0" applyFill="0" applyAlignment="0" applyProtection="0"/>
    <xf numFmtId="0" fontId="106" fillId="0" borderId="25" applyNumberFormat="0" applyFill="0" applyAlignment="0" applyProtection="0"/>
    <xf numFmtId="0" fontId="105" fillId="0" borderId="24" applyNumberFormat="0" applyFill="0" applyAlignment="0" applyProtection="0"/>
    <xf numFmtId="0" fontId="107" fillId="0" borderId="25" applyNumberFormat="0" applyFill="0" applyAlignment="0" applyProtection="0"/>
    <xf numFmtId="0" fontId="105" fillId="0" borderId="24" applyNumberFormat="0" applyFill="0" applyAlignment="0" applyProtection="0"/>
    <xf numFmtId="0" fontId="105" fillId="0" borderId="24" applyNumberFormat="0" applyFill="0" applyAlignment="0" applyProtection="0"/>
    <xf numFmtId="0" fontId="105" fillId="0" borderId="24" applyNumberFormat="0" applyFill="0" applyAlignment="0" applyProtection="0"/>
    <xf numFmtId="0" fontId="105" fillId="0" borderId="24" applyNumberFormat="0" applyFill="0" applyAlignment="0" applyProtection="0"/>
    <xf numFmtId="0" fontId="105" fillId="0" borderId="24" applyNumberFormat="0" applyFill="0" applyAlignment="0" applyProtection="0"/>
    <xf numFmtId="0" fontId="105" fillId="0" borderId="24" applyNumberFormat="0" applyFill="0" applyAlignment="0" applyProtection="0"/>
    <xf numFmtId="0" fontId="105" fillId="0" borderId="24" applyNumberFormat="0" applyFill="0" applyAlignment="0" applyProtection="0"/>
    <xf numFmtId="0" fontId="105"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5" fillId="0" borderId="0" applyNumberFormat="0" applyFill="0" applyBorder="0" applyAlignment="0" applyProtection="0"/>
    <xf numFmtId="0" fontId="107"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1" fillId="0" borderId="0" applyProtection="0"/>
    <xf numFmtId="191" fontId="108" fillId="0" borderId="0">
      <protection locked="0"/>
    </xf>
    <xf numFmtId="0" fontId="108" fillId="0" borderId="0">
      <protection locked="0"/>
    </xf>
    <xf numFmtId="0" fontId="108" fillId="0" borderId="0">
      <protection locked="0"/>
    </xf>
    <xf numFmtId="0" fontId="99" fillId="0" borderId="0" applyProtection="0"/>
    <xf numFmtId="191" fontId="108" fillId="0" borderId="0">
      <protection locked="0"/>
    </xf>
    <xf numFmtId="0" fontId="108" fillId="0" borderId="0">
      <protection locked="0"/>
    </xf>
    <xf numFmtId="0" fontId="108" fillId="0" borderId="0">
      <protection locked="0"/>
    </xf>
    <xf numFmtId="0" fontId="109"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0" fontId="111" fillId="0" borderId="0" applyNumberFormat="0" applyFill="0" applyBorder="0" applyAlignment="0" applyProtection="0">
      <alignment vertical="top"/>
      <protection locked="0"/>
    </xf>
    <xf numFmtId="0" fontId="112" fillId="0" borderId="0" applyNumberFormat="0" applyFill="0" applyBorder="0" applyAlignment="0" applyProtection="0">
      <alignment vertical="top"/>
      <protection locked="0"/>
    </xf>
    <xf numFmtId="0" fontId="112" fillId="0" borderId="0" applyNumberFormat="0" applyFill="0" applyBorder="0" applyAlignment="0" applyProtection="0">
      <alignment vertical="top"/>
      <protection locked="0"/>
    </xf>
    <xf numFmtId="0" fontId="112" fillId="0" borderId="0" applyNumberFormat="0" applyFill="0" applyBorder="0" applyAlignment="0" applyProtection="0">
      <alignment vertical="top"/>
      <protection locked="0"/>
    </xf>
    <xf numFmtId="0" fontId="113" fillId="0" borderId="0" applyNumberFormat="0" applyFill="0" applyBorder="0" applyAlignment="0" applyProtection="0">
      <alignment vertical="top"/>
      <protection locked="0"/>
    </xf>
    <xf numFmtId="0" fontId="112" fillId="0" borderId="0" applyNumberFormat="0" applyFill="0" applyBorder="0" applyAlignment="0" applyProtection="0">
      <alignment vertical="top"/>
      <protection locked="0"/>
    </xf>
    <xf numFmtId="0" fontId="114" fillId="0" borderId="0" applyNumberFormat="0" applyFill="0" applyBorder="0" applyAlignment="0" applyProtection="0">
      <alignment vertical="top"/>
      <protection locked="0"/>
    </xf>
    <xf numFmtId="0" fontId="115" fillId="0" borderId="0" applyNumberFormat="0" applyFill="0" applyBorder="0" applyAlignment="0" applyProtection="0">
      <alignment vertical="top"/>
      <protection locked="0"/>
    </xf>
    <xf numFmtId="0" fontId="116" fillId="0" borderId="0" applyNumberFormat="0" applyFill="0" applyBorder="0" applyAlignment="0" applyProtection="0">
      <alignment vertical="top"/>
      <protection locked="0"/>
    </xf>
    <xf numFmtId="0" fontId="90" fillId="0" borderId="0" applyNumberFormat="0" applyFill="0" applyBorder="0" applyAlignment="0" applyProtection="0">
      <alignment vertical="top"/>
      <protection locked="0"/>
    </xf>
    <xf numFmtId="0" fontId="117" fillId="0" borderId="0"/>
    <xf numFmtId="168" fontId="29" fillId="0" borderId="0" applyFont="0" applyFill="0" applyBorder="0" applyAlignment="0" applyProtection="0"/>
    <xf numFmtId="168" fontId="3" fillId="0" borderId="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29" fillId="0" borderId="0" applyFont="0" applyFill="0" applyBorder="0" applyAlignment="0" applyProtection="0"/>
    <xf numFmtId="3" fontId="29"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3" fontId="29" fillId="0" borderId="0" applyFont="0" applyFill="0" applyBorder="0" applyAlignment="0" applyProtection="0"/>
    <xf numFmtId="10" fontId="8" fillId="42"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3" borderId="1" applyNumberFormat="0" applyBorder="0" applyAlignment="0" applyProtection="0"/>
    <xf numFmtId="10" fontId="8" fillId="42" borderId="1" applyNumberFormat="0" applyBorder="0" applyAlignment="0" applyProtection="0"/>
    <xf numFmtId="0" fontId="43" fillId="0" borderId="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4"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43" fillId="0" borderId="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43" fillId="0" borderId="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43" fillId="0" borderId="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43" fillId="0" borderId="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43" fillId="0" borderId="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43" fillId="0" borderId="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43" fillId="0" borderId="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8" fillId="17" borderId="16" applyNumberFormat="0" applyAlignment="0" applyProtection="0"/>
    <xf numFmtId="0" fontId="119" fillId="0" borderId="0" applyNumberFormat="0" applyFill="0" applyBorder="0" applyAlignment="0" applyProtection="0">
      <alignment vertical="top"/>
      <protection locked="0"/>
    </xf>
    <xf numFmtId="15" fontId="4" fillId="0" borderId="0"/>
    <xf numFmtId="15" fontId="4" fillId="0" borderId="0"/>
    <xf numFmtId="15" fontId="4" fillId="0" borderId="0"/>
    <xf numFmtId="15" fontId="4" fillId="0" borderId="0"/>
    <xf numFmtId="220" fontId="9" fillId="0" borderId="0"/>
    <xf numFmtId="194" fontId="9" fillId="0" borderId="0"/>
    <xf numFmtId="0" fontId="120" fillId="0" borderId="0" applyNumberFormat="0" applyFill="0" applyBorder="0" applyAlignment="0" applyProtection="0">
      <alignment vertical="top"/>
      <protection locked="0"/>
    </xf>
    <xf numFmtId="168" fontId="121" fillId="0" borderId="0"/>
    <xf numFmtId="0" fontId="87" fillId="0" borderId="26"/>
    <xf numFmtId="0" fontId="122"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188" fontId="4" fillId="0" borderId="0" applyFill="0" applyBorder="0" applyAlignment="0"/>
    <xf numFmtId="0" fontId="51" fillId="0" borderId="0" applyFill="0" applyBorder="0" applyAlignment="0"/>
    <xf numFmtId="188" fontId="4" fillId="0" borderId="0" applyFill="0" applyBorder="0" applyAlignment="0"/>
    <xf numFmtId="173" fontId="4" fillId="0" borderId="0" applyFill="0" applyBorder="0" applyAlignment="0"/>
    <xf numFmtId="0" fontId="51" fillId="0" borderId="0" applyFill="0" applyBorder="0" applyAlignment="0"/>
    <xf numFmtId="168" fontId="124" fillId="0" borderId="0" applyProtection="0"/>
    <xf numFmtId="0" fontId="125" fillId="0" borderId="27" applyNumberFormat="0" applyFill="0" applyAlignment="0" applyProtection="0"/>
    <xf numFmtId="0" fontId="126" fillId="0" borderId="28" applyNumberFormat="0" applyFill="0" applyAlignment="0" applyProtection="0"/>
    <xf numFmtId="0" fontId="126" fillId="0" borderId="28" applyNumberFormat="0" applyFill="0" applyAlignment="0" applyProtection="0"/>
    <xf numFmtId="0" fontId="125" fillId="0" borderId="27" applyNumberFormat="0" applyFill="0" applyAlignment="0" applyProtection="0"/>
    <xf numFmtId="0" fontId="127" fillId="0" borderId="28" applyNumberFormat="0" applyFill="0" applyAlignment="0" applyProtection="0"/>
    <xf numFmtId="0" fontId="125" fillId="0" borderId="27" applyNumberFormat="0" applyFill="0" applyAlignment="0" applyProtection="0"/>
    <xf numFmtId="0" fontId="125" fillId="0" borderId="27" applyNumberFormat="0" applyFill="0" applyAlignment="0" applyProtection="0"/>
    <xf numFmtId="0" fontId="125" fillId="0" borderId="27" applyNumberFormat="0" applyFill="0" applyAlignment="0" applyProtection="0"/>
    <xf numFmtId="0" fontId="125" fillId="0" borderId="27" applyNumberFormat="0" applyFill="0" applyAlignment="0" applyProtection="0"/>
    <xf numFmtId="0" fontId="125" fillId="0" borderId="27" applyNumberFormat="0" applyFill="0" applyAlignment="0" applyProtection="0"/>
    <xf numFmtId="0" fontId="125" fillId="0" borderId="27" applyNumberFormat="0" applyFill="0" applyAlignment="0" applyProtection="0"/>
    <xf numFmtId="0" fontId="125" fillId="0" borderId="27" applyNumberFormat="0" applyFill="0" applyAlignment="0" applyProtection="0"/>
    <xf numFmtId="0" fontId="128" fillId="0" borderId="4">
      <alignment horizontal="left"/>
      <protection locked="0"/>
    </xf>
    <xf numFmtId="0" fontId="128" fillId="0" borderId="4">
      <alignment horizontal="left"/>
      <protection locked="0"/>
    </xf>
    <xf numFmtId="0" fontId="129" fillId="0" borderId="0">
      <alignment horizontal="centerContinuous" wrapText="1"/>
    </xf>
    <xf numFmtId="0" fontId="130" fillId="0" borderId="0" applyNumberFormat="0" applyFill="0" applyBorder="0" applyProtection="0"/>
    <xf numFmtId="0" fontId="131" fillId="0" borderId="0" applyNumberFormat="0" applyFill="0" applyBorder="0" applyProtection="0"/>
    <xf numFmtId="0" fontId="132" fillId="0" borderId="0" applyNumberFormat="0" applyFill="0" applyBorder="0" applyProtection="0"/>
    <xf numFmtId="0" fontId="130" fillId="0" borderId="0" applyNumberFormat="0" applyFill="0" applyBorder="0" applyProtection="0"/>
    <xf numFmtId="0" fontId="133" fillId="0" borderId="0" applyNumberFormat="0" applyFill="0" applyBorder="0" applyProtection="0"/>
    <xf numFmtId="221" fontId="57" fillId="0" borderId="0" applyFont="0" applyFill="0" applyBorder="0" applyAlignment="0" applyProtection="0"/>
    <xf numFmtId="176" fontId="4" fillId="0" borderId="0" applyFont="0" applyFill="0" applyBorder="0" applyAlignment="0" applyProtection="0"/>
    <xf numFmtId="177" fontId="4" fillId="0" borderId="0" applyFont="0" applyFill="0" applyBorder="0" applyAlignment="0" applyProtection="0"/>
    <xf numFmtId="222" fontId="4" fillId="0" borderId="0" applyFont="0" applyFill="0" applyBorder="0" applyAlignment="0" applyProtection="0"/>
    <xf numFmtId="223" fontId="4" fillId="0" borderId="0" applyFont="0" applyFill="0" applyBorder="0" applyAlignment="0" applyProtection="0"/>
    <xf numFmtId="164" fontId="57" fillId="0" borderId="0" applyFont="0" applyFill="0" applyBorder="0" applyAlignment="0" applyProtection="0"/>
    <xf numFmtId="0" fontId="134" fillId="0" borderId="29"/>
    <xf numFmtId="224" fontId="78" fillId="0" borderId="0" applyFont="0" applyFill="0" applyBorder="0" applyAlignment="0" applyProtection="0"/>
    <xf numFmtId="225" fontId="78" fillId="0" borderId="0" applyFont="0" applyFill="0" applyBorder="0" applyAlignment="0" applyProtection="0"/>
    <xf numFmtId="226" fontId="49" fillId="0" borderId="0">
      <protection locked="0"/>
    </xf>
    <xf numFmtId="173" fontId="4" fillId="0" borderId="0" applyFont="0" applyFill="0" applyBorder="0" applyAlignment="0" applyProtection="0"/>
    <xf numFmtId="227" fontId="4" fillId="0" borderId="0" applyFont="0" applyFill="0" applyBorder="0" applyAlignment="0" applyProtection="0"/>
    <xf numFmtId="228" fontId="4" fillId="0" borderId="0" applyFont="0" applyFill="0" applyBorder="0" applyAlignment="0" applyProtection="0"/>
    <xf numFmtId="192" fontId="4" fillId="0" borderId="0" applyFont="0" applyFill="0" applyBorder="0" applyAlignment="0" applyProtection="0"/>
    <xf numFmtId="229" fontId="49" fillId="0" borderId="0">
      <protection locked="0"/>
    </xf>
    <xf numFmtId="230" fontId="49" fillId="0" borderId="0">
      <protection locked="0"/>
    </xf>
    <xf numFmtId="3" fontId="51" fillId="0" borderId="0" applyFont="0"/>
    <xf numFmtId="0" fontId="135" fillId="0" borderId="0" applyNumberFormat="0">
      <alignment horizontal="right"/>
    </xf>
    <xf numFmtId="231" fontId="136" fillId="0" borderId="0"/>
    <xf numFmtId="0" fontId="88" fillId="0" borderId="0" applyNumberFormat="0" applyFont="0" applyFill="0" applyAlignment="0"/>
    <xf numFmtId="0" fontId="57" fillId="0" borderId="0"/>
    <xf numFmtId="0" fontId="137" fillId="17" borderId="0" applyNumberFormat="0" applyBorder="0" applyAlignment="0" applyProtection="0"/>
    <xf numFmtId="0" fontId="138" fillId="17" borderId="0" applyNumberFormat="0" applyBorder="0" applyAlignment="0" applyProtection="0"/>
    <xf numFmtId="0" fontId="138" fillId="17" borderId="0" applyNumberFormat="0" applyBorder="0" applyAlignment="0" applyProtection="0"/>
    <xf numFmtId="0" fontId="137" fillId="17" borderId="0" applyNumberFormat="0" applyBorder="0" applyAlignment="0" applyProtection="0"/>
    <xf numFmtId="0" fontId="139" fillId="17" borderId="0" applyNumberFormat="0" applyBorder="0" applyAlignment="0" applyProtection="0"/>
    <xf numFmtId="0" fontId="137" fillId="17" borderId="0" applyNumberFormat="0" applyBorder="0" applyAlignment="0" applyProtection="0"/>
    <xf numFmtId="0" fontId="137" fillId="17" borderId="0" applyNumberFormat="0" applyBorder="0" applyAlignment="0" applyProtection="0"/>
    <xf numFmtId="0" fontId="137" fillId="17" borderId="0" applyNumberFormat="0" applyBorder="0" applyAlignment="0" applyProtection="0"/>
    <xf numFmtId="0" fontId="137" fillId="17" borderId="0" applyNumberFormat="0" applyBorder="0" applyAlignment="0" applyProtection="0"/>
    <xf numFmtId="0" fontId="137" fillId="17" borderId="0" applyNumberFormat="0" applyBorder="0" applyAlignment="0" applyProtection="0"/>
    <xf numFmtId="0" fontId="137" fillId="17" borderId="0" applyNumberFormat="0" applyBorder="0" applyAlignment="0" applyProtection="0"/>
    <xf numFmtId="0" fontId="137" fillId="17" borderId="0" applyNumberFormat="0" applyBorder="0" applyAlignment="0" applyProtection="0"/>
    <xf numFmtId="0" fontId="3" fillId="0" borderId="0"/>
    <xf numFmtId="0" fontId="63" fillId="0" borderId="0">
      <alignment horizontal="left"/>
    </xf>
    <xf numFmtId="191" fontId="63" fillId="0" borderId="0">
      <alignment horizontal="left"/>
    </xf>
    <xf numFmtId="191" fontId="63" fillId="0" borderId="0">
      <alignment horizontal="left"/>
    </xf>
    <xf numFmtId="0" fontId="63" fillId="0" borderId="0">
      <alignment horizontal="left"/>
    </xf>
    <xf numFmtId="37" fontId="140" fillId="0" borderId="0"/>
    <xf numFmtId="0" fontId="63" fillId="0" borderId="0">
      <alignment horizontal="left"/>
    </xf>
    <xf numFmtId="0" fontId="141" fillId="0" borderId="0"/>
    <xf numFmtId="0" fontId="88" fillId="0" borderId="0"/>
    <xf numFmtId="0" fontId="142" fillId="0" borderId="0"/>
    <xf numFmtId="0" fontId="143" fillId="0" borderId="0"/>
    <xf numFmtId="232" fontId="144" fillId="0" borderId="0"/>
    <xf numFmtId="232" fontId="144" fillId="0" borderId="0"/>
    <xf numFmtId="191" fontId="80" fillId="0" borderId="0"/>
    <xf numFmtId="0" fontId="80" fillId="0" borderId="0"/>
    <xf numFmtId="191" fontId="80" fillId="0" borderId="0"/>
    <xf numFmtId="191" fontId="80" fillId="0" borderId="0"/>
    <xf numFmtId="191" fontId="80" fillId="0" borderId="0"/>
    <xf numFmtId="0" fontId="145" fillId="0" borderId="0"/>
    <xf numFmtId="0" fontId="145" fillId="0" borderId="0"/>
    <xf numFmtId="0" fontId="80" fillId="0" borderId="0"/>
    <xf numFmtId="0" fontId="145" fillId="0" borderId="0"/>
    <xf numFmtId="0" fontId="145" fillId="0" borderId="0"/>
    <xf numFmtId="0" fontId="80" fillId="0" borderId="0"/>
    <xf numFmtId="0" fontId="143" fillId="0" borderId="0"/>
    <xf numFmtId="0" fontId="80" fillId="0" borderId="0"/>
    <xf numFmtId="0" fontId="80" fillId="0" borderId="0"/>
    <xf numFmtId="0" fontId="145" fillId="0" borderId="0"/>
    <xf numFmtId="191" fontId="80" fillId="0" borderId="0"/>
    <xf numFmtId="0" fontId="145" fillId="0" borderId="0"/>
    <xf numFmtId="191" fontId="80" fillId="0" borderId="0"/>
    <xf numFmtId="0" fontId="145" fillId="0" borderId="0"/>
    <xf numFmtId="191" fontId="80" fillId="0" borderId="0"/>
    <xf numFmtId="0" fontId="80" fillId="0" borderId="0"/>
    <xf numFmtId="191" fontId="80" fillId="0" borderId="0"/>
    <xf numFmtId="0" fontId="145" fillId="0" borderId="0"/>
    <xf numFmtId="0" fontId="80" fillId="0" borderId="0"/>
    <xf numFmtId="0" fontId="80" fillId="0" borderId="0"/>
    <xf numFmtId="0" fontId="80" fillId="0" borderId="0"/>
    <xf numFmtId="0" fontId="80" fillId="0" borderId="0"/>
    <xf numFmtId="0" fontId="80" fillId="0" borderId="0"/>
    <xf numFmtId="191" fontId="80" fillId="0" borderId="0"/>
    <xf numFmtId="0" fontId="145" fillId="0" borderId="0"/>
    <xf numFmtId="0" fontId="80" fillId="0" borderId="0"/>
    <xf numFmtId="0" fontId="18" fillId="0" borderId="0"/>
    <xf numFmtId="0" fontId="18" fillId="0" borderId="0"/>
    <xf numFmtId="0" fontId="61" fillId="0" borderId="0"/>
    <xf numFmtId="191" fontId="61" fillId="0" borderId="0"/>
    <xf numFmtId="191" fontId="61" fillId="0" borderId="0"/>
    <xf numFmtId="0" fontId="61" fillId="0" borderId="0"/>
    <xf numFmtId="0" fontId="61" fillId="0" borderId="0"/>
    <xf numFmtId="0" fontId="61" fillId="0" borderId="0"/>
    <xf numFmtId="0" fontId="61" fillId="0" borderId="0"/>
    <xf numFmtId="191" fontId="61" fillId="0" borderId="0"/>
    <xf numFmtId="191" fontId="61" fillId="0" borderId="0"/>
    <xf numFmtId="0" fontId="61" fillId="0" borderId="0"/>
    <xf numFmtId="0" fontId="61" fillId="0" borderId="0"/>
    <xf numFmtId="0" fontId="61" fillId="0" borderId="0"/>
    <xf numFmtId="0" fontId="61" fillId="0" borderId="0"/>
    <xf numFmtId="191" fontId="61" fillId="0" borderId="0"/>
    <xf numFmtId="191" fontId="61" fillId="0" borderId="0"/>
    <xf numFmtId="0" fontId="61" fillId="0" borderId="0"/>
    <xf numFmtId="0" fontId="61" fillId="0" borderId="0"/>
    <xf numFmtId="0" fontId="61" fillId="0" borderId="0"/>
    <xf numFmtId="0" fontId="61" fillId="0" borderId="0"/>
    <xf numFmtId="191" fontId="61" fillId="0" borderId="0"/>
    <xf numFmtId="191" fontId="61" fillId="0" borderId="0"/>
    <xf numFmtId="0" fontId="61" fillId="0" borderId="0"/>
    <xf numFmtId="0" fontId="61" fillId="0" borderId="0"/>
    <xf numFmtId="0" fontId="61" fillId="0" borderId="0"/>
    <xf numFmtId="0" fontId="146" fillId="0" borderId="0"/>
    <xf numFmtId="0" fontId="3" fillId="0" borderId="0"/>
    <xf numFmtId="0" fontId="3" fillId="0" borderId="0"/>
    <xf numFmtId="3" fontId="51" fillId="0" borderId="0"/>
    <xf numFmtId="0" fontId="1" fillId="0" borderId="0"/>
    <xf numFmtId="0" fontId="1" fillId="0" borderId="0"/>
    <xf numFmtId="0" fontId="4" fillId="0" borderId="0" applyFont="0" applyFill="0" applyBorder="0" applyAlignment="0" applyProtection="0"/>
    <xf numFmtId="0" fontId="3" fillId="0" borderId="0"/>
    <xf numFmtId="0" fontId="1" fillId="0" borderId="0"/>
    <xf numFmtId="0" fontId="1" fillId="0" borderId="0"/>
    <xf numFmtId="194" fontId="3" fillId="0" borderId="0"/>
    <xf numFmtId="0" fontId="3" fillId="0" borderId="0"/>
    <xf numFmtId="41" fontId="147" fillId="0" borderId="0"/>
    <xf numFmtId="0" fontId="4" fillId="0" borderId="0"/>
    <xf numFmtId="0" fontId="3" fillId="0" borderId="0"/>
    <xf numFmtId="0" fontId="3" fillId="0" borderId="0"/>
    <xf numFmtId="2" fontId="3" fillId="0" borderId="0"/>
    <xf numFmtId="0" fontId="1" fillId="0" borderId="0"/>
    <xf numFmtId="0" fontId="1" fillId="0" borderId="0"/>
    <xf numFmtId="0" fontId="1" fillId="0" borderId="0"/>
    <xf numFmtId="0" fontId="4" fillId="0" borderId="0"/>
    <xf numFmtId="3" fontId="51" fillId="0" borderId="0"/>
    <xf numFmtId="0" fontId="1" fillId="0" borderId="0"/>
    <xf numFmtId="3" fontId="51" fillId="0" borderId="0"/>
    <xf numFmtId="0" fontId="3" fillId="0" borderId="0"/>
    <xf numFmtId="3" fontId="51" fillId="0" borderId="0"/>
    <xf numFmtId="3" fontId="51" fillId="0" borderId="0"/>
    <xf numFmtId="3" fontId="51" fillId="0" borderId="0"/>
    <xf numFmtId="3" fontId="51" fillId="0" borderId="0"/>
    <xf numFmtId="0" fontId="148" fillId="7" borderId="0" applyNumberFormat="0"/>
    <xf numFmtId="0" fontId="3" fillId="0" borderId="0"/>
    <xf numFmtId="0" fontId="3" fillId="0" borderId="0"/>
    <xf numFmtId="0" fontId="3" fillId="0" borderId="0"/>
    <xf numFmtId="0" fontId="1" fillId="0" borderId="0"/>
    <xf numFmtId="3" fontId="51" fillId="0" borderId="0"/>
    <xf numFmtId="0" fontId="1" fillId="0" borderId="0"/>
    <xf numFmtId="0" fontId="3" fillId="0" borderId="0"/>
    <xf numFmtId="41" fontId="147" fillId="0" borderId="0"/>
    <xf numFmtId="189" fontId="4" fillId="0" borderId="0"/>
    <xf numFmtId="0" fontId="4" fillId="0" borderId="0"/>
    <xf numFmtId="189" fontId="4" fillId="0" borderId="0"/>
    <xf numFmtId="0" fontId="4" fillId="0" borderId="0"/>
    <xf numFmtId="0" fontId="3" fillId="0" borderId="0"/>
    <xf numFmtId="0" fontId="3" fillId="0" borderId="0"/>
    <xf numFmtId="0" fontId="3" fillId="0" borderId="0"/>
    <xf numFmtId="0" fontId="3" fillId="0" borderId="0"/>
    <xf numFmtId="2" fontId="3" fillId="0" borderId="0"/>
    <xf numFmtId="3" fontId="51" fillId="0" borderId="0"/>
    <xf numFmtId="3" fontId="51" fillId="0" borderId="0"/>
    <xf numFmtId="3" fontId="51" fillId="0" borderId="0"/>
    <xf numFmtId="3" fontId="51" fillId="0" borderId="0"/>
    <xf numFmtId="3" fontId="51" fillId="0" borderId="0"/>
    <xf numFmtId="3" fontId="51" fillId="0" borderId="0"/>
    <xf numFmtId="3" fontId="51" fillId="0" borderId="0"/>
    <xf numFmtId="3" fontId="51" fillId="0" borderId="0"/>
    <xf numFmtId="41" fontId="147" fillId="0" borderId="0"/>
    <xf numFmtId="41" fontId="147" fillId="0" borderId="0"/>
    <xf numFmtId="0" fontId="148" fillId="7" borderId="0" applyNumberFormat="0"/>
    <xf numFmtId="3" fontId="51" fillId="0" borderId="0"/>
    <xf numFmtId="0" fontId="3" fillId="0" borderId="0"/>
    <xf numFmtId="41" fontId="147" fillId="0" borderId="0"/>
    <xf numFmtId="0" fontId="3" fillId="0" borderId="0"/>
    <xf numFmtId="0" fontId="3" fillId="0" borderId="0"/>
    <xf numFmtId="0" fontId="4" fillId="0" borderId="0"/>
    <xf numFmtId="41" fontId="147" fillId="0" borderId="0"/>
    <xf numFmtId="41" fontId="147" fillId="0" borderId="0"/>
    <xf numFmtId="41" fontId="147" fillId="0" borderId="0"/>
    <xf numFmtId="41" fontId="147" fillId="0" borderId="0"/>
    <xf numFmtId="216" fontId="142" fillId="0" borderId="0"/>
    <xf numFmtId="3" fontId="51" fillId="0" borderId="0"/>
    <xf numFmtId="3" fontId="51" fillId="0" borderId="0"/>
    <xf numFmtId="3" fontId="51" fillId="0" borderId="0"/>
    <xf numFmtId="3" fontId="51" fillId="0" borderId="0"/>
    <xf numFmtId="3" fontId="51" fillId="0" borderId="0"/>
    <xf numFmtId="0" fontId="148" fillId="7" borderId="0" applyNumberFormat="0"/>
    <xf numFmtId="0" fontId="4" fillId="0" borderId="0"/>
    <xf numFmtId="0" fontId="3" fillId="0" borderId="0"/>
    <xf numFmtId="191" fontId="1" fillId="0" borderId="0"/>
    <xf numFmtId="3" fontId="51" fillId="0" borderId="0"/>
    <xf numFmtId="191" fontId="1" fillId="0" borderId="0"/>
    <xf numFmtId="0" fontId="3" fillId="0" borderId="0"/>
    <xf numFmtId="191" fontId="1" fillId="0" borderId="0"/>
    <xf numFmtId="191" fontId="1" fillId="0" borderId="0"/>
    <xf numFmtId="191" fontId="1" fillId="0" borderId="0"/>
    <xf numFmtId="191" fontId="1" fillId="0" borderId="0"/>
    <xf numFmtId="191" fontId="1" fillId="0" borderId="0"/>
    <xf numFmtId="191" fontId="1" fillId="0" borderId="0"/>
    <xf numFmtId="191" fontId="1" fillId="0" borderId="0"/>
    <xf numFmtId="0" fontId="1" fillId="0" borderId="0"/>
    <xf numFmtId="0" fontId="1" fillId="0" borderId="0"/>
    <xf numFmtId="191" fontId="1" fillId="0" borderId="0"/>
    <xf numFmtId="191" fontId="1" fillId="0" borderId="0"/>
    <xf numFmtId="191" fontId="1" fillId="0" borderId="0"/>
    <xf numFmtId="191" fontId="1" fillId="0" borderId="0"/>
    <xf numFmtId="0" fontId="1" fillId="0" borderId="0"/>
    <xf numFmtId="0" fontId="1" fillId="0" borderId="0"/>
    <xf numFmtId="191" fontId="1" fillId="0" borderId="0"/>
    <xf numFmtId="0" fontId="1" fillId="0" borderId="0"/>
    <xf numFmtId="0" fontId="1" fillId="0" borderId="0"/>
    <xf numFmtId="191" fontId="1" fillId="0" borderId="0"/>
    <xf numFmtId="191" fontId="1" fillId="0" borderId="0"/>
    <xf numFmtId="191" fontId="1" fillId="0" borderId="0"/>
    <xf numFmtId="191" fontId="1" fillId="0" borderId="0"/>
    <xf numFmtId="191" fontId="1" fillId="0" borderId="0"/>
    <xf numFmtId="191" fontId="1" fillId="0" borderId="0"/>
    <xf numFmtId="191" fontId="1" fillId="0" borderId="0"/>
    <xf numFmtId="0" fontId="1" fillId="0" borderId="0"/>
    <xf numFmtId="0" fontId="1" fillId="0" borderId="0"/>
    <xf numFmtId="191" fontId="1" fillId="0" borderId="0"/>
    <xf numFmtId="191" fontId="1" fillId="0" borderId="0"/>
    <xf numFmtId="191" fontId="1" fillId="0" borderId="0"/>
    <xf numFmtId="3" fontId="51" fillId="0" borderId="0"/>
    <xf numFmtId="0" fontId="4" fillId="0" borderId="0" applyFont="0" applyFill="0" applyBorder="0" applyAlignment="0" applyProtection="0"/>
    <xf numFmtId="191" fontId="1" fillId="0" borderId="0"/>
    <xf numFmtId="3" fontId="51" fillId="0" borderId="0"/>
    <xf numFmtId="0" fontId="1" fillId="0" borderId="0"/>
    <xf numFmtId="0" fontId="1" fillId="0" borderId="0"/>
    <xf numFmtId="0" fontId="3" fillId="0" borderId="0"/>
    <xf numFmtId="0" fontId="1" fillId="0" borderId="0"/>
    <xf numFmtId="191" fontId="1" fillId="0" borderId="0"/>
    <xf numFmtId="41" fontId="147" fillId="0" borderId="0"/>
    <xf numFmtId="191" fontId="1" fillId="0" borderId="0"/>
    <xf numFmtId="3" fontId="5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8" fillId="7" borderId="0" applyNumberFormat="0"/>
    <xf numFmtId="0" fontId="3" fillId="0" borderId="0"/>
    <xf numFmtId="0" fontId="3" fillId="0" borderId="0"/>
    <xf numFmtId="3" fontId="51" fillId="0" borderId="0"/>
    <xf numFmtId="0" fontId="1" fillId="0" borderId="0"/>
    <xf numFmtId="0" fontId="1" fillId="0" borderId="0"/>
    <xf numFmtId="0" fontId="3" fillId="0" borderId="0"/>
    <xf numFmtId="0" fontId="1" fillId="0" borderId="0"/>
    <xf numFmtId="0" fontId="4"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8" fillId="7" borderId="0" applyNumberFormat="0"/>
    <xf numFmtId="0" fontId="3" fillId="0" borderId="0"/>
    <xf numFmtId="0" fontId="3" fillId="0" borderId="0"/>
    <xf numFmtId="3" fontId="51" fillId="0" borderId="0"/>
    <xf numFmtId="0" fontId="1" fillId="0" borderId="0"/>
    <xf numFmtId="0" fontId="1" fillId="0" borderId="0"/>
    <xf numFmtId="0" fontId="3" fillId="0" borderId="0"/>
    <xf numFmtId="0" fontId="4"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3" fontId="51" fillId="0" borderId="0"/>
    <xf numFmtId="0" fontId="1" fillId="0" borderId="0"/>
    <xf numFmtId="0" fontId="1" fillId="0" borderId="0"/>
    <xf numFmtId="0" fontId="1" fillId="0" borderId="0"/>
    <xf numFmtId="0" fontId="1" fillId="0" borderId="0"/>
    <xf numFmtId="0" fontId="1" fillId="0" borderId="0"/>
    <xf numFmtId="3" fontId="51" fillId="0" borderId="0"/>
    <xf numFmtId="3" fontId="51" fillId="0" borderId="0"/>
    <xf numFmtId="3" fontId="51" fillId="0" borderId="0"/>
    <xf numFmtId="3" fontId="51" fillId="0" borderId="0"/>
    <xf numFmtId="3" fontId="51" fillId="0" borderId="0"/>
    <xf numFmtId="0" fontId="148" fillId="7" borderId="0" applyNumberFormat="0"/>
    <xf numFmtId="0" fontId="1" fillId="0" borderId="0"/>
    <xf numFmtId="0" fontId="1" fillId="0" borderId="0"/>
    <xf numFmtId="0" fontId="1" fillId="0" borderId="0"/>
    <xf numFmtId="0" fontId="1" fillId="0" borderId="0"/>
    <xf numFmtId="0" fontId="1" fillId="0" borderId="0"/>
    <xf numFmtId="0" fontId="4" fillId="0" borderId="0"/>
    <xf numFmtId="3" fontId="51" fillId="0" borderId="0"/>
    <xf numFmtId="0" fontId="1" fillId="0" borderId="0"/>
    <xf numFmtId="3" fontId="51" fillId="0" borderId="0"/>
    <xf numFmtId="3" fontId="51" fillId="0" borderId="0"/>
    <xf numFmtId="3" fontId="51" fillId="0" borderId="0"/>
    <xf numFmtId="3" fontId="51" fillId="0" borderId="0"/>
    <xf numFmtId="3" fontId="51" fillId="0" borderId="0"/>
    <xf numFmtId="3" fontId="51" fillId="0" borderId="0"/>
    <xf numFmtId="3" fontId="51" fillId="0" borderId="0"/>
    <xf numFmtId="3" fontId="51" fillId="0" borderId="0"/>
    <xf numFmtId="3" fontId="51" fillId="0" borderId="0"/>
    <xf numFmtId="3" fontId="51" fillId="0" borderId="0"/>
    <xf numFmtId="0" fontId="148" fillId="7" borderId="0" applyNumberFormat="0"/>
    <xf numFmtId="0" fontId="1" fillId="0" borderId="0"/>
    <xf numFmtId="0" fontId="1" fillId="0" borderId="0"/>
    <xf numFmtId="0" fontId="1" fillId="0" borderId="0"/>
    <xf numFmtId="0" fontId="4" fillId="0" borderId="0"/>
    <xf numFmtId="0" fontId="3" fillId="0" borderId="0"/>
    <xf numFmtId="3" fontId="51" fillId="0" borderId="0"/>
    <xf numFmtId="0" fontId="1" fillId="0" borderId="0"/>
    <xf numFmtId="3" fontId="51" fillId="0" borderId="0"/>
    <xf numFmtId="3" fontId="51" fillId="0" borderId="0"/>
    <xf numFmtId="3" fontId="51" fillId="0" borderId="0"/>
    <xf numFmtId="3" fontId="51" fillId="0" borderId="0"/>
    <xf numFmtId="3" fontId="51" fillId="0" borderId="0"/>
    <xf numFmtId="0" fontId="1" fillId="0" borderId="0"/>
    <xf numFmtId="0" fontId="1" fillId="0" borderId="0"/>
    <xf numFmtId="0" fontId="1" fillId="0" borderId="0"/>
    <xf numFmtId="0" fontId="1" fillId="0" borderId="0"/>
    <xf numFmtId="0" fontId="1" fillId="0" borderId="0"/>
    <xf numFmtId="0" fontId="148" fillId="7" borderId="0" applyNumberFormat="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29" fillId="0" borderId="0"/>
    <xf numFmtId="0" fontId="4" fillId="0" borderId="0"/>
    <xf numFmtId="0" fontId="1" fillId="0" borderId="0"/>
    <xf numFmtId="0" fontId="1" fillId="0" borderId="0"/>
    <xf numFmtId="0" fontId="4" fillId="0" borderId="0" applyFont="0" applyFill="0" applyBorder="0" applyAlignment="0" applyProtection="0"/>
    <xf numFmtId="0" fontId="1" fillId="0" borderId="0"/>
    <xf numFmtId="0" fontId="4" fillId="0" borderId="0"/>
    <xf numFmtId="0" fontId="1" fillId="0" borderId="0"/>
    <xf numFmtId="0" fontId="80" fillId="0" borderId="0"/>
    <xf numFmtId="0" fontId="29" fillId="0" borderId="0"/>
    <xf numFmtId="0" fontId="3" fillId="0" borderId="0"/>
    <xf numFmtId="0" fontId="3" fillId="0" borderId="0"/>
    <xf numFmtId="0" fontId="69" fillId="0" borderId="0"/>
    <xf numFmtId="0" fontId="4" fillId="0" borderId="0"/>
    <xf numFmtId="0" fontId="29" fillId="0" borderId="0"/>
    <xf numFmtId="0" fontId="4" fillId="0" borderId="0"/>
    <xf numFmtId="0" fontId="3" fillId="0" borderId="0"/>
    <xf numFmtId="0" fontId="3" fillId="0" borderId="0"/>
    <xf numFmtId="0" fontId="3" fillId="0" borderId="0" applyFont="0" applyFill="0" applyBorder="0" applyAlignment="0" applyProtection="0"/>
    <xf numFmtId="0" fontId="29" fillId="0" borderId="0"/>
    <xf numFmtId="191" fontId="51" fillId="0" borderId="0"/>
    <xf numFmtId="0" fontId="3" fillId="0" borderId="0"/>
    <xf numFmtId="191" fontId="51" fillId="0" borderId="0"/>
    <xf numFmtId="191" fontId="51" fillId="0" borderId="0"/>
    <xf numFmtId="0" fontId="4" fillId="0" borderId="0"/>
    <xf numFmtId="0" fontId="29" fillId="0" borderId="0"/>
    <xf numFmtId="0" fontId="4" fillId="0" borderId="0"/>
    <xf numFmtId="0" fontId="4" fillId="0" borderId="0"/>
    <xf numFmtId="0" fontId="29" fillId="0" borderId="0"/>
    <xf numFmtId="0" fontId="3" fillId="0" borderId="0"/>
    <xf numFmtId="0" fontId="4" fillId="0" borderId="0"/>
    <xf numFmtId="0" fontId="3" fillId="0" borderId="0"/>
    <xf numFmtId="0" fontId="1" fillId="0" borderId="0"/>
    <xf numFmtId="0" fontId="65" fillId="0" borderId="0"/>
    <xf numFmtId="0" fontId="3" fillId="0" borderId="0"/>
    <xf numFmtId="0" fontId="3" fillId="0" borderId="0" applyBorder="0"/>
    <xf numFmtId="0" fontId="3" fillId="0" borderId="0" applyFont="0" applyFill="0" applyBorder="0" applyAlignment="0" applyProtection="0"/>
    <xf numFmtId="0" fontId="29"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191" fontId="51" fillId="0" borderId="0"/>
    <xf numFmtId="0" fontId="1" fillId="0" borderId="0"/>
    <xf numFmtId="0" fontId="1" fillId="0" borderId="0"/>
    <xf numFmtId="0" fontId="1" fillId="0" borderId="0"/>
    <xf numFmtId="0" fontId="3" fillId="0" borderId="0"/>
    <xf numFmtId="0" fontId="1" fillId="0" borderId="0"/>
    <xf numFmtId="0" fontId="3"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applyFont="0" applyFill="0" applyBorder="0" applyAlignment="0" applyProtection="0"/>
    <xf numFmtId="0" fontId="1" fillId="0" borderId="0"/>
    <xf numFmtId="0" fontId="1" fillId="0" borderId="0"/>
    <xf numFmtId="0" fontId="1" fillId="0" borderId="0"/>
    <xf numFmtId="41" fontId="147" fillId="0" borderId="0"/>
    <xf numFmtId="0" fontId="4" fillId="0" borderId="0"/>
    <xf numFmtId="0" fontId="1" fillId="0" borderId="0"/>
    <xf numFmtId="0" fontId="4"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applyFont="0" applyFill="0" applyBorder="0" applyAlignment="0" applyProtection="0"/>
    <xf numFmtId="0" fontId="1" fillId="0" borderId="0"/>
    <xf numFmtId="0" fontId="4" fillId="0" borderId="0"/>
    <xf numFmtId="0" fontId="1" fillId="0" borderId="0"/>
    <xf numFmtId="0" fontId="4" fillId="0" borderId="0"/>
    <xf numFmtId="0" fontId="1" fillId="0" borderId="0"/>
    <xf numFmtId="0" fontId="4" fillId="0" borderId="0"/>
    <xf numFmtId="0" fontId="1" fillId="0" borderId="0"/>
    <xf numFmtId="0" fontId="4" fillId="0" borderId="0"/>
    <xf numFmtId="0" fontId="3" fillId="0" borderId="0"/>
    <xf numFmtId="0" fontId="1" fillId="0" borderId="0"/>
    <xf numFmtId="0" fontId="1" fillId="0" borderId="0"/>
    <xf numFmtId="0" fontId="1" fillId="0" borderId="0"/>
    <xf numFmtId="0" fontId="1" fillId="0" borderId="0"/>
    <xf numFmtId="0" fontId="62" fillId="0" borderId="0"/>
    <xf numFmtId="0" fontId="3" fillId="0" borderId="0"/>
    <xf numFmtId="0" fontId="4" fillId="0" borderId="0"/>
    <xf numFmtId="0" fontId="1" fillId="0" borderId="0"/>
    <xf numFmtId="0" fontId="4" fillId="0" borderId="0"/>
    <xf numFmtId="189" fontId="1" fillId="0" borderId="0"/>
    <xf numFmtId="189" fontId="1" fillId="0" borderId="0"/>
    <xf numFmtId="189" fontId="1" fillId="0" borderId="0"/>
    <xf numFmtId="189" fontId="1" fillId="0" borderId="0"/>
    <xf numFmtId="189" fontId="1" fillId="0" borderId="0"/>
    <xf numFmtId="0" fontId="63" fillId="0" borderId="0"/>
    <xf numFmtId="2" fontId="3" fillId="0" borderId="0"/>
    <xf numFmtId="0" fontId="1" fillId="0" borderId="0"/>
    <xf numFmtId="0" fontId="4" fillId="0" borderId="0"/>
    <xf numFmtId="0" fontId="3" fillId="0" borderId="0"/>
    <xf numFmtId="0" fontId="1" fillId="0" borderId="0"/>
    <xf numFmtId="2" fontId="3" fillId="0" borderId="0"/>
    <xf numFmtId="0" fontId="3" fillId="0" borderId="0"/>
    <xf numFmtId="0" fontId="4" fillId="0" borderId="0"/>
    <xf numFmtId="0" fontId="4" fillId="0" borderId="0" applyFont="0" applyFill="0" applyBorder="0" applyAlignment="0" applyProtection="0"/>
    <xf numFmtId="0" fontId="1" fillId="0" borderId="0"/>
    <xf numFmtId="2" fontId="3" fillId="0" borderId="0"/>
    <xf numFmtId="0" fontId="1" fillId="0" borderId="0"/>
    <xf numFmtId="0" fontId="4" fillId="0" borderId="0"/>
    <xf numFmtId="41" fontId="147" fillId="0" borderId="0"/>
    <xf numFmtId="2" fontId="3" fillId="0" borderId="0"/>
    <xf numFmtId="0" fontId="3" fillId="0" borderId="0"/>
    <xf numFmtId="0" fontId="1" fillId="0" borderId="0"/>
    <xf numFmtId="0" fontId="1" fillId="0" borderId="0"/>
    <xf numFmtId="191" fontId="1" fillId="0" borderId="0"/>
    <xf numFmtId="0" fontId="149" fillId="0" borderId="0"/>
    <xf numFmtId="0" fontId="1" fillId="0" borderId="0"/>
    <xf numFmtId="3" fontId="51" fillId="0" borderId="0"/>
    <xf numFmtId="0" fontId="3" fillId="0" borderId="0"/>
    <xf numFmtId="0" fontId="3" fillId="0" borderId="0"/>
    <xf numFmtId="191" fontId="1" fillId="0" borderId="0"/>
    <xf numFmtId="3" fontId="51" fillId="0" borderId="0"/>
    <xf numFmtId="191" fontId="1" fillId="0" borderId="0"/>
    <xf numFmtId="191" fontId="1" fillId="0" borderId="0"/>
    <xf numFmtId="0" fontId="4" fillId="0" borderId="0"/>
    <xf numFmtId="191" fontId="1" fillId="0" borderId="0"/>
    <xf numFmtId="0" fontId="70" fillId="0" borderId="0"/>
    <xf numFmtId="191" fontId="1" fillId="0" borderId="0"/>
    <xf numFmtId="0" fontId="1" fillId="0" borderId="0"/>
    <xf numFmtId="0" fontId="1" fillId="0" borderId="0"/>
    <xf numFmtId="0" fontId="1" fillId="0" borderId="0"/>
    <xf numFmtId="0" fontId="1" fillId="0" borderId="0"/>
    <xf numFmtId="191" fontId="1" fillId="0" borderId="0"/>
    <xf numFmtId="0" fontId="33" fillId="0" borderId="0"/>
    <xf numFmtId="0" fontId="1" fillId="0" borderId="0"/>
    <xf numFmtId="0" fontId="1" fillId="0" borderId="0"/>
    <xf numFmtId="191" fontId="1" fillId="0" borderId="0"/>
    <xf numFmtId="191" fontId="1" fillId="0" borderId="0"/>
    <xf numFmtId="191" fontId="1" fillId="0" borderId="0"/>
    <xf numFmtId="191" fontId="1" fillId="0" borderId="0"/>
    <xf numFmtId="191" fontId="1" fillId="0" borderId="0"/>
    <xf numFmtId="191" fontId="1" fillId="0" borderId="0"/>
    <xf numFmtId="3" fontId="51" fillId="0" borderId="0"/>
    <xf numFmtId="3" fontId="51" fillId="0" borderId="0"/>
    <xf numFmtId="0" fontId="4" fillId="0" borderId="0"/>
    <xf numFmtId="191" fontId="1" fillId="0" borderId="0"/>
    <xf numFmtId="191" fontId="1" fillId="0" borderId="0"/>
    <xf numFmtId="191" fontId="1" fillId="0" borderId="0"/>
    <xf numFmtId="0" fontId="4" fillId="0" borderId="0"/>
    <xf numFmtId="191" fontId="1" fillId="0" borderId="0"/>
    <xf numFmtId="191" fontId="1" fillId="0" borderId="0"/>
    <xf numFmtId="191" fontId="1" fillId="0" borderId="0"/>
    <xf numFmtId="191" fontId="1" fillId="0" borderId="0"/>
    <xf numFmtId="191" fontId="1" fillId="0" borderId="0"/>
    <xf numFmtId="0" fontId="1" fillId="0" borderId="0"/>
    <xf numFmtId="0" fontId="1" fillId="0" borderId="0"/>
    <xf numFmtId="0" fontId="1" fillId="0" borderId="0"/>
    <xf numFmtId="0" fontId="1" fillId="0" borderId="0"/>
    <xf numFmtId="191" fontId="1" fillId="0" borderId="0"/>
    <xf numFmtId="0" fontId="1" fillId="0" borderId="0"/>
    <xf numFmtId="0" fontId="1" fillId="0" borderId="0"/>
    <xf numFmtId="0" fontId="1" fillId="0" borderId="0"/>
    <xf numFmtId="0" fontId="1" fillId="0" borderId="0"/>
    <xf numFmtId="0" fontId="1" fillId="0" borderId="0"/>
    <xf numFmtId="191" fontId="1" fillId="0" borderId="0"/>
    <xf numFmtId="191" fontId="1" fillId="0" borderId="0"/>
    <xf numFmtId="191" fontId="1" fillId="0" borderId="0"/>
    <xf numFmtId="191" fontId="1" fillId="0" borderId="0"/>
    <xf numFmtId="0" fontId="4" fillId="0" borderId="0"/>
    <xf numFmtId="19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91" fontId="1" fillId="0" borderId="0"/>
    <xf numFmtId="0" fontId="3" fillId="0" borderId="0"/>
    <xf numFmtId="0" fontId="3" fillId="0" borderId="0"/>
    <xf numFmtId="0" fontId="1" fillId="0" borderId="0"/>
    <xf numFmtId="0" fontId="4" fillId="0" borderId="0"/>
    <xf numFmtId="0" fontId="1" fillId="0" borderId="0"/>
    <xf numFmtId="0" fontId="1" fillId="0" borderId="0"/>
    <xf numFmtId="0" fontId="1" fillId="0" borderId="0"/>
    <xf numFmtId="0" fontId="1" fillId="0" borderId="0"/>
    <xf numFmtId="0" fontId="150" fillId="0" borderId="0">
      <alignment vertical="center"/>
    </xf>
    <xf numFmtId="0" fontId="1" fillId="0" borderId="0"/>
    <xf numFmtId="0" fontId="1" fillId="0" borderId="0"/>
    <xf numFmtId="0" fontId="4" fillId="0" borderId="0"/>
    <xf numFmtId="0" fontId="151" fillId="0" borderId="0"/>
    <xf numFmtId="0" fontId="4" fillId="0" borderId="0"/>
    <xf numFmtId="0" fontId="4" fillId="0" borderId="0" applyFont="0" applyFill="0" applyBorder="0" applyAlignment="0" applyProtection="0"/>
    <xf numFmtId="41" fontId="147" fillId="0" borderId="0"/>
    <xf numFmtId="2" fontId="3" fillId="0" borderId="0"/>
    <xf numFmtId="0" fontId="3" fillId="0" borderId="0"/>
    <xf numFmtId="0" fontId="4" fillId="0" borderId="0"/>
    <xf numFmtId="2" fontId="3" fillId="0" borderId="0"/>
    <xf numFmtId="0" fontId="4" fillId="0" borderId="0"/>
    <xf numFmtId="0" fontId="1" fillId="0" borderId="0"/>
    <xf numFmtId="0" fontId="1" fillId="0" borderId="0"/>
    <xf numFmtId="0" fontId="1" fillId="0" borderId="0"/>
    <xf numFmtId="2" fontId="3" fillId="0" borderId="0"/>
    <xf numFmtId="0" fontId="1" fillId="0" borderId="0"/>
    <xf numFmtId="0" fontId="4" fillId="0" borderId="0"/>
    <xf numFmtId="0" fontId="1" fillId="0" borderId="0"/>
    <xf numFmtId="2" fontId="3" fillId="0" borderId="0"/>
    <xf numFmtId="0" fontId="1" fillId="0" borderId="0"/>
    <xf numFmtId="0" fontId="4" fillId="0" borderId="0"/>
    <xf numFmtId="0" fontId="1" fillId="0" borderId="0"/>
    <xf numFmtId="0" fontId="1" fillId="0" borderId="0"/>
    <xf numFmtId="2" fontId="3" fillId="0" borderId="0"/>
    <xf numFmtId="0" fontId="3" fillId="0" borderId="0"/>
    <xf numFmtId="0" fontId="4" fillId="0" borderId="0"/>
    <xf numFmtId="0" fontId="1" fillId="0" borderId="0"/>
    <xf numFmtId="0" fontId="1" fillId="0" borderId="0"/>
    <xf numFmtId="0" fontId="1" fillId="0" borderId="0"/>
    <xf numFmtId="0" fontId="29" fillId="0" borderId="0"/>
    <xf numFmtId="0" fontId="1" fillId="0" borderId="0"/>
    <xf numFmtId="0" fontId="4" fillId="0" borderId="0"/>
    <xf numFmtId="2" fontId="3" fillId="0" borderId="0"/>
    <xf numFmtId="0" fontId="4" fillId="0" borderId="0"/>
    <xf numFmtId="2" fontId="3" fillId="0" borderId="0"/>
    <xf numFmtId="0" fontId="4" fillId="0" borderId="0"/>
    <xf numFmtId="2" fontId="3" fillId="0" borderId="0"/>
    <xf numFmtId="0" fontId="4" fillId="0" borderId="0"/>
    <xf numFmtId="3" fontId="51" fillId="0" borderId="0"/>
    <xf numFmtId="3" fontId="51" fillId="0" borderId="0"/>
    <xf numFmtId="0" fontId="3" fillId="0" borderId="0"/>
    <xf numFmtId="0" fontId="29" fillId="0" borderId="0"/>
    <xf numFmtId="0" fontId="3" fillId="0" borderId="0"/>
    <xf numFmtId="0" fontId="71" fillId="0" borderId="0"/>
    <xf numFmtId="191" fontId="1" fillId="0" borderId="0"/>
    <xf numFmtId="3" fontId="51" fillId="0" borderId="0"/>
    <xf numFmtId="191" fontId="1" fillId="0" borderId="0"/>
    <xf numFmtId="191" fontId="1" fillId="0" borderId="0"/>
    <xf numFmtId="0" fontId="4" fillId="0" borderId="0"/>
    <xf numFmtId="191" fontId="1" fillId="0" borderId="0"/>
    <xf numFmtId="0" fontId="71" fillId="0" borderId="0"/>
    <xf numFmtId="191" fontId="1" fillId="0" borderId="0"/>
    <xf numFmtId="191" fontId="1" fillId="0" borderId="0"/>
    <xf numFmtId="191" fontId="1" fillId="0" borderId="0"/>
    <xf numFmtId="191" fontId="1" fillId="0" borderId="0"/>
    <xf numFmtId="191" fontId="1" fillId="0" borderId="0"/>
    <xf numFmtId="191" fontId="1" fillId="0" borderId="0"/>
    <xf numFmtId="191" fontId="1" fillId="0" borderId="0"/>
    <xf numFmtId="3" fontId="51" fillId="0" borderId="0"/>
    <xf numFmtId="3" fontId="51" fillId="0" borderId="0"/>
    <xf numFmtId="0" fontId="4" fillId="0" borderId="0"/>
    <xf numFmtId="191" fontId="1" fillId="0" borderId="0"/>
    <xf numFmtId="191" fontId="1" fillId="0" borderId="0"/>
    <xf numFmtId="191" fontId="1" fillId="0" borderId="0"/>
    <xf numFmtId="194" fontId="3" fillId="0" borderId="0"/>
    <xf numFmtId="0" fontId="26" fillId="0" borderId="0"/>
    <xf numFmtId="191" fontId="1" fillId="0" borderId="0"/>
    <xf numFmtId="191" fontId="1" fillId="0" borderId="0"/>
    <xf numFmtId="191" fontId="1" fillId="0" borderId="0"/>
    <xf numFmtId="0" fontId="4" fillId="0" borderId="0"/>
    <xf numFmtId="191" fontId="1" fillId="0" borderId="0"/>
    <xf numFmtId="191" fontId="1" fillId="0" borderId="0"/>
    <xf numFmtId="191" fontId="1" fillId="0" borderId="0"/>
    <xf numFmtId="191" fontId="1" fillId="0" borderId="0"/>
    <xf numFmtId="191" fontId="1" fillId="0" borderId="0"/>
    <xf numFmtId="191" fontId="1" fillId="0" borderId="0"/>
    <xf numFmtId="0" fontId="4" fillId="0" borderId="0"/>
    <xf numFmtId="191" fontId="1" fillId="0" borderId="0"/>
    <xf numFmtId="191" fontId="1" fillId="0" borderId="0"/>
    <xf numFmtId="191" fontId="1" fillId="0" borderId="0"/>
    <xf numFmtId="191" fontId="1" fillId="0" borderId="0"/>
    <xf numFmtId="191" fontId="1" fillId="0" borderId="0"/>
    <xf numFmtId="191" fontId="1" fillId="0" borderId="0"/>
    <xf numFmtId="191" fontId="1" fillId="0" borderId="0"/>
    <xf numFmtId="0" fontId="29" fillId="0" borderId="0"/>
    <xf numFmtId="191" fontId="1" fillId="0" borderId="0"/>
    <xf numFmtId="194" fontId="4" fillId="0" borderId="0"/>
    <xf numFmtId="191" fontId="1" fillId="0" borderId="0"/>
    <xf numFmtId="0" fontId="29" fillId="0" borderId="0"/>
    <xf numFmtId="0" fontId="3" fillId="0" borderId="0"/>
    <xf numFmtId="191" fontId="1" fillId="0" borderId="0"/>
    <xf numFmtId="3" fontId="51" fillId="0" borderId="0"/>
    <xf numFmtId="3" fontId="51" fillId="0" borderId="0"/>
    <xf numFmtId="0" fontId="4" fillId="0" borderId="0"/>
    <xf numFmtId="0" fontId="4" fillId="0" borderId="0"/>
    <xf numFmtId="3" fontId="51" fillId="0" borderId="0"/>
    <xf numFmtId="0" fontId="4" fillId="0" borderId="0"/>
    <xf numFmtId="3" fontId="51" fillId="0" borderId="0"/>
    <xf numFmtId="0" fontId="4" fillId="0" borderId="0"/>
    <xf numFmtId="41" fontId="147" fillId="0" borderId="0"/>
    <xf numFmtId="3" fontId="51" fillId="0" borderId="0"/>
    <xf numFmtId="0" fontId="3" fillId="0" borderId="0"/>
    <xf numFmtId="0" fontId="4" fillId="0" borderId="0"/>
    <xf numFmtId="41" fontId="147" fillId="0" borderId="0"/>
    <xf numFmtId="3" fontId="51" fillId="0" borderId="0"/>
    <xf numFmtId="0" fontId="3" fillId="0" borderId="0"/>
    <xf numFmtId="0" fontId="4" fillId="0" borderId="0"/>
    <xf numFmtId="41" fontId="147" fillId="0" borderId="0"/>
    <xf numFmtId="3" fontId="51" fillId="0" borderId="0"/>
    <xf numFmtId="0" fontId="3" fillId="0" borderId="0"/>
    <xf numFmtId="0" fontId="4" fillId="0" borderId="0"/>
    <xf numFmtId="41" fontId="147" fillId="0" borderId="0"/>
    <xf numFmtId="3" fontId="51" fillId="0" borderId="0"/>
    <xf numFmtId="0" fontId="3" fillId="0" borderId="0"/>
    <xf numFmtId="0" fontId="4" fillId="0" borderId="0"/>
    <xf numFmtId="3" fontId="51" fillId="0" borderId="0"/>
    <xf numFmtId="3" fontId="51" fillId="0" borderId="0"/>
    <xf numFmtId="0" fontId="1" fillId="0" borderId="0"/>
    <xf numFmtId="0" fontId="1" fillId="0" borderId="0"/>
    <xf numFmtId="3" fontId="51" fillId="0" borderId="0"/>
    <xf numFmtId="0" fontId="1" fillId="0" borderId="0"/>
    <xf numFmtId="0" fontId="1" fillId="0" borderId="0"/>
    <xf numFmtId="3" fontId="51" fillId="0" borderId="0"/>
    <xf numFmtId="0" fontId="1" fillId="0" borderId="0"/>
    <xf numFmtId="0" fontId="1" fillId="0" borderId="0"/>
    <xf numFmtId="0" fontId="1" fillId="0" borderId="0"/>
    <xf numFmtId="0" fontId="1" fillId="0" borderId="0"/>
    <xf numFmtId="0" fontId="152" fillId="0" borderId="0"/>
    <xf numFmtId="0" fontId="3" fillId="0" borderId="0" applyBorder="0"/>
    <xf numFmtId="0" fontId="1" fillId="0" borderId="0"/>
    <xf numFmtId="0" fontId="3" fillId="0" borderId="0"/>
    <xf numFmtId="191" fontId="4" fillId="0" borderId="0"/>
    <xf numFmtId="191" fontId="4" fillId="0" borderId="0"/>
    <xf numFmtId="0" fontId="3" fillId="0" borderId="0"/>
    <xf numFmtId="0" fontId="3" fillId="0" borderId="0"/>
    <xf numFmtId="0" fontId="3" fillId="0" borderId="0"/>
    <xf numFmtId="191" fontId="4" fillId="0" borderId="0"/>
    <xf numFmtId="191" fontId="4" fillId="0" borderId="0"/>
    <xf numFmtId="191" fontId="4" fillId="0" borderId="0"/>
    <xf numFmtId="0" fontId="3" fillId="0" borderId="0"/>
    <xf numFmtId="0" fontId="3" fillId="0" borderId="0"/>
    <xf numFmtId="0" fontId="3" fillId="0" borderId="0"/>
    <xf numFmtId="0" fontId="4" fillId="0" borderId="0"/>
    <xf numFmtId="0" fontId="3" fillId="0" borderId="0" applyBorder="0"/>
    <xf numFmtId="0" fontId="1" fillId="0" borderId="0"/>
    <xf numFmtId="0" fontId="1" fillId="0" borderId="0"/>
    <xf numFmtId="0" fontId="3" fillId="0" borderId="0" applyBorder="0"/>
    <xf numFmtId="0" fontId="1" fillId="0" borderId="0"/>
    <xf numFmtId="0" fontId="1" fillId="0" borderId="0"/>
    <xf numFmtId="0" fontId="1" fillId="0" borderId="0"/>
    <xf numFmtId="0" fontId="1" fillId="0" borderId="0"/>
    <xf numFmtId="0" fontId="1" fillId="0" borderId="0"/>
    <xf numFmtId="0" fontId="1" fillId="0" borderId="0"/>
    <xf numFmtId="0" fontId="3" fillId="0" borderId="0" applyBorder="0"/>
    <xf numFmtId="0" fontId="3" fillId="0" borderId="0" applyBorder="0"/>
    <xf numFmtId="0" fontId="3" fillId="0" borderId="0"/>
    <xf numFmtId="3" fontId="51" fillId="0" borderId="0"/>
    <xf numFmtId="0" fontId="1" fillId="0" borderId="0"/>
    <xf numFmtId="0" fontId="1" fillId="0" borderId="0"/>
    <xf numFmtId="0" fontId="1" fillId="0" borderId="0"/>
    <xf numFmtId="0" fontId="1" fillId="0" borderId="0"/>
    <xf numFmtId="3" fontId="51" fillId="0" borderId="0"/>
    <xf numFmtId="0" fontId="1" fillId="0" borderId="0"/>
    <xf numFmtId="0" fontId="1" fillId="0" borderId="0"/>
    <xf numFmtId="3" fontId="51" fillId="0" borderId="0"/>
    <xf numFmtId="0" fontId="1" fillId="0" borderId="0"/>
    <xf numFmtId="0" fontId="1" fillId="0" borderId="0"/>
    <xf numFmtId="3" fontId="51" fillId="0" borderId="0"/>
    <xf numFmtId="0" fontId="1" fillId="0" borderId="0"/>
    <xf numFmtId="0" fontId="1" fillId="0" borderId="0"/>
    <xf numFmtId="0" fontId="29" fillId="0" borderId="0"/>
    <xf numFmtId="0" fontId="1" fillId="0" borderId="0"/>
    <xf numFmtId="0" fontId="1" fillId="0" borderId="0"/>
    <xf numFmtId="0" fontId="29" fillId="0" borderId="0"/>
    <xf numFmtId="0" fontId="1" fillId="0" borderId="0"/>
    <xf numFmtId="0" fontId="1" fillId="0" borderId="0"/>
    <xf numFmtId="0" fontId="29" fillId="0" borderId="0"/>
    <xf numFmtId="0" fontId="1" fillId="0" borderId="0"/>
    <xf numFmtId="0" fontId="1" fillId="0" borderId="0"/>
    <xf numFmtId="0" fontId="1" fillId="0" borderId="0"/>
    <xf numFmtId="0" fontId="29" fillId="0" borderId="0"/>
    <xf numFmtId="0" fontId="1" fillId="0" borderId="0"/>
    <xf numFmtId="0" fontId="29" fillId="0" borderId="0"/>
    <xf numFmtId="0" fontId="1" fillId="0" borderId="0"/>
    <xf numFmtId="0" fontId="1" fillId="0" borderId="0"/>
    <xf numFmtId="0" fontId="29" fillId="0" borderId="0"/>
    <xf numFmtId="0" fontId="1" fillId="0" borderId="0"/>
    <xf numFmtId="0" fontId="1" fillId="0" borderId="0"/>
    <xf numFmtId="0" fontId="1" fillId="0" borderId="0"/>
    <xf numFmtId="0" fontId="3" fillId="0" borderId="0" applyBorder="0"/>
    <xf numFmtId="0" fontId="3" fillId="0" borderId="0"/>
    <xf numFmtId="0" fontId="1" fillId="0" borderId="0"/>
    <xf numFmtId="0" fontId="1" fillId="0" borderId="0"/>
    <xf numFmtId="0" fontId="68" fillId="0" borderId="0"/>
    <xf numFmtId="191" fontId="3" fillId="0" borderId="0"/>
    <xf numFmtId="0" fontId="153" fillId="0" borderId="0"/>
    <xf numFmtId="191" fontId="3" fillId="0" borderId="0"/>
    <xf numFmtId="0" fontId="153" fillId="0" borderId="0"/>
    <xf numFmtId="0" fontId="153" fillId="0" borderId="0"/>
    <xf numFmtId="0" fontId="1" fillId="0" borderId="0"/>
    <xf numFmtId="0" fontId="153" fillId="0" borderId="0"/>
    <xf numFmtId="0" fontId="153" fillId="0" borderId="0"/>
    <xf numFmtId="191" fontId="3" fillId="0" borderId="0"/>
    <xf numFmtId="0" fontId="153" fillId="0" borderId="0"/>
    <xf numFmtId="191" fontId="3" fillId="0" borderId="0"/>
    <xf numFmtId="191" fontId="3" fillId="0" borderId="0"/>
    <xf numFmtId="191" fontId="3" fillId="0" borderId="0"/>
    <xf numFmtId="0" fontId="3" fillId="0" borderId="0"/>
    <xf numFmtId="0" fontId="153" fillId="0" borderId="0"/>
    <xf numFmtId="0" fontId="3" fillId="0" borderId="0" applyBorder="0"/>
    <xf numFmtId="0" fontId="153" fillId="0" borderId="0"/>
    <xf numFmtId="0" fontId="153" fillId="0" borderId="0"/>
    <xf numFmtId="0" fontId="1" fillId="0" borderId="0"/>
    <xf numFmtId="0" fontId="153" fillId="0" borderId="0"/>
    <xf numFmtId="0" fontId="153" fillId="0" borderId="0"/>
    <xf numFmtId="0" fontId="3" fillId="0" borderId="0" applyBorder="0"/>
    <xf numFmtId="0" fontId="153" fillId="0" borderId="0"/>
    <xf numFmtId="0" fontId="3" fillId="0" borderId="0" applyBorder="0"/>
    <xf numFmtId="0" fontId="3" fillId="0" borderId="0" applyBorder="0"/>
    <xf numFmtId="0" fontId="3" fillId="0" borderId="0" applyBorder="0"/>
    <xf numFmtId="0" fontId="4" fillId="0" borderId="0" applyFont="0" applyFill="0" applyBorder="0" applyAlignment="0" applyProtection="0"/>
    <xf numFmtId="0" fontId="153" fillId="0" borderId="0"/>
    <xf numFmtId="0" fontId="153" fillId="0" borderId="0"/>
    <xf numFmtId="0" fontId="1" fillId="0" borderId="0"/>
    <xf numFmtId="0" fontId="153" fillId="0" borderId="0"/>
    <xf numFmtId="0" fontId="153" fillId="0" borderId="0"/>
    <xf numFmtId="0" fontId="153" fillId="0" borderId="0"/>
    <xf numFmtId="0" fontId="3" fillId="0" borderId="0" applyBorder="0"/>
    <xf numFmtId="0" fontId="1" fillId="0" borderId="0"/>
    <xf numFmtId="0" fontId="1" fillId="0" borderId="0"/>
    <xf numFmtId="0" fontId="1" fillId="0" borderId="0"/>
    <xf numFmtId="0" fontId="1" fillId="0" borderId="0"/>
    <xf numFmtId="0" fontId="1" fillId="0" borderId="0"/>
    <xf numFmtId="0" fontId="153" fillId="0" borderId="0"/>
    <xf numFmtId="0" fontId="29" fillId="0" borderId="0"/>
    <xf numFmtId="0" fontId="1" fillId="0" borderId="0"/>
    <xf numFmtId="0" fontId="1" fillId="0" borderId="0"/>
    <xf numFmtId="0" fontId="29" fillId="0" borderId="0"/>
    <xf numFmtId="0" fontId="1" fillId="0" borderId="0"/>
    <xf numFmtId="0" fontId="1" fillId="0" borderId="0"/>
    <xf numFmtId="0" fontId="29" fillId="0" borderId="0"/>
    <xf numFmtId="0" fontId="1" fillId="0" borderId="0"/>
    <xf numFmtId="0" fontId="1" fillId="0" borderId="0"/>
    <xf numFmtId="0" fontId="29" fillId="0" borderId="0"/>
    <xf numFmtId="0" fontId="29" fillId="0" borderId="0"/>
    <xf numFmtId="0" fontId="29" fillId="0" borderId="0"/>
    <xf numFmtId="0" fontId="29" fillId="0" borderId="0"/>
    <xf numFmtId="3" fontId="51" fillId="0" borderId="0"/>
    <xf numFmtId="0" fontId="4" fillId="0" borderId="0"/>
    <xf numFmtId="3" fontId="51" fillId="0" borderId="0"/>
    <xf numFmtId="3" fontId="51" fillId="0" borderId="0"/>
    <xf numFmtId="3" fontId="51" fillId="0" borderId="0"/>
    <xf numFmtId="0" fontId="63" fillId="0" borderId="0"/>
    <xf numFmtId="2" fontId="3" fillId="0" borderId="0"/>
    <xf numFmtId="0" fontId="3" fillId="0" borderId="0"/>
    <xf numFmtId="2" fontId="3" fillId="0" borderId="0"/>
    <xf numFmtId="2" fontId="3" fillId="0" borderId="0"/>
    <xf numFmtId="2" fontId="3" fillId="0" borderId="0"/>
    <xf numFmtId="0" fontId="4"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4" fillId="0" borderId="0"/>
    <xf numFmtId="0" fontId="4" fillId="0" borderId="0"/>
    <xf numFmtId="2" fontId="3" fillId="0" borderId="0"/>
    <xf numFmtId="0" fontId="4" fillId="0" borderId="0"/>
    <xf numFmtId="2" fontId="3" fillId="0" borderId="0"/>
    <xf numFmtId="2" fontId="3" fillId="0" borderId="0"/>
    <xf numFmtId="2" fontId="3" fillId="0" borderId="0"/>
    <xf numFmtId="2" fontId="3" fillId="0" borderId="0"/>
    <xf numFmtId="2" fontId="3" fillId="0" borderId="0"/>
    <xf numFmtId="2" fontId="3" fillId="0" borderId="0"/>
    <xf numFmtId="2" fontId="3" fillId="0" borderId="0"/>
    <xf numFmtId="2" fontId="3" fillId="0" borderId="0"/>
    <xf numFmtId="2" fontId="3" fillId="0" borderId="0"/>
    <xf numFmtId="2" fontId="3" fillId="0" borderId="0"/>
    <xf numFmtId="0" fontId="33" fillId="0" borderId="0"/>
    <xf numFmtId="2" fontId="3" fillId="0" borderId="0"/>
    <xf numFmtId="2" fontId="3" fillId="0" borderId="0"/>
    <xf numFmtId="0" fontId="3" fillId="0" borderId="0"/>
    <xf numFmtId="41" fontId="147" fillId="0" borderId="0"/>
    <xf numFmtId="0" fontId="4" fillId="0" borderId="0"/>
    <xf numFmtId="0" fontId="3" fillId="0" borderId="0"/>
    <xf numFmtId="2" fontId="3" fillId="0" borderId="0"/>
    <xf numFmtId="0" fontId="3" fillId="0" borderId="0"/>
    <xf numFmtId="2" fontId="3" fillId="0" borderId="0"/>
    <xf numFmtId="2" fontId="3" fillId="0" borderId="0"/>
    <xf numFmtId="2" fontId="3" fillId="0" borderId="0"/>
    <xf numFmtId="3" fontId="51" fillId="0" borderId="0"/>
    <xf numFmtId="0" fontId="29" fillId="0" borderId="0"/>
    <xf numFmtId="0" fontId="4" fillId="0" borderId="0"/>
    <xf numFmtId="0" fontId="29" fillId="0" borderId="0"/>
    <xf numFmtId="0" fontId="29" fillId="0" borderId="0"/>
    <xf numFmtId="2" fontId="3" fillId="0" borderId="0"/>
    <xf numFmtId="2" fontId="3" fillId="0" borderId="0"/>
    <xf numFmtId="2" fontId="3" fillId="0" borderId="0"/>
    <xf numFmtId="2" fontId="3" fillId="0" borderId="0"/>
    <xf numFmtId="2" fontId="3" fillId="0" borderId="0"/>
    <xf numFmtId="0" fontId="154" fillId="0" borderId="0"/>
    <xf numFmtId="3" fontId="51" fillId="0" borderId="0"/>
    <xf numFmtId="0" fontId="3" fillId="0" borderId="0"/>
    <xf numFmtId="41" fontId="147" fillId="0" borderId="0"/>
    <xf numFmtId="0" fontId="3" fillId="0" borderId="0"/>
    <xf numFmtId="0" fontId="3" fillId="0" borderId="0"/>
    <xf numFmtId="2" fontId="3" fillId="0" borderId="0"/>
    <xf numFmtId="2" fontId="3" fillId="0" borderId="0"/>
    <xf numFmtId="2" fontId="3" fillId="0" borderId="0"/>
    <xf numFmtId="2" fontId="3" fillId="0" borderId="0"/>
    <xf numFmtId="3" fontId="51" fillId="0" borderId="0"/>
    <xf numFmtId="3" fontId="51" fillId="0" borderId="0"/>
    <xf numFmtId="0" fontId="29" fillId="0" borderId="0"/>
    <xf numFmtId="0" fontId="29" fillId="0" borderId="0"/>
    <xf numFmtId="0" fontId="29" fillId="0" borderId="0"/>
    <xf numFmtId="0" fontId="29" fillId="0" borderId="0"/>
    <xf numFmtId="0" fontId="29" fillId="0" borderId="0"/>
    <xf numFmtId="233" fontId="3" fillId="0" borderId="0" applyFill="0" applyBorder="0" applyAlignment="0" applyProtection="0">
      <alignment horizontal="right"/>
    </xf>
    <xf numFmtId="233" fontId="3" fillId="0" borderId="0" applyFill="0" applyBorder="0" applyAlignment="0" applyProtection="0">
      <alignment horizontal="right"/>
    </xf>
    <xf numFmtId="233" fontId="3" fillId="0" borderId="0" applyFill="0" applyBorder="0" applyAlignment="0" applyProtection="0">
      <alignment horizontal="right"/>
    </xf>
    <xf numFmtId="233" fontId="3" fillId="0" borderId="0" applyFill="0" applyBorder="0" applyAlignment="0" applyProtection="0">
      <alignment horizontal="right"/>
    </xf>
    <xf numFmtId="233" fontId="3" fillId="0" borderId="0" applyFill="0" applyBorder="0" applyAlignment="0" applyProtection="0">
      <alignment horizontal="right"/>
    </xf>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88"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4"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80" fillId="12" borderId="30" applyNumberFormat="0" applyFont="0" applyAlignment="0" applyProtection="0"/>
    <xf numFmtId="0" fontId="155" fillId="0" borderId="4"/>
    <xf numFmtId="0" fontId="156" fillId="0" borderId="4"/>
    <xf numFmtId="0" fontId="156" fillId="0" borderId="4"/>
    <xf numFmtId="0" fontId="156" fillId="0" borderId="4"/>
    <xf numFmtId="0" fontId="156" fillId="0" borderId="4"/>
    <xf numFmtId="0" fontId="155" fillId="0" borderId="4"/>
    <xf numFmtId="4" fontId="27" fillId="0" borderId="0" applyFont="0" applyFill="0" applyBorder="0" applyAlignment="0" applyProtection="0"/>
    <xf numFmtId="4" fontId="3" fillId="0" borderId="0" applyFont="0" applyFill="0" applyBorder="0" applyAlignment="0" applyProtection="0">
      <alignment horizontal="left"/>
    </xf>
    <xf numFmtId="234" fontId="157" fillId="0" borderId="0" applyFill="0" applyBorder="0" applyProtection="0">
      <alignment horizontal="right"/>
    </xf>
    <xf numFmtId="0" fontId="158" fillId="0" borderId="13" applyNumberFormat="0" applyFont="0" applyFill="0" applyAlignment="0" applyProtection="0">
      <alignment horizontal="center"/>
    </xf>
    <xf numFmtId="0" fontId="158" fillId="0" borderId="13" applyNumberFormat="0" applyFont="0" applyFill="0" applyAlignment="0" applyProtection="0">
      <alignment horizontal="center"/>
    </xf>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20" borderId="31" applyNumberFormat="0" applyAlignment="0" applyProtection="0"/>
    <xf numFmtId="0" fontId="159" fillId="39" borderId="31" applyNumberFormat="0" applyAlignment="0" applyProtection="0"/>
    <xf numFmtId="0" fontId="160" fillId="20"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159" fillId="39" borderId="31" applyNumberFormat="0" applyAlignment="0" applyProtection="0"/>
    <xf numFmtId="0" fontId="78" fillId="0" borderId="0" applyFont="0" applyFill="0" applyBorder="0" applyAlignment="0" applyProtection="0"/>
    <xf numFmtId="0" fontId="78" fillId="0" borderId="0" applyFont="0" applyFill="0" applyBorder="0" applyAlignment="0" applyProtection="0"/>
    <xf numFmtId="0" fontId="4" fillId="0" borderId="0"/>
    <xf numFmtId="0" fontId="142" fillId="0" borderId="0"/>
    <xf numFmtId="191" fontId="142" fillId="0" borderId="0"/>
    <xf numFmtId="0" fontId="142" fillId="0" borderId="0"/>
    <xf numFmtId="190" fontId="4" fillId="0" borderId="0" applyFont="0" applyFill="0" applyBorder="0" applyAlignment="0" applyProtection="0"/>
    <xf numFmtId="213"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35" fontId="3" fillId="0" borderId="0" applyFont="0" applyFill="0" applyBorder="0" applyAlignment="0" applyProtection="0"/>
    <xf numFmtId="235" fontId="3" fillId="0" borderId="0" applyFont="0" applyFill="0" applyBorder="0" applyAlignment="0" applyProtection="0"/>
    <xf numFmtId="235" fontId="3" fillId="0" borderId="0" applyFont="0" applyFill="0" applyBorder="0" applyAlignment="0" applyProtection="0"/>
    <xf numFmtId="235" fontId="3" fillId="0" borderId="0" applyFont="0" applyFill="0" applyBorder="0" applyAlignment="0" applyProtection="0"/>
    <xf numFmtId="235" fontId="29" fillId="0" borderId="0" applyFont="0" applyFill="0" applyBorder="0" applyAlignment="0" applyProtection="0"/>
    <xf numFmtId="235" fontId="3" fillId="0" borderId="0" applyFont="0" applyFill="0" applyBorder="0" applyAlignment="0" applyProtection="0"/>
    <xf numFmtId="236" fontId="29" fillId="0" borderId="0" applyFont="0" applyFill="0" applyBorder="0" applyAlignment="0" applyProtection="0"/>
    <xf numFmtId="237" fontId="29" fillId="0" borderId="0" applyFont="0" applyFill="0" applyBorder="0" applyAlignment="0" applyProtection="0"/>
    <xf numFmtId="238" fontId="49" fillId="0" borderId="0">
      <protection locked="0"/>
    </xf>
    <xf numFmtId="239" fontId="51" fillId="0" borderId="0" applyFont="0" applyFill="0" applyBorder="0" applyProtection="0">
      <alignment horizontal="right" vertical="center"/>
    </xf>
    <xf numFmtId="239" fontId="51" fillId="0" borderId="0" applyFont="0" applyFill="0" applyBorder="0" applyProtection="0">
      <alignment horizontal="right" vertical="center"/>
    </xf>
    <xf numFmtId="2" fontId="57" fillId="0" borderId="0" applyFont="0" applyFill="0" applyBorder="0" applyAlignment="0" applyProtection="0"/>
    <xf numFmtId="240" fontId="49" fillId="0" borderId="0">
      <protection locked="0"/>
    </xf>
    <xf numFmtId="241" fontId="4" fillId="0" borderId="0" applyFont="0" applyFill="0" applyBorder="0" applyAlignment="0" applyProtection="0"/>
    <xf numFmtId="238" fontId="49" fillId="0" borderId="0">
      <protection locked="0"/>
    </xf>
    <xf numFmtId="188" fontId="4" fillId="0" borderId="0" applyFill="0" applyBorder="0" applyAlignment="0"/>
    <xf numFmtId="0" fontId="51" fillId="0" borderId="0" applyFill="0" applyBorder="0" applyAlignment="0"/>
    <xf numFmtId="188" fontId="4" fillId="0" borderId="0" applyFill="0" applyBorder="0" applyAlignment="0"/>
    <xf numFmtId="173" fontId="4" fillId="0" borderId="0" applyFill="0" applyBorder="0" applyAlignment="0"/>
    <xf numFmtId="0" fontId="51" fillId="0" borderId="0" applyFill="0" applyBorder="0" applyAlignment="0"/>
    <xf numFmtId="242" fontId="3" fillId="0" borderId="0" applyFill="0" applyBorder="0" applyAlignment="0"/>
    <xf numFmtId="242" fontId="3" fillId="0" borderId="0" applyFill="0" applyBorder="0" applyAlignment="0"/>
    <xf numFmtId="242" fontId="3" fillId="0" borderId="0" applyFill="0" applyBorder="0" applyAlignment="0"/>
    <xf numFmtId="243" fontId="3" fillId="0" borderId="0" applyFill="0" applyBorder="0" applyAlignment="0">
      <alignment horizontal="centerContinuous"/>
    </xf>
    <xf numFmtId="243" fontId="3" fillId="0" borderId="0" applyFill="0" applyBorder="0" applyAlignment="0">
      <alignment horizontal="centerContinuous"/>
    </xf>
    <xf numFmtId="242" fontId="3" fillId="0" borderId="0" applyFill="0" applyBorder="0" applyAlignment="0"/>
    <xf numFmtId="242" fontId="3" fillId="0" borderId="0" applyFill="0" applyBorder="0" applyAlignment="0"/>
    <xf numFmtId="243" fontId="3" fillId="0" borderId="0" applyFill="0" applyBorder="0" applyAlignment="0">
      <alignment horizontal="centerContinuous"/>
    </xf>
    <xf numFmtId="243" fontId="3" fillId="0" borderId="0" applyFill="0" applyBorder="0" applyAlignment="0">
      <alignment horizontal="centerContinuous"/>
    </xf>
    <xf numFmtId="243" fontId="3" fillId="0" borderId="0" applyFill="0" applyBorder="0" applyAlignment="0">
      <alignment horizontal="centerContinuous"/>
    </xf>
    <xf numFmtId="243" fontId="3" fillId="0" borderId="0" applyFill="0" applyBorder="0" applyAlignment="0">
      <alignment horizontal="centerContinuous"/>
    </xf>
    <xf numFmtId="243" fontId="3" fillId="0" borderId="0" applyFill="0" applyBorder="0" applyAlignment="0">
      <alignment horizontal="centerContinuous"/>
    </xf>
    <xf numFmtId="168" fontId="161" fillId="0" borderId="0"/>
    <xf numFmtId="0" fontId="78" fillId="0" borderId="0" applyNumberFormat="0" applyFont="0" applyFill="0" applyBorder="0" applyAlignment="0" applyProtection="0">
      <alignment horizontal="left"/>
    </xf>
    <xf numFmtId="15" fontId="78" fillId="0" borderId="0" applyFont="0" applyFill="0" applyBorder="0" applyAlignment="0" applyProtection="0"/>
    <xf numFmtId="4" fontId="78" fillId="0" borderId="0" applyFont="0" applyFill="0" applyBorder="0" applyAlignment="0" applyProtection="0"/>
    <xf numFmtId="244" fontId="79" fillId="0" borderId="0">
      <alignment horizontal="right"/>
    </xf>
    <xf numFmtId="0" fontId="79" fillId="0" borderId="0">
      <alignment horizontal="left"/>
    </xf>
    <xf numFmtId="0" fontId="162" fillId="0" borderId="0"/>
    <xf numFmtId="245" fontId="163" fillId="0" borderId="0"/>
    <xf numFmtId="245" fontId="79" fillId="0" borderId="0"/>
    <xf numFmtId="0" fontId="79" fillId="0" borderId="32">
      <alignment horizontal="left"/>
    </xf>
    <xf numFmtId="0" fontId="164" fillId="0" borderId="0">
      <alignment horizontal="left"/>
    </xf>
    <xf numFmtId="0" fontId="79" fillId="0" borderId="33">
      <alignment horizontal="right"/>
    </xf>
    <xf numFmtId="246" fontId="162" fillId="0" borderId="34" applyNumberFormat="0" applyAlignment="0">
      <alignment horizontal="left"/>
    </xf>
    <xf numFmtId="246" fontId="162" fillId="0" borderId="35">
      <alignment horizontal="right"/>
    </xf>
    <xf numFmtId="0" fontId="165" fillId="0" borderId="0"/>
    <xf numFmtId="247" fontId="79" fillId="0" borderId="0">
      <alignment horizontal="right"/>
    </xf>
    <xf numFmtId="244" fontId="79" fillId="0" borderId="0"/>
    <xf numFmtId="1" fontId="79" fillId="0" borderId="0">
      <alignment horizontal="right"/>
    </xf>
    <xf numFmtId="211" fontId="79" fillId="0" borderId="0">
      <alignment horizontal="right"/>
    </xf>
    <xf numFmtId="2" fontId="79" fillId="0" borderId="0">
      <alignment horizontal="right"/>
    </xf>
    <xf numFmtId="248" fontId="79" fillId="0" borderId="0">
      <alignment horizontal="right"/>
    </xf>
    <xf numFmtId="0" fontId="129" fillId="0" borderId="0">
      <alignment horizontal="centerContinuous" wrapText="1"/>
    </xf>
    <xf numFmtId="249" fontId="166" fillId="0" borderId="0">
      <alignment horizontal="left"/>
    </xf>
    <xf numFmtId="0" fontId="167" fillId="0" borderId="0">
      <alignment horizontal="left"/>
    </xf>
    <xf numFmtId="0" fontId="79" fillId="0" borderId="0">
      <alignment horizontal="center"/>
    </xf>
    <xf numFmtId="0" fontId="79" fillId="0" borderId="33">
      <alignment horizontal="center"/>
    </xf>
    <xf numFmtId="0" fontId="168" fillId="0" borderId="29">
      <alignment horizontal="center"/>
    </xf>
    <xf numFmtId="3" fontId="78" fillId="0" borderId="0" applyFont="0" applyFill="0" applyBorder="0" applyAlignment="0" applyProtection="0"/>
    <xf numFmtId="0" fontId="78" fillId="43" borderId="0" applyNumberFormat="0" applyFont="0" applyBorder="0" applyAlignment="0" applyProtection="0"/>
    <xf numFmtId="0" fontId="29" fillId="0" borderId="0"/>
    <xf numFmtId="191" fontId="29" fillId="0" borderId="0"/>
    <xf numFmtId="0" fontId="29" fillId="0" borderId="0"/>
    <xf numFmtId="240" fontId="49" fillId="0" borderId="0">
      <protection locked="0"/>
    </xf>
    <xf numFmtId="250" fontId="49" fillId="0" borderId="0">
      <protection locked="0"/>
    </xf>
    <xf numFmtId="0" fontId="169" fillId="0" borderId="4" applyNumberFormat="0" applyFill="0" applyBorder="0" applyAlignment="0" applyProtection="0">
      <protection hidden="1"/>
    </xf>
    <xf numFmtId="0" fontId="169" fillId="0" borderId="4" applyNumberFormat="0" applyFill="0" applyBorder="0" applyAlignment="0" applyProtection="0">
      <protection hidden="1"/>
    </xf>
    <xf numFmtId="0" fontId="169" fillId="0" borderId="4" applyNumberFormat="0" applyFill="0" applyBorder="0" applyAlignment="0" applyProtection="0">
      <protection hidden="1"/>
    </xf>
    <xf numFmtId="0" fontId="169" fillId="0" borderId="4" applyNumberFormat="0" applyFill="0" applyBorder="0" applyAlignment="0" applyProtection="0">
      <protection hidden="1"/>
    </xf>
    <xf numFmtId="0" fontId="169" fillId="0" borderId="4" applyNumberFormat="0" applyFill="0" applyBorder="0" applyAlignment="0" applyProtection="0">
      <protection hidden="1"/>
    </xf>
    <xf numFmtId="0" fontId="169" fillId="0" borderId="4" applyNumberFormat="0" applyFill="0" applyBorder="0" applyAlignment="0" applyProtection="0">
      <protection hidden="1"/>
    </xf>
    <xf numFmtId="0" fontId="169" fillId="0" borderId="4" applyNumberFormat="0" applyFill="0" applyBorder="0" applyAlignment="0" applyProtection="0">
      <protection hidden="1"/>
    </xf>
    <xf numFmtId="0" fontId="169" fillId="0" borderId="4" applyNumberFormat="0" applyFill="0" applyBorder="0" applyAlignment="0" applyProtection="0">
      <protection hidden="1"/>
    </xf>
    <xf numFmtId="168" fontId="157" fillId="0" borderId="0" applyFill="0" applyBorder="0" applyProtection="0"/>
    <xf numFmtId="168" fontId="157" fillId="0" borderId="0" applyFill="0" applyBorder="0" applyProtection="0"/>
    <xf numFmtId="168" fontId="157" fillId="0" borderId="0" applyFill="0" applyBorder="0" applyProtection="0"/>
    <xf numFmtId="168" fontId="157" fillId="0" borderId="0" applyFill="0" applyBorder="0" applyProtection="0"/>
    <xf numFmtId="0" fontId="3" fillId="0" borderId="0" applyNumberFormat="0" applyFont="0" applyBorder="0" applyAlignment="0"/>
    <xf numFmtId="0" fontId="3" fillId="0" borderId="0" applyNumberFormat="0" applyFont="0" applyBorder="0" applyAlignment="0"/>
    <xf numFmtId="4" fontId="170" fillId="44" borderId="36" applyNumberFormat="0" applyProtection="0">
      <alignment vertical="center"/>
    </xf>
    <xf numFmtId="4" fontId="171" fillId="44" borderId="36" applyNumberFormat="0" applyProtection="0">
      <alignment vertical="center"/>
    </xf>
    <xf numFmtId="4" fontId="136" fillId="0" borderId="0" applyNumberFormat="0" applyProtection="0">
      <alignment horizontal="left" vertical="center" indent="1"/>
    </xf>
    <xf numFmtId="4" fontId="172" fillId="45" borderId="36" applyNumberFormat="0" applyProtection="0">
      <alignment horizontal="left" vertical="center" indent="1"/>
    </xf>
    <xf numFmtId="4" fontId="41" fillId="46" borderId="36" applyNumberFormat="0" applyProtection="0">
      <alignment vertical="center"/>
    </xf>
    <xf numFmtId="4" fontId="30" fillId="4" borderId="36" applyNumberFormat="0" applyProtection="0">
      <alignment vertical="center"/>
    </xf>
    <xf numFmtId="4" fontId="41" fillId="47" borderId="36" applyNumberFormat="0" applyProtection="0">
      <alignment vertical="center"/>
    </xf>
    <xf numFmtId="4" fontId="173" fillId="46" borderId="36" applyNumberFormat="0" applyProtection="0">
      <alignment vertical="center"/>
    </xf>
    <xf numFmtId="4" fontId="174" fillId="48" borderId="36" applyNumberFormat="0" applyProtection="0">
      <alignment horizontal="left" vertical="center" indent="1"/>
    </xf>
    <xf numFmtId="4" fontId="174" fillId="49" borderId="36" applyNumberFormat="0" applyProtection="0">
      <alignment horizontal="left" vertical="center" indent="1"/>
    </xf>
    <xf numFmtId="4" fontId="175" fillId="45" borderId="36" applyNumberFormat="0" applyProtection="0">
      <alignment horizontal="left" vertical="center" indent="1"/>
    </xf>
    <xf numFmtId="4" fontId="176" fillId="50" borderId="36" applyNumberFormat="0" applyProtection="0">
      <alignment vertical="center"/>
    </xf>
    <xf numFmtId="4" fontId="177" fillId="3" borderId="36" applyNumberFormat="0" applyProtection="0">
      <alignment horizontal="left" vertical="center" indent="1"/>
    </xf>
    <xf numFmtId="4" fontId="178" fillId="49" borderId="36" applyNumberFormat="0" applyProtection="0">
      <alignment horizontal="left" vertical="center" indent="1"/>
    </xf>
    <xf numFmtId="4" fontId="179" fillId="45" borderId="36" applyNumberFormat="0" applyProtection="0">
      <alignment horizontal="left" vertical="center" indent="1"/>
    </xf>
    <xf numFmtId="4" fontId="180" fillId="3" borderId="36" applyNumberFormat="0" applyProtection="0">
      <alignment vertical="center"/>
    </xf>
    <xf numFmtId="4" fontId="181" fillId="3" borderId="36" applyNumberFormat="0" applyProtection="0">
      <alignment vertical="center"/>
    </xf>
    <xf numFmtId="4" fontId="174" fillId="49" borderId="36" applyNumberFormat="0" applyProtection="0">
      <alignment horizontal="left" vertical="center" indent="1"/>
    </xf>
    <xf numFmtId="4" fontId="182" fillId="3" borderId="36" applyNumberFormat="0" applyProtection="0">
      <alignment vertical="center"/>
    </xf>
    <xf numFmtId="4" fontId="183" fillId="3" borderId="36" applyNumberFormat="0" applyProtection="0">
      <alignment vertical="center"/>
    </xf>
    <xf numFmtId="4" fontId="8" fillId="0" borderId="0" applyNumberFormat="0" applyProtection="0">
      <alignment horizontal="left" vertical="center" indent="1"/>
    </xf>
    <xf numFmtId="4" fontId="184" fillId="3" borderId="36" applyNumberFormat="0" applyProtection="0">
      <alignment vertical="center"/>
    </xf>
    <xf numFmtId="4" fontId="185" fillId="3" borderId="36" applyNumberFormat="0" applyProtection="0">
      <alignment vertical="center"/>
    </xf>
    <xf numFmtId="4" fontId="174" fillId="42" borderId="36" applyNumberFormat="0" applyProtection="0">
      <alignment horizontal="left" vertical="center" indent="1"/>
    </xf>
    <xf numFmtId="4" fontId="186" fillId="50" borderId="36" applyNumberFormat="0" applyProtection="0">
      <alignment horizontal="left" indent="1"/>
    </xf>
    <xf numFmtId="4" fontId="187" fillId="3" borderId="36" applyNumberFormat="0" applyProtection="0">
      <alignment vertical="center"/>
    </xf>
    <xf numFmtId="38" fontId="78" fillId="0" borderId="37"/>
    <xf numFmtId="251" fontId="4" fillId="0" borderId="0">
      <protection locked="0"/>
    </xf>
    <xf numFmtId="251" fontId="4" fillId="0" borderId="0">
      <protection locked="0"/>
    </xf>
    <xf numFmtId="251" fontId="4" fillId="0" borderId="0">
      <protection locked="0"/>
    </xf>
    <xf numFmtId="251" fontId="4" fillId="0" borderId="0">
      <protection locked="0"/>
    </xf>
    <xf numFmtId="38" fontId="78" fillId="0" borderId="0" applyFont="0" applyFill="0" applyBorder="0" applyAlignment="0" applyProtection="0"/>
    <xf numFmtId="40" fontId="78" fillId="0" borderId="0" applyFont="0" applyFill="0" applyBorder="0" applyAlignment="0" applyProtection="0"/>
    <xf numFmtId="0" fontId="188" fillId="0" borderId="0" applyNumberFormat="0" applyFill="0" applyBorder="0" applyAlignment="0" applyProtection="0"/>
    <xf numFmtId="0" fontId="29" fillId="0" borderId="0"/>
    <xf numFmtId="0" fontId="162" fillId="0" borderId="38">
      <alignment horizontal="left"/>
    </xf>
    <xf numFmtId="0" fontId="189" fillId="0" borderId="0"/>
    <xf numFmtId="191" fontId="189" fillId="0" borderId="0"/>
    <xf numFmtId="0" fontId="189" fillId="0" borderId="0"/>
    <xf numFmtId="0" fontId="8" fillId="0" borderId="0"/>
    <xf numFmtId="0" fontId="8" fillId="0" borderId="0"/>
    <xf numFmtId="0" fontId="8" fillId="0" borderId="0"/>
    <xf numFmtId="0" fontId="8" fillId="0" borderId="0"/>
    <xf numFmtId="0" fontId="4" fillId="7" borderId="0" applyNumberFormat="0"/>
    <xf numFmtId="191" fontId="4" fillId="0" borderId="0"/>
    <xf numFmtId="191" fontId="4" fillId="0" borderId="0"/>
    <xf numFmtId="0" fontId="4" fillId="0" borderId="0"/>
    <xf numFmtId="0" fontId="4" fillId="0" borderId="0"/>
    <xf numFmtId="0" fontId="4" fillId="0" borderId="0"/>
    <xf numFmtId="0" fontId="4" fillId="0" borderId="0"/>
    <xf numFmtId="0" fontId="4" fillId="0" borderId="0"/>
    <xf numFmtId="191" fontId="4" fillId="0" borderId="0"/>
    <xf numFmtId="0" fontId="4" fillId="0" borderId="0"/>
    <xf numFmtId="0" fontId="4" fillId="0" borderId="0"/>
    <xf numFmtId="0" fontId="4" fillId="0" borderId="0"/>
    <xf numFmtId="0" fontId="4" fillId="0" borderId="0" applyFont="0" applyFill="0" applyBorder="0" applyAlignment="0" applyProtection="0"/>
    <xf numFmtId="0" fontId="4" fillId="0" borderId="0"/>
    <xf numFmtId="0" fontId="4" fillId="0" borderId="0"/>
    <xf numFmtId="191" fontId="4" fillId="0" borderId="0"/>
    <xf numFmtId="0" fontId="4" fillId="0" borderId="0"/>
    <xf numFmtId="165" fontId="25" fillId="0" borderId="0" applyFont="0" applyFill="0" applyBorder="0" applyAlignment="0" applyProtection="0"/>
    <xf numFmtId="179" fontId="25" fillId="0" borderId="0" applyFont="0" applyFill="0" applyBorder="0" applyAlignment="0" applyProtection="0"/>
    <xf numFmtId="252" fontId="4" fillId="0" borderId="0" applyFill="0" applyBorder="0" applyAlignment="0" applyProtection="0"/>
    <xf numFmtId="252" fontId="4" fillId="0" borderId="0" applyFill="0" applyBorder="0" applyAlignment="0" applyProtection="0"/>
    <xf numFmtId="252" fontId="4" fillId="0" borderId="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 fontId="190" fillId="0" borderId="1">
      <alignment horizontal="center" vertical="center"/>
    </xf>
    <xf numFmtId="1" fontId="190" fillId="0" borderId="1">
      <alignment horizontal="center" vertical="center"/>
    </xf>
    <xf numFmtId="1" fontId="190" fillId="0" borderId="1">
      <alignment horizontal="center" vertical="center"/>
    </xf>
    <xf numFmtId="1" fontId="190" fillId="0" borderId="1">
      <alignment horizontal="center" vertical="center"/>
    </xf>
    <xf numFmtId="1" fontId="190" fillId="0" borderId="1">
      <alignment horizontal="center" vertical="center"/>
    </xf>
    <xf numFmtId="1" fontId="190" fillId="0" borderId="1">
      <alignment horizontal="center" vertical="center"/>
    </xf>
    <xf numFmtId="1" fontId="190" fillId="0" borderId="1">
      <alignment horizontal="center" vertical="center"/>
    </xf>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0" fontId="191" fillId="0" borderId="0"/>
    <xf numFmtId="191" fontId="81" fillId="0" borderId="0"/>
    <xf numFmtId="0" fontId="81" fillId="0" borderId="0"/>
    <xf numFmtId="0" fontId="81" fillId="0" borderId="0"/>
    <xf numFmtId="0" fontId="192" fillId="0" borderId="0">
      <alignment horizontal="center"/>
    </xf>
    <xf numFmtId="0" fontId="193" fillId="0" borderId="2">
      <alignment horizontal="center" vertical="center"/>
    </xf>
    <xf numFmtId="0" fontId="193" fillId="0" borderId="2">
      <alignment horizontal="center" vertical="center"/>
    </xf>
    <xf numFmtId="0" fontId="194" fillId="0" borderId="1" applyAlignment="0">
      <alignment horizontal="center" vertical="center" wrapText="1"/>
    </xf>
    <xf numFmtId="0" fontId="194" fillId="0" borderId="1" applyAlignment="0">
      <alignment horizontal="center" vertical="center" wrapText="1"/>
    </xf>
    <xf numFmtId="0" fontId="194" fillId="0" borderId="1" applyAlignment="0">
      <alignment horizontal="center" vertical="center" wrapText="1"/>
    </xf>
    <xf numFmtId="0" fontId="194" fillId="0" borderId="1" applyAlignment="0">
      <alignment horizontal="center" vertical="center" wrapText="1"/>
    </xf>
    <xf numFmtId="0" fontId="194" fillId="0" borderId="1" applyAlignment="0">
      <alignment horizontal="center" vertical="center" wrapText="1"/>
    </xf>
    <xf numFmtId="0" fontId="194" fillId="0" borderId="1" applyAlignment="0">
      <alignment horizontal="center" vertical="center" wrapText="1"/>
    </xf>
    <xf numFmtId="0" fontId="194" fillId="0" borderId="1" applyAlignment="0">
      <alignment horizontal="center" vertical="center" wrapText="1"/>
    </xf>
    <xf numFmtId="0" fontId="195" fillId="0" borderId="1">
      <alignment horizontal="center" vertical="center" wrapText="1"/>
    </xf>
    <xf numFmtId="0" fontId="195" fillId="0" borderId="1">
      <alignment horizontal="center" vertical="center" wrapText="1"/>
    </xf>
    <xf numFmtId="0" fontId="195" fillId="0" borderId="1">
      <alignment horizontal="center" vertical="center" wrapText="1"/>
    </xf>
    <xf numFmtId="0" fontId="195" fillId="0" borderId="1">
      <alignment horizontal="center" vertical="center" wrapText="1"/>
    </xf>
    <xf numFmtId="0" fontId="195" fillId="0" borderId="1">
      <alignment horizontal="center" vertical="center" wrapText="1"/>
    </xf>
    <xf numFmtId="0" fontId="195" fillId="0" borderId="1">
      <alignment horizontal="center" vertical="center" wrapText="1"/>
    </xf>
    <xf numFmtId="0" fontId="195" fillId="0" borderId="1">
      <alignment horizontal="center" vertical="center" wrapText="1"/>
    </xf>
    <xf numFmtId="3" fontId="147" fillId="0" borderId="0"/>
    <xf numFmtId="0" fontId="196" fillId="0" borderId="8"/>
    <xf numFmtId="0" fontId="196" fillId="0" borderId="8"/>
    <xf numFmtId="0" fontId="196" fillId="0" borderId="8"/>
    <xf numFmtId="0" fontId="196" fillId="0" borderId="8"/>
    <xf numFmtId="0" fontId="134" fillId="0" borderId="0"/>
    <xf numFmtId="168" fontId="197" fillId="0" borderId="0" applyProtection="0"/>
    <xf numFmtId="3" fontId="27" fillId="0" borderId="0"/>
    <xf numFmtId="0" fontId="198" fillId="0" borderId="0"/>
    <xf numFmtId="0" fontId="4" fillId="0" borderId="0" applyNumberFormat="0"/>
    <xf numFmtId="191" fontId="4" fillId="0" borderId="0" applyNumberFormat="0"/>
    <xf numFmtId="191" fontId="4" fillId="0" borderId="0" applyNumberFormat="0"/>
    <xf numFmtId="0" fontId="4" fillId="0" borderId="0" applyNumberFormat="0"/>
    <xf numFmtId="0" fontId="4" fillId="0" borderId="0" applyNumberFormat="0"/>
    <xf numFmtId="0" fontId="4" fillId="0" borderId="0" applyNumberFormat="0"/>
    <xf numFmtId="0" fontId="4" fillId="0" borderId="0" applyNumberFormat="0"/>
    <xf numFmtId="191" fontId="4" fillId="0" borderId="0" applyNumberFormat="0"/>
    <xf numFmtId="0" fontId="4" fillId="0" borderId="0" applyNumberFormat="0"/>
    <xf numFmtId="0" fontId="4" fillId="0" borderId="0" applyNumberFormat="0"/>
    <xf numFmtId="0" fontId="4" fillId="0" borderId="0" applyNumberFormat="0"/>
    <xf numFmtId="49" fontId="27" fillId="0" borderId="0" applyFill="0" applyBorder="0" applyAlignment="0"/>
    <xf numFmtId="227" fontId="4" fillId="0" borderId="0" applyFill="0" applyBorder="0" applyAlignment="0"/>
    <xf numFmtId="253" fontId="4" fillId="0" borderId="0" applyFill="0" applyBorder="0" applyAlignment="0"/>
    <xf numFmtId="0" fontId="4" fillId="0" borderId="0" applyNumberFormat="0"/>
    <xf numFmtId="0" fontId="4" fillId="0" borderId="0"/>
    <xf numFmtId="0" fontId="4" fillId="0" borderId="0"/>
    <xf numFmtId="0" fontId="4" fillId="0" borderId="0"/>
    <xf numFmtId="0" fontId="4" fillId="0" borderId="0"/>
    <xf numFmtId="0" fontId="199" fillId="0" borderId="0" applyFont="0">
      <alignment horizontal="centerContinuous"/>
    </xf>
    <xf numFmtId="21" fontId="3" fillId="0" borderId="0" applyFont="0" applyFill="0" applyBorder="0" applyProtection="0">
      <alignment horizontal="left"/>
    </xf>
    <xf numFmtId="0" fontId="188" fillId="0" borderId="0" applyNumberFormat="0" applyFill="0" applyBorder="0" applyAlignment="0" applyProtection="0"/>
    <xf numFmtId="0" fontId="200" fillId="0" borderId="0" applyNumberFormat="0" applyFill="0" applyBorder="0" applyAlignment="0" applyProtection="0"/>
    <xf numFmtId="0" fontId="200" fillId="0" borderId="0" applyNumberFormat="0" applyFill="0" applyBorder="0" applyAlignment="0" applyProtection="0"/>
    <xf numFmtId="0" fontId="188" fillId="0" borderId="0" applyNumberFormat="0" applyFill="0" applyBorder="0" applyAlignment="0" applyProtection="0"/>
    <xf numFmtId="0" fontId="188" fillId="0" borderId="0" applyNumberFormat="0" applyFill="0" applyBorder="0" applyAlignment="0" applyProtection="0"/>
    <xf numFmtId="0" fontId="188" fillId="0" borderId="0" applyNumberFormat="0" applyFill="0" applyBorder="0" applyAlignment="0" applyProtection="0"/>
    <xf numFmtId="0" fontId="188" fillId="0" borderId="0" applyNumberFormat="0" applyFill="0" applyBorder="0" applyAlignment="0" applyProtection="0"/>
    <xf numFmtId="0" fontId="188" fillId="0" borderId="0" applyNumberFormat="0" applyFill="0" applyBorder="0" applyAlignment="0" applyProtection="0"/>
    <xf numFmtId="0" fontId="188" fillId="0" borderId="0" applyNumberFormat="0" applyFill="0" applyBorder="0" applyAlignment="0" applyProtection="0"/>
    <xf numFmtId="0" fontId="188" fillId="0" borderId="0" applyNumberFormat="0" applyFill="0" applyBorder="0" applyAlignment="0" applyProtection="0"/>
    <xf numFmtId="0" fontId="188" fillId="0" borderId="0" applyNumberFormat="0" applyFill="0" applyBorder="0" applyAlignment="0" applyProtection="0"/>
    <xf numFmtId="2" fontId="108" fillId="0" borderId="0">
      <protection locked="0"/>
    </xf>
    <xf numFmtId="2" fontId="108" fillId="0" borderId="0">
      <protection locked="0"/>
    </xf>
    <xf numFmtId="0" fontId="201" fillId="20" borderId="4"/>
    <xf numFmtId="0" fontId="201" fillId="20" borderId="4"/>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4" fillId="0" borderId="40" applyNumberFormat="0" applyFont="0" applyFill="0" applyAlignment="0" applyProtection="0"/>
    <xf numFmtId="0" fontId="202" fillId="0" borderId="41" applyNumberFormat="0" applyFill="0" applyAlignment="0" applyProtection="0"/>
    <xf numFmtId="191" fontId="4" fillId="0" borderId="40" applyNumberFormat="0" applyFont="0" applyFill="0" applyAlignment="0" applyProtection="0"/>
    <xf numFmtId="0" fontId="4" fillId="0" borderId="40" applyNumberFormat="0" applyFont="0" applyFill="0" applyAlignment="0" applyProtection="0"/>
    <xf numFmtId="0" fontId="4" fillId="0" borderId="40" applyNumberFormat="0" applyFont="0" applyFill="0" applyAlignment="0" applyProtection="0"/>
    <xf numFmtId="0" fontId="4" fillId="0" borderId="40" applyNumberFormat="0" applyFont="0" applyFill="0" applyAlignment="0" applyProtection="0"/>
    <xf numFmtId="0" fontId="4" fillId="0" borderId="40" applyNumberFormat="0" applyFont="0" applyFill="0" applyAlignment="0" applyProtection="0"/>
    <xf numFmtId="0" fontId="4" fillId="0" borderId="40" applyNumberFormat="0" applyFon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4" fillId="0" borderId="40" applyNumberFormat="0" applyFon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191" fontId="4" fillId="0" borderId="40" applyNumberFormat="0" applyFont="0" applyFill="0" applyAlignment="0" applyProtection="0"/>
    <xf numFmtId="0" fontId="4" fillId="0" borderId="40" applyNumberFormat="0" applyFont="0" applyFill="0" applyAlignment="0" applyProtection="0"/>
    <xf numFmtId="191" fontId="4" fillId="0" borderId="40" applyNumberFormat="0" applyFont="0" applyFill="0" applyAlignment="0" applyProtection="0"/>
    <xf numFmtId="191" fontId="4" fillId="0" borderId="40" applyNumberFormat="0" applyFon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4" fillId="0" borderId="40" applyNumberFormat="0" applyFon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0" fontId="202" fillId="0" borderId="39" applyNumberFormat="0" applyFill="0" applyAlignment="0" applyProtection="0"/>
    <xf numFmtId="176" fontId="4" fillId="0" borderId="0" applyFont="0" applyFill="0" applyBorder="0" applyAlignment="0" applyProtection="0"/>
    <xf numFmtId="191" fontId="28" fillId="0" borderId="0"/>
    <xf numFmtId="191" fontId="28" fillId="0" borderId="0"/>
    <xf numFmtId="0" fontId="28" fillId="0" borderId="0"/>
    <xf numFmtId="0" fontId="28" fillId="0" borderId="0"/>
    <xf numFmtId="0" fontId="203" fillId="0" borderId="0">
      <alignment vertical="top"/>
    </xf>
    <xf numFmtId="254" fontId="4" fillId="0" borderId="0">
      <alignment horizontal="center"/>
    </xf>
    <xf numFmtId="194" fontId="4" fillId="0" borderId="0">
      <alignment horizontal="center"/>
    </xf>
    <xf numFmtId="255" fontId="9" fillId="0" borderId="0"/>
    <xf numFmtId="256" fontId="4" fillId="0" borderId="42"/>
    <xf numFmtId="240" fontId="49" fillId="0" borderId="0">
      <protection locked="0"/>
    </xf>
    <xf numFmtId="250" fontId="49" fillId="0" borderId="0">
      <protection locked="0"/>
    </xf>
    <xf numFmtId="0" fontId="78" fillId="0" borderId="0"/>
    <xf numFmtId="257" fontId="4" fillId="0" borderId="0" applyFont="0" applyFill="0" applyBorder="0" applyAlignment="0" applyProtection="0"/>
    <xf numFmtId="258" fontId="4" fillId="0" borderId="0" applyFont="0" applyFill="0" applyBorder="0" applyAlignment="0" applyProtection="0"/>
    <xf numFmtId="259" fontId="4" fillId="0" borderId="0" applyFont="0" applyFill="0" applyBorder="0" applyAlignment="0" applyProtection="0"/>
    <xf numFmtId="38" fontId="78" fillId="0" borderId="0" applyFont="0" applyFill="0" applyBorder="0" applyAlignment="0" applyProtection="0"/>
    <xf numFmtId="40" fontId="78" fillId="0" borderId="0" applyFont="0" applyFill="0" applyBorder="0" applyAlignment="0" applyProtection="0"/>
    <xf numFmtId="4" fontId="4" fillId="0" borderId="0" applyFont="0" applyFill="0" applyBorder="0" applyAlignment="0" applyProtection="0"/>
    <xf numFmtId="4" fontId="4" fillId="0" borderId="0" applyFont="0" applyFill="0" applyBorder="0" applyAlignment="0" applyProtection="0"/>
    <xf numFmtId="4" fontId="4" fillId="0" borderId="0" applyFont="0" applyFill="0" applyBorder="0" applyAlignment="0" applyProtection="0"/>
    <xf numFmtId="4" fontId="4" fillId="0" borderId="0" applyFont="0" applyFill="0" applyBorder="0" applyAlignment="0" applyProtection="0"/>
    <xf numFmtId="260" fontId="76" fillId="0" borderId="0" applyFont="0" applyFill="0" applyBorder="0" applyAlignment="0" applyProtection="0"/>
    <xf numFmtId="261" fontId="76" fillId="0" borderId="0" applyFon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204"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205" fillId="0" borderId="0" applyNumberFormat="0" applyFont="0" applyFill="0" applyBorder="0" applyAlignment="0" applyProtection="0">
      <alignment vertical="top"/>
    </xf>
    <xf numFmtId="0" fontId="206" fillId="0" borderId="0" applyNumberFormat="0" applyFont="0" applyFill="0" applyBorder="0" applyAlignment="0" applyProtection="0">
      <alignment vertical="top"/>
    </xf>
    <xf numFmtId="0" fontId="206" fillId="0" borderId="0" applyNumberFormat="0" applyFont="0" applyFill="0" applyBorder="0" applyAlignment="0" applyProtection="0">
      <alignment vertical="top"/>
    </xf>
    <xf numFmtId="0" fontId="205" fillId="0" borderId="0" applyNumberFormat="0" applyFont="0" applyFill="0" applyBorder="0" applyAlignment="0" applyProtection="0"/>
    <xf numFmtId="0" fontId="205" fillId="0" borderId="0" applyNumberFormat="0" applyFont="0" applyFill="0" applyBorder="0" applyAlignment="0" applyProtection="0">
      <alignment horizontal="left" vertical="top"/>
    </xf>
    <xf numFmtId="0" fontId="205" fillId="0" borderId="0" applyNumberFormat="0" applyFont="0" applyFill="0" applyBorder="0" applyAlignment="0" applyProtection="0">
      <alignment horizontal="left" vertical="top"/>
    </xf>
    <xf numFmtId="0" fontId="205" fillId="0" borderId="0" applyNumberFormat="0" applyFont="0" applyFill="0" applyBorder="0" applyAlignment="0" applyProtection="0">
      <alignment horizontal="left" vertical="top"/>
    </xf>
    <xf numFmtId="0" fontId="207" fillId="0" borderId="0" applyNumberFormat="0" applyFont="0" applyFill="0" applyBorder="0" applyAlignment="0" applyProtection="0">
      <alignment horizontal="center"/>
    </xf>
    <xf numFmtId="0" fontId="207" fillId="0" borderId="0" applyNumberFormat="0" applyFont="0" applyFill="0" applyBorder="0" applyAlignment="0" applyProtection="0">
      <alignment horizontal="center"/>
    </xf>
    <xf numFmtId="0" fontId="208" fillId="0" borderId="0" applyNumberFormat="0" applyFont="0" applyFill="0" applyBorder="0" applyAlignment="0" applyProtection="0"/>
    <xf numFmtId="0" fontId="209" fillId="0" borderId="0">
      <alignment horizontal="left" wrapText="1"/>
    </xf>
    <xf numFmtId="0" fontId="210" fillId="0" borderId="2" applyNumberFormat="0" applyFont="0" applyFill="0" applyBorder="0" applyAlignment="0" applyProtection="0">
      <alignment horizontal="center" wrapText="1"/>
    </xf>
    <xf numFmtId="262" fontId="29" fillId="0" borderId="0" applyNumberFormat="0" applyFont="0" applyFill="0" applyBorder="0" applyAlignment="0" applyProtection="0">
      <alignment horizontal="right"/>
    </xf>
    <xf numFmtId="0" fontId="210" fillId="0" borderId="0" applyNumberFormat="0" applyFont="0" applyFill="0" applyBorder="0" applyAlignment="0" applyProtection="0">
      <alignment horizontal="left" indent="1"/>
    </xf>
    <xf numFmtId="263" fontId="210" fillId="0" borderId="0" applyNumberFormat="0" applyFont="0" applyFill="0" applyBorder="0" applyAlignment="0" applyProtection="0"/>
    <xf numFmtId="0" fontId="208" fillId="0" borderId="29" applyNumberFormat="0" applyFont="0" applyFill="0" applyBorder="0" applyAlignment="0" applyProtection="0"/>
    <xf numFmtId="0" fontId="3" fillId="0" borderId="0" applyNumberFormat="0" applyFont="0" applyFill="0" applyBorder="0" applyAlignment="0" applyProtection="0">
      <alignment horizontal="left" wrapText="1" indent="1"/>
    </xf>
    <xf numFmtId="0" fontId="3" fillId="0" borderId="0" applyNumberFormat="0" applyFont="0" applyFill="0" applyBorder="0" applyAlignment="0" applyProtection="0">
      <alignment horizontal="left" wrapText="1" indent="1"/>
    </xf>
    <xf numFmtId="0" fontId="210" fillId="0" borderId="0" applyNumberFormat="0" applyFont="0" applyFill="0" applyBorder="0" applyAlignment="0" applyProtection="0">
      <alignment horizontal="left" indent="1"/>
    </xf>
    <xf numFmtId="0" fontId="3" fillId="0" borderId="0" applyNumberFormat="0" applyFont="0" applyFill="0" applyBorder="0" applyAlignment="0" applyProtection="0">
      <alignment horizontal="left" wrapText="1" indent="2"/>
    </xf>
    <xf numFmtId="0" fontId="3" fillId="0" borderId="0" applyNumberFormat="0" applyFont="0" applyFill="0" applyBorder="0" applyAlignment="0" applyProtection="0">
      <alignment horizontal="left" wrapText="1" indent="2"/>
    </xf>
    <xf numFmtId="264" fontId="3" fillId="0" borderId="0">
      <alignment horizontal="right"/>
    </xf>
    <xf numFmtId="264" fontId="3" fillId="0" borderId="0">
      <alignment horizontal="right"/>
    </xf>
    <xf numFmtId="0" fontId="211" fillId="0" borderId="0" applyProtection="0"/>
    <xf numFmtId="191" fontId="212" fillId="0" borderId="0" applyNumberFormat="0" applyFill="0" applyBorder="0" applyAlignment="0" applyProtection="0"/>
    <xf numFmtId="191" fontId="212" fillId="0" borderId="0" applyNumberFormat="0" applyFill="0" applyBorder="0" applyAlignment="0" applyProtection="0"/>
    <xf numFmtId="0" fontId="212" fillId="0" borderId="0" applyNumberFormat="0" applyFill="0" applyBorder="0" applyAlignment="0" applyProtection="0"/>
    <xf numFmtId="0" fontId="212" fillId="0" borderId="0" applyNumberFormat="0" applyFill="0" applyBorder="0" applyAlignment="0" applyProtection="0"/>
    <xf numFmtId="191" fontId="213" fillId="0" borderId="0" applyNumberFormat="0" applyFill="0" applyBorder="0" applyAlignment="0" applyProtection="0"/>
    <xf numFmtId="191"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211" fontId="51" fillId="0" borderId="0">
      <alignment horizontal="right"/>
    </xf>
    <xf numFmtId="0" fontId="214" fillId="0" borderId="0" applyNumberFormat="0" applyFill="0" applyBorder="0" applyAlignment="0" applyProtection="0">
      <alignment vertical="top"/>
      <protection locked="0"/>
    </xf>
    <xf numFmtId="0" fontId="215" fillId="0" borderId="0" applyProtection="0"/>
    <xf numFmtId="191" fontId="215" fillId="0" borderId="0" applyProtection="0"/>
    <xf numFmtId="0" fontId="215" fillId="0" borderId="0" applyProtection="0"/>
    <xf numFmtId="0" fontId="215" fillId="0" borderId="0" applyProtection="0"/>
    <xf numFmtId="265" fontId="3" fillId="0" borderId="0" applyFont="0" applyFill="0" applyBorder="0" applyAlignment="0" applyProtection="0"/>
    <xf numFmtId="266" fontId="3" fillId="0" borderId="0" applyFont="0" applyFill="0" applyBorder="0" applyAlignment="0" applyProtection="0"/>
    <xf numFmtId="0" fontId="216" fillId="0" borderId="0" applyProtection="0"/>
    <xf numFmtId="191" fontId="216" fillId="0" borderId="0" applyProtection="0"/>
    <xf numFmtId="0" fontId="216" fillId="0" borderId="0" applyProtection="0"/>
    <xf numFmtId="0" fontId="216" fillId="0" borderId="0" applyProtection="0"/>
    <xf numFmtId="0" fontId="217" fillId="0" borderId="0" applyProtection="0"/>
    <xf numFmtId="191" fontId="217" fillId="0" borderId="0" applyProtection="0"/>
    <xf numFmtId="0" fontId="217" fillId="0" borderId="0" applyProtection="0"/>
    <xf numFmtId="0" fontId="217" fillId="0" borderId="0" applyProtection="0"/>
    <xf numFmtId="0" fontId="215" fillId="0" borderId="43" applyProtection="0"/>
    <xf numFmtId="191" fontId="215" fillId="0" borderId="43" applyProtection="0"/>
    <xf numFmtId="0" fontId="215" fillId="0" borderId="43" applyProtection="0"/>
    <xf numFmtId="0" fontId="215" fillId="0" borderId="43" applyProtection="0"/>
    <xf numFmtId="0" fontId="218" fillId="0" borderId="0"/>
    <xf numFmtId="0" fontId="219" fillId="0" borderId="0" applyNumberFormat="0" applyFill="0" applyBorder="0" applyAlignment="0" applyProtection="0">
      <alignment vertical="top"/>
      <protection locked="0"/>
    </xf>
    <xf numFmtId="10" fontId="215" fillId="0" borderId="0" applyProtection="0"/>
    <xf numFmtId="0" fontId="215" fillId="0" borderId="0"/>
    <xf numFmtId="191" fontId="215" fillId="0" borderId="0"/>
    <xf numFmtId="0" fontId="215" fillId="0" borderId="0"/>
    <xf numFmtId="0" fontId="215" fillId="0" borderId="0"/>
    <xf numFmtId="267" fontId="117" fillId="0" borderId="0" applyFont="0" applyFill="0" applyBorder="0" applyAlignment="0" applyProtection="0"/>
    <xf numFmtId="268" fontId="117" fillId="0" borderId="0" applyFont="0" applyFill="0" applyBorder="0" applyAlignment="0" applyProtection="0"/>
    <xf numFmtId="2" fontId="215" fillId="0" borderId="0" applyProtection="0"/>
    <xf numFmtId="2" fontId="215" fillId="0" borderId="0" applyProtection="0"/>
    <xf numFmtId="2" fontId="215" fillId="0" borderId="0" applyProtection="0"/>
    <xf numFmtId="189" fontId="3" fillId="0" borderId="0" applyFont="0" applyFill="0" applyBorder="0" applyAlignment="0" applyProtection="0"/>
    <xf numFmtId="269" fontId="3" fillId="0" borderId="0" applyFont="0" applyFill="0" applyBorder="0" applyAlignment="0" applyProtection="0"/>
    <xf numFmtId="0" fontId="220" fillId="0" borderId="0"/>
    <xf numFmtId="0" fontId="221" fillId="0" borderId="0" applyFont="0" applyFill="0" applyBorder="0" applyAlignment="0" applyProtection="0"/>
    <xf numFmtId="0" fontId="221" fillId="0" borderId="0" applyFont="0" applyFill="0" applyBorder="0" applyAlignment="0" applyProtection="0"/>
    <xf numFmtId="0" fontId="51" fillId="0" borderId="0">
      <alignment vertical="center"/>
    </xf>
    <xf numFmtId="0" fontId="40" fillId="24" borderId="0" applyNumberFormat="0" applyBorder="0" applyAlignment="0" applyProtection="0">
      <alignment vertical="center"/>
    </xf>
    <xf numFmtId="0" fontId="40" fillId="33"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40" fillId="24" borderId="0" applyNumberFormat="0" applyBorder="0" applyAlignment="0" applyProtection="0">
      <alignment vertical="center"/>
    </xf>
    <xf numFmtId="0" fontId="40" fillId="22" borderId="0" applyNumberFormat="0" applyBorder="0" applyAlignment="0" applyProtection="0">
      <alignment vertical="center"/>
    </xf>
    <xf numFmtId="0" fontId="222" fillId="0" borderId="0" applyNumberFormat="0" applyFill="0" applyBorder="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3" fillId="14" borderId="16" applyNumberFormat="0" applyAlignment="0" applyProtection="0">
      <alignment vertical="center"/>
    </xf>
    <xf numFmtId="0" fontId="224" fillId="15" borderId="0" applyNumberFormat="0" applyBorder="0" applyAlignment="0" applyProtection="0">
      <alignment vertical="center"/>
    </xf>
    <xf numFmtId="40" fontId="225" fillId="0" borderId="0" applyFont="0" applyFill="0" applyBorder="0" applyAlignment="0" applyProtection="0"/>
    <xf numFmtId="38" fontId="225" fillId="0" borderId="0" applyFont="0" applyFill="0" applyBorder="0" applyAlignment="0" applyProtection="0"/>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6" fillId="12" borderId="30" applyNumberFormat="0" applyFont="0" applyAlignment="0" applyProtection="0">
      <alignment vertical="center"/>
    </xf>
    <xf numFmtId="0" fontId="225" fillId="0" borderId="0" applyFont="0" applyFill="0" applyBorder="0" applyAlignment="0" applyProtection="0"/>
    <xf numFmtId="0" fontId="225" fillId="0" borderId="0" applyFont="0" applyFill="0" applyBorder="0" applyAlignment="0" applyProtection="0"/>
    <xf numFmtId="9" fontId="227" fillId="0" borderId="0" applyFont="0" applyFill="0" applyBorder="0" applyAlignment="0" applyProtection="0"/>
    <xf numFmtId="0" fontId="228" fillId="17" borderId="0" applyNumberFormat="0" applyBorder="0" applyAlignment="0" applyProtection="0">
      <alignment vertical="center"/>
    </xf>
    <xf numFmtId="0" fontId="229" fillId="0" borderId="0"/>
    <xf numFmtId="0" fontId="230" fillId="0" borderId="0" applyNumberFormat="0" applyFill="0" applyBorder="0" applyAlignment="0" applyProtection="0">
      <alignment vertical="center"/>
    </xf>
    <xf numFmtId="0" fontId="231" fillId="40" borderId="18" applyNumberFormat="0" applyAlignment="0" applyProtection="0">
      <alignment vertical="center"/>
    </xf>
    <xf numFmtId="0" fontId="232" fillId="0" borderId="28"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3" fillId="0" borderId="44" applyNumberFormat="0" applyFill="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4" fillId="17" borderId="16" applyNumberFormat="0" applyAlignment="0" applyProtection="0">
      <alignment vertical="center"/>
    </xf>
    <xf numFmtId="0" fontId="235" fillId="0" borderId="0" applyNumberFormat="0" applyFill="0" applyBorder="0" applyAlignment="0" applyProtection="0">
      <alignment vertical="center"/>
    </xf>
    <xf numFmtId="0" fontId="236" fillId="0" borderId="45" applyNumberFormat="0" applyFill="0" applyAlignment="0" applyProtection="0">
      <alignment vertical="center"/>
    </xf>
    <xf numFmtId="0" fontId="237" fillId="0" borderId="23" applyNumberFormat="0" applyFill="0" applyAlignment="0" applyProtection="0">
      <alignment vertical="center"/>
    </xf>
    <xf numFmtId="0" fontId="238" fillId="0" borderId="46" applyNumberFormat="0" applyFill="0" applyAlignment="0" applyProtection="0">
      <alignment vertical="center"/>
    </xf>
    <xf numFmtId="0" fontId="238" fillId="0" borderId="0" applyNumberFormat="0" applyFill="0" applyBorder="0" applyAlignment="0" applyProtection="0">
      <alignment vertical="center"/>
    </xf>
    <xf numFmtId="0" fontId="239" fillId="13" borderId="0" applyNumberFormat="0" applyBorder="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0" fontId="240" fillId="14" borderId="31" applyNumberFormat="0" applyAlignment="0" applyProtection="0">
      <alignment vertical="center"/>
    </xf>
    <xf numFmtId="270" fontId="241" fillId="0" borderId="0" applyFont="0" applyFill="0" applyBorder="0" applyAlignment="0" applyProtection="0"/>
    <xf numFmtId="271" fontId="241" fillId="0" borderId="0" applyFont="0" applyFill="0" applyBorder="0" applyAlignment="0" applyProtection="0"/>
    <xf numFmtId="272" fontId="241" fillId="0" borderId="0" applyFont="0" applyFill="0" applyBorder="0" applyAlignment="0" applyProtection="0"/>
    <xf numFmtId="273" fontId="241" fillId="0" borderId="0" applyFont="0" applyFill="0" applyBorder="0" applyAlignment="0" applyProtection="0"/>
    <xf numFmtId="0" fontId="242" fillId="0" borderId="0"/>
    <xf numFmtId="0" fontId="75" fillId="0" borderId="0" applyProtection="0"/>
    <xf numFmtId="0" fontId="243" fillId="0" borderId="0" applyNumberFormat="0" applyFont="0" applyFill="0" applyBorder="0" applyProtection="0">
      <alignment horizontal="justify" vertical="top" wrapText="1"/>
    </xf>
    <xf numFmtId="0" fontId="243" fillId="0" borderId="0" applyNumberFormat="0" applyFont="0" applyFill="0" applyBorder="0" applyProtection="0">
      <alignment horizontal="justify" vertical="top" wrapText="1"/>
    </xf>
    <xf numFmtId="0" fontId="244" fillId="0" borderId="0" applyNumberFormat="0" applyFont="0" applyFill="0" applyBorder="0" applyProtection="0">
      <alignment wrapText="1"/>
      <protection locked="0"/>
    </xf>
    <xf numFmtId="0" fontId="244" fillId="0" borderId="0" applyNumberFormat="0" applyFont="0" applyFill="0" applyBorder="0" applyProtection="0">
      <alignment wrapText="1"/>
      <protection locked="0"/>
    </xf>
    <xf numFmtId="0" fontId="243" fillId="0" borderId="0" applyNumberFormat="0" applyFont="0" applyFill="0" applyBorder="0" applyProtection="0">
      <alignment horizontal="right" vertical="center" wrapText="1"/>
    </xf>
    <xf numFmtId="0" fontId="243" fillId="0" borderId="0" applyNumberFormat="0" applyFont="0" applyFill="0" applyBorder="0" applyProtection="0">
      <alignment horizontal="right" vertical="center" wrapText="1"/>
    </xf>
    <xf numFmtId="0" fontId="243" fillId="0" borderId="0" applyNumberFormat="0" applyFont="0" applyFill="0" applyBorder="0" applyProtection="0">
      <alignment horizontal="left" vertical="center" wrapText="1"/>
    </xf>
    <xf numFmtId="0" fontId="243" fillId="0" borderId="0" applyNumberFormat="0" applyFont="0" applyFill="0" applyBorder="0" applyProtection="0">
      <alignment horizontal="left" vertical="center" wrapText="1"/>
    </xf>
    <xf numFmtId="41" fontId="245" fillId="0" borderId="0" applyFont="0" applyFill="0" applyBorder="0" applyAlignment="0" applyProtection="0"/>
    <xf numFmtId="43" fontId="245" fillId="0" borderId="0" applyFont="0" applyFill="0" applyBorder="0" applyAlignment="0" applyProtection="0"/>
    <xf numFmtId="176" fontId="158" fillId="0" borderId="0" applyFont="0" applyFill="0" applyBorder="0" applyAlignment="0" applyProtection="0"/>
    <xf numFmtId="4" fontId="78" fillId="0" borderId="0" applyFont="0" applyFill="0" applyBorder="0" applyAlignment="0" applyProtection="0"/>
    <xf numFmtId="2" fontId="246" fillId="0" borderId="0"/>
    <xf numFmtId="0" fontId="247" fillId="0" borderId="6"/>
    <xf numFmtId="0" fontId="78" fillId="0" borderId="0"/>
    <xf numFmtId="4" fontId="248" fillId="0" borderId="0" applyFont="0" applyFill="0" applyBorder="0" applyAlignment="0" applyProtection="0"/>
    <xf numFmtId="0" fontId="4" fillId="0" borderId="0"/>
    <xf numFmtId="173" fontId="158" fillId="0" borderId="0" applyFont="0" applyFill="0" applyBorder="0" applyAlignment="0" applyProtection="0"/>
    <xf numFmtId="274" fontId="246" fillId="0" borderId="0" applyFont="0" applyFill="0" applyBorder="0" applyAlignment="0" applyProtection="0"/>
    <xf numFmtId="227" fontId="249" fillId="0" borderId="0" applyFont="0" applyFill="0" applyBorder="0" applyAlignment="0" applyProtection="0"/>
    <xf numFmtId="43" fontId="1" fillId="0" borderId="0" applyFont="0" applyFill="0" applyBorder="0" applyAlignment="0" applyProtection="0"/>
    <xf numFmtId="0" fontId="265" fillId="0" borderId="0" applyNumberFormat="0" applyFill="0" applyBorder="0" applyAlignment="0" applyProtection="0"/>
  </cellStyleXfs>
  <cellXfs count="317">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4" xfId="0" applyFill="1" applyBorder="1" applyAlignment="1">
      <alignment vertical="center"/>
    </xf>
    <xf numFmtId="0" fontId="0" fillId="2" borderId="2" xfId="0" applyFill="1" applyBorder="1" applyAlignment="1">
      <alignment horizontal="center" vertical="center"/>
    </xf>
    <xf numFmtId="169" fontId="0" fillId="2" borderId="0" xfId="0" applyNumberFormat="1" applyFill="1" applyAlignment="1">
      <alignment vertical="center"/>
    </xf>
    <xf numFmtId="4" fontId="0" fillId="2" borderId="0" xfId="0" applyNumberFormat="1" applyFill="1" applyAlignment="1">
      <alignment vertical="center"/>
    </xf>
    <xf numFmtId="0" fontId="0" fillId="2" borderId="0" xfId="0" quotePrefix="1" applyFill="1" applyAlignment="1">
      <alignment horizontal="center" vertical="center"/>
    </xf>
    <xf numFmtId="0" fontId="0" fillId="2" borderId="0" xfId="0" applyFill="1" applyAlignment="1">
      <alignment horizontal="left" vertical="center"/>
    </xf>
    <xf numFmtId="0" fontId="0" fillId="2" borderId="38" xfId="0" applyFill="1" applyBorder="1" applyAlignment="1">
      <alignment horizontal="center" vertical="center"/>
    </xf>
    <xf numFmtId="0" fontId="0" fillId="2" borderId="3" xfId="0" applyFill="1" applyBorder="1" applyAlignment="1">
      <alignment vertical="center" wrapText="1"/>
    </xf>
    <xf numFmtId="0" fontId="0" fillId="2" borderId="38" xfId="0" applyFill="1" applyBorder="1" applyAlignment="1">
      <alignment vertical="center"/>
    </xf>
    <xf numFmtId="0" fontId="251" fillId="2" borderId="0" xfId="0" applyFont="1" applyFill="1" applyAlignment="1">
      <alignment vertical="center" textRotation="90" wrapText="1"/>
    </xf>
    <xf numFmtId="168" fontId="0" fillId="52" borderId="8" xfId="0" applyNumberFormat="1" applyFill="1" applyBorder="1" applyAlignment="1">
      <alignment horizontal="center" vertical="center"/>
    </xf>
    <xf numFmtId="168" fontId="0" fillId="52" borderId="0" xfId="0" applyNumberFormat="1" applyFill="1" applyAlignment="1">
      <alignment horizontal="center" vertical="center"/>
    </xf>
    <xf numFmtId="168" fontId="0" fillId="52" borderId="6" xfId="0" applyNumberFormat="1" applyFill="1" applyBorder="1" applyAlignment="1">
      <alignment horizontal="center" vertical="center"/>
    </xf>
    <xf numFmtId="0" fontId="0" fillId="52" borderId="4" xfId="0" applyFill="1" applyBorder="1" applyAlignment="1">
      <alignment horizontal="center" vertical="center"/>
    </xf>
    <xf numFmtId="0" fontId="0" fillId="52" borderId="1" xfId="0" applyFill="1" applyBorder="1" applyAlignment="1">
      <alignment horizontal="center" vertical="center"/>
    </xf>
    <xf numFmtId="0" fontId="0" fillId="52" borderId="11" xfId="0" applyFill="1" applyBorder="1" applyAlignment="1">
      <alignment horizontal="center" vertical="center"/>
    </xf>
    <xf numFmtId="0" fontId="0" fillId="52" borderId="11" xfId="0" quotePrefix="1" applyFill="1" applyBorder="1" applyAlignment="1">
      <alignment horizontal="center" vertical="center"/>
    </xf>
    <xf numFmtId="0" fontId="0" fillId="52" borderId="1" xfId="0" quotePrefix="1" applyFill="1" applyBorder="1" applyAlignment="1">
      <alignment horizontal="center" vertical="center"/>
    </xf>
    <xf numFmtId="0" fontId="5" fillId="53" borderId="1" xfId="0" applyFont="1" applyFill="1" applyBorder="1" applyAlignment="1">
      <alignment horizontal="center" vertical="center" wrapText="1"/>
    </xf>
    <xf numFmtId="0" fontId="5" fillId="53" borderId="10" xfId="0" applyFont="1" applyFill="1" applyBorder="1" applyAlignment="1">
      <alignment horizontal="center" vertical="center" wrapText="1"/>
    </xf>
    <xf numFmtId="0" fontId="5" fillId="53" borderId="1" xfId="0" quotePrefix="1" applyFont="1" applyFill="1" applyBorder="1" applyAlignment="1">
      <alignment horizontal="center" vertical="center" wrapText="1"/>
    </xf>
    <xf numFmtId="169" fontId="0" fillId="52" borderId="5" xfId="6" quotePrefix="1" applyNumberFormat="1" applyFont="1" applyFill="1" applyBorder="1" applyAlignment="1">
      <alignment horizontal="center" vertical="center"/>
    </xf>
    <xf numFmtId="169" fontId="0" fillId="52" borderId="3" xfId="6" applyNumberFormat="1" applyFont="1" applyFill="1" applyBorder="1" applyAlignment="1">
      <alignment horizontal="center" vertical="center"/>
    </xf>
    <xf numFmtId="169" fontId="0" fillId="52" borderId="7" xfId="6" quotePrefix="1" applyNumberFormat="1" applyFont="1" applyFill="1" applyBorder="1" applyAlignment="1">
      <alignment horizontal="center" vertical="center"/>
    </xf>
    <xf numFmtId="0" fontId="0" fillId="0" borderId="12" xfId="0" applyBorder="1" applyAlignment="1">
      <alignment vertical="center"/>
    </xf>
    <xf numFmtId="0" fontId="251" fillId="2" borderId="4" xfId="0" applyFont="1" applyFill="1" applyBorder="1" applyAlignment="1">
      <alignment vertical="center" textRotation="90" wrapText="1"/>
    </xf>
    <xf numFmtId="0" fontId="251" fillId="2" borderId="8" xfId="0" applyFont="1" applyFill="1" applyBorder="1" applyAlignment="1">
      <alignment vertical="center" textRotation="90" wrapText="1"/>
    </xf>
    <xf numFmtId="0" fontId="0" fillId="2" borderId="10" xfId="0" applyFill="1" applyBorder="1" applyAlignment="1">
      <alignment vertical="center" wrapText="1"/>
    </xf>
    <xf numFmtId="0" fontId="0" fillId="2" borderId="6" xfId="0" applyFill="1" applyBorder="1" applyAlignment="1">
      <alignment vertical="center" wrapText="1"/>
    </xf>
    <xf numFmtId="0" fontId="0" fillId="2" borderId="2" xfId="0" applyFill="1" applyBorder="1" applyAlignment="1">
      <alignment vertical="center"/>
    </xf>
    <xf numFmtId="169" fontId="0" fillId="52" borderId="1" xfId="0" applyNumberFormat="1" applyFill="1" applyBorder="1" applyAlignment="1">
      <alignment horizontal="center" vertical="center"/>
    </xf>
    <xf numFmtId="0" fontId="0" fillId="2" borderId="47" xfId="0" applyFill="1" applyBorder="1" applyAlignment="1">
      <alignment vertical="center" wrapText="1"/>
    </xf>
    <xf numFmtId="0" fontId="0" fillId="2" borderId="9" xfId="0" applyFill="1" applyBorder="1" applyAlignment="1">
      <alignment vertical="center" wrapText="1"/>
    </xf>
    <xf numFmtId="0" fontId="0" fillId="2" borderId="7" xfId="0" applyFill="1" applyBorder="1" applyAlignment="1">
      <alignment vertical="center" wrapText="1"/>
    </xf>
    <xf numFmtId="0" fontId="0" fillId="2" borderId="9" xfId="0" applyFill="1" applyBorder="1" applyAlignment="1">
      <alignment vertical="center"/>
    </xf>
    <xf numFmtId="0" fontId="255" fillId="52" borderId="4"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0" xfId="0" applyFont="1" applyFill="1" applyAlignment="1">
      <alignment horizontal="center" vertical="center" wrapText="1"/>
    </xf>
    <xf numFmtId="0" fontId="0" fillId="2" borderId="0" xfId="0" applyFill="1" applyAlignment="1">
      <alignment vertical="center" wrapText="1"/>
    </xf>
    <xf numFmtId="168" fontId="0" fillId="2" borderId="0" xfId="0" applyNumberFormat="1" applyFill="1" applyAlignment="1">
      <alignment horizontal="center" vertical="center"/>
    </xf>
    <xf numFmtId="0" fontId="0" fillId="2" borderId="54" xfId="0" applyFill="1" applyBorder="1" applyAlignment="1">
      <alignment horizontal="center" vertical="center"/>
    </xf>
    <xf numFmtId="0" fontId="0" fillId="2" borderId="56" xfId="0" applyFill="1" applyBorder="1" applyAlignment="1">
      <alignment horizontal="center" vertical="center"/>
    </xf>
    <xf numFmtId="0" fontId="6" fillId="2" borderId="58" xfId="0" applyFont="1" applyFill="1" applyBorder="1" applyAlignment="1">
      <alignment horizontal="center" vertical="center" wrapText="1"/>
    </xf>
    <xf numFmtId="168" fontId="0" fillId="52" borderId="37" xfId="0" applyNumberFormat="1" applyFill="1" applyBorder="1" applyAlignment="1">
      <alignment horizontal="center" vertical="center"/>
    </xf>
    <xf numFmtId="0" fontId="0" fillId="0" borderId="0" xfId="0" applyAlignment="1">
      <alignment horizontal="center" vertical="center"/>
    </xf>
    <xf numFmtId="0" fontId="0" fillId="2" borderId="29" xfId="0" applyFill="1" applyBorder="1" applyAlignment="1">
      <alignment horizontal="center" vertical="center"/>
    </xf>
    <xf numFmtId="168" fontId="0" fillId="52" borderId="29" xfId="0" applyNumberFormat="1" applyFill="1" applyBorder="1" applyAlignment="1">
      <alignment horizontal="center" vertical="center"/>
    </xf>
    <xf numFmtId="168" fontId="0" fillId="52" borderId="59" xfId="0" applyNumberFormat="1" applyFill="1" applyBorder="1" applyAlignment="1">
      <alignment horizontal="center" vertical="center"/>
    </xf>
    <xf numFmtId="168" fontId="0" fillId="52" borderId="48" xfId="0" applyNumberFormat="1" applyFill="1" applyBorder="1" applyAlignment="1">
      <alignment horizontal="center" vertical="center"/>
    </xf>
    <xf numFmtId="211" fontId="0" fillId="52" borderId="1" xfId="6" applyNumberFormat="1" applyFont="1" applyFill="1" applyBorder="1" applyAlignment="1">
      <alignment vertical="center"/>
    </xf>
    <xf numFmtId="0" fontId="0" fillId="55" borderId="1" xfId="0" applyFill="1" applyBorder="1" applyAlignment="1">
      <alignment horizontal="center" vertical="center"/>
    </xf>
    <xf numFmtId="0" fontId="6" fillId="55" borderId="1" xfId="0" applyFont="1" applyFill="1" applyBorder="1" applyAlignment="1">
      <alignment horizontal="center" vertical="center"/>
    </xf>
    <xf numFmtId="43" fontId="5" fillId="53" borderId="4" xfId="55072" applyFont="1" applyFill="1" applyBorder="1" applyAlignment="1">
      <alignment horizontal="center" vertical="center" wrapText="1"/>
    </xf>
    <xf numFmtId="2" fontId="0" fillId="2" borderId="0" xfId="0" applyNumberFormat="1" applyFill="1" applyAlignment="1">
      <alignment vertical="center"/>
    </xf>
    <xf numFmtId="275" fontId="0" fillId="2" borderId="0" xfId="0" applyNumberFormat="1" applyFill="1" applyAlignment="1">
      <alignment vertical="center"/>
    </xf>
    <xf numFmtId="0" fontId="5" fillId="2" borderId="0" xfId="0" applyFont="1" applyFill="1" applyAlignment="1">
      <alignment horizontal="center" vertical="center" wrapText="1"/>
    </xf>
    <xf numFmtId="0" fontId="5" fillId="53" borderId="9" xfId="0" applyFont="1" applyFill="1" applyBorder="1" applyAlignment="1">
      <alignment horizontal="center" vertical="center" wrapText="1"/>
    </xf>
    <xf numFmtId="0" fontId="5" fillId="53" borderId="3" xfId="0" applyFont="1" applyFill="1" applyBorder="1" applyAlignment="1">
      <alignment horizontal="center" vertical="center" wrapText="1"/>
    </xf>
    <xf numFmtId="0" fontId="5" fillId="53" borderId="5" xfId="0" applyFont="1" applyFill="1" applyBorder="1" applyAlignment="1">
      <alignment horizontal="center" vertical="center" wrapText="1"/>
    </xf>
    <xf numFmtId="0" fontId="0" fillId="0" borderId="0" xfId="0" applyAlignment="1">
      <alignment horizontal="center"/>
    </xf>
    <xf numFmtId="0" fontId="256" fillId="53" borderId="1" xfId="0" applyFont="1" applyFill="1" applyBorder="1" applyAlignment="1">
      <alignment horizontal="center" vertical="center" wrapText="1"/>
    </xf>
    <xf numFmtId="0" fontId="6" fillId="52" borderId="1" xfId="0" applyFont="1" applyFill="1" applyBorder="1" applyAlignment="1">
      <alignment horizontal="center" vertical="center"/>
    </xf>
    <xf numFmtId="0" fontId="0" fillId="2" borderId="3" xfId="0" applyFill="1" applyBorder="1" applyAlignment="1">
      <alignment vertical="center"/>
    </xf>
    <xf numFmtId="0" fontId="0" fillId="2" borderId="60" xfId="0" applyFill="1" applyBorder="1" applyAlignment="1">
      <alignment horizontal="right" vertical="center"/>
    </xf>
    <xf numFmtId="0" fontId="0" fillId="2" borderId="6" xfId="0" applyFill="1" applyBorder="1" applyAlignment="1">
      <alignment horizontal="right" vertical="center"/>
    </xf>
    <xf numFmtId="211" fontId="0" fillId="2" borderId="6" xfId="0" applyNumberFormat="1" applyFill="1" applyBorder="1" applyAlignment="1">
      <alignment horizontal="right" vertical="center"/>
    </xf>
    <xf numFmtId="0" fontId="0" fillId="2" borderId="6" xfId="0" quotePrefix="1" applyFill="1" applyBorder="1" applyAlignment="1">
      <alignment horizontal="right" vertical="center"/>
    </xf>
    <xf numFmtId="0" fontId="253" fillId="2" borderId="5" xfId="0" applyFont="1" applyFill="1" applyBorder="1" applyAlignment="1">
      <alignment horizontal="right" vertical="center" wrapText="1"/>
    </xf>
    <xf numFmtId="0" fontId="253" fillId="2" borderId="7" xfId="0" applyFont="1" applyFill="1" applyBorder="1" applyAlignment="1">
      <alignment horizontal="right" vertical="center" wrapText="1"/>
    </xf>
    <xf numFmtId="0" fontId="254" fillId="2" borderId="1" xfId="0" applyFont="1" applyFill="1" applyBorder="1" applyAlignment="1">
      <alignment vertical="center" wrapText="1"/>
    </xf>
    <xf numFmtId="0" fontId="254" fillId="52" borderId="1" xfId="0" applyFont="1" applyFill="1" applyBorder="1" applyAlignment="1">
      <alignment horizontal="center" vertical="center"/>
    </xf>
    <xf numFmtId="0" fontId="6" fillId="52" borderId="1" xfId="0" applyFont="1" applyFill="1" applyBorder="1" applyAlignment="1">
      <alignment horizontal="left" vertical="center"/>
    </xf>
    <xf numFmtId="0" fontId="6" fillId="52" borderId="6" xfId="0" applyFont="1" applyFill="1" applyBorder="1" applyAlignment="1">
      <alignment horizontal="center" vertical="center"/>
    </xf>
    <xf numFmtId="0" fontId="0" fillId="2" borderId="1" xfId="0" applyFill="1" applyBorder="1" applyAlignment="1">
      <alignment horizontal="center" vertical="center"/>
    </xf>
    <xf numFmtId="0" fontId="0" fillId="54" borderId="1" xfId="0" applyFill="1" applyBorder="1" applyAlignment="1">
      <alignment horizontal="center" vertical="center"/>
    </xf>
    <xf numFmtId="0" fontId="0" fillId="2" borderId="1" xfId="0" applyFill="1" applyBorder="1" applyAlignment="1">
      <alignment vertical="center" wrapText="1"/>
    </xf>
    <xf numFmtId="0" fontId="5" fillId="53" borderId="7" xfId="0" applyFont="1" applyFill="1" applyBorder="1" applyAlignment="1">
      <alignment vertical="center" wrapText="1"/>
    </xf>
    <xf numFmtId="0" fontId="0" fillId="2" borderId="60" xfId="0" applyFill="1" applyBorder="1" applyAlignment="1">
      <alignment vertical="center" wrapText="1"/>
    </xf>
    <xf numFmtId="0" fontId="0" fillId="2" borderId="11" xfId="0" applyFill="1" applyBorder="1" applyAlignment="1">
      <alignment vertical="center" wrapText="1"/>
    </xf>
    <xf numFmtId="169" fontId="0" fillId="52" borderId="1" xfId="6" quotePrefix="1" applyNumberFormat="1" applyFont="1" applyFill="1" applyBorder="1" applyAlignment="1">
      <alignment horizontal="center" vertical="center"/>
    </xf>
    <xf numFmtId="169" fontId="0" fillId="52" borderId="10" xfId="6" quotePrefix="1" applyNumberFormat="1" applyFont="1" applyFill="1" applyBorder="1" applyAlignment="1">
      <alignment horizontal="center" vertical="center"/>
    </xf>
    <xf numFmtId="0" fontId="2" fillId="2" borderId="8" xfId="0" applyFont="1" applyFill="1" applyBorder="1" applyAlignment="1">
      <alignment vertical="center" textRotation="90"/>
    </xf>
    <xf numFmtId="0" fontId="0" fillId="2" borderId="0" xfId="0" applyFill="1"/>
    <xf numFmtId="0" fontId="0" fillId="2" borderId="0" xfId="0" applyFill="1" applyAlignment="1">
      <alignment horizontal="left"/>
    </xf>
    <xf numFmtId="0" fontId="260" fillId="2" borderId="4" xfId="0" applyFont="1" applyFill="1" applyBorder="1" applyAlignment="1">
      <alignment vertical="center"/>
    </xf>
    <xf numFmtId="0" fontId="261" fillId="2" borderId="4" xfId="0" applyFont="1" applyFill="1" applyBorder="1" applyAlignment="1">
      <alignment vertical="center"/>
    </xf>
    <xf numFmtId="0" fontId="262" fillId="2" borderId="4" xfId="0" applyFont="1" applyFill="1" applyBorder="1" applyAlignment="1">
      <alignment horizontal="center" vertical="center"/>
    </xf>
    <xf numFmtId="0" fontId="262" fillId="2" borderId="4" xfId="0" quotePrefix="1" applyFont="1" applyFill="1" applyBorder="1" applyAlignment="1">
      <alignment horizontal="center" vertical="center"/>
    </xf>
    <xf numFmtId="0" fontId="260" fillId="2" borderId="4" xfId="0" applyFont="1" applyFill="1" applyBorder="1" applyAlignment="1">
      <alignment horizontal="center" vertical="center"/>
    </xf>
    <xf numFmtId="0" fontId="260" fillId="2" borderId="3" xfId="0" applyFont="1" applyFill="1" applyBorder="1" applyAlignment="1">
      <alignment vertical="center"/>
    </xf>
    <xf numFmtId="0" fontId="260" fillId="2" borderId="3" xfId="0" applyFont="1" applyFill="1" applyBorder="1" applyAlignment="1">
      <alignment horizontal="center" vertical="center"/>
    </xf>
    <xf numFmtId="0" fontId="260" fillId="2" borderId="8" xfId="0" applyFont="1" applyFill="1" applyBorder="1" applyAlignment="1">
      <alignment vertical="center"/>
    </xf>
    <xf numFmtId="0" fontId="261" fillId="2" borderId="8" xfId="0" applyFont="1" applyFill="1" applyBorder="1" applyAlignment="1">
      <alignment vertical="center"/>
    </xf>
    <xf numFmtId="0" fontId="261" fillId="2" borderId="5" xfId="0" applyFont="1" applyFill="1" applyBorder="1" applyAlignment="1">
      <alignment vertical="center"/>
    </xf>
    <xf numFmtId="0" fontId="262" fillId="2" borderId="5" xfId="0" applyFont="1" applyFill="1" applyBorder="1" applyAlignment="1">
      <alignment horizontal="center" vertical="center"/>
    </xf>
    <xf numFmtId="0" fontId="263" fillId="2" borderId="0" xfId="0" applyFont="1" applyFill="1" applyAlignment="1">
      <alignment vertical="center"/>
    </xf>
    <xf numFmtId="0" fontId="263" fillId="2" borderId="0" xfId="0" applyFont="1" applyFill="1" applyAlignment="1">
      <alignment horizontal="center" vertical="center"/>
    </xf>
    <xf numFmtId="0" fontId="260" fillId="2" borderId="5" xfId="0" applyFont="1" applyFill="1" applyBorder="1" applyAlignment="1">
      <alignment vertical="center"/>
    </xf>
    <xf numFmtId="0" fontId="260" fillId="2" borderId="5" xfId="0" applyFont="1" applyFill="1" applyBorder="1" applyAlignment="1">
      <alignment horizontal="center" vertical="center"/>
    </xf>
    <xf numFmtId="43" fontId="5" fillId="53" borderId="4" xfId="55072" applyFont="1" applyFill="1" applyBorder="1" applyAlignment="1">
      <alignment horizontal="center" vertical="center"/>
    </xf>
    <xf numFmtId="43" fontId="0" fillId="0" borderId="0" xfId="55072" applyFont="1" applyAlignment="1">
      <alignment horizontal="center"/>
    </xf>
    <xf numFmtId="43" fontId="0" fillId="0" borderId="0" xfId="55072" applyFont="1" applyFill="1" applyAlignment="1">
      <alignment horizontal="center"/>
    </xf>
    <xf numFmtId="2" fontId="0" fillId="52" borderId="1" xfId="6" applyNumberFormat="1" applyFont="1" applyFill="1" applyBorder="1" applyAlignment="1">
      <alignment horizontal="center" vertical="center"/>
    </xf>
    <xf numFmtId="0" fontId="5" fillId="53" borderId="5" xfId="0" applyFont="1" applyFill="1" applyBorder="1" applyAlignment="1">
      <alignment horizontal="center" vertical="center"/>
    </xf>
    <xf numFmtId="0" fontId="264" fillId="53" borderId="1" xfId="0" applyFont="1" applyFill="1" applyBorder="1" applyAlignment="1">
      <alignment horizontal="center" vertical="center" wrapText="1"/>
    </xf>
    <xf numFmtId="0" fontId="258" fillId="2" borderId="0" xfId="0" applyFont="1" applyFill="1"/>
    <xf numFmtId="0" fontId="0" fillId="2" borderId="0" xfId="0" applyFill="1" applyAlignment="1">
      <alignment horizontal="center"/>
    </xf>
    <xf numFmtId="211" fontId="0" fillId="2" borderId="0" xfId="6" applyNumberFormat="1" applyFont="1" applyFill="1" applyBorder="1" applyAlignment="1">
      <alignment horizontal="center" vertical="center"/>
    </xf>
    <xf numFmtId="211" fontId="0" fillId="2" borderId="0" xfId="6" applyNumberFormat="1" applyFont="1" applyFill="1" applyBorder="1" applyAlignment="1">
      <alignment vertical="center"/>
    </xf>
    <xf numFmtId="10" fontId="0" fillId="2" borderId="0" xfId="0" applyNumberFormat="1" applyFill="1" applyAlignment="1">
      <alignment horizontal="center"/>
    </xf>
    <xf numFmtId="10" fontId="0" fillId="2" borderId="0" xfId="55072" applyNumberFormat="1" applyFont="1" applyFill="1" applyAlignment="1">
      <alignment horizontal="center"/>
    </xf>
    <xf numFmtId="43" fontId="0" fillId="2" borderId="0" xfId="55072" applyFont="1" applyFill="1" applyAlignment="1">
      <alignment horizontal="center"/>
    </xf>
    <xf numFmtId="43" fontId="0" fillId="2" borderId="0" xfId="55072" applyFont="1" applyFill="1"/>
    <xf numFmtId="10" fontId="0" fillId="2" borderId="60" xfId="0" applyNumberFormat="1" applyFill="1" applyBorder="1" applyAlignment="1">
      <alignment horizontal="center"/>
    </xf>
    <xf numFmtId="10" fontId="0" fillId="2" borderId="6" xfId="0" applyNumberFormat="1" applyFill="1" applyBorder="1" applyAlignment="1">
      <alignment horizontal="center"/>
    </xf>
    <xf numFmtId="10" fontId="0" fillId="2" borderId="7" xfId="0" applyNumberFormat="1" applyFill="1" applyBorder="1" applyAlignment="1">
      <alignment horizontal="center"/>
    </xf>
    <xf numFmtId="10" fontId="0" fillId="2" borderId="4" xfId="0" applyNumberFormat="1" applyFill="1" applyBorder="1" applyAlignment="1">
      <alignment horizontal="center"/>
    </xf>
    <xf numFmtId="10" fontId="0" fillId="2" borderId="5" xfId="0" applyNumberForma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10" fontId="0" fillId="2" borderId="3" xfId="0" applyNumberFormat="1" applyFill="1" applyBorder="1" applyAlignment="1">
      <alignment horizontal="right"/>
    </xf>
    <xf numFmtId="10" fontId="0" fillId="2" borderId="4" xfId="0" applyNumberFormat="1" applyFill="1" applyBorder="1" applyAlignment="1">
      <alignment horizontal="right"/>
    </xf>
    <xf numFmtId="10" fontId="0" fillId="2" borderId="5" xfId="0" applyNumberFormat="1" applyFill="1" applyBorder="1" applyAlignment="1">
      <alignment horizontal="right"/>
    </xf>
    <xf numFmtId="10" fontId="0" fillId="2" borderId="3" xfId="0" applyNumberFormat="1" applyFill="1" applyBorder="1" applyAlignment="1">
      <alignment horizontal="center"/>
    </xf>
    <xf numFmtId="10" fontId="0" fillId="2" borderId="3" xfId="55072" applyNumberFormat="1" applyFont="1" applyFill="1" applyBorder="1" applyAlignment="1">
      <alignment horizontal="center"/>
    </xf>
    <xf numFmtId="10" fontId="0" fillId="2" borderId="4" xfId="55072" applyNumberFormat="1" applyFont="1" applyFill="1" applyBorder="1" applyAlignment="1">
      <alignment horizontal="center"/>
    </xf>
    <xf numFmtId="10" fontId="0" fillId="2" borderId="5" xfId="55072" applyNumberFormat="1" applyFont="1" applyFill="1" applyBorder="1" applyAlignment="1">
      <alignment horizontal="center"/>
    </xf>
    <xf numFmtId="0" fontId="253" fillId="2" borderId="0" xfId="0" applyFont="1" applyFill="1" applyAlignment="1">
      <alignment vertical="center"/>
    </xf>
    <xf numFmtId="0" fontId="253" fillId="2" borderId="0" xfId="0" applyFont="1" applyFill="1" applyAlignment="1">
      <alignment vertical="center" wrapText="1"/>
    </xf>
    <xf numFmtId="0" fontId="253" fillId="2" borderId="2" xfId="0" applyFont="1" applyFill="1" applyBorder="1" applyAlignment="1">
      <alignment vertical="center"/>
    </xf>
    <xf numFmtId="0" fontId="253" fillId="2" borderId="38" xfId="0" applyFont="1" applyFill="1" applyBorder="1" applyAlignment="1">
      <alignment vertical="center"/>
    </xf>
    <xf numFmtId="0" fontId="253" fillId="2" borderId="47" xfId="0" applyFont="1" applyFill="1" applyBorder="1" applyAlignment="1">
      <alignment vertical="center"/>
    </xf>
    <xf numFmtId="0" fontId="253" fillId="2" borderId="8" xfId="0" applyFont="1" applyFill="1" applyBorder="1" applyAlignment="1">
      <alignment vertical="center"/>
    </xf>
    <xf numFmtId="0" fontId="0" fillId="2" borderId="8" xfId="0" applyFill="1" applyBorder="1" applyAlignment="1">
      <alignment vertical="center"/>
    </xf>
    <xf numFmtId="0" fontId="0" fillId="58" borderId="1" xfId="0" applyFill="1" applyBorder="1"/>
    <xf numFmtId="0" fontId="0" fillId="59" borderId="1" xfId="0" applyFill="1" applyBorder="1"/>
    <xf numFmtId="0" fontId="0" fillId="57" borderId="5" xfId="0" applyFill="1" applyBorder="1"/>
    <xf numFmtId="0" fontId="0" fillId="56" borderId="1" xfId="0" applyFill="1" applyBorder="1"/>
    <xf numFmtId="169" fontId="0" fillId="58" borderId="3" xfId="6" applyNumberFormat="1" applyFont="1" applyFill="1" applyBorder="1" applyAlignment="1">
      <alignment vertical="center"/>
    </xf>
    <xf numFmtId="169" fontId="0" fillId="58" borderId="4" xfId="6" applyNumberFormat="1" applyFont="1" applyFill="1" applyBorder="1" applyAlignment="1">
      <alignment vertical="center"/>
    </xf>
    <xf numFmtId="169" fontId="0" fillId="59" borderId="4" xfId="6" applyNumberFormat="1" applyFont="1" applyFill="1" applyBorder="1" applyAlignment="1">
      <alignment vertical="center"/>
    </xf>
    <xf numFmtId="169" fontId="0" fillId="59" borderId="5" xfId="6" applyNumberFormat="1" applyFont="1" applyFill="1" applyBorder="1" applyAlignment="1">
      <alignment vertical="center"/>
    </xf>
    <xf numFmtId="169" fontId="0" fillId="56" borderId="4" xfId="6" applyNumberFormat="1" applyFont="1" applyFill="1" applyBorder="1" applyAlignment="1">
      <alignment vertical="center"/>
    </xf>
    <xf numFmtId="211" fontId="0" fillId="57" borderId="4" xfId="6" applyNumberFormat="1" applyFont="1" applyFill="1" applyBorder="1" applyAlignment="1">
      <alignment vertical="center"/>
    </xf>
    <xf numFmtId="9" fontId="0" fillId="57" borderId="4" xfId="6" applyFont="1" applyFill="1" applyBorder="1" applyAlignment="1">
      <alignment vertical="center"/>
    </xf>
    <xf numFmtId="169" fontId="0" fillId="59" borderId="3" xfId="6" applyNumberFormat="1" applyFont="1" applyFill="1" applyBorder="1" applyAlignment="1">
      <alignment vertical="center"/>
    </xf>
    <xf numFmtId="2" fontId="0" fillId="57" borderId="4" xfId="6" applyNumberFormat="1" applyFont="1" applyFill="1" applyBorder="1" applyAlignment="1">
      <alignment vertical="center"/>
    </xf>
    <xf numFmtId="0" fontId="0" fillId="57" borderId="4" xfId="0" applyFill="1" applyBorder="1" applyAlignment="1">
      <alignment vertical="center"/>
    </xf>
    <xf numFmtId="0" fontId="0" fillId="58" borderId="3" xfId="0" applyFill="1" applyBorder="1" applyAlignment="1">
      <alignment vertical="center"/>
    </xf>
    <xf numFmtId="0" fontId="0" fillId="58" borderId="4" xfId="0" applyFill="1" applyBorder="1" applyAlignment="1">
      <alignment vertical="center"/>
    </xf>
    <xf numFmtId="0" fontId="253" fillId="58" borderId="4" xfId="0" applyFont="1" applyFill="1" applyBorder="1" applyAlignment="1">
      <alignment vertical="center"/>
    </xf>
    <xf numFmtId="0" fontId="253" fillId="59" borderId="4" xfId="0" applyFont="1" applyFill="1" applyBorder="1" applyAlignment="1">
      <alignment vertical="center"/>
    </xf>
    <xf numFmtId="0" fontId="0" fillId="59" borderId="4" xfId="0" applyFill="1" applyBorder="1" applyAlignment="1">
      <alignment vertical="center"/>
    </xf>
    <xf numFmtId="0" fontId="253" fillId="59" borderId="5" xfId="0" applyFont="1" applyFill="1" applyBorder="1" applyAlignment="1">
      <alignment vertical="center"/>
    </xf>
    <xf numFmtId="0" fontId="0" fillId="56" borderId="4" xfId="0" applyFill="1" applyBorder="1" applyAlignment="1">
      <alignment vertical="center"/>
    </xf>
    <xf numFmtId="0" fontId="253" fillId="59" borderId="3" xfId="0" applyFont="1" applyFill="1" applyBorder="1" applyAlignment="1">
      <alignment vertical="center"/>
    </xf>
    <xf numFmtId="0" fontId="0" fillId="59" borderId="3" xfId="0" applyFill="1" applyBorder="1" applyAlignment="1">
      <alignment vertical="center"/>
    </xf>
    <xf numFmtId="0" fontId="264" fillId="53" borderId="10" xfId="0" applyFont="1" applyFill="1" applyBorder="1" applyAlignment="1">
      <alignment horizontal="center" vertical="center" wrapText="1"/>
    </xf>
    <xf numFmtId="0" fontId="6" fillId="55" borderId="3" xfId="0" applyFont="1" applyFill="1" applyBorder="1" applyAlignment="1">
      <alignment vertical="center"/>
    </xf>
    <xf numFmtId="0" fontId="6" fillId="55" borderId="1" xfId="0" applyFont="1" applyFill="1" applyBorder="1" applyAlignment="1">
      <alignment vertical="center"/>
    </xf>
    <xf numFmtId="276" fontId="0" fillId="2" borderId="0" xfId="0" applyNumberFormat="1" applyFill="1"/>
    <xf numFmtId="211" fontId="0" fillId="59" borderId="1" xfId="6" applyNumberFormat="1" applyFont="1" applyFill="1" applyBorder="1" applyAlignment="1">
      <alignment horizontal="center" vertical="center"/>
    </xf>
    <xf numFmtId="0" fontId="6" fillId="2" borderId="1" xfId="0" applyFont="1" applyFill="1" applyBorder="1" applyAlignment="1">
      <alignment vertical="center"/>
    </xf>
    <xf numFmtId="277" fontId="0" fillId="52" borderId="0" xfId="0" applyNumberFormat="1" applyFill="1" applyAlignment="1">
      <alignment horizontal="center" vertical="center"/>
    </xf>
    <xf numFmtId="9" fontId="0" fillId="55" borderId="1" xfId="6"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251" fillId="2" borderId="3" xfId="0" applyFont="1" applyFill="1" applyBorder="1" applyAlignment="1">
      <alignment vertical="center" textRotation="90" wrapText="1"/>
    </xf>
    <xf numFmtId="0" fontId="251" fillId="2" borderId="5" xfId="0" applyFont="1" applyFill="1" applyBorder="1" applyAlignment="1">
      <alignment vertical="center" textRotation="90" wrapText="1"/>
    </xf>
    <xf numFmtId="0" fontId="0" fillId="2" borderId="1" xfId="0" applyFill="1" applyBorder="1" applyAlignment="1">
      <alignment vertical="center"/>
    </xf>
    <xf numFmtId="0" fontId="0" fillId="0" borderId="0" xfId="0" applyAlignment="1">
      <alignment vertical="center"/>
    </xf>
    <xf numFmtId="0" fontId="0" fillId="2" borderId="0" xfId="0" applyFill="1" applyAlignment="1">
      <alignment horizontal="center" vertical="top" wrapText="1"/>
    </xf>
    <xf numFmtId="0" fontId="6" fillId="2" borderId="0" xfId="0" applyFont="1" applyFill="1" applyAlignment="1">
      <alignment horizontal="center" vertical="top" wrapText="1"/>
    </xf>
    <xf numFmtId="0" fontId="0" fillId="2" borderId="0" xfId="0" applyFill="1" applyAlignment="1">
      <alignment wrapText="1"/>
    </xf>
    <xf numFmtId="0" fontId="265" fillId="2" borderId="0" xfId="55073" applyFill="1" applyAlignment="1">
      <alignment horizontal="left" vertical="center" indent="1"/>
    </xf>
    <xf numFmtId="0" fontId="268" fillId="2" borderId="0" xfId="0" applyFont="1" applyFill="1" applyAlignment="1">
      <alignment vertical="top"/>
    </xf>
    <xf numFmtId="10" fontId="269" fillId="2" borderId="0" xfId="55072" applyNumberFormat="1" applyFont="1" applyFill="1" applyAlignment="1">
      <alignment horizontal="center"/>
    </xf>
    <xf numFmtId="0" fontId="268" fillId="2" borderId="0" xfId="0" applyFont="1" applyFill="1"/>
    <xf numFmtId="0" fontId="259" fillId="53" borderId="3" xfId="0" applyFont="1" applyFill="1" applyBorder="1" applyAlignment="1">
      <alignment horizontal="center" vertical="center" wrapText="1"/>
    </xf>
    <xf numFmtId="0" fontId="269" fillId="2" borderId="2" xfId="0" applyFont="1" applyFill="1" applyBorder="1" applyAlignment="1">
      <alignment vertical="center"/>
    </xf>
    <xf numFmtId="0" fontId="270" fillId="57" borderId="5" xfId="0" applyFont="1" applyFill="1" applyBorder="1" applyAlignment="1">
      <alignment vertical="center"/>
    </xf>
    <xf numFmtId="211" fontId="270" fillId="57" borderId="5" xfId="6" applyNumberFormat="1" applyFont="1" applyFill="1" applyBorder="1" applyAlignment="1">
      <alignment vertical="center"/>
    </xf>
    <xf numFmtId="0" fontId="259" fillId="60" borderId="47" xfId="0" applyFont="1" applyFill="1" applyBorder="1"/>
    <xf numFmtId="0" fontId="271" fillId="60" borderId="60" xfId="0" applyFont="1" applyFill="1" applyBorder="1"/>
    <xf numFmtId="0" fontId="259" fillId="60" borderId="8" xfId="0" applyFont="1" applyFill="1" applyBorder="1"/>
    <xf numFmtId="0" fontId="271" fillId="60" borderId="6" xfId="0" applyFont="1" applyFill="1" applyBorder="1"/>
    <xf numFmtId="0" fontId="259" fillId="60" borderId="9" xfId="0" applyFont="1" applyFill="1" applyBorder="1"/>
    <xf numFmtId="43" fontId="271" fillId="60" borderId="7" xfId="55072" applyFont="1" applyFill="1" applyBorder="1"/>
    <xf numFmtId="0" fontId="271" fillId="60" borderId="7" xfId="0" applyFont="1" applyFill="1" applyBorder="1"/>
    <xf numFmtId="0" fontId="271" fillId="60" borderId="38" xfId="0" applyFont="1" applyFill="1" applyBorder="1"/>
    <xf numFmtId="0" fontId="271" fillId="60" borderId="38" xfId="0" applyFont="1" applyFill="1" applyBorder="1" applyAlignment="1">
      <alignment horizontal="center"/>
    </xf>
    <xf numFmtId="10" fontId="271" fillId="60" borderId="38" xfId="0" applyNumberFormat="1" applyFont="1" applyFill="1" applyBorder="1" applyAlignment="1">
      <alignment horizontal="center"/>
    </xf>
    <xf numFmtId="10" fontId="271" fillId="60" borderId="38" xfId="55072" applyNumberFormat="1" applyFont="1" applyFill="1" applyBorder="1" applyAlignment="1">
      <alignment horizontal="center"/>
    </xf>
    <xf numFmtId="0" fontId="271" fillId="60" borderId="0" xfId="0" applyFont="1" applyFill="1"/>
    <xf numFmtId="0" fontId="271" fillId="60" borderId="0" xfId="0" applyFont="1" applyFill="1" applyAlignment="1">
      <alignment horizontal="center"/>
    </xf>
    <xf numFmtId="43" fontId="271" fillId="60" borderId="0" xfId="55072" applyFont="1" applyFill="1" applyBorder="1" applyAlignment="1">
      <alignment horizontal="center"/>
    </xf>
    <xf numFmtId="0" fontId="271" fillId="60" borderId="2" xfId="0" applyFont="1" applyFill="1" applyBorder="1"/>
    <xf numFmtId="0" fontId="271" fillId="60" borderId="2" xfId="0" applyFont="1" applyFill="1" applyBorder="1" applyAlignment="1">
      <alignment horizontal="center"/>
    </xf>
    <xf numFmtId="43" fontId="271" fillId="60" borderId="2" xfId="55072" applyFont="1" applyFill="1" applyBorder="1" applyAlignment="1">
      <alignment horizontal="center"/>
    </xf>
    <xf numFmtId="169" fontId="0" fillId="2" borderId="3" xfId="0" applyNumberFormat="1" applyFill="1" applyBorder="1" applyAlignment="1">
      <alignment horizontal="center"/>
    </xf>
    <xf numFmtId="0" fontId="272" fillId="52" borderId="3" xfId="0" applyFont="1" applyFill="1" applyBorder="1" applyAlignment="1">
      <alignment horizontal="center" vertical="center"/>
    </xf>
    <xf numFmtId="211" fontId="272" fillId="52" borderId="60" xfId="6" applyNumberFormat="1" applyFont="1" applyFill="1" applyBorder="1" applyAlignment="1">
      <alignment vertical="center"/>
    </xf>
    <xf numFmtId="0" fontId="272" fillId="52" borderId="5" xfId="0" applyFont="1" applyFill="1" applyBorder="1" applyAlignment="1">
      <alignment horizontal="center" vertical="center"/>
    </xf>
    <xf numFmtId="169" fontId="272" fillId="52" borderId="7" xfId="6" applyNumberFormat="1" applyFont="1" applyFill="1" applyBorder="1" applyAlignment="1">
      <alignment vertical="center"/>
    </xf>
    <xf numFmtId="9" fontId="0" fillId="52" borderId="1" xfId="6" applyFont="1" applyFill="1" applyBorder="1" applyAlignment="1">
      <alignment horizontal="center" vertical="center"/>
    </xf>
    <xf numFmtId="0" fontId="259" fillId="60" borderId="0" xfId="0" applyFont="1" applyFill="1"/>
    <xf numFmtId="168" fontId="0" fillId="52" borderId="60" xfId="0" applyNumberFormat="1" applyFill="1" applyBorder="1" applyAlignment="1">
      <alignment horizontal="center" vertical="center"/>
    </xf>
    <xf numFmtId="43" fontId="0" fillId="56" borderId="4" xfId="55072" applyFont="1" applyFill="1" applyBorder="1" applyAlignment="1">
      <alignment vertical="center"/>
    </xf>
    <xf numFmtId="0" fontId="259" fillId="2" borderId="0" xfId="0" applyFont="1" applyFill="1" applyAlignment="1">
      <alignment vertical="center" wrapText="1"/>
    </xf>
    <xf numFmtId="0" fontId="273" fillId="52" borderId="1" xfId="0" applyFont="1" applyFill="1" applyBorder="1" applyAlignment="1">
      <alignment horizontal="center" vertical="center"/>
    </xf>
    <xf numFmtId="0" fontId="5" fillId="53" borderId="11" xfId="0" applyFont="1" applyFill="1" applyBorder="1" applyAlignment="1">
      <alignment horizontal="center" vertical="center" wrapText="1"/>
    </xf>
    <xf numFmtId="0" fontId="5" fillId="53" borderId="10" xfId="0" applyFont="1" applyFill="1" applyBorder="1" applyAlignment="1">
      <alignment horizontal="center" vertical="center" wrapText="1"/>
    </xf>
    <xf numFmtId="0" fontId="2" fillId="2" borderId="0" xfId="0" applyFont="1" applyFill="1" applyAlignment="1">
      <alignment horizontal="center" vertical="center" textRotation="90" wrapText="1"/>
    </xf>
    <xf numFmtId="0" fontId="254" fillId="0" borderId="3" xfId="0" applyFont="1" applyBorder="1" applyAlignment="1">
      <alignment horizontal="center" vertical="center" textRotation="90" wrapText="1"/>
    </xf>
    <xf numFmtId="0" fontId="254" fillId="0" borderId="4" xfId="0" applyFont="1" applyBorder="1" applyAlignment="1">
      <alignment horizontal="center" vertical="center" textRotation="90" wrapText="1"/>
    </xf>
    <xf numFmtId="0" fontId="254" fillId="0" borderId="5" xfId="0" applyFont="1" applyBorder="1" applyAlignment="1">
      <alignment horizontal="center" vertical="center" textRotation="90" wrapText="1"/>
    </xf>
    <xf numFmtId="0" fontId="6" fillId="2" borderId="3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2" xfId="0" applyFont="1" applyFill="1" applyBorder="1" applyAlignment="1">
      <alignment horizontal="center" vertical="center" wrapText="1"/>
    </xf>
    <xf numFmtId="0" fontId="7" fillId="2" borderId="0" xfId="0" applyFont="1" applyFill="1" applyAlignment="1">
      <alignment horizontal="center" vertical="center" wrapText="1"/>
    </xf>
    <xf numFmtId="0" fontId="250" fillId="2" borderId="52" xfId="0" applyFont="1" applyFill="1" applyBorder="1" applyAlignment="1">
      <alignment horizontal="center" vertical="center" textRotation="90" wrapText="1"/>
    </xf>
    <xf numFmtId="0" fontId="250" fillId="2" borderId="50" xfId="0" applyFont="1" applyFill="1" applyBorder="1" applyAlignment="1">
      <alignment horizontal="center" vertical="center" textRotation="90" wrapText="1"/>
    </xf>
    <xf numFmtId="0" fontId="250" fillId="2" borderId="49" xfId="0" applyFont="1" applyFill="1" applyBorder="1" applyAlignment="1">
      <alignment horizontal="center" vertical="center" textRotation="90" wrapText="1"/>
    </xf>
    <xf numFmtId="0" fontId="6" fillId="2" borderId="4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7" fillId="51" borderId="38" xfId="0" applyFont="1" applyFill="1" applyBorder="1" applyAlignment="1">
      <alignment horizontal="center" vertical="center" wrapText="1"/>
    </xf>
    <xf numFmtId="0" fontId="7" fillId="51" borderId="60" xfId="0"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5" fillId="53" borderId="55" xfId="0" applyFont="1" applyFill="1" applyBorder="1" applyAlignment="1">
      <alignment horizontal="center" vertical="center" wrapText="1"/>
    </xf>
    <xf numFmtId="0" fontId="5" fillId="53" borderId="33" xfId="0" applyFont="1" applyFill="1" applyBorder="1" applyAlignment="1">
      <alignment horizontal="center" vertical="center" wrapText="1"/>
    </xf>
    <xf numFmtId="0" fontId="5" fillId="53" borderId="51" xfId="0" applyFont="1" applyFill="1" applyBorder="1" applyAlignment="1">
      <alignment horizontal="center" vertical="center" wrapText="1"/>
    </xf>
    <xf numFmtId="0" fontId="7" fillId="51" borderId="57" xfId="0" applyFont="1" applyFill="1" applyBorder="1" applyAlignment="1">
      <alignment horizontal="center" vertical="center" wrapText="1"/>
    </xf>
    <xf numFmtId="0" fontId="5" fillId="2" borderId="0" xfId="0" applyFont="1" applyFill="1" applyAlignment="1">
      <alignment horizontal="center" vertical="center" wrapText="1"/>
    </xf>
    <xf numFmtId="0" fontId="5" fillId="53" borderId="53" xfId="0" applyFont="1" applyFill="1" applyBorder="1" applyAlignment="1">
      <alignment horizontal="center" vertical="center" wrapText="1"/>
    </xf>
    <xf numFmtId="0" fontId="0" fillId="2" borderId="11" xfId="0" applyFill="1" applyBorder="1" applyAlignment="1">
      <alignment horizontal="left" vertical="center" wrapText="1"/>
    </xf>
    <xf numFmtId="0" fontId="0" fillId="2" borderId="12" xfId="0" applyFill="1" applyBorder="1" applyAlignment="1">
      <alignment horizontal="left" vertical="center" wrapText="1"/>
    </xf>
    <xf numFmtId="0" fontId="0" fillId="2" borderId="10" xfId="0" applyFill="1" applyBorder="1" applyAlignment="1">
      <alignment horizontal="left" vertical="center" wrapText="1"/>
    </xf>
    <xf numFmtId="0" fontId="5" fillId="53" borderId="1" xfId="0" applyFont="1" applyFill="1" applyBorder="1" applyAlignment="1">
      <alignment horizontal="center" vertical="center" wrapText="1"/>
    </xf>
    <xf numFmtId="0" fontId="251" fillId="2" borderId="3" xfId="0" applyFont="1" applyFill="1" applyBorder="1" applyAlignment="1">
      <alignment horizontal="center" vertical="center" textRotation="90" wrapText="1"/>
    </xf>
    <xf numFmtId="0" fontId="251" fillId="2" borderId="4" xfId="0" applyFont="1" applyFill="1" applyBorder="1" applyAlignment="1">
      <alignment horizontal="center" vertical="center" textRotation="90" wrapText="1"/>
    </xf>
    <xf numFmtId="0" fontId="251" fillId="2" borderId="5" xfId="0" applyFont="1" applyFill="1" applyBorder="1" applyAlignment="1">
      <alignment horizontal="center" vertical="center" textRotation="90" wrapText="1"/>
    </xf>
    <xf numFmtId="0" fontId="0" fillId="54" borderId="1" xfId="0" applyFill="1" applyBorder="1" applyAlignment="1">
      <alignment horizontal="center" vertical="center" wrapText="1"/>
    </xf>
    <xf numFmtId="0" fontId="0" fillId="2" borderId="1" xfId="0" applyFill="1" applyBorder="1" applyAlignment="1">
      <alignment horizontal="center" vertical="center" wrapText="1"/>
    </xf>
    <xf numFmtId="0" fontId="5" fillId="53" borderId="47" xfId="0" applyFont="1" applyFill="1" applyBorder="1" applyAlignment="1">
      <alignment horizontal="center" vertical="center" wrapText="1"/>
    </xf>
    <xf numFmtId="0" fontId="5" fillId="53" borderId="60" xfId="0" applyFont="1" applyFill="1"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horizontal="center" vertical="center" wrapText="1"/>
    </xf>
    <xf numFmtId="0" fontId="5" fillId="53" borderId="3" xfId="0" applyFont="1" applyFill="1" applyBorder="1" applyAlignment="1">
      <alignment horizontal="center" vertical="center"/>
    </xf>
    <xf numFmtId="0" fontId="5" fillId="53" borderId="4" xfId="0" applyFont="1" applyFill="1" applyBorder="1" applyAlignment="1">
      <alignment horizontal="center" vertical="center"/>
    </xf>
    <xf numFmtId="0" fontId="5" fillId="53" borderId="38" xfId="0" applyFont="1" applyFill="1" applyBorder="1" applyAlignment="1">
      <alignment horizontal="center" vertical="center" wrapText="1"/>
    </xf>
    <xf numFmtId="0" fontId="5" fillId="53" borderId="8" xfId="0" applyFont="1" applyFill="1" applyBorder="1" applyAlignment="1">
      <alignment horizontal="center" vertical="center" wrapText="1"/>
    </xf>
    <xf numFmtId="0" fontId="5" fillId="53" borderId="0" xfId="0" applyFont="1" applyFill="1" applyAlignment="1">
      <alignment horizontal="center" vertical="center" wrapText="1"/>
    </xf>
    <xf numFmtId="0" fontId="5" fillId="53" borderId="6" xfId="0" applyFont="1" applyFill="1" applyBorder="1" applyAlignment="1">
      <alignment horizontal="center" vertical="center" wrapText="1"/>
    </xf>
    <xf numFmtId="0" fontId="5" fillId="53" borderId="9" xfId="0" applyFont="1" applyFill="1" applyBorder="1" applyAlignment="1">
      <alignment horizontal="center" vertical="center" wrapText="1"/>
    </xf>
    <xf numFmtId="0" fontId="5" fillId="53" borderId="2" xfId="0" applyFont="1" applyFill="1" applyBorder="1" applyAlignment="1">
      <alignment horizontal="center" vertical="center" wrapText="1"/>
    </xf>
    <xf numFmtId="0" fontId="5" fillId="53" borderId="7" xfId="0" applyFont="1" applyFill="1" applyBorder="1" applyAlignment="1">
      <alignment horizontal="center" vertical="center" wrapText="1"/>
    </xf>
    <xf numFmtId="43" fontId="5" fillId="53" borderId="11" xfId="55072" applyFont="1" applyFill="1" applyBorder="1" applyAlignment="1">
      <alignment horizontal="center" vertical="center" wrapText="1"/>
    </xf>
    <xf numFmtId="43" fontId="5" fillId="53" borderId="12" xfId="55072" applyFont="1" applyFill="1" applyBorder="1" applyAlignment="1">
      <alignment horizontal="center" vertical="center" wrapText="1"/>
    </xf>
    <xf numFmtId="43" fontId="5" fillId="53" borderId="10" xfId="55072" applyFont="1" applyFill="1" applyBorder="1" applyAlignment="1">
      <alignment horizontal="center" vertical="center" wrapText="1"/>
    </xf>
    <xf numFmtId="0" fontId="5" fillId="53" borderId="12" xfId="0" applyFont="1" applyFill="1" applyBorder="1" applyAlignment="1">
      <alignment horizontal="center" vertical="center" wrapText="1"/>
    </xf>
    <xf numFmtId="0" fontId="5" fillId="53" borderId="3" xfId="0" applyFont="1" applyFill="1" applyBorder="1" applyAlignment="1">
      <alignment horizontal="center" vertical="center" wrapText="1"/>
    </xf>
    <xf numFmtId="0" fontId="5" fillId="53" borderId="5" xfId="0" applyFont="1" applyFill="1" applyBorder="1" applyAlignment="1">
      <alignment horizontal="center" vertical="center" wrapText="1"/>
    </xf>
    <xf numFmtId="0" fontId="259" fillId="53" borderId="11" xfId="0" applyFont="1" applyFill="1" applyBorder="1" applyAlignment="1">
      <alignment horizontal="center" vertical="center" wrapText="1"/>
    </xf>
    <xf numFmtId="0" fontId="259" fillId="53" borderId="10" xfId="0" applyFont="1" applyFill="1" applyBorder="1" applyAlignment="1">
      <alignment horizontal="center" vertical="center" wrapText="1"/>
    </xf>
    <xf numFmtId="0" fontId="259" fillId="60" borderId="0" xfId="0" applyFont="1" applyFill="1" applyAlignment="1">
      <alignment horizontal="left" vertical="center" wrapText="1"/>
    </xf>
    <xf numFmtId="0" fontId="259" fillId="60" borderId="47" xfId="0" applyFont="1" applyFill="1" applyBorder="1" applyAlignment="1">
      <alignment horizontal="center" vertical="center" wrapText="1"/>
    </xf>
    <xf numFmtId="0" fontId="259" fillId="60" borderId="38" xfId="0" applyFont="1" applyFill="1" applyBorder="1" applyAlignment="1">
      <alignment horizontal="center" vertical="center" wrapText="1"/>
    </xf>
    <xf numFmtId="0" fontId="259" fillId="60" borderId="60" xfId="0" applyFont="1" applyFill="1" applyBorder="1" applyAlignment="1">
      <alignment horizontal="center" vertical="center" wrapText="1"/>
    </xf>
    <xf numFmtId="0" fontId="259" fillId="60" borderId="8" xfId="0" applyFont="1" applyFill="1" applyBorder="1" applyAlignment="1">
      <alignment horizontal="center" vertical="center" wrapText="1"/>
    </xf>
    <xf numFmtId="0" fontId="259" fillId="60" borderId="0" xfId="0" applyFont="1" applyFill="1" applyAlignment="1">
      <alignment horizontal="center" vertical="center" wrapText="1"/>
    </xf>
    <xf numFmtId="0" fontId="259" fillId="60" borderId="6" xfId="0" applyFont="1" applyFill="1" applyBorder="1" applyAlignment="1">
      <alignment horizontal="center" vertical="center" wrapText="1"/>
    </xf>
    <xf numFmtId="0" fontId="259" fillId="60" borderId="9" xfId="0" applyFont="1" applyFill="1" applyBorder="1" applyAlignment="1">
      <alignment horizontal="center" vertical="center" wrapText="1"/>
    </xf>
    <xf numFmtId="0" fontId="259" fillId="60" borderId="2" xfId="0" applyFont="1" applyFill="1" applyBorder="1" applyAlignment="1">
      <alignment horizontal="center" vertical="center" wrapText="1"/>
    </xf>
    <xf numFmtId="0" fontId="259" fillId="60" borderId="7" xfId="0" applyFont="1" applyFill="1" applyBorder="1" applyAlignment="1">
      <alignment horizontal="center" vertical="center" wrapText="1"/>
    </xf>
    <xf numFmtId="0" fontId="265" fillId="2" borderId="62" xfId="55073" applyFill="1" applyBorder="1" applyAlignment="1">
      <alignment horizontal="center" vertical="top" wrapText="1"/>
    </xf>
    <xf numFmtId="0" fontId="265" fillId="2" borderId="29" xfId="55073" applyFill="1" applyBorder="1" applyAlignment="1">
      <alignment horizontal="center" vertical="top" wrapText="1"/>
    </xf>
    <xf numFmtId="0" fontId="265" fillId="2" borderId="48" xfId="55073" applyFill="1" applyBorder="1" applyAlignment="1">
      <alignment horizontal="center" vertical="top" wrapText="1"/>
    </xf>
    <xf numFmtId="0" fontId="266" fillId="2" borderId="56" xfId="0" applyFont="1" applyFill="1" applyBorder="1" applyAlignment="1">
      <alignment horizontal="left" vertical="top" wrapText="1"/>
    </xf>
    <xf numFmtId="0" fontId="266" fillId="2" borderId="0" xfId="0" applyFont="1" applyFill="1" applyAlignment="1">
      <alignment horizontal="left" vertical="top" wrapText="1"/>
    </xf>
    <xf numFmtId="0" fontId="266" fillId="2" borderId="37" xfId="0" applyFont="1" applyFill="1" applyBorder="1" applyAlignment="1">
      <alignment horizontal="left" vertical="top" wrapText="1"/>
    </xf>
    <xf numFmtId="0" fontId="0" fillId="2" borderId="62" xfId="0" applyFill="1" applyBorder="1" applyAlignment="1">
      <alignment horizontal="left" vertical="top" wrapText="1"/>
    </xf>
    <xf numFmtId="0" fontId="0" fillId="2" borderId="29" xfId="0" applyFill="1" applyBorder="1" applyAlignment="1">
      <alignment horizontal="left" vertical="top" wrapText="1"/>
    </xf>
    <xf numFmtId="0" fontId="265" fillId="2" borderId="29" xfId="55073" applyFill="1" applyBorder="1" applyAlignment="1">
      <alignment horizontal="left" vertical="top" wrapText="1"/>
    </xf>
    <xf numFmtId="0" fontId="265" fillId="2" borderId="48" xfId="55073" applyFill="1" applyBorder="1" applyAlignment="1">
      <alignment horizontal="left" vertical="top" wrapText="1"/>
    </xf>
    <xf numFmtId="0" fontId="258" fillId="2" borderId="0" xfId="0" applyFont="1" applyFill="1" applyAlignment="1">
      <alignment horizontal="left"/>
    </xf>
    <xf numFmtId="0" fontId="267" fillId="2" borderId="0" xfId="55073" applyFont="1" applyFill="1" applyAlignment="1">
      <alignment horizontal="left"/>
    </xf>
    <xf numFmtId="0" fontId="6" fillId="2" borderId="54" xfId="0" applyFont="1" applyFill="1" applyBorder="1" applyAlignment="1">
      <alignment horizontal="center" vertical="top" wrapText="1"/>
    </xf>
    <xf numFmtId="0" fontId="6" fillId="2" borderId="32" xfId="0" applyFont="1" applyFill="1" applyBorder="1" applyAlignment="1">
      <alignment horizontal="center" vertical="top" wrapText="1"/>
    </xf>
    <xf numFmtId="0" fontId="6" fillId="2" borderId="61" xfId="0" applyFont="1" applyFill="1" applyBorder="1" applyAlignment="1">
      <alignment horizontal="center" vertical="top" wrapText="1"/>
    </xf>
    <xf numFmtId="0" fontId="0" fillId="2" borderId="56" xfId="0" applyFill="1" applyBorder="1" applyAlignment="1">
      <alignment horizontal="left" vertical="top" wrapText="1"/>
    </xf>
    <xf numFmtId="0" fontId="0" fillId="2" borderId="0" xfId="0" applyFill="1" applyAlignment="1">
      <alignment horizontal="left" vertical="top" wrapText="1"/>
    </xf>
    <xf numFmtId="0" fontId="0" fillId="2" borderId="37" xfId="0" applyFill="1" applyBorder="1" applyAlignment="1">
      <alignment horizontal="left" vertical="top" wrapText="1"/>
    </xf>
    <xf numFmtId="0" fontId="265" fillId="2" borderId="0" xfId="55073" applyFill="1" applyBorder="1" applyAlignment="1">
      <alignment horizontal="left" vertical="top" wrapText="1"/>
    </xf>
    <xf numFmtId="0" fontId="265" fillId="2" borderId="37" xfId="55073" applyFill="1" applyBorder="1" applyAlignment="1">
      <alignment horizontal="left" vertical="top" wrapText="1"/>
    </xf>
    <xf numFmtId="0" fontId="0" fillId="2" borderId="54" xfId="0" applyFill="1" applyBorder="1" applyAlignment="1">
      <alignment horizontal="center" vertical="top" wrapText="1"/>
    </xf>
    <xf numFmtId="0" fontId="0" fillId="2" borderId="32" xfId="0" applyFill="1" applyBorder="1" applyAlignment="1">
      <alignment horizontal="center" vertical="top" wrapText="1"/>
    </xf>
    <xf numFmtId="0" fontId="0" fillId="2" borderId="61" xfId="0" applyFill="1" applyBorder="1" applyAlignment="1">
      <alignment horizontal="center" vertical="top" wrapText="1"/>
    </xf>
    <xf numFmtId="0" fontId="0" fillId="2" borderId="62" xfId="0" applyFill="1" applyBorder="1" applyAlignment="1">
      <alignment horizontal="center" vertical="top" wrapText="1"/>
    </xf>
    <xf numFmtId="0" fontId="0" fillId="2" borderId="29" xfId="0" applyFill="1" applyBorder="1" applyAlignment="1">
      <alignment horizontal="center" vertical="top" wrapText="1"/>
    </xf>
    <xf numFmtId="0" fontId="0" fillId="2" borderId="48" xfId="0" applyFill="1" applyBorder="1" applyAlignment="1">
      <alignment horizontal="center" vertical="top" wrapText="1"/>
    </xf>
    <xf numFmtId="0" fontId="6" fillId="2" borderId="0" xfId="0" applyFont="1" applyFill="1" applyAlignment="1">
      <alignment horizontal="center"/>
    </xf>
    <xf numFmtId="0" fontId="0" fillId="2" borderId="56" xfId="0" applyFill="1" applyBorder="1" applyAlignment="1">
      <alignment horizontal="center" vertical="top" wrapText="1"/>
    </xf>
    <xf numFmtId="0" fontId="0" fillId="2" borderId="0" xfId="0" applyFill="1" applyAlignment="1">
      <alignment horizontal="center" vertical="top" wrapText="1"/>
    </xf>
    <xf numFmtId="0" fontId="0" fillId="2" borderId="37" xfId="0" applyFill="1" applyBorder="1" applyAlignment="1">
      <alignment horizontal="center" vertical="top" wrapText="1"/>
    </xf>
    <xf numFmtId="0" fontId="0" fillId="2" borderId="48" xfId="0" applyFill="1" applyBorder="1" applyAlignment="1">
      <alignment horizontal="left" vertical="top" wrapText="1"/>
    </xf>
  </cellXfs>
  <cellStyles count="55074">
    <cellStyle name="_x0001_" xfId="31" xr:uid="{00000000-0005-0000-0000-000000000000}"/>
    <cellStyle name="_00.Bia" xfId="41" xr:uid="{00000000-0005-0000-0000-00000A000000}"/>
    <cellStyle name="_01 DVHC" xfId="42" xr:uid="{00000000-0005-0000-0000-00000B000000}"/>
    <cellStyle name="_01 DVHC - DD (Ok)" xfId="43" xr:uid="{00000000-0005-0000-0000-00000C000000}"/>
    <cellStyle name="_01 DVHC - DD (Ok) 2" xfId="44" xr:uid="{00000000-0005-0000-0000-00000D000000}"/>
    <cellStyle name="_01 DVHC - DD (Ok)_Content" xfId="45" xr:uid="{00000000-0005-0000-0000-00000E000000}"/>
    <cellStyle name="_01 DVHC 2" xfId="46" xr:uid="{00000000-0005-0000-0000-00000F000000}"/>
    <cellStyle name="_01 DVHC 3" xfId="47" xr:uid="{00000000-0005-0000-0000-000010000000}"/>
    <cellStyle name="_01 DVHC 4" xfId="48" xr:uid="{00000000-0005-0000-0000-000011000000}"/>
    <cellStyle name="_01 DVHC 5" xfId="49" xr:uid="{00000000-0005-0000-0000-000012000000}"/>
    <cellStyle name="_01 DVHC 6" xfId="50" xr:uid="{00000000-0005-0000-0000-000013000000}"/>
    <cellStyle name="_01 DVHC 7" xfId="51" xr:uid="{00000000-0005-0000-0000-000014000000}"/>
    <cellStyle name="_01 DVHC 8" xfId="52" xr:uid="{00000000-0005-0000-0000-000015000000}"/>
    <cellStyle name="_01 DVHC_02 Danso_Laodong 2012(chuan) CO SO" xfId="69" xr:uid="{00000000-0005-0000-0000-000026000000}"/>
    <cellStyle name="_01 DVHC_02 Danso_Laodong 2012(chuan) CO SO 2" xfId="70" xr:uid="{00000000-0005-0000-0000-000027000000}"/>
    <cellStyle name="_01 DVHC_02 Danso_Laodong 2012(chuan) CO SO_Content" xfId="71" xr:uid="{00000000-0005-0000-0000-000028000000}"/>
    <cellStyle name="_01 DVHC_Content" xfId="72" xr:uid="{00000000-0005-0000-0000-000029000000}"/>
    <cellStyle name="_01 DVHC(OK)" xfId="53" xr:uid="{00000000-0005-0000-0000-000016000000}"/>
    <cellStyle name="_01 DVHC(OK) 2" xfId="54" xr:uid="{00000000-0005-0000-0000-000017000000}"/>
    <cellStyle name="_01 DVHC(OK)_03 TKQG va Thu chi NSNN 2012" xfId="55" xr:uid="{00000000-0005-0000-0000-000018000000}"/>
    <cellStyle name="_01 DVHC(OK)_03 TKQG va Thu chi NSNN 2012 2" xfId="56" xr:uid="{00000000-0005-0000-0000-000019000000}"/>
    <cellStyle name="_01 DVHC(OK)_03 TKQG va Thu chi NSNN 2012_Content" xfId="57" xr:uid="{00000000-0005-0000-0000-00001A000000}"/>
    <cellStyle name="_01 DVHC(OK)_05 Doanh nghiep va Ca the_2011 (Ok)" xfId="58" xr:uid="{00000000-0005-0000-0000-00001B000000}"/>
    <cellStyle name="_01 DVHC(OK)_11 (3)" xfId="59" xr:uid="{00000000-0005-0000-0000-00001C000000}"/>
    <cellStyle name="_01 DVHC(OK)_11 (3) 2" xfId="60" xr:uid="{00000000-0005-0000-0000-00001D000000}"/>
    <cellStyle name="_01 DVHC(OK)_11 (3)_Content" xfId="61" xr:uid="{00000000-0005-0000-0000-00001E000000}"/>
    <cellStyle name="_01 DVHC(OK)_12 (2)" xfId="62" xr:uid="{00000000-0005-0000-0000-00001F000000}"/>
    <cellStyle name="_01 DVHC(OK)_12 (2) 2" xfId="63" xr:uid="{00000000-0005-0000-0000-000020000000}"/>
    <cellStyle name="_01 DVHC(OK)_12 (2)_Content" xfId="64" xr:uid="{00000000-0005-0000-0000-000021000000}"/>
    <cellStyle name="_01 DVHC(OK)_Content" xfId="65" xr:uid="{00000000-0005-0000-0000-000022000000}"/>
    <cellStyle name="_01 DVHC(OK)_Ngiam_lamnghiep_2011_v2(1)(1)" xfId="66" xr:uid="{00000000-0005-0000-0000-000023000000}"/>
    <cellStyle name="_01 DVHC(OK)_Ngiam_lamnghiep_2011_v2(1)(1) 2" xfId="67" xr:uid="{00000000-0005-0000-0000-000024000000}"/>
    <cellStyle name="_01 DVHC(OK)_Ngiam_lamnghiep_2011_v2(1)(1)_Content" xfId="68" xr:uid="{00000000-0005-0000-0000-000025000000}"/>
    <cellStyle name="_01.NGTT2009-DVHC" xfId="73" xr:uid="{00000000-0005-0000-0000-00002A000000}"/>
    <cellStyle name="_02 dan so (OK)" xfId="74" xr:uid="{00000000-0005-0000-0000-00002B000000}"/>
    <cellStyle name="_02.NGTT2009-DSLD" xfId="75" xr:uid="{00000000-0005-0000-0000-00002C000000}"/>
    <cellStyle name="_02.NGTT2009-DSLDok" xfId="76" xr:uid="{00000000-0005-0000-0000-00002D000000}"/>
    <cellStyle name="_03 Dautu 2010" xfId="77" xr:uid="{00000000-0005-0000-0000-00002E000000}"/>
    <cellStyle name="_03.NGTT2009-TKQG" xfId="78" xr:uid="{00000000-0005-0000-0000-00002F000000}"/>
    <cellStyle name="_05 Thuong mai" xfId="79" xr:uid="{00000000-0005-0000-0000-000030000000}"/>
    <cellStyle name="_05 Thuong mai 2" xfId="80" xr:uid="{00000000-0005-0000-0000-000031000000}"/>
    <cellStyle name="_05 Thuong mai_02 Danso_Laodong 2012(chuan) CO SO" xfId="81" xr:uid="{00000000-0005-0000-0000-000032000000}"/>
    <cellStyle name="_05 Thuong mai_02 Danso_Laodong 2012(chuan) CO SO 2" xfId="82" xr:uid="{00000000-0005-0000-0000-000033000000}"/>
    <cellStyle name="_05 Thuong mai_02 Danso_Laodong 2012(chuan) CO SO_Content" xfId="83" xr:uid="{00000000-0005-0000-0000-000034000000}"/>
    <cellStyle name="_05 Thuong mai_Content" xfId="84" xr:uid="{00000000-0005-0000-0000-000035000000}"/>
    <cellStyle name="_06 Van tai" xfId="85" xr:uid="{00000000-0005-0000-0000-000036000000}"/>
    <cellStyle name="_06 Van tai 2" xfId="86" xr:uid="{00000000-0005-0000-0000-000037000000}"/>
    <cellStyle name="_06 Van tai_02 Danso_Laodong 2012(chuan) CO SO" xfId="87" xr:uid="{00000000-0005-0000-0000-000038000000}"/>
    <cellStyle name="_06 Van tai_02 Danso_Laodong 2012(chuan) CO SO 2" xfId="88" xr:uid="{00000000-0005-0000-0000-000039000000}"/>
    <cellStyle name="_06 Van tai_02 Danso_Laodong 2012(chuan) CO SO_Content" xfId="89" xr:uid="{00000000-0005-0000-0000-00003A000000}"/>
    <cellStyle name="_06 Van tai_Content" xfId="90" xr:uid="{00000000-0005-0000-0000-00003B000000}"/>
    <cellStyle name="_07 Buu dien" xfId="91" xr:uid="{00000000-0005-0000-0000-00003C000000}"/>
    <cellStyle name="_07 Buu dien 2" xfId="92" xr:uid="{00000000-0005-0000-0000-00003D000000}"/>
    <cellStyle name="_07 Buu dien_02 Danso_Laodong 2012(chuan) CO SO" xfId="93" xr:uid="{00000000-0005-0000-0000-00003E000000}"/>
    <cellStyle name="_07 Buu dien_02 Danso_Laodong 2012(chuan) CO SO 2" xfId="94" xr:uid="{00000000-0005-0000-0000-00003F000000}"/>
    <cellStyle name="_07 Buu dien_02 Danso_Laodong 2012(chuan) CO SO_Content" xfId="95" xr:uid="{00000000-0005-0000-0000-000040000000}"/>
    <cellStyle name="_07 Buu dien_Content" xfId="96" xr:uid="{00000000-0005-0000-0000-000041000000}"/>
    <cellStyle name="_07. NGTT2009-NN" xfId="97" xr:uid="{00000000-0005-0000-0000-000042000000}"/>
    <cellStyle name="_07. NGTT2009-NN 2" xfId="98" xr:uid="{00000000-0005-0000-0000-000043000000}"/>
    <cellStyle name="_07. NGTT2009-NN_01 DVHC-DSLD 2010" xfId="99" xr:uid="{00000000-0005-0000-0000-000044000000}"/>
    <cellStyle name="_07. NGTT2009-NN_01 DVHC-DSLD 2010 2" xfId="100" xr:uid="{00000000-0005-0000-0000-000045000000}"/>
    <cellStyle name="_07. NGTT2009-NN_01 DVHC-DSLD 2010_02 Danso_Laodong 2012(chuan) CO SO" xfId="101" xr:uid="{00000000-0005-0000-0000-000046000000}"/>
    <cellStyle name="_07. NGTT2009-NN_01 DVHC-DSLD 2010_02 Danso_Laodong 2012(chuan) CO SO 2" xfId="102" xr:uid="{00000000-0005-0000-0000-000047000000}"/>
    <cellStyle name="_07. NGTT2009-NN_01 DVHC-DSLD 2010_02 Danso_Laodong 2012(chuan) CO SO_Content" xfId="103" xr:uid="{00000000-0005-0000-0000-000048000000}"/>
    <cellStyle name="_07. NGTT2009-NN_01 DVHC-DSLD 2010_Bo sung 04 bieu Cong nghiep" xfId="104" xr:uid="{00000000-0005-0000-0000-000049000000}"/>
    <cellStyle name="_07. NGTT2009-NN_01 DVHC-DSLD 2010_Bo sung 04 bieu Cong nghiep 2" xfId="105" xr:uid="{00000000-0005-0000-0000-00004A000000}"/>
    <cellStyle name="_07. NGTT2009-NN_01 DVHC-DSLD 2010_Bo sung 04 bieu Cong nghiep_Content" xfId="106" xr:uid="{00000000-0005-0000-0000-00004B000000}"/>
    <cellStyle name="_07. NGTT2009-NN_01 DVHC-DSLD 2010_Content" xfId="107" xr:uid="{00000000-0005-0000-0000-00004C000000}"/>
    <cellStyle name="_07. NGTT2009-NN_01 DVHC-DSLD 2010_nien giam tom tat 2010 (thuy)" xfId="108" xr:uid="{00000000-0005-0000-0000-00004D000000}"/>
    <cellStyle name="_07. NGTT2009-NN_01 DVHC-DSLD 2010_nien giam tom tat 2010 (thuy) 2" xfId="109" xr:uid="{00000000-0005-0000-0000-00004E000000}"/>
    <cellStyle name="_07. NGTT2009-NN_01 DVHC-DSLD 2010_nien giam tom tat 2010 (thuy)_02 Danso_Laodong 2012(chuan) CO SO" xfId="110" xr:uid="{00000000-0005-0000-0000-00004F000000}"/>
    <cellStyle name="_07. NGTT2009-NN_01 DVHC-DSLD 2010_nien giam tom tat 2010 (thuy)_02 Danso_Laodong 2012(chuan) CO SO 2" xfId="111" xr:uid="{00000000-0005-0000-0000-000050000000}"/>
    <cellStyle name="_07. NGTT2009-NN_01 DVHC-DSLD 2010_nien giam tom tat 2010 (thuy)_02 Danso_Laodong 2012(chuan) CO SO_Content" xfId="112" xr:uid="{00000000-0005-0000-0000-000051000000}"/>
    <cellStyle name="_07. NGTT2009-NN_01 DVHC-DSLD 2010_nien giam tom tat 2010 (thuy)_Content" xfId="113" xr:uid="{00000000-0005-0000-0000-000052000000}"/>
    <cellStyle name="_07. NGTT2009-NN_01 DVHC-DSLD 2010_Tong hop NGTT" xfId="114" xr:uid="{00000000-0005-0000-0000-000053000000}"/>
    <cellStyle name="_07. NGTT2009-NN_01 DVHC-DSLD 2010_Tong hop NGTT 2" xfId="115" xr:uid="{00000000-0005-0000-0000-000054000000}"/>
    <cellStyle name="_07. NGTT2009-NN_01 DVHC-DSLD 2010_Tong hop NGTT_Content" xfId="116" xr:uid="{00000000-0005-0000-0000-000055000000}"/>
    <cellStyle name="_07. NGTT2009-NN_02 Danso_Laodong 2012(chuan) CO SO" xfId="117" xr:uid="{00000000-0005-0000-0000-000056000000}"/>
    <cellStyle name="_07. NGTT2009-NN_02 Danso_Laodong 2012(chuan) CO SO 2" xfId="118" xr:uid="{00000000-0005-0000-0000-000057000000}"/>
    <cellStyle name="_07. NGTT2009-NN_02 Danso_Laodong 2012(chuan) CO SO_Content" xfId="119" xr:uid="{00000000-0005-0000-0000-000058000000}"/>
    <cellStyle name="_07. NGTT2009-NN_03 Dautu 2010" xfId="120" xr:uid="{00000000-0005-0000-0000-000059000000}"/>
    <cellStyle name="_07. NGTT2009-NN_03 Dautu 2010 2" xfId="121" xr:uid="{00000000-0005-0000-0000-00005A000000}"/>
    <cellStyle name="_07. NGTT2009-NN_03 Dautu 2010_02 Danso_Laodong 2012(chuan) CO SO" xfId="122" xr:uid="{00000000-0005-0000-0000-00005B000000}"/>
    <cellStyle name="_07. NGTT2009-NN_03 Dautu 2010_02 Danso_Laodong 2012(chuan) CO SO 2" xfId="123" xr:uid="{00000000-0005-0000-0000-00005C000000}"/>
    <cellStyle name="_07. NGTT2009-NN_03 Dautu 2010_02 Danso_Laodong 2012(chuan) CO SO_Content" xfId="124" xr:uid="{00000000-0005-0000-0000-00005D000000}"/>
    <cellStyle name="_07. NGTT2009-NN_03 Dautu 2010_Content" xfId="125" xr:uid="{00000000-0005-0000-0000-00005E000000}"/>
    <cellStyle name="_07. NGTT2009-NN_03 TKQG" xfId="126" xr:uid="{00000000-0005-0000-0000-00005F000000}"/>
    <cellStyle name="_07. NGTT2009-NN_05 Doanh nghiep va Ca the_2011 (Ok)" xfId="127" xr:uid="{00000000-0005-0000-0000-000060000000}"/>
    <cellStyle name="_07. NGTT2009-NN_05 Thu chi NSNN" xfId="128" xr:uid="{00000000-0005-0000-0000-000061000000}"/>
    <cellStyle name="_07. NGTT2009-NN_05 Thu chi NSNN 2" xfId="129" xr:uid="{00000000-0005-0000-0000-000062000000}"/>
    <cellStyle name="_07. NGTT2009-NN_05 Thu chi NSNN_Content" xfId="130" xr:uid="{00000000-0005-0000-0000-000063000000}"/>
    <cellStyle name="_07. NGTT2009-NN_05 Thuong mai" xfId="131" xr:uid="{00000000-0005-0000-0000-000064000000}"/>
    <cellStyle name="_07. NGTT2009-NN_05 Thuong mai 2" xfId="132" xr:uid="{00000000-0005-0000-0000-000065000000}"/>
    <cellStyle name="_07. NGTT2009-NN_05 Thuong mai_02 Danso_Laodong 2012(chuan) CO SO" xfId="133" xr:uid="{00000000-0005-0000-0000-000066000000}"/>
    <cellStyle name="_07. NGTT2009-NN_05 Thuong mai_02 Danso_Laodong 2012(chuan) CO SO 2" xfId="134" xr:uid="{00000000-0005-0000-0000-000067000000}"/>
    <cellStyle name="_07. NGTT2009-NN_05 Thuong mai_02 Danso_Laodong 2012(chuan) CO SO_Content" xfId="135" xr:uid="{00000000-0005-0000-0000-000068000000}"/>
    <cellStyle name="_07. NGTT2009-NN_05 Thuong mai_Content" xfId="136" xr:uid="{00000000-0005-0000-0000-000069000000}"/>
    <cellStyle name="_07. NGTT2009-NN_06 Van tai" xfId="137" xr:uid="{00000000-0005-0000-0000-00006A000000}"/>
    <cellStyle name="_07. NGTT2009-NN_06 Van tai 2" xfId="138" xr:uid="{00000000-0005-0000-0000-00006B000000}"/>
    <cellStyle name="_07. NGTT2009-NN_06 Van tai_02 Danso_Laodong 2012(chuan) CO SO" xfId="139" xr:uid="{00000000-0005-0000-0000-00006C000000}"/>
    <cellStyle name="_07. NGTT2009-NN_06 Van tai_02 Danso_Laodong 2012(chuan) CO SO 2" xfId="140" xr:uid="{00000000-0005-0000-0000-00006D000000}"/>
    <cellStyle name="_07. NGTT2009-NN_06 Van tai_02 Danso_Laodong 2012(chuan) CO SO_Content" xfId="141" xr:uid="{00000000-0005-0000-0000-00006E000000}"/>
    <cellStyle name="_07. NGTT2009-NN_06 Van tai_Content" xfId="142" xr:uid="{00000000-0005-0000-0000-00006F000000}"/>
    <cellStyle name="_07. NGTT2009-NN_07 Buu dien" xfId="143" xr:uid="{00000000-0005-0000-0000-000070000000}"/>
    <cellStyle name="_07. NGTT2009-NN_07 Buu dien 2" xfId="144" xr:uid="{00000000-0005-0000-0000-000071000000}"/>
    <cellStyle name="_07. NGTT2009-NN_07 Buu dien_02 Danso_Laodong 2012(chuan) CO SO" xfId="145" xr:uid="{00000000-0005-0000-0000-000072000000}"/>
    <cellStyle name="_07. NGTT2009-NN_07 Buu dien_02 Danso_Laodong 2012(chuan) CO SO 2" xfId="146" xr:uid="{00000000-0005-0000-0000-000073000000}"/>
    <cellStyle name="_07. NGTT2009-NN_07 Buu dien_02 Danso_Laodong 2012(chuan) CO SO_Content" xfId="147" xr:uid="{00000000-0005-0000-0000-000074000000}"/>
    <cellStyle name="_07. NGTT2009-NN_07 Buu dien_Content" xfId="148" xr:uid="{00000000-0005-0000-0000-000075000000}"/>
    <cellStyle name="_07. NGTT2009-NN_08 Van tai" xfId="149" xr:uid="{00000000-0005-0000-0000-000076000000}"/>
    <cellStyle name="_07. NGTT2009-NN_08 Van tai 2" xfId="150" xr:uid="{00000000-0005-0000-0000-000077000000}"/>
    <cellStyle name="_07. NGTT2009-NN_08 Van tai_02 Danso_Laodong 2012(chuan) CO SO" xfId="151" xr:uid="{00000000-0005-0000-0000-000078000000}"/>
    <cellStyle name="_07. NGTT2009-NN_08 Van tai_02 Danso_Laodong 2012(chuan) CO SO 2" xfId="152" xr:uid="{00000000-0005-0000-0000-000079000000}"/>
    <cellStyle name="_07. NGTT2009-NN_08 Van tai_02 Danso_Laodong 2012(chuan) CO SO_Content" xfId="153" xr:uid="{00000000-0005-0000-0000-00007A000000}"/>
    <cellStyle name="_07. NGTT2009-NN_08 Van tai_Content" xfId="154" xr:uid="{00000000-0005-0000-0000-00007B000000}"/>
    <cellStyle name="_07. NGTT2009-NN_08 Yte-van hoa" xfId="155" xr:uid="{00000000-0005-0000-0000-00007C000000}"/>
    <cellStyle name="_07. NGTT2009-NN_08 Yte-van hoa 2" xfId="156" xr:uid="{00000000-0005-0000-0000-00007D000000}"/>
    <cellStyle name="_07. NGTT2009-NN_08 Yte-van hoa_02 Danso_Laodong 2012(chuan) CO SO" xfId="157" xr:uid="{00000000-0005-0000-0000-00007E000000}"/>
    <cellStyle name="_07. NGTT2009-NN_08 Yte-van hoa_02 Danso_Laodong 2012(chuan) CO SO 2" xfId="158" xr:uid="{00000000-0005-0000-0000-00007F000000}"/>
    <cellStyle name="_07. NGTT2009-NN_08 Yte-van hoa_02 Danso_Laodong 2012(chuan) CO SO_Content" xfId="159" xr:uid="{00000000-0005-0000-0000-000080000000}"/>
    <cellStyle name="_07. NGTT2009-NN_08 Yte-van hoa_Content" xfId="160" xr:uid="{00000000-0005-0000-0000-000081000000}"/>
    <cellStyle name="_07. NGTT2009-NN_10 Market VH, YT, GD, NGTT 2011 " xfId="161" xr:uid="{00000000-0005-0000-0000-000082000000}"/>
    <cellStyle name="_07. NGTT2009-NN_10 Market VH, YT, GD, NGTT 2011  2" xfId="162" xr:uid="{00000000-0005-0000-0000-000083000000}"/>
    <cellStyle name="_07. NGTT2009-NN_10 Market VH, YT, GD, NGTT 2011 _03 TKQG va Thu chi NSNN 2012" xfId="163" xr:uid="{00000000-0005-0000-0000-000084000000}"/>
    <cellStyle name="_07. NGTT2009-NN_10 Market VH, YT, GD, NGTT 2011 _03 TKQG va Thu chi NSNN 2012 2" xfId="164" xr:uid="{00000000-0005-0000-0000-000085000000}"/>
    <cellStyle name="_07. NGTT2009-NN_10 Market VH, YT, GD, NGTT 2011 _03 TKQG va Thu chi NSNN 2012_Content" xfId="165" xr:uid="{00000000-0005-0000-0000-000086000000}"/>
    <cellStyle name="_07. NGTT2009-NN_10 Market VH, YT, GD, NGTT 2011 _05 Doanh nghiep va Ca the_2011 (Ok)" xfId="166" xr:uid="{00000000-0005-0000-0000-000087000000}"/>
    <cellStyle name="_07. NGTT2009-NN_10 Market VH, YT, GD, NGTT 2011 _11 (3)" xfId="167" xr:uid="{00000000-0005-0000-0000-000088000000}"/>
    <cellStyle name="_07. NGTT2009-NN_10 Market VH, YT, GD, NGTT 2011 _11 (3) 2" xfId="168" xr:uid="{00000000-0005-0000-0000-000089000000}"/>
    <cellStyle name="_07. NGTT2009-NN_10 Market VH, YT, GD, NGTT 2011 _11 (3)_Content" xfId="169" xr:uid="{00000000-0005-0000-0000-00008A000000}"/>
    <cellStyle name="_07. NGTT2009-NN_10 Market VH, YT, GD, NGTT 2011 _12 (2)" xfId="170" xr:uid="{00000000-0005-0000-0000-00008B000000}"/>
    <cellStyle name="_07. NGTT2009-NN_10 Market VH, YT, GD, NGTT 2011 _12 (2) 2" xfId="171" xr:uid="{00000000-0005-0000-0000-00008C000000}"/>
    <cellStyle name="_07. NGTT2009-NN_10 Market VH, YT, GD, NGTT 2011 _12 (2)_Content" xfId="172" xr:uid="{00000000-0005-0000-0000-00008D000000}"/>
    <cellStyle name="_07. NGTT2009-NN_10 Market VH, YT, GD, NGTT 2011 _Content" xfId="173" xr:uid="{00000000-0005-0000-0000-00008E000000}"/>
    <cellStyle name="_07. NGTT2009-NN_10 Market VH, YT, GD, NGTT 2011 _Ngiam_lamnghiep_2011_v2(1)(1)" xfId="174" xr:uid="{00000000-0005-0000-0000-00008F000000}"/>
    <cellStyle name="_07. NGTT2009-NN_10 Market VH, YT, GD, NGTT 2011 _Ngiam_lamnghiep_2011_v2(1)(1) 2" xfId="175" xr:uid="{00000000-0005-0000-0000-000090000000}"/>
    <cellStyle name="_07. NGTT2009-NN_10 Market VH, YT, GD, NGTT 2011 _Ngiam_lamnghiep_2011_v2(1)(1)_Content" xfId="176" xr:uid="{00000000-0005-0000-0000-000091000000}"/>
    <cellStyle name="_07. NGTT2009-NN_10 VH, YT, GD, NGTT 2010 - (OK)" xfId="177" xr:uid="{00000000-0005-0000-0000-000092000000}"/>
    <cellStyle name="_07. NGTT2009-NN_10 VH, YT, GD, NGTT 2010 - (OK) 2" xfId="178" xr:uid="{00000000-0005-0000-0000-000093000000}"/>
    <cellStyle name="_07. NGTT2009-NN_10 VH, YT, GD, NGTT 2010 - (OK)_Bo sung 04 bieu Cong nghiep" xfId="179" xr:uid="{00000000-0005-0000-0000-000094000000}"/>
    <cellStyle name="_07. NGTT2009-NN_10 VH, YT, GD, NGTT 2010 - (OK)_Bo sung 04 bieu Cong nghiep 2" xfId="180" xr:uid="{00000000-0005-0000-0000-000095000000}"/>
    <cellStyle name="_07. NGTT2009-NN_10 VH, YT, GD, NGTT 2010 - (OK)_Bo sung 04 bieu Cong nghiep_Content" xfId="181" xr:uid="{00000000-0005-0000-0000-000096000000}"/>
    <cellStyle name="_07. NGTT2009-NN_10 VH, YT, GD, NGTT 2010 - (OK)_Content" xfId="182" xr:uid="{00000000-0005-0000-0000-000097000000}"/>
    <cellStyle name="_07. NGTT2009-NN_11 (3)" xfId="183" xr:uid="{00000000-0005-0000-0000-000098000000}"/>
    <cellStyle name="_07. NGTT2009-NN_11 (3) 2" xfId="184" xr:uid="{00000000-0005-0000-0000-000099000000}"/>
    <cellStyle name="_07. NGTT2009-NN_11 (3)_Content" xfId="185" xr:uid="{00000000-0005-0000-0000-00009A000000}"/>
    <cellStyle name="_07. NGTT2009-NN_11 So lieu quoc te 2010-final" xfId="186" xr:uid="{00000000-0005-0000-0000-00009B000000}"/>
    <cellStyle name="_07. NGTT2009-NN_11 So lieu quoc te 2010-final 2" xfId="187" xr:uid="{00000000-0005-0000-0000-00009C000000}"/>
    <cellStyle name="_07. NGTT2009-NN_11 So lieu quoc te 2010-final_Content" xfId="188" xr:uid="{00000000-0005-0000-0000-00009D000000}"/>
    <cellStyle name="_07. NGTT2009-NN_12 (2)" xfId="189" xr:uid="{00000000-0005-0000-0000-00009E000000}"/>
    <cellStyle name="_07. NGTT2009-NN_12 (2) 2" xfId="190" xr:uid="{00000000-0005-0000-0000-00009F000000}"/>
    <cellStyle name="_07. NGTT2009-NN_12 (2)_Content" xfId="191" xr:uid="{00000000-0005-0000-0000-0000A0000000}"/>
    <cellStyle name="_07. NGTT2009-NN_Book1" xfId="192" xr:uid="{00000000-0005-0000-0000-0000A1000000}"/>
    <cellStyle name="_07. NGTT2009-NN_Book1 2" xfId="193" xr:uid="{00000000-0005-0000-0000-0000A2000000}"/>
    <cellStyle name="_07. NGTT2009-NN_Book1_Content" xfId="194" xr:uid="{00000000-0005-0000-0000-0000A3000000}"/>
    <cellStyle name="_07. NGTT2009-NN_Book3" xfId="195" xr:uid="{00000000-0005-0000-0000-0000A4000000}"/>
    <cellStyle name="_07. NGTT2009-NN_Book3 2" xfId="196" xr:uid="{00000000-0005-0000-0000-0000A5000000}"/>
    <cellStyle name="_07. NGTT2009-NN_Book3_01 DVHC-DSLD 2010" xfId="197" xr:uid="{00000000-0005-0000-0000-0000A6000000}"/>
    <cellStyle name="_07. NGTT2009-NN_Book3_01 DVHC-DSLD 2010 2" xfId="198" xr:uid="{00000000-0005-0000-0000-0000A7000000}"/>
    <cellStyle name="_07. NGTT2009-NN_Book3_01 DVHC-DSLD 2010_Content" xfId="199" xr:uid="{00000000-0005-0000-0000-0000A8000000}"/>
    <cellStyle name="_07. NGTT2009-NN_Book3_02 Danso_Laodong 2012(chuan) CO SO" xfId="200" xr:uid="{00000000-0005-0000-0000-0000A9000000}"/>
    <cellStyle name="_07. NGTT2009-NN_Book3_02 Danso_Laodong 2012(chuan) CO SO 2" xfId="201" xr:uid="{00000000-0005-0000-0000-0000AA000000}"/>
    <cellStyle name="_07. NGTT2009-NN_Book3_02 Danso_Laodong 2012(chuan) CO SO_Content" xfId="202" xr:uid="{00000000-0005-0000-0000-0000AB000000}"/>
    <cellStyle name="_07. NGTT2009-NN_Book3_03 TKQG va Thu chi NSNN 2012" xfId="203" xr:uid="{00000000-0005-0000-0000-0000AC000000}"/>
    <cellStyle name="_07. NGTT2009-NN_Book3_03 TKQG va Thu chi NSNN 2012 2" xfId="204" xr:uid="{00000000-0005-0000-0000-0000AD000000}"/>
    <cellStyle name="_07. NGTT2009-NN_Book3_03 TKQG va Thu chi NSNN 2012_Content" xfId="205" xr:uid="{00000000-0005-0000-0000-0000AE000000}"/>
    <cellStyle name="_07. NGTT2009-NN_Book3_05 Doanh nghiep va Ca the_2011 (Ok)" xfId="206" xr:uid="{00000000-0005-0000-0000-0000AF000000}"/>
    <cellStyle name="_07. NGTT2009-NN_Book3_05 NGTT DN 2010 (OK)" xfId="207" xr:uid="{00000000-0005-0000-0000-0000B0000000}"/>
    <cellStyle name="_07. NGTT2009-NN_Book3_05 NGTT DN 2010 (OK) 2" xfId="208" xr:uid="{00000000-0005-0000-0000-0000B1000000}"/>
    <cellStyle name="_07. NGTT2009-NN_Book3_05 NGTT DN 2010 (OK)_Bo sung 04 bieu Cong nghiep" xfId="209" xr:uid="{00000000-0005-0000-0000-0000B2000000}"/>
    <cellStyle name="_07. NGTT2009-NN_Book3_05 NGTT DN 2010 (OK)_Bo sung 04 bieu Cong nghiep 2" xfId="210" xr:uid="{00000000-0005-0000-0000-0000B3000000}"/>
    <cellStyle name="_07. NGTT2009-NN_Book3_05 NGTT DN 2010 (OK)_Bo sung 04 bieu Cong nghiep_Content" xfId="211" xr:uid="{00000000-0005-0000-0000-0000B4000000}"/>
    <cellStyle name="_07. NGTT2009-NN_Book3_05 NGTT DN 2010 (OK)_Content" xfId="212" xr:uid="{00000000-0005-0000-0000-0000B5000000}"/>
    <cellStyle name="_07. NGTT2009-NN_Book3_10 Market VH, YT, GD, NGTT 2011 " xfId="213" xr:uid="{00000000-0005-0000-0000-0000B6000000}"/>
    <cellStyle name="_07. NGTT2009-NN_Book3_10 Market VH, YT, GD, NGTT 2011  2" xfId="214" xr:uid="{00000000-0005-0000-0000-0000B7000000}"/>
    <cellStyle name="_07. NGTT2009-NN_Book3_10 Market VH, YT, GD, NGTT 2011 _03 TKQG va Thu chi NSNN 2012" xfId="215" xr:uid="{00000000-0005-0000-0000-0000B8000000}"/>
    <cellStyle name="_07. NGTT2009-NN_Book3_10 Market VH, YT, GD, NGTT 2011 _03 TKQG va Thu chi NSNN 2012 2" xfId="216" xr:uid="{00000000-0005-0000-0000-0000B9000000}"/>
    <cellStyle name="_07. NGTT2009-NN_Book3_10 Market VH, YT, GD, NGTT 2011 _03 TKQG va Thu chi NSNN 2012_Content" xfId="217" xr:uid="{00000000-0005-0000-0000-0000BA000000}"/>
    <cellStyle name="_07. NGTT2009-NN_Book3_10 Market VH, YT, GD, NGTT 2011 _05 Doanh nghiep va Ca the_2011 (Ok)" xfId="218" xr:uid="{00000000-0005-0000-0000-0000BB000000}"/>
    <cellStyle name="_07. NGTT2009-NN_Book3_10 Market VH, YT, GD, NGTT 2011 _11 (3)" xfId="219" xr:uid="{00000000-0005-0000-0000-0000BC000000}"/>
    <cellStyle name="_07. NGTT2009-NN_Book3_10 Market VH, YT, GD, NGTT 2011 _11 (3) 2" xfId="220" xr:uid="{00000000-0005-0000-0000-0000BD000000}"/>
    <cellStyle name="_07. NGTT2009-NN_Book3_10 Market VH, YT, GD, NGTT 2011 _11 (3)_Content" xfId="221" xr:uid="{00000000-0005-0000-0000-0000BE000000}"/>
    <cellStyle name="_07. NGTT2009-NN_Book3_10 Market VH, YT, GD, NGTT 2011 _12 (2)" xfId="222" xr:uid="{00000000-0005-0000-0000-0000BF000000}"/>
    <cellStyle name="_07. NGTT2009-NN_Book3_10 Market VH, YT, GD, NGTT 2011 _12 (2) 2" xfId="223" xr:uid="{00000000-0005-0000-0000-0000C0000000}"/>
    <cellStyle name="_07. NGTT2009-NN_Book3_10 Market VH, YT, GD, NGTT 2011 _12 (2)_Content" xfId="224" xr:uid="{00000000-0005-0000-0000-0000C1000000}"/>
    <cellStyle name="_07. NGTT2009-NN_Book3_10 Market VH, YT, GD, NGTT 2011 _Content" xfId="225" xr:uid="{00000000-0005-0000-0000-0000C2000000}"/>
    <cellStyle name="_07. NGTT2009-NN_Book3_10 Market VH, YT, GD, NGTT 2011 _Ngiam_lamnghiep_2011_v2(1)(1)" xfId="226" xr:uid="{00000000-0005-0000-0000-0000C3000000}"/>
    <cellStyle name="_07. NGTT2009-NN_Book3_10 Market VH, YT, GD, NGTT 2011 _Ngiam_lamnghiep_2011_v2(1)(1) 2" xfId="227" xr:uid="{00000000-0005-0000-0000-0000C4000000}"/>
    <cellStyle name="_07. NGTT2009-NN_Book3_10 Market VH, YT, GD, NGTT 2011 _Ngiam_lamnghiep_2011_v2(1)(1)_Content" xfId="228" xr:uid="{00000000-0005-0000-0000-0000C5000000}"/>
    <cellStyle name="_07. NGTT2009-NN_Book3_10 VH, YT, GD, NGTT 2010 - (OK)" xfId="229" xr:uid="{00000000-0005-0000-0000-0000C6000000}"/>
    <cellStyle name="_07. NGTT2009-NN_Book3_10 VH, YT, GD, NGTT 2010 - (OK) 2" xfId="230" xr:uid="{00000000-0005-0000-0000-0000C7000000}"/>
    <cellStyle name="_07. NGTT2009-NN_Book3_10 VH, YT, GD, NGTT 2010 - (OK)_Bo sung 04 bieu Cong nghiep" xfId="231" xr:uid="{00000000-0005-0000-0000-0000C8000000}"/>
    <cellStyle name="_07. NGTT2009-NN_Book3_10 VH, YT, GD, NGTT 2010 - (OK)_Bo sung 04 bieu Cong nghiep 2" xfId="232" xr:uid="{00000000-0005-0000-0000-0000C9000000}"/>
    <cellStyle name="_07. NGTT2009-NN_Book3_10 VH, YT, GD, NGTT 2010 - (OK)_Bo sung 04 bieu Cong nghiep_Content" xfId="233" xr:uid="{00000000-0005-0000-0000-0000CA000000}"/>
    <cellStyle name="_07. NGTT2009-NN_Book3_10 VH, YT, GD, NGTT 2010 - (OK)_Content" xfId="234" xr:uid="{00000000-0005-0000-0000-0000CB000000}"/>
    <cellStyle name="_07. NGTT2009-NN_Book3_11 (3)" xfId="235" xr:uid="{00000000-0005-0000-0000-0000CC000000}"/>
    <cellStyle name="_07. NGTT2009-NN_Book3_11 (3) 2" xfId="236" xr:uid="{00000000-0005-0000-0000-0000CD000000}"/>
    <cellStyle name="_07. NGTT2009-NN_Book3_11 (3)_Content" xfId="237" xr:uid="{00000000-0005-0000-0000-0000CE000000}"/>
    <cellStyle name="_07. NGTT2009-NN_Book3_12 (2)" xfId="238" xr:uid="{00000000-0005-0000-0000-0000CF000000}"/>
    <cellStyle name="_07. NGTT2009-NN_Book3_12 (2) 2" xfId="239" xr:uid="{00000000-0005-0000-0000-0000D0000000}"/>
    <cellStyle name="_07. NGTT2009-NN_Book3_12 (2)_Content" xfId="240" xr:uid="{00000000-0005-0000-0000-0000D1000000}"/>
    <cellStyle name="_07. NGTT2009-NN_Book3_Book1" xfId="241" xr:uid="{00000000-0005-0000-0000-0000D2000000}"/>
    <cellStyle name="_07. NGTT2009-NN_Book3_Book1 2" xfId="242" xr:uid="{00000000-0005-0000-0000-0000D3000000}"/>
    <cellStyle name="_07. NGTT2009-NN_Book3_Book1_Content" xfId="243" xr:uid="{00000000-0005-0000-0000-0000D4000000}"/>
    <cellStyle name="_07. NGTT2009-NN_Book3_Content" xfId="244" xr:uid="{00000000-0005-0000-0000-0000D5000000}"/>
    <cellStyle name="_07. NGTT2009-NN_Book3_CucThongke-phucdap-Tuan-Anh" xfId="245" xr:uid="{00000000-0005-0000-0000-0000D6000000}"/>
    <cellStyle name="_07. NGTT2009-NN_Book3_CucThongke-phucdap-Tuan-Anh 2" xfId="246" xr:uid="{00000000-0005-0000-0000-0000D7000000}"/>
    <cellStyle name="_07. NGTT2009-NN_Book3_CucThongke-phucdap-Tuan-Anh_Content" xfId="247" xr:uid="{00000000-0005-0000-0000-0000D8000000}"/>
    <cellStyle name="_07. NGTT2009-NN_Book3_Ngiam_lamnghiep_2011_v2(1)(1)" xfId="248" xr:uid="{00000000-0005-0000-0000-0000D9000000}"/>
    <cellStyle name="_07. NGTT2009-NN_Book3_Ngiam_lamnghiep_2011_v2(1)(1) 2" xfId="249" xr:uid="{00000000-0005-0000-0000-0000DA000000}"/>
    <cellStyle name="_07. NGTT2009-NN_Book3_Ngiam_lamnghiep_2011_v2(1)(1)_Content" xfId="250" xr:uid="{00000000-0005-0000-0000-0000DB000000}"/>
    <cellStyle name="_07. NGTT2009-NN_Book3_Nongnghiep" xfId="251" xr:uid="{00000000-0005-0000-0000-0000DC000000}"/>
    <cellStyle name="_07. NGTT2009-NN_Book3_Nongnghiep 2" xfId="252" xr:uid="{00000000-0005-0000-0000-0000DD000000}"/>
    <cellStyle name="_07. NGTT2009-NN_Book3_Nongnghiep_Bo sung 04 bieu Cong nghiep" xfId="253" xr:uid="{00000000-0005-0000-0000-0000DE000000}"/>
    <cellStyle name="_07. NGTT2009-NN_Book3_Nongnghiep_Bo sung 04 bieu Cong nghiep 2" xfId="254" xr:uid="{00000000-0005-0000-0000-0000DF000000}"/>
    <cellStyle name="_07. NGTT2009-NN_Book3_Nongnghiep_Bo sung 04 bieu Cong nghiep_Content" xfId="255" xr:uid="{00000000-0005-0000-0000-0000E0000000}"/>
    <cellStyle name="_07. NGTT2009-NN_Book3_Nongnghiep_Content" xfId="256" xr:uid="{00000000-0005-0000-0000-0000E1000000}"/>
    <cellStyle name="_07. NGTT2009-NN_Book3_So lieu quoc te TH" xfId="257" xr:uid="{00000000-0005-0000-0000-0000E2000000}"/>
    <cellStyle name="_07. NGTT2009-NN_Book3_So lieu quoc te TH 2" xfId="258" xr:uid="{00000000-0005-0000-0000-0000E3000000}"/>
    <cellStyle name="_07. NGTT2009-NN_Book3_So lieu quoc te TH_Content" xfId="259" xr:uid="{00000000-0005-0000-0000-0000E4000000}"/>
    <cellStyle name="_07. NGTT2009-NN_Book3_So lieu quoc te(GDP)" xfId="260" xr:uid="{00000000-0005-0000-0000-0000E5000000}"/>
    <cellStyle name="_07. NGTT2009-NN_Book3_So lieu quoc te(GDP) 2" xfId="261" xr:uid="{00000000-0005-0000-0000-0000E6000000}"/>
    <cellStyle name="_07. NGTT2009-NN_Book3_So lieu quoc te(GDP)_03 TKQG va Thu chi NSNN 2012" xfId="262" xr:uid="{00000000-0005-0000-0000-0000E7000000}"/>
    <cellStyle name="_07. NGTT2009-NN_Book3_So lieu quoc te(GDP)_03 TKQG va Thu chi NSNN 2012 2" xfId="263" xr:uid="{00000000-0005-0000-0000-0000E8000000}"/>
    <cellStyle name="_07. NGTT2009-NN_Book3_So lieu quoc te(GDP)_03 TKQG va Thu chi NSNN 2012_Content" xfId="264" xr:uid="{00000000-0005-0000-0000-0000E9000000}"/>
    <cellStyle name="_07. NGTT2009-NN_Book3_So lieu quoc te(GDP)_05 Doanh nghiep va Ca the_2011 (Ok)" xfId="265" xr:uid="{00000000-0005-0000-0000-0000EA000000}"/>
    <cellStyle name="_07. NGTT2009-NN_Book3_So lieu quoc te(GDP)_11 (3)" xfId="266" xr:uid="{00000000-0005-0000-0000-0000EB000000}"/>
    <cellStyle name="_07. NGTT2009-NN_Book3_So lieu quoc te(GDP)_11 (3) 2" xfId="267" xr:uid="{00000000-0005-0000-0000-0000EC000000}"/>
    <cellStyle name="_07. NGTT2009-NN_Book3_So lieu quoc te(GDP)_11 (3)_Content" xfId="268" xr:uid="{00000000-0005-0000-0000-0000ED000000}"/>
    <cellStyle name="_07. NGTT2009-NN_Book3_So lieu quoc te(GDP)_12 (2)" xfId="269" xr:uid="{00000000-0005-0000-0000-0000EE000000}"/>
    <cellStyle name="_07. NGTT2009-NN_Book3_So lieu quoc te(GDP)_12 (2) 2" xfId="270" xr:uid="{00000000-0005-0000-0000-0000EF000000}"/>
    <cellStyle name="_07. NGTT2009-NN_Book3_So lieu quoc te(GDP)_12 (2)_Content" xfId="271" xr:uid="{00000000-0005-0000-0000-0000F0000000}"/>
    <cellStyle name="_07. NGTT2009-NN_Book3_So lieu quoc te(GDP)_Content" xfId="272" xr:uid="{00000000-0005-0000-0000-0000F1000000}"/>
    <cellStyle name="_07. NGTT2009-NN_Book3_So lieu quoc te(GDP)_Ngiam_lamnghiep_2011_v2(1)(1)" xfId="273" xr:uid="{00000000-0005-0000-0000-0000F2000000}"/>
    <cellStyle name="_07. NGTT2009-NN_Book3_So lieu quoc te(GDP)_Ngiam_lamnghiep_2011_v2(1)(1) 2" xfId="274" xr:uid="{00000000-0005-0000-0000-0000F3000000}"/>
    <cellStyle name="_07. NGTT2009-NN_Book3_So lieu quoc te(GDP)_Ngiam_lamnghiep_2011_v2(1)(1)_Content" xfId="275" xr:uid="{00000000-0005-0000-0000-0000F4000000}"/>
    <cellStyle name="_07. NGTT2009-NN_Book3_XNK" xfId="276" xr:uid="{00000000-0005-0000-0000-0000F5000000}"/>
    <cellStyle name="_07. NGTT2009-NN_Book3_XNK 2" xfId="277" xr:uid="{00000000-0005-0000-0000-0000F6000000}"/>
    <cellStyle name="_07. NGTT2009-NN_Book3_XNK_Bo sung 04 bieu Cong nghiep" xfId="278" xr:uid="{00000000-0005-0000-0000-0000F7000000}"/>
    <cellStyle name="_07. NGTT2009-NN_Book3_XNK_Bo sung 04 bieu Cong nghiep 2" xfId="279" xr:uid="{00000000-0005-0000-0000-0000F8000000}"/>
    <cellStyle name="_07. NGTT2009-NN_Book3_XNK_Bo sung 04 bieu Cong nghiep_Content" xfId="280" xr:uid="{00000000-0005-0000-0000-0000F9000000}"/>
    <cellStyle name="_07. NGTT2009-NN_Book3_XNK_Content" xfId="281" xr:uid="{00000000-0005-0000-0000-0000FA000000}"/>
    <cellStyle name="_07. NGTT2009-NN_Book4" xfId="282" xr:uid="{00000000-0005-0000-0000-0000FB000000}"/>
    <cellStyle name="_07. NGTT2009-NN_Book4 2" xfId="283" xr:uid="{00000000-0005-0000-0000-0000FC000000}"/>
    <cellStyle name="_07. NGTT2009-NN_Book4_Book1" xfId="284" xr:uid="{00000000-0005-0000-0000-0000FD000000}"/>
    <cellStyle name="_07. NGTT2009-NN_Book4_Book1 2" xfId="285" xr:uid="{00000000-0005-0000-0000-0000FE000000}"/>
    <cellStyle name="_07. NGTT2009-NN_Book4_Book1_Content" xfId="286" xr:uid="{00000000-0005-0000-0000-0000FF000000}"/>
    <cellStyle name="_07. NGTT2009-NN_Book4_Content" xfId="287" xr:uid="{00000000-0005-0000-0000-000000010000}"/>
    <cellStyle name="_07. NGTT2009-NN_Content" xfId="288" xr:uid="{00000000-0005-0000-0000-000001010000}"/>
    <cellStyle name="_07. NGTT2009-NN_CSKDCT 2010" xfId="289" xr:uid="{00000000-0005-0000-0000-000002010000}"/>
    <cellStyle name="_07. NGTT2009-NN_CSKDCT 2010 2" xfId="290" xr:uid="{00000000-0005-0000-0000-000003010000}"/>
    <cellStyle name="_07. NGTT2009-NN_CSKDCT 2010_Bo sung 04 bieu Cong nghiep" xfId="291" xr:uid="{00000000-0005-0000-0000-000004010000}"/>
    <cellStyle name="_07. NGTT2009-NN_CSKDCT 2010_Bo sung 04 bieu Cong nghiep 2" xfId="292" xr:uid="{00000000-0005-0000-0000-000005010000}"/>
    <cellStyle name="_07. NGTT2009-NN_CSKDCT 2010_Bo sung 04 bieu Cong nghiep_Content" xfId="293" xr:uid="{00000000-0005-0000-0000-000006010000}"/>
    <cellStyle name="_07. NGTT2009-NN_CSKDCT 2010_Content" xfId="294" xr:uid="{00000000-0005-0000-0000-000007010000}"/>
    <cellStyle name="_07. NGTT2009-NN_CucThongke-phucdap-Tuan-Anh" xfId="295" xr:uid="{00000000-0005-0000-0000-000008010000}"/>
    <cellStyle name="_07. NGTT2009-NN_CucThongke-phucdap-Tuan-Anh 2" xfId="296" xr:uid="{00000000-0005-0000-0000-000009010000}"/>
    <cellStyle name="_07. NGTT2009-NN_CucThongke-phucdap-Tuan-Anh_Content" xfId="297" xr:uid="{00000000-0005-0000-0000-00000A010000}"/>
    <cellStyle name="_07. NGTT2009-NN_dan so phan tich 10 nam(moi)" xfId="298" xr:uid="{00000000-0005-0000-0000-00000B010000}"/>
    <cellStyle name="_07. NGTT2009-NN_dan so phan tich 10 nam(moi) 2" xfId="299" xr:uid="{00000000-0005-0000-0000-00000C010000}"/>
    <cellStyle name="_07. NGTT2009-NN_dan so phan tich 10 nam(moi)_02 Danso_Laodong 2012(chuan) CO SO" xfId="300" xr:uid="{00000000-0005-0000-0000-00000D010000}"/>
    <cellStyle name="_07. NGTT2009-NN_dan so phan tich 10 nam(moi)_02 Danso_Laodong 2012(chuan) CO SO 2" xfId="301" xr:uid="{00000000-0005-0000-0000-00000E010000}"/>
    <cellStyle name="_07. NGTT2009-NN_dan so phan tich 10 nam(moi)_02 Danso_Laodong 2012(chuan) CO SO_Content" xfId="302" xr:uid="{00000000-0005-0000-0000-00000F010000}"/>
    <cellStyle name="_07. NGTT2009-NN_dan so phan tich 10 nam(moi)_Content" xfId="303" xr:uid="{00000000-0005-0000-0000-000010010000}"/>
    <cellStyle name="_07. NGTT2009-NN_Dat Dai NGTT -2013" xfId="304" xr:uid="{00000000-0005-0000-0000-000011010000}"/>
    <cellStyle name="_07. NGTT2009-NN_Lam nghiep, thuy san 2010 (ok)" xfId="305" xr:uid="{00000000-0005-0000-0000-000012010000}"/>
    <cellStyle name="_07. NGTT2009-NN_Lam nghiep, thuy san 2010 (ok) 2" xfId="306" xr:uid="{00000000-0005-0000-0000-000013010000}"/>
    <cellStyle name="_07. NGTT2009-NN_Lam nghiep, thuy san 2010 (ok)_Content" xfId="307" xr:uid="{00000000-0005-0000-0000-000014010000}"/>
    <cellStyle name="_07. NGTT2009-NN_Maket NGTT Cong nghiep 2011" xfId="308" xr:uid="{00000000-0005-0000-0000-000015010000}"/>
    <cellStyle name="_07. NGTT2009-NN_Maket NGTT Cong nghiep 2011 2" xfId="309" xr:uid="{00000000-0005-0000-0000-000016010000}"/>
    <cellStyle name="_07. NGTT2009-NN_Maket NGTT Cong nghiep 2011_Content" xfId="310" xr:uid="{00000000-0005-0000-0000-000017010000}"/>
    <cellStyle name="_07. NGTT2009-NN_Maket NGTT Doanh Nghiep 2011" xfId="311" xr:uid="{00000000-0005-0000-0000-000018010000}"/>
    <cellStyle name="_07. NGTT2009-NN_Maket NGTT Doanh Nghiep 2011 2" xfId="312" xr:uid="{00000000-0005-0000-0000-000019010000}"/>
    <cellStyle name="_07. NGTT2009-NN_Maket NGTT Doanh Nghiep 2011_Content" xfId="313" xr:uid="{00000000-0005-0000-0000-00001A010000}"/>
    <cellStyle name="_07. NGTT2009-NN_Maket NGTT Thu chi NS 2011" xfId="314" xr:uid="{00000000-0005-0000-0000-00001B010000}"/>
    <cellStyle name="_07. NGTT2009-NN_Maket NGTT Thu chi NS 2011 2" xfId="315" xr:uid="{00000000-0005-0000-0000-00001C010000}"/>
    <cellStyle name="_07. NGTT2009-NN_Maket NGTT Thu chi NS 2011_Content" xfId="316" xr:uid="{00000000-0005-0000-0000-00001D010000}"/>
    <cellStyle name="_07. NGTT2009-NN_Ngiam_lamnghiep_2011_v2(1)(1)" xfId="317" xr:uid="{00000000-0005-0000-0000-00001E010000}"/>
    <cellStyle name="_07. NGTT2009-NN_Ngiam_lamnghiep_2011_v2(1)(1) 2" xfId="318" xr:uid="{00000000-0005-0000-0000-00001F010000}"/>
    <cellStyle name="_07. NGTT2009-NN_Ngiam_lamnghiep_2011_v2(1)(1)_Content" xfId="319" xr:uid="{00000000-0005-0000-0000-000020010000}"/>
    <cellStyle name="_07. NGTT2009-NN_NGTT Ca the 2011 Diep" xfId="320" xr:uid="{00000000-0005-0000-0000-000021010000}"/>
    <cellStyle name="_07. NGTT2009-NN_NGTT Ca the 2011 Diep 2" xfId="321" xr:uid="{00000000-0005-0000-0000-000022010000}"/>
    <cellStyle name="_07. NGTT2009-NN_NGTT Ca the 2011 Diep_Content" xfId="322" xr:uid="{00000000-0005-0000-0000-000023010000}"/>
    <cellStyle name="_07. NGTT2009-NN_Nongnghiep" xfId="323" xr:uid="{00000000-0005-0000-0000-000024010000}"/>
    <cellStyle name="_07. NGTT2009-NN_Nongnghiep 2" xfId="324" xr:uid="{00000000-0005-0000-0000-000025010000}"/>
    <cellStyle name="_07. NGTT2009-NN_Nongnghiep_Bo sung 04 bieu Cong nghiep" xfId="325" xr:uid="{00000000-0005-0000-0000-000026010000}"/>
    <cellStyle name="_07. NGTT2009-NN_Nongnghiep_Bo sung 04 bieu Cong nghiep 2" xfId="326" xr:uid="{00000000-0005-0000-0000-000027010000}"/>
    <cellStyle name="_07. NGTT2009-NN_Nongnghiep_Bo sung 04 bieu Cong nghiep_Content" xfId="327" xr:uid="{00000000-0005-0000-0000-000028010000}"/>
    <cellStyle name="_07. NGTT2009-NN_Nongnghiep_Content" xfId="328" xr:uid="{00000000-0005-0000-0000-000029010000}"/>
    <cellStyle name="_07. NGTT2009-NN_Phan i (in)" xfId="329" xr:uid="{00000000-0005-0000-0000-00002A010000}"/>
    <cellStyle name="_07. NGTT2009-NN_So lieu quoc te TH" xfId="330" xr:uid="{00000000-0005-0000-0000-00002B010000}"/>
    <cellStyle name="_07. NGTT2009-NN_So lieu quoc te TH 2" xfId="331" xr:uid="{00000000-0005-0000-0000-00002C010000}"/>
    <cellStyle name="_07. NGTT2009-NN_So lieu quoc te TH_Content" xfId="332" xr:uid="{00000000-0005-0000-0000-00002D010000}"/>
    <cellStyle name="_07. NGTT2009-NN_So lieu quoc te(GDP)" xfId="333" xr:uid="{00000000-0005-0000-0000-00002E010000}"/>
    <cellStyle name="_07. NGTT2009-NN_So lieu quoc te(GDP) 2" xfId="334" xr:uid="{00000000-0005-0000-0000-00002F010000}"/>
    <cellStyle name="_07. NGTT2009-NN_So lieu quoc te(GDP)_03 TKQG va Thu chi NSNN 2012" xfId="335" xr:uid="{00000000-0005-0000-0000-000030010000}"/>
    <cellStyle name="_07. NGTT2009-NN_So lieu quoc te(GDP)_03 TKQG va Thu chi NSNN 2012 2" xfId="336" xr:uid="{00000000-0005-0000-0000-000031010000}"/>
    <cellStyle name="_07. NGTT2009-NN_So lieu quoc te(GDP)_03 TKQG va Thu chi NSNN 2012_Content" xfId="337" xr:uid="{00000000-0005-0000-0000-000032010000}"/>
    <cellStyle name="_07. NGTT2009-NN_So lieu quoc te(GDP)_05 Doanh nghiep va Ca the_2011 (Ok)" xfId="338" xr:uid="{00000000-0005-0000-0000-000033010000}"/>
    <cellStyle name="_07. NGTT2009-NN_So lieu quoc te(GDP)_11 (3)" xfId="339" xr:uid="{00000000-0005-0000-0000-000034010000}"/>
    <cellStyle name="_07. NGTT2009-NN_So lieu quoc te(GDP)_11 (3) 2" xfId="340" xr:uid="{00000000-0005-0000-0000-000035010000}"/>
    <cellStyle name="_07. NGTT2009-NN_So lieu quoc te(GDP)_11 (3)_Content" xfId="341" xr:uid="{00000000-0005-0000-0000-000036010000}"/>
    <cellStyle name="_07. NGTT2009-NN_So lieu quoc te(GDP)_12 (2)" xfId="342" xr:uid="{00000000-0005-0000-0000-000037010000}"/>
    <cellStyle name="_07. NGTT2009-NN_So lieu quoc te(GDP)_12 (2) 2" xfId="343" xr:uid="{00000000-0005-0000-0000-000038010000}"/>
    <cellStyle name="_07. NGTT2009-NN_So lieu quoc te(GDP)_12 (2)_Content" xfId="344" xr:uid="{00000000-0005-0000-0000-000039010000}"/>
    <cellStyle name="_07. NGTT2009-NN_So lieu quoc te(GDP)_Content" xfId="345" xr:uid="{00000000-0005-0000-0000-00003A010000}"/>
    <cellStyle name="_07. NGTT2009-NN_So lieu quoc te(GDP)_Ngiam_lamnghiep_2011_v2(1)(1)" xfId="346" xr:uid="{00000000-0005-0000-0000-00003B010000}"/>
    <cellStyle name="_07. NGTT2009-NN_So lieu quoc te(GDP)_Ngiam_lamnghiep_2011_v2(1)(1) 2" xfId="347" xr:uid="{00000000-0005-0000-0000-00003C010000}"/>
    <cellStyle name="_07. NGTT2009-NN_So lieu quoc te(GDP)_Ngiam_lamnghiep_2011_v2(1)(1)_Content" xfId="348" xr:uid="{00000000-0005-0000-0000-00003D010000}"/>
    <cellStyle name="_07. NGTT2009-NN_Tong hop 1" xfId="349" xr:uid="{00000000-0005-0000-0000-00003E010000}"/>
    <cellStyle name="_07. NGTT2009-NN_Tong hop NGTT" xfId="350" xr:uid="{00000000-0005-0000-0000-00003F010000}"/>
    <cellStyle name="_07. NGTT2009-NN_Tong hop NGTT 2" xfId="351" xr:uid="{00000000-0005-0000-0000-000040010000}"/>
    <cellStyle name="_07. NGTT2009-NN_Tong hop NGTT_Content" xfId="352" xr:uid="{00000000-0005-0000-0000-000041010000}"/>
    <cellStyle name="_07. NGTT2009-NN_XNK" xfId="353" xr:uid="{00000000-0005-0000-0000-000042010000}"/>
    <cellStyle name="_07. NGTT2009-NN_XNK 2" xfId="354" xr:uid="{00000000-0005-0000-0000-000043010000}"/>
    <cellStyle name="_07. NGTT2009-NN_XNK_Bo sung 04 bieu Cong nghiep" xfId="355" xr:uid="{00000000-0005-0000-0000-000044010000}"/>
    <cellStyle name="_07. NGTT2009-NN_XNK_Bo sung 04 bieu Cong nghiep 2" xfId="356" xr:uid="{00000000-0005-0000-0000-000045010000}"/>
    <cellStyle name="_07. NGTT2009-NN_XNK_Bo sung 04 bieu Cong nghiep_Content" xfId="357" xr:uid="{00000000-0005-0000-0000-000046010000}"/>
    <cellStyle name="_07. NGTT2009-NN_XNK_Content" xfId="358" xr:uid="{00000000-0005-0000-0000-000047010000}"/>
    <cellStyle name="_09 VAN TAI(OK)" xfId="359" xr:uid="{00000000-0005-0000-0000-000048010000}"/>
    <cellStyle name="_09.GD-Yte_TT_MSDC2008" xfId="360" xr:uid="{00000000-0005-0000-0000-000049010000}"/>
    <cellStyle name="_09.GD-Yte_TT_MSDC2008 2" xfId="361" xr:uid="{00000000-0005-0000-0000-00004A010000}"/>
    <cellStyle name="_09.GD-Yte_TT_MSDC2008_01 DVHC-DSLD 2010" xfId="362" xr:uid="{00000000-0005-0000-0000-00004B010000}"/>
    <cellStyle name="_09.GD-Yte_TT_MSDC2008_01 DVHC-DSLD 2010 2" xfId="363" xr:uid="{00000000-0005-0000-0000-00004C010000}"/>
    <cellStyle name="_09.GD-Yte_TT_MSDC2008_01 DVHC-DSLD 2010_02 Danso_Laodong 2012(chuan) CO SO" xfId="364" xr:uid="{00000000-0005-0000-0000-00004D010000}"/>
    <cellStyle name="_09.GD-Yte_TT_MSDC2008_01 DVHC-DSLD 2010_02 Danso_Laodong 2012(chuan) CO SO 2" xfId="365" xr:uid="{00000000-0005-0000-0000-00004E010000}"/>
    <cellStyle name="_09.GD-Yte_TT_MSDC2008_01 DVHC-DSLD 2010_02 Danso_Laodong 2012(chuan) CO SO_Content" xfId="366" xr:uid="{00000000-0005-0000-0000-00004F010000}"/>
    <cellStyle name="_09.GD-Yte_TT_MSDC2008_01 DVHC-DSLD 2010_Bo sung 04 bieu Cong nghiep" xfId="367" xr:uid="{00000000-0005-0000-0000-000050010000}"/>
    <cellStyle name="_09.GD-Yte_TT_MSDC2008_01 DVHC-DSLD 2010_Bo sung 04 bieu Cong nghiep 2" xfId="368" xr:uid="{00000000-0005-0000-0000-000051010000}"/>
    <cellStyle name="_09.GD-Yte_TT_MSDC2008_01 DVHC-DSLD 2010_Bo sung 04 bieu Cong nghiep_Content" xfId="369" xr:uid="{00000000-0005-0000-0000-000052010000}"/>
    <cellStyle name="_09.GD-Yte_TT_MSDC2008_01 DVHC-DSLD 2010_Content" xfId="370" xr:uid="{00000000-0005-0000-0000-000053010000}"/>
    <cellStyle name="_09.GD-Yte_TT_MSDC2008_01 DVHC-DSLD 2010_nien giam tom tat 2010 (thuy)" xfId="371" xr:uid="{00000000-0005-0000-0000-000054010000}"/>
    <cellStyle name="_09.GD-Yte_TT_MSDC2008_01 DVHC-DSLD 2010_nien giam tom tat 2010 (thuy) 2" xfId="372" xr:uid="{00000000-0005-0000-0000-000055010000}"/>
    <cellStyle name="_09.GD-Yte_TT_MSDC2008_01 DVHC-DSLD 2010_nien giam tom tat 2010 (thuy)_02 Danso_Laodong 2012(chuan) CO SO" xfId="373" xr:uid="{00000000-0005-0000-0000-000056010000}"/>
    <cellStyle name="_09.GD-Yte_TT_MSDC2008_01 DVHC-DSLD 2010_nien giam tom tat 2010 (thuy)_02 Danso_Laodong 2012(chuan) CO SO 2" xfId="374" xr:uid="{00000000-0005-0000-0000-000057010000}"/>
    <cellStyle name="_09.GD-Yte_TT_MSDC2008_01 DVHC-DSLD 2010_nien giam tom tat 2010 (thuy)_02 Danso_Laodong 2012(chuan) CO SO_Content" xfId="375" xr:uid="{00000000-0005-0000-0000-000058010000}"/>
    <cellStyle name="_09.GD-Yte_TT_MSDC2008_01 DVHC-DSLD 2010_nien giam tom tat 2010 (thuy)_Content" xfId="376" xr:uid="{00000000-0005-0000-0000-000059010000}"/>
    <cellStyle name="_09.GD-Yte_TT_MSDC2008_01 DVHC-DSLD 2010_Tong hop NGTT" xfId="377" xr:uid="{00000000-0005-0000-0000-00005A010000}"/>
    <cellStyle name="_09.GD-Yte_TT_MSDC2008_01 DVHC-DSLD 2010_Tong hop NGTT 2" xfId="378" xr:uid="{00000000-0005-0000-0000-00005B010000}"/>
    <cellStyle name="_09.GD-Yte_TT_MSDC2008_01 DVHC-DSLD 2010_Tong hop NGTT_Content" xfId="379" xr:uid="{00000000-0005-0000-0000-00005C010000}"/>
    <cellStyle name="_09.GD-Yte_TT_MSDC2008_02 Danso_Laodong 2012(chuan) CO SO" xfId="380" xr:uid="{00000000-0005-0000-0000-00005D010000}"/>
    <cellStyle name="_09.GD-Yte_TT_MSDC2008_02 Danso_Laodong 2012(chuan) CO SO 2" xfId="381" xr:uid="{00000000-0005-0000-0000-00005E010000}"/>
    <cellStyle name="_09.GD-Yte_TT_MSDC2008_02 Danso_Laodong 2012(chuan) CO SO_Content" xfId="382" xr:uid="{00000000-0005-0000-0000-00005F010000}"/>
    <cellStyle name="_09.GD-Yte_TT_MSDC2008_03 Dautu 2010" xfId="383" xr:uid="{00000000-0005-0000-0000-000060010000}"/>
    <cellStyle name="_09.GD-Yte_TT_MSDC2008_03 Dautu 2010 2" xfId="384" xr:uid="{00000000-0005-0000-0000-000061010000}"/>
    <cellStyle name="_09.GD-Yte_TT_MSDC2008_03 Dautu 2010_02 Danso_Laodong 2012(chuan) CO SO" xfId="385" xr:uid="{00000000-0005-0000-0000-000062010000}"/>
    <cellStyle name="_09.GD-Yte_TT_MSDC2008_03 Dautu 2010_02 Danso_Laodong 2012(chuan) CO SO 2" xfId="386" xr:uid="{00000000-0005-0000-0000-000063010000}"/>
    <cellStyle name="_09.GD-Yte_TT_MSDC2008_03 Dautu 2010_02 Danso_Laodong 2012(chuan) CO SO_Content" xfId="387" xr:uid="{00000000-0005-0000-0000-000064010000}"/>
    <cellStyle name="_09.GD-Yte_TT_MSDC2008_03 Dautu 2010_Content" xfId="388" xr:uid="{00000000-0005-0000-0000-000065010000}"/>
    <cellStyle name="_09.GD-Yte_TT_MSDC2008_03 TKQG" xfId="389" xr:uid="{00000000-0005-0000-0000-000066010000}"/>
    <cellStyle name="_09.GD-Yte_TT_MSDC2008_05 Doanh nghiep va Ca the_2011 (Ok)" xfId="390" xr:uid="{00000000-0005-0000-0000-000067010000}"/>
    <cellStyle name="_09.GD-Yte_TT_MSDC2008_05 NGTT DN 2010 (OK)" xfId="391" xr:uid="{00000000-0005-0000-0000-000068010000}"/>
    <cellStyle name="_09.GD-Yte_TT_MSDC2008_05 NGTT DN 2010 (OK) 2" xfId="392" xr:uid="{00000000-0005-0000-0000-000069010000}"/>
    <cellStyle name="_09.GD-Yte_TT_MSDC2008_05 NGTT DN 2010 (OK)_Bo sung 04 bieu Cong nghiep" xfId="393" xr:uid="{00000000-0005-0000-0000-00006A010000}"/>
    <cellStyle name="_09.GD-Yte_TT_MSDC2008_05 NGTT DN 2010 (OK)_Bo sung 04 bieu Cong nghiep 2" xfId="394" xr:uid="{00000000-0005-0000-0000-00006B010000}"/>
    <cellStyle name="_09.GD-Yte_TT_MSDC2008_05 NGTT DN 2010 (OK)_Bo sung 04 bieu Cong nghiep_Content" xfId="395" xr:uid="{00000000-0005-0000-0000-00006C010000}"/>
    <cellStyle name="_09.GD-Yte_TT_MSDC2008_05 NGTT DN 2010 (OK)_Content" xfId="396" xr:uid="{00000000-0005-0000-0000-00006D010000}"/>
    <cellStyle name="_09.GD-Yte_TT_MSDC2008_05 Thu chi NSNN" xfId="397" xr:uid="{00000000-0005-0000-0000-00006E010000}"/>
    <cellStyle name="_09.GD-Yte_TT_MSDC2008_05 Thu chi NSNN 2" xfId="398" xr:uid="{00000000-0005-0000-0000-00006F010000}"/>
    <cellStyle name="_09.GD-Yte_TT_MSDC2008_05 Thu chi NSNN_Content" xfId="399" xr:uid="{00000000-0005-0000-0000-000070010000}"/>
    <cellStyle name="_09.GD-Yte_TT_MSDC2008_10 Market VH, YT, GD, NGTT 2011 " xfId="400" xr:uid="{00000000-0005-0000-0000-000071010000}"/>
    <cellStyle name="_09.GD-Yte_TT_MSDC2008_10 Market VH, YT, GD, NGTT 2011  2" xfId="401" xr:uid="{00000000-0005-0000-0000-000072010000}"/>
    <cellStyle name="_09.GD-Yte_TT_MSDC2008_10 Market VH, YT, GD, NGTT 2011 _03 TKQG va Thu chi NSNN 2012" xfId="402" xr:uid="{00000000-0005-0000-0000-000073010000}"/>
    <cellStyle name="_09.GD-Yte_TT_MSDC2008_10 Market VH, YT, GD, NGTT 2011 _03 TKQG va Thu chi NSNN 2012 2" xfId="403" xr:uid="{00000000-0005-0000-0000-000074010000}"/>
    <cellStyle name="_09.GD-Yte_TT_MSDC2008_10 Market VH, YT, GD, NGTT 2011 _03 TKQG va Thu chi NSNN 2012_Content" xfId="404" xr:uid="{00000000-0005-0000-0000-000075010000}"/>
    <cellStyle name="_09.GD-Yte_TT_MSDC2008_10 Market VH, YT, GD, NGTT 2011 _05 Doanh nghiep va Ca the_2011 (Ok)" xfId="405" xr:uid="{00000000-0005-0000-0000-000076010000}"/>
    <cellStyle name="_09.GD-Yte_TT_MSDC2008_10 Market VH, YT, GD, NGTT 2011 _11 (3)" xfId="406" xr:uid="{00000000-0005-0000-0000-000077010000}"/>
    <cellStyle name="_09.GD-Yte_TT_MSDC2008_10 Market VH, YT, GD, NGTT 2011 _11 (3) 2" xfId="407" xr:uid="{00000000-0005-0000-0000-000078010000}"/>
    <cellStyle name="_09.GD-Yte_TT_MSDC2008_10 Market VH, YT, GD, NGTT 2011 _11 (3)_Content" xfId="408" xr:uid="{00000000-0005-0000-0000-000079010000}"/>
    <cellStyle name="_09.GD-Yte_TT_MSDC2008_10 Market VH, YT, GD, NGTT 2011 _12 (2)" xfId="409" xr:uid="{00000000-0005-0000-0000-00007A010000}"/>
    <cellStyle name="_09.GD-Yte_TT_MSDC2008_10 Market VH, YT, GD, NGTT 2011 _12 (2) 2" xfId="410" xr:uid="{00000000-0005-0000-0000-00007B010000}"/>
    <cellStyle name="_09.GD-Yte_TT_MSDC2008_10 Market VH, YT, GD, NGTT 2011 _12 (2)_Content" xfId="411" xr:uid="{00000000-0005-0000-0000-00007C010000}"/>
    <cellStyle name="_09.GD-Yte_TT_MSDC2008_10 Market VH, YT, GD, NGTT 2011 _Content" xfId="412" xr:uid="{00000000-0005-0000-0000-00007D010000}"/>
    <cellStyle name="_09.GD-Yte_TT_MSDC2008_10 Market VH, YT, GD, NGTT 2011 _Ngiam_lamnghiep_2011_v2(1)(1)" xfId="413" xr:uid="{00000000-0005-0000-0000-00007E010000}"/>
    <cellStyle name="_09.GD-Yte_TT_MSDC2008_10 Market VH, YT, GD, NGTT 2011 _Ngiam_lamnghiep_2011_v2(1)(1) 2" xfId="414" xr:uid="{00000000-0005-0000-0000-00007F010000}"/>
    <cellStyle name="_09.GD-Yte_TT_MSDC2008_10 Market VH, YT, GD, NGTT 2011 _Ngiam_lamnghiep_2011_v2(1)(1)_Content" xfId="415" xr:uid="{00000000-0005-0000-0000-000080010000}"/>
    <cellStyle name="_09.GD-Yte_TT_MSDC2008_10 VH, YT, GD, NGTT 2010 - (OK)" xfId="416" xr:uid="{00000000-0005-0000-0000-000081010000}"/>
    <cellStyle name="_09.GD-Yte_TT_MSDC2008_10 VH, YT, GD, NGTT 2010 - (OK) 2" xfId="417" xr:uid="{00000000-0005-0000-0000-000082010000}"/>
    <cellStyle name="_09.GD-Yte_TT_MSDC2008_10 VH, YT, GD, NGTT 2010 - (OK)_Bo sung 04 bieu Cong nghiep" xfId="418" xr:uid="{00000000-0005-0000-0000-000083010000}"/>
    <cellStyle name="_09.GD-Yte_TT_MSDC2008_10 VH, YT, GD, NGTT 2010 - (OK)_Bo sung 04 bieu Cong nghiep 2" xfId="419" xr:uid="{00000000-0005-0000-0000-000084010000}"/>
    <cellStyle name="_09.GD-Yte_TT_MSDC2008_10 VH, YT, GD, NGTT 2010 - (OK)_Bo sung 04 bieu Cong nghiep_Content" xfId="420" xr:uid="{00000000-0005-0000-0000-000085010000}"/>
    <cellStyle name="_09.GD-Yte_TT_MSDC2008_10 VH, YT, GD, NGTT 2010 - (OK)_Content" xfId="421" xr:uid="{00000000-0005-0000-0000-000086010000}"/>
    <cellStyle name="_09.GD-Yte_TT_MSDC2008_11 (3)" xfId="422" xr:uid="{00000000-0005-0000-0000-000087010000}"/>
    <cellStyle name="_09.GD-Yte_TT_MSDC2008_11 (3) 2" xfId="423" xr:uid="{00000000-0005-0000-0000-000088010000}"/>
    <cellStyle name="_09.GD-Yte_TT_MSDC2008_11 (3)_Content" xfId="424" xr:uid="{00000000-0005-0000-0000-000089010000}"/>
    <cellStyle name="_09.GD-Yte_TT_MSDC2008_11 So lieu quoc te 2010-final" xfId="425" xr:uid="{00000000-0005-0000-0000-00008A010000}"/>
    <cellStyle name="_09.GD-Yte_TT_MSDC2008_11 So lieu quoc te 2010-final 2" xfId="426" xr:uid="{00000000-0005-0000-0000-00008B010000}"/>
    <cellStyle name="_09.GD-Yte_TT_MSDC2008_11 So lieu quoc te 2010-final_Content" xfId="427" xr:uid="{00000000-0005-0000-0000-00008C010000}"/>
    <cellStyle name="_09.GD-Yte_TT_MSDC2008_12 (2)" xfId="428" xr:uid="{00000000-0005-0000-0000-00008D010000}"/>
    <cellStyle name="_09.GD-Yte_TT_MSDC2008_12 (2) 2" xfId="429" xr:uid="{00000000-0005-0000-0000-00008E010000}"/>
    <cellStyle name="_09.GD-Yte_TT_MSDC2008_12 (2)_Content" xfId="430" xr:uid="{00000000-0005-0000-0000-00008F010000}"/>
    <cellStyle name="_09.GD-Yte_TT_MSDC2008_Book1" xfId="431" xr:uid="{00000000-0005-0000-0000-000090010000}"/>
    <cellStyle name="_09.GD-Yte_TT_MSDC2008_Book1 2" xfId="432" xr:uid="{00000000-0005-0000-0000-000091010000}"/>
    <cellStyle name="_09.GD-Yte_TT_MSDC2008_Book1_Content" xfId="433" xr:uid="{00000000-0005-0000-0000-000092010000}"/>
    <cellStyle name="_09.GD-Yte_TT_MSDC2008_Content" xfId="434" xr:uid="{00000000-0005-0000-0000-000093010000}"/>
    <cellStyle name="_09.GD-Yte_TT_MSDC2008_Dat Dai NGTT -2013" xfId="435" xr:uid="{00000000-0005-0000-0000-000094010000}"/>
    <cellStyle name="_09.GD-Yte_TT_MSDC2008_Maket NGTT Thu chi NS 2011" xfId="436" xr:uid="{00000000-0005-0000-0000-000095010000}"/>
    <cellStyle name="_09.GD-Yte_TT_MSDC2008_Maket NGTT Thu chi NS 2011 2" xfId="437" xr:uid="{00000000-0005-0000-0000-000096010000}"/>
    <cellStyle name="_09.GD-Yte_TT_MSDC2008_Maket NGTT Thu chi NS 2011_Content" xfId="438" xr:uid="{00000000-0005-0000-0000-000097010000}"/>
    <cellStyle name="_09.GD-Yte_TT_MSDC2008_Ngiam_lamnghiep_2011_v2(1)(1)" xfId="439" xr:uid="{00000000-0005-0000-0000-000098010000}"/>
    <cellStyle name="_09.GD-Yte_TT_MSDC2008_Ngiam_lamnghiep_2011_v2(1)(1) 2" xfId="440" xr:uid="{00000000-0005-0000-0000-000099010000}"/>
    <cellStyle name="_09.GD-Yte_TT_MSDC2008_Ngiam_lamnghiep_2011_v2(1)(1)_Content" xfId="441" xr:uid="{00000000-0005-0000-0000-00009A010000}"/>
    <cellStyle name="_09.GD-Yte_TT_MSDC2008_Nongnghiep" xfId="442" xr:uid="{00000000-0005-0000-0000-00009B010000}"/>
    <cellStyle name="_09.GD-Yte_TT_MSDC2008_Nongnghiep 2" xfId="443" xr:uid="{00000000-0005-0000-0000-00009C010000}"/>
    <cellStyle name="_09.GD-Yte_TT_MSDC2008_Nongnghiep_Bo sung 04 bieu Cong nghiep" xfId="444" xr:uid="{00000000-0005-0000-0000-00009D010000}"/>
    <cellStyle name="_09.GD-Yte_TT_MSDC2008_Nongnghiep_Bo sung 04 bieu Cong nghiep 2" xfId="445" xr:uid="{00000000-0005-0000-0000-00009E010000}"/>
    <cellStyle name="_09.GD-Yte_TT_MSDC2008_Nongnghiep_Bo sung 04 bieu Cong nghiep_Content" xfId="446" xr:uid="{00000000-0005-0000-0000-00009F010000}"/>
    <cellStyle name="_09.GD-Yte_TT_MSDC2008_Nongnghiep_Content" xfId="447" xr:uid="{00000000-0005-0000-0000-0000A0010000}"/>
    <cellStyle name="_09.GD-Yte_TT_MSDC2008_Phan i (in)" xfId="448" xr:uid="{00000000-0005-0000-0000-0000A1010000}"/>
    <cellStyle name="_09.GD-Yte_TT_MSDC2008_So lieu quoc te TH" xfId="449" xr:uid="{00000000-0005-0000-0000-0000A2010000}"/>
    <cellStyle name="_09.GD-Yte_TT_MSDC2008_So lieu quoc te TH 2" xfId="450" xr:uid="{00000000-0005-0000-0000-0000A3010000}"/>
    <cellStyle name="_09.GD-Yte_TT_MSDC2008_So lieu quoc te TH_Content" xfId="451" xr:uid="{00000000-0005-0000-0000-0000A4010000}"/>
    <cellStyle name="_09.GD-Yte_TT_MSDC2008_So lieu quoc te(GDP)" xfId="452" xr:uid="{00000000-0005-0000-0000-0000A5010000}"/>
    <cellStyle name="_09.GD-Yte_TT_MSDC2008_So lieu quoc te(GDP) 2" xfId="453" xr:uid="{00000000-0005-0000-0000-0000A6010000}"/>
    <cellStyle name="_09.GD-Yte_TT_MSDC2008_So lieu quoc te(GDP)_03 TKQG va Thu chi NSNN 2012" xfId="454" xr:uid="{00000000-0005-0000-0000-0000A7010000}"/>
    <cellStyle name="_09.GD-Yte_TT_MSDC2008_So lieu quoc te(GDP)_03 TKQG va Thu chi NSNN 2012 2" xfId="455" xr:uid="{00000000-0005-0000-0000-0000A8010000}"/>
    <cellStyle name="_09.GD-Yte_TT_MSDC2008_So lieu quoc te(GDP)_03 TKQG va Thu chi NSNN 2012_Content" xfId="456" xr:uid="{00000000-0005-0000-0000-0000A9010000}"/>
    <cellStyle name="_09.GD-Yte_TT_MSDC2008_So lieu quoc te(GDP)_05 Doanh nghiep va Ca the_2011 (Ok)" xfId="457" xr:uid="{00000000-0005-0000-0000-0000AA010000}"/>
    <cellStyle name="_09.GD-Yte_TT_MSDC2008_So lieu quoc te(GDP)_11 (3)" xfId="458" xr:uid="{00000000-0005-0000-0000-0000AB010000}"/>
    <cellStyle name="_09.GD-Yte_TT_MSDC2008_So lieu quoc te(GDP)_11 (3) 2" xfId="459" xr:uid="{00000000-0005-0000-0000-0000AC010000}"/>
    <cellStyle name="_09.GD-Yte_TT_MSDC2008_So lieu quoc te(GDP)_11 (3)_Content" xfId="460" xr:uid="{00000000-0005-0000-0000-0000AD010000}"/>
    <cellStyle name="_09.GD-Yte_TT_MSDC2008_So lieu quoc te(GDP)_12 (2)" xfId="461" xr:uid="{00000000-0005-0000-0000-0000AE010000}"/>
    <cellStyle name="_09.GD-Yte_TT_MSDC2008_So lieu quoc te(GDP)_12 (2) 2" xfId="462" xr:uid="{00000000-0005-0000-0000-0000AF010000}"/>
    <cellStyle name="_09.GD-Yte_TT_MSDC2008_So lieu quoc te(GDP)_12 (2)_Content" xfId="463" xr:uid="{00000000-0005-0000-0000-0000B0010000}"/>
    <cellStyle name="_09.GD-Yte_TT_MSDC2008_So lieu quoc te(GDP)_Content" xfId="464" xr:uid="{00000000-0005-0000-0000-0000B1010000}"/>
    <cellStyle name="_09.GD-Yte_TT_MSDC2008_So lieu quoc te(GDP)_Ngiam_lamnghiep_2011_v2(1)(1)" xfId="465" xr:uid="{00000000-0005-0000-0000-0000B2010000}"/>
    <cellStyle name="_09.GD-Yte_TT_MSDC2008_So lieu quoc te(GDP)_Ngiam_lamnghiep_2011_v2(1)(1) 2" xfId="466" xr:uid="{00000000-0005-0000-0000-0000B3010000}"/>
    <cellStyle name="_09.GD-Yte_TT_MSDC2008_So lieu quoc te(GDP)_Ngiam_lamnghiep_2011_v2(1)(1)_Content" xfId="467" xr:uid="{00000000-0005-0000-0000-0000B4010000}"/>
    <cellStyle name="_09.GD-Yte_TT_MSDC2008_Tong hop 1" xfId="468" xr:uid="{00000000-0005-0000-0000-0000B5010000}"/>
    <cellStyle name="_09.GD-Yte_TT_MSDC2008_Tong hop NGTT" xfId="469" xr:uid="{00000000-0005-0000-0000-0000B6010000}"/>
    <cellStyle name="_09.GD-Yte_TT_MSDC2008_Tong hop NGTT 2" xfId="470" xr:uid="{00000000-0005-0000-0000-0000B7010000}"/>
    <cellStyle name="_09.GD-Yte_TT_MSDC2008_Tong hop NGTT_Content" xfId="471" xr:uid="{00000000-0005-0000-0000-0000B8010000}"/>
    <cellStyle name="_09.GD-Yte_TT_MSDC2008_XNK" xfId="472" xr:uid="{00000000-0005-0000-0000-0000B9010000}"/>
    <cellStyle name="_09.GD-Yte_TT_MSDC2008_XNK 2" xfId="473" xr:uid="{00000000-0005-0000-0000-0000BA010000}"/>
    <cellStyle name="_09.GD-Yte_TT_MSDC2008_XNK_Bo sung 04 bieu Cong nghiep" xfId="474" xr:uid="{00000000-0005-0000-0000-0000BB010000}"/>
    <cellStyle name="_09.GD-Yte_TT_MSDC2008_XNK_Bo sung 04 bieu Cong nghiep 2" xfId="475" xr:uid="{00000000-0005-0000-0000-0000BC010000}"/>
    <cellStyle name="_09.GD-Yte_TT_MSDC2008_XNK_Bo sung 04 bieu Cong nghiep_Content" xfId="476" xr:uid="{00000000-0005-0000-0000-0000BD010000}"/>
    <cellStyle name="_09.GD-Yte_TT_MSDC2008_XNK_Content" xfId="477" xr:uid="{00000000-0005-0000-0000-0000BE010000}"/>
    <cellStyle name="_1.OK" xfId="478" xr:uid="{00000000-0005-0000-0000-0000BF010000}"/>
    <cellStyle name="_10_Market_VH_YT_GD_NGTT_2011" xfId="741" xr:uid="{00000000-0005-0000-0000-0000C6020000}"/>
    <cellStyle name="_10_Market_VH_YT_GD_NGTT_2011 2" xfId="742" xr:uid="{00000000-0005-0000-0000-0000C7020000}"/>
    <cellStyle name="_10_Market_VH_YT_GD_NGTT_2011_03 TKQG va Thu chi NSNN 2012" xfId="743" xr:uid="{00000000-0005-0000-0000-0000C8020000}"/>
    <cellStyle name="_10_Market_VH_YT_GD_NGTT_2011_03 TKQG va Thu chi NSNN 2012 2" xfId="744" xr:uid="{00000000-0005-0000-0000-0000C9020000}"/>
    <cellStyle name="_10_Market_VH_YT_GD_NGTT_2011_03 TKQG va Thu chi NSNN 2012_Content" xfId="745" xr:uid="{00000000-0005-0000-0000-0000CA020000}"/>
    <cellStyle name="_10_Market_VH_YT_GD_NGTT_2011_05 Doanh nghiep va Ca the_2011 (Ok)" xfId="746" xr:uid="{00000000-0005-0000-0000-0000CB020000}"/>
    <cellStyle name="_10_Market_VH_YT_GD_NGTT_2011_11 (3)" xfId="747" xr:uid="{00000000-0005-0000-0000-0000CC020000}"/>
    <cellStyle name="_10_Market_VH_YT_GD_NGTT_2011_11 (3) 2" xfId="748" xr:uid="{00000000-0005-0000-0000-0000CD020000}"/>
    <cellStyle name="_10_Market_VH_YT_GD_NGTT_2011_11 (3)_Content" xfId="749" xr:uid="{00000000-0005-0000-0000-0000CE020000}"/>
    <cellStyle name="_10_Market_VH_YT_GD_NGTT_2011_12 (2)" xfId="750" xr:uid="{00000000-0005-0000-0000-0000CF020000}"/>
    <cellStyle name="_10_Market_VH_YT_GD_NGTT_2011_12 (2) 2" xfId="751" xr:uid="{00000000-0005-0000-0000-0000D0020000}"/>
    <cellStyle name="_10_Market_VH_YT_GD_NGTT_2011_12 (2)_Content" xfId="752" xr:uid="{00000000-0005-0000-0000-0000D1020000}"/>
    <cellStyle name="_10_Market_VH_YT_GD_NGTT_2011_Content" xfId="753" xr:uid="{00000000-0005-0000-0000-0000D2020000}"/>
    <cellStyle name="_10_Market_VH_YT_GD_NGTT_2011_Ngiam_lamnghiep_2011_v2(1)(1)" xfId="754" xr:uid="{00000000-0005-0000-0000-0000D3020000}"/>
    <cellStyle name="_10_Market_VH_YT_GD_NGTT_2011_Ngiam_lamnghiep_2011_v2(1)(1) 2" xfId="755" xr:uid="{00000000-0005-0000-0000-0000D4020000}"/>
    <cellStyle name="_10_Market_VH_YT_GD_NGTT_2011_Ngiam_lamnghiep_2011_v2(1)(1)_Content" xfId="756" xr:uid="{00000000-0005-0000-0000-0000D5020000}"/>
    <cellStyle name="_10.Bieuthegioi-tan_NGTT2008(1)" xfId="479" xr:uid="{00000000-0005-0000-0000-0000C0010000}"/>
    <cellStyle name="_10.Bieuthegioi-tan_NGTT2008(1) 2" xfId="480" xr:uid="{00000000-0005-0000-0000-0000C1010000}"/>
    <cellStyle name="_10.Bieuthegioi-tan_NGTT2008(1)_01 DVHC-DSLD 2010" xfId="481" xr:uid="{00000000-0005-0000-0000-0000C2010000}"/>
    <cellStyle name="_10.Bieuthegioi-tan_NGTT2008(1)_01 DVHC-DSLD 2010 2" xfId="482" xr:uid="{00000000-0005-0000-0000-0000C3010000}"/>
    <cellStyle name="_10.Bieuthegioi-tan_NGTT2008(1)_01 DVHC-DSLD 2010_02 Danso_Laodong 2012(chuan) CO SO" xfId="483" xr:uid="{00000000-0005-0000-0000-0000C4010000}"/>
    <cellStyle name="_10.Bieuthegioi-tan_NGTT2008(1)_01 DVHC-DSLD 2010_02 Danso_Laodong 2012(chuan) CO SO 2" xfId="484" xr:uid="{00000000-0005-0000-0000-0000C5010000}"/>
    <cellStyle name="_10.Bieuthegioi-tan_NGTT2008(1)_01 DVHC-DSLD 2010_02 Danso_Laodong 2012(chuan) CO SO_Content" xfId="485" xr:uid="{00000000-0005-0000-0000-0000C6010000}"/>
    <cellStyle name="_10.Bieuthegioi-tan_NGTT2008(1)_01 DVHC-DSLD 2010_Bo sung 04 bieu Cong nghiep" xfId="486" xr:uid="{00000000-0005-0000-0000-0000C7010000}"/>
    <cellStyle name="_10.Bieuthegioi-tan_NGTT2008(1)_01 DVHC-DSLD 2010_Bo sung 04 bieu Cong nghiep 2" xfId="487" xr:uid="{00000000-0005-0000-0000-0000C8010000}"/>
    <cellStyle name="_10.Bieuthegioi-tan_NGTT2008(1)_01 DVHC-DSLD 2010_Bo sung 04 bieu Cong nghiep_Content" xfId="488" xr:uid="{00000000-0005-0000-0000-0000C9010000}"/>
    <cellStyle name="_10.Bieuthegioi-tan_NGTT2008(1)_01 DVHC-DSLD 2010_Content" xfId="489" xr:uid="{00000000-0005-0000-0000-0000CA010000}"/>
    <cellStyle name="_10.Bieuthegioi-tan_NGTT2008(1)_01 DVHC-DSLD 2010_nien giam tom tat 2010 (thuy)" xfId="490" xr:uid="{00000000-0005-0000-0000-0000CB010000}"/>
    <cellStyle name="_10.Bieuthegioi-tan_NGTT2008(1)_01 DVHC-DSLD 2010_nien giam tom tat 2010 (thuy) 2" xfId="491" xr:uid="{00000000-0005-0000-0000-0000CC010000}"/>
    <cellStyle name="_10.Bieuthegioi-tan_NGTT2008(1)_01 DVHC-DSLD 2010_nien giam tom tat 2010 (thuy)_02 Danso_Laodong 2012(chuan) CO SO" xfId="492" xr:uid="{00000000-0005-0000-0000-0000CD010000}"/>
    <cellStyle name="_10.Bieuthegioi-tan_NGTT2008(1)_01 DVHC-DSLD 2010_nien giam tom tat 2010 (thuy)_02 Danso_Laodong 2012(chuan) CO SO 2" xfId="493" xr:uid="{00000000-0005-0000-0000-0000CE010000}"/>
    <cellStyle name="_10.Bieuthegioi-tan_NGTT2008(1)_01 DVHC-DSLD 2010_nien giam tom tat 2010 (thuy)_02 Danso_Laodong 2012(chuan) CO SO_Content" xfId="494" xr:uid="{00000000-0005-0000-0000-0000CF010000}"/>
    <cellStyle name="_10.Bieuthegioi-tan_NGTT2008(1)_01 DVHC-DSLD 2010_nien giam tom tat 2010 (thuy)_Content" xfId="495" xr:uid="{00000000-0005-0000-0000-0000D0010000}"/>
    <cellStyle name="_10.Bieuthegioi-tan_NGTT2008(1)_01 DVHC-DSLD 2010_Tong hop NGTT" xfId="496" xr:uid="{00000000-0005-0000-0000-0000D1010000}"/>
    <cellStyle name="_10.Bieuthegioi-tan_NGTT2008(1)_01 DVHC-DSLD 2010_Tong hop NGTT 2" xfId="497" xr:uid="{00000000-0005-0000-0000-0000D2010000}"/>
    <cellStyle name="_10.Bieuthegioi-tan_NGTT2008(1)_01 DVHC-DSLD 2010_Tong hop NGTT_Content" xfId="498" xr:uid="{00000000-0005-0000-0000-0000D3010000}"/>
    <cellStyle name="_10.Bieuthegioi-tan_NGTT2008(1)_02 Danso_Laodong 2012(chuan) CO SO" xfId="499" xr:uid="{00000000-0005-0000-0000-0000D4010000}"/>
    <cellStyle name="_10.Bieuthegioi-tan_NGTT2008(1)_02 Danso_Laodong 2012(chuan) CO SO 2" xfId="500" xr:uid="{00000000-0005-0000-0000-0000D5010000}"/>
    <cellStyle name="_10.Bieuthegioi-tan_NGTT2008(1)_02 Danso_Laodong 2012(chuan) CO SO_Content" xfId="501" xr:uid="{00000000-0005-0000-0000-0000D6010000}"/>
    <cellStyle name="_10.Bieuthegioi-tan_NGTT2008(1)_03 Dautu 2010" xfId="502" xr:uid="{00000000-0005-0000-0000-0000D7010000}"/>
    <cellStyle name="_10.Bieuthegioi-tan_NGTT2008(1)_03 Dautu 2010 2" xfId="503" xr:uid="{00000000-0005-0000-0000-0000D8010000}"/>
    <cellStyle name="_10.Bieuthegioi-tan_NGTT2008(1)_03 Dautu 2010_02 Danso_Laodong 2012(chuan) CO SO" xfId="504" xr:uid="{00000000-0005-0000-0000-0000D9010000}"/>
    <cellStyle name="_10.Bieuthegioi-tan_NGTT2008(1)_03 Dautu 2010_02 Danso_Laodong 2012(chuan) CO SO 2" xfId="505" xr:uid="{00000000-0005-0000-0000-0000DA010000}"/>
    <cellStyle name="_10.Bieuthegioi-tan_NGTT2008(1)_03 Dautu 2010_02 Danso_Laodong 2012(chuan) CO SO_Content" xfId="506" xr:uid="{00000000-0005-0000-0000-0000DB010000}"/>
    <cellStyle name="_10.Bieuthegioi-tan_NGTT2008(1)_03 Dautu 2010_Content" xfId="507" xr:uid="{00000000-0005-0000-0000-0000DC010000}"/>
    <cellStyle name="_10.Bieuthegioi-tan_NGTT2008(1)_03 TKQG" xfId="508" xr:uid="{00000000-0005-0000-0000-0000DD010000}"/>
    <cellStyle name="_10.Bieuthegioi-tan_NGTT2008(1)_05 Doanh nghiep va Ca the_2011 (Ok)" xfId="509" xr:uid="{00000000-0005-0000-0000-0000DE010000}"/>
    <cellStyle name="_10.Bieuthegioi-tan_NGTT2008(1)_05 Thu chi NSNN" xfId="510" xr:uid="{00000000-0005-0000-0000-0000DF010000}"/>
    <cellStyle name="_10.Bieuthegioi-tan_NGTT2008(1)_05 Thu chi NSNN 2" xfId="511" xr:uid="{00000000-0005-0000-0000-0000E0010000}"/>
    <cellStyle name="_10.Bieuthegioi-tan_NGTT2008(1)_05 Thu chi NSNN_Content" xfId="512" xr:uid="{00000000-0005-0000-0000-0000E1010000}"/>
    <cellStyle name="_10.Bieuthegioi-tan_NGTT2008(1)_05 Thuong mai" xfId="513" xr:uid="{00000000-0005-0000-0000-0000E2010000}"/>
    <cellStyle name="_10.Bieuthegioi-tan_NGTT2008(1)_05 Thuong mai 2" xfId="514" xr:uid="{00000000-0005-0000-0000-0000E3010000}"/>
    <cellStyle name="_10.Bieuthegioi-tan_NGTT2008(1)_05 Thuong mai_02 Danso_Laodong 2012(chuan) CO SO" xfId="515" xr:uid="{00000000-0005-0000-0000-0000E4010000}"/>
    <cellStyle name="_10.Bieuthegioi-tan_NGTT2008(1)_05 Thuong mai_02 Danso_Laodong 2012(chuan) CO SO 2" xfId="516" xr:uid="{00000000-0005-0000-0000-0000E5010000}"/>
    <cellStyle name="_10.Bieuthegioi-tan_NGTT2008(1)_05 Thuong mai_02 Danso_Laodong 2012(chuan) CO SO_Content" xfId="517" xr:uid="{00000000-0005-0000-0000-0000E6010000}"/>
    <cellStyle name="_10.Bieuthegioi-tan_NGTT2008(1)_05 Thuong mai_Content" xfId="518" xr:uid="{00000000-0005-0000-0000-0000E7010000}"/>
    <cellStyle name="_10.Bieuthegioi-tan_NGTT2008(1)_06 Van tai" xfId="519" xr:uid="{00000000-0005-0000-0000-0000E8010000}"/>
    <cellStyle name="_10.Bieuthegioi-tan_NGTT2008(1)_06 Van tai 2" xfId="520" xr:uid="{00000000-0005-0000-0000-0000E9010000}"/>
    <cellStyle name="_10.Bieuthegioi-tan_NGTT2008(1)_06 Van tai_02 Danso_Laodong 2012(chuan) CO SO" xfId="521" xr:uid="{00000000-0005-0000-0000-0000EA010000}"/>
    <cellStyle name="_10.Bieuthegioi-tan_NGTT2008(1)_06 Van tai_02 Danso_Laodong 2012(chuan) CO SO 2" xfId="522" xr:uid="{00000000-0005-0000-0000-0000EB010000}"/>
    <cellStyle name="_10.Bieuthegioi-tan_NGTT2008(1)_06 Van tai_02 Danso_Laodong 2012(chuan) CO SO_Content" xfId="523" xr:uid="{00000000-0005-0000-0000-0000EC010000}"/>
    <cellStyle name="_10.Bieuthegioi-tan_NGTT2008(1)_06 Van tai_Content" xfId="524" xr:uid="{00000000-0005-0000-0000-0000ED010000}"/>
    <cellStyle name="_10.Bieuthegioi-tan_NGTT2008(1)_07 Buu dien" xfId="525" xr:uid="{00000000-0005-0000-0000-0000EE010000}"/>
    <cellStyle name="_10.Bieuthegioi-tan_NGTT2008(1)_07 Buu dien 2" xfId="526" xr:uid="{00000000-0005-0000-0000-0000EF010000}"/>
    <cellStyle name="_10.Bieuthegioi-tan_NGTT2008(1)_07 Buu dien_02 Danso_Laodong 2012(chuan) CO SO" xfId="527" xr:uid="{00000000-0005-0000-0000-0000F0010000}"/>
    <cellStyle name="_10.Bieuthegioi-tan_NGTT2008(1)_07 Buu dien_02 Danso_Laodong 2012(chuan) CO SO 2" xfId="528" xr:uid="{00000000-0005-0000-0000-0000F1010000}"/>
    <cellStyle name="_10.Bieuthegioi-tan_NGTT2008(1)_07 Buu dien_02 Danso_Laodong 2012(chuan) CO SO_Content" xfId="529" xr:uid="{00000000-0005-0000-0000-0000F2010000}"/>
    <cellStyle name="_10.Bieuthegioi-tan_NGTT2008(1)_07 Buu dien_Content" xfId="530" xr:uid="{00000000-0005-0000-0000-0000F3010000}"/>
    <cellStyle name="_10.Bieuthegioi-tan_NGTT2008(1)_08 Van tai" xfId="531" xr:uid="{00000000-0005-0000-0000-0000F4010000}"/>
    <cellStyle name="_10.Bieuthegioi-tan_NGTT2008(1)_08 Van tai 2" xfId="532" xr:uid="{00000000-0005-0000-0000-0000F5010000}"/>
    <cellStyle name="_10.Bieuthegioi-tan_NGTT2008(1)_08 Van tai_02 Danso_Laodong 2012(chuan) CO SO" xfId="533" xr:uid="{00000000-0005-0000-0000-0000F6010000}"/>
    <cellStyle name="_10.Bieuthegioi-tan_NGTT2008(1)_08 Van tai_02 Danso_Laodong 2012(chuan) CO SO 2" xfId="534" xr:uid="{00000000-0005-0000-0000-0000F7010000}"/>
    <cellStyle name="_10.Bieuthegioi-tan_NGTT2008(1)_08 Van tai_02 Danso_Laodong 2012(chuan) CO SO_Content" xfId="535" xr:uid="{00000000-0005-0000-0000-0000F8010000}"/>
    <cellStyle name="_10.Bieuthegioi-tan_NGTT2008(1)_08 Van tai_Content" xfId="536" xr:uid="{00000000-0005-0000-0000-0000F9010000}"/>
    <cellStyle name="_10.Bieuthegioi-tan_NGTT2008(1)_08 Yte-van hoa" xfId="537" xr:uid="{00000000-0005-0000-0000-0000FA010000}"/>
    <cellStyle name="_10.Bieuthegioi-tan_NGTT2008(1)_08 Yte-van hoa 2" xfId="538" xr:uid="{00000000-0005-0000-0000-0000FB010000}"/>
    <cellStyle name="_10.Bieuthegioi-tan_NGTT2008(1)_08 Yte-van hoa_02 Danso_Laodong 2012(chuan) CO SO" xfId="539" xr:uid="{00000000-0005-0000-0000-0000FC010000}"/>
    <cellStyle name="_10.Bieuthegioi-tan_NGTT2008(1)_08 Yte-van hoa_02 Danso_Laodong 2012(chuan) CO SO 2" xfId="540" xr:uid="{00000000-0005-0000-0000-0000FD010000}"/>
    <cellStyle name="_10.Bieuthegioi-tan_NGTT2008(1)_08 Yte-van hoa_02 Danso_Laodong 2012(chuan) CO SO_Content" xfId="541" xr:uid="{00000000-0005-0000-0000-0000FE010000}"/>
    <cellStyle name="_10.Bieuthegioi-tan_NGTT2008(1)_08 Yte-van hoa_Content" xfId="542" xr:uid="{00000000-0005-0000-0000-0000FF010000}"/>
    <cellStyle name="_10.Bieuthegioi-tan_NGTT2008(1)_10 Market VH, YT, GD, NGTT 2011 " xfId="543" xr:uid="{00000000-0005-0000-0000-000000020000}"/>
    <cellStyle name="_10.Bieuthegioi-tan_NGTT2008(1)_10 Market VH, YT, GD, NGTT 2011  2" xfId="544" xr:uid="{00000000-0005-0000-0000-000001020000}"/>
    <cellStyle name="_10.Bieuthegioi-tan_NGTT2008(1)_10 Market VH, YT, GD, NGTT 2011 _03 TKQG va Thu chi NSNN 2012" xfId="545" xr:uid="{00000000-0005-0000-0000-000002020000}"/>
    <cellStyle name="_10.Bieuthegioi-tan_NGTT2008(1)_10 Market VH, YT, GD, NGTT 2011 _03 TKQG va Thu chi NSNN 2012 2" xfId="546" xr:uid="{00000000-0005-0000-0000-000003020000}"/>
    <cellStyle name="_10.Bieuthegioi-tan_NGTT2008(1)_10 Market VH, YT, GD, NGTT 2011 _03 TKQG va Thu chi NSNN 2012_Content" xfId="547" xr:uid="{00000000-0005-0000-0000-000004020000}"/>
    <cellStyle name="_10.Bieuthegioi-tan_NGTT2008(1)_10 Market VH, YT, GD, NGTT 2011 _05 Doanh nghiep va Ca the_2011 (Ok)" xfId="548" xr:uid="{00000000-0005-0000-0000-000005020000}"/>
    <cellStyle name="_10.Bieuthegioi-tan_NGTT2008(1)_10 Market VH, YT, GD, NGTT 2011 _11 (3)" xfId="549" xr:uid="{00000000-0005-0000-0000-000006020000}"/>
    <cellStyle name="_10.Bieuthegioi-tan_NGTT2008(1)_10 Market VH, YT, GD, NGTT 2011 _11 (3) 2" xfId="550" xr:uid="{00000000-0005-0000-0000-000007020000}"/>
    <cellStyle name="_10.Bieuthegioi-tan_NGTT2008(1)_10 Market VH, YT, GD, NGTT 2011 _11 (3)_Content" xfId="551" xr:uid="{00000000-0005-0000-0000-000008020000}"/>
    <cellStyle name="_10.Bieuthegioi-tan_NGTT2008(1)_10 Market VH, YT, GD, NGTT 2011 _12 (2)" xfId="552" xr:uid="{00000000-0005-0000-0000-000009020000}"/>
    <cellStyle name="_10.Bieuthegioi-tan_NGTT2008(1)_10 Market VH, YT, GD, NGTT 2011 _12 (2) 2" xfId="553" xr:uid="{00000000-0005-0000-0000-00000A020000}"/>
    <cellStyle name="_10.Bieuthegioi-tan_NGTT2008(1)_10 Market VH, YT, GD, NGTT 2011 _12 (2)_Content" xfId="554" xr:uid="{00000000-0005-0000-0000-00000B020000}"/>
    <cellStyle name="_10.Bieuthegioi-tan_NGTT2008(1)_10 Market VH, YT, GD, NGTT 2011 _Content" xfId="555" xr:uid="{00000000-0005-0000-0000-00000C020000}"/>
    <cellStyle name="_10.Bieuthegioi-tan_NGTT2008(1)_10 Market VH, YT, GD, NGTT 2011 _Ngiam_lamnghiep_2011_v2(1)(1)" xfId="556" xr:uid="{00000000-0005-0000-0000-00000D020000}"/>
    <cellStyle name="_10.Bieuthegioi-tan_NGTT2008(1)_10 Market VH, YT, GD, NGTT 2011 _Ngiam_lamnghiep_2011_v2(1)(1) 2" xfId="557" xr:uid="{00000000-0005-0000-0000-00000E020000}"/>
    <cellStyle name="_10.Bieuthegioi-tan_NGTT2008(1)_10 Market VH, YT, GD, NGTT 2011 _Ngiam_lamnghiep_2011_v2(1)(1)_Content" xfId="558" xr:uid="{00000000-0005-0000-0000-00000F020000}"/>
    <cellStyle name="_10.Bieuthegioi-tan_NGTT2008(1)_10 VH, YT, GD, NGTT 2010 - (OK)" xfId="559" xr:uid="{00000000-0005-0000-0000-000010020000}"/>
    <cellStyle name="_10.Bieuthegioi-tan_NGTT2008(1)_10 VH, YT, GD, NGTT 2010 - (OK) 2" xfId="560" xr:uid="{00000000-0005-0000-0000-000011020000}"/>
    <cellStyle name="_10.Bieuthegioi-tan_NGTT2008(1)_10 VH, YT, GD, NGTT 2010 - (OK)_Bo sung 04 bieu Cong nghiep" xfId="561" xr:uid="{00000000-0005-0000-0000-000012020000}"/>
    <cellStyle name="_10.Bieuthegioi-tan_NGTT2008(1)_10 VH, YT, GD, NGTT 2010 - (OK)_Bo sung 04 bieu Cong nghiep 2" xfId="562" xr:uid="{00000000-0005-0000-0000-000013020000}"/>
    <cellStyle name="_10.Bieuthegioi-tan_NGTT2008(1)_10 VH, YT, GD, NGTT 2010 - (OK)_Bo sung 04 bieu Cong nghiep_Content" xfId="563" xr:uid="{00000000-0005-0000-0000-000014020000}"/>
    <cellStyle name="_10.Bieuthegioi-tan_NGTT2008(1)_10 VH, YT, GD, NGTT 2010 - (OK)_Content" xfId="564" xr:uid="{00000000-0005-0000-0000-000015020000}"/>
    <cellStyle name="_10.Bieuthegioi-tan_NGTT2008(1)_11 (3)" xfId="565" xr:uid="{00000000-0005-0000-0000-000016020000}"/>
    <cellStyle name="_10.Bieuthegioi-tan_NGTT2008(1)_11 (3) 2" xfId="566" xr:uid="{00000000-0005-0000-0000-000017020000}"/>
    <cellStyle name="_10.Bieuthegioi-tan_NGTT2008(1)_11 (3)_Content" xfId="567" xr:uid="{00000000-0005-0000-0000-000018020000}"/>
    <cellStyle name="_10.Bieuthegioi-tan_NGTT2008(1)_11 So lieu quoc te 2010-final" xfId="568" xr:uid="{00000000-0005-0000-0000-000019020000}"/>
    <cellStyle name="_10.Bieuthegioi-tan_NGTT2008(1)_11 So lieu quoc te 2010-final 2" xfId="569" xr:uid="{00000000-0005-0000-0000-00001A020000}"/>
    <cellStyle name="_10.Bieuthegioi-tan_NGTT2008(1)_11 So lieu quoc te 2010-final_Content" xfId="570" xr:uid="{00000000-0005-0000-0000-00001B020000}"/>
    <cellStyle name="_10.Bieuthegioi-tan_NGTT2008(1)_12 (2)" xfId="571" xr:uid="{00000000-0005-0000-0000-00001C020000}"/>
    <cellStyle name="_10.Bieuthegioi-tan_NGTT2008(1)_12 (2) 2" xfId="572" xr:uid="{00000000-0005-0000-0000-00001D020000}"/>
    <cellStyle name="_10.Bieuthegioi-tan_NGTT2008(1)_12 (2)_Content" xfId="573" xr:uid="{00000000-0005-0000-0000-00001E020000}"/>
    <cellStyle name="_10.Bieuthegioi-tan_NGTT2008(1)_Book1" xfId="574" xr:uid="{00000000-0005-0000-0000-00001F020000}"/>
    <cellStyle name="_10.Bieuthegioi-tan_NGTT2008(1)_Book1 2" xfId="575" xr:uid="{00000000-0005-0000-0000-000020020000}"/>
    <cellStyle name="_10.Bieuthegioi-tan_NGTT2008(1)_Book1_Content" xfId="576" xr:uid="{00000000-0005-0000-0000-000021020000}"/>
    <cellStyle name="_10.Bieuthegioi-tan_NGTT2008(1)_Book3" xfId="577" xr:uid="{00000000-0005-0000-0000-000022020000}"/>
    <cellStyle name="_10.Bieuthegioi-tan_NGTT2008(1)_Book3 2" xfId="578" xr:uid="{00000000-0005-0000-0000-000023020000}"/>
    <cellStyle name="_10.Bieuthegioi-tan_NGTT2008(1)_Book3_01 DVHC-DSLD 2010" xfId="579" xr:uid="{00000000-0005-0000-0000-000024020000}"/>
    <cellStyle name="_10.Bieuthegioi-tan_NGTT2008(1)_Book3_01 DVHC-DSLD 2010 2" xfId="580" xr:uid="{00000000-0005-0000-0000-000025020000}"/>
    <cellStyle name="_10.Bieuthegioi-tan_NGTT2008(1)_Book3_01 DVHC-DSLD 2010_Content" xfId="581" xr:uid="{00000000-0005-0000-0000-000026020000}"/>
    <cellStyle name="_10.Bieuthegioi-tan_NGTT2008(1)_Book3_02 Danso_Laodong 2012(chuan) CO SO" xfId="582" xr:uid="{00000000-0005-0000-0000-000027020000}"/>
    <cellStyle name="_10.Bieuthegioi-tan_NGTT2008(1)_Book3_02 Danso_Laodong 2012(chuan) CO SO 2" xfId="583" xr:uid="{00000000-0005-0000-0000-000028020000}"/>
    <cellStyle name="_10.Bieuthegioi-tan_NGTT2008(1)_Book3_02 Danso_Laodong 2012(chuan) CO SO_Content" xfId="584" xr:uid="{00000000-0005-0000-0000-000029020000}"/>
    <cellStyle name="_10.Bieuthegioi-tan_NGTT2008(1)_Book3_03 TKQG va Thu chi NSNN 2012" xfId="585" xr:uid="{00000000-0005-0000-0000-00002A020000}"/>
    <cellStyle name="_10.Bieuthegioi-tan_NGTT2008(1)_Book3_03 TKQG va Thu chi NSNN 2012 2" xfId="586" xr:uid="{00000000-0005-0000-0000-00002B020000}"/>
    <cellStyle name="_10.Bieuthegioi-tan_NGTT2008(1)_Book3_03 TKQG va Thu chi NSNN 2012_Content" xfId="587" xr:uid="{00000000-0005-0000-0000-00002C020000}"/>
    <cellStyle name="_10.Bieuthegioi-tan_NGTT2008(1)_Book3_05 Doanh nghiep va Ca the_2011 (Ok)" xfId="588" xr:uid="{00000000-0005-0000-0000-00002D020000}"/>
    <cellStyle name="_10.Bieuthegioi-tan_NGTT2008(1)_Book3_05 NGTT DN 2010 (OK)" xfId="589" xr:uid="{00000000-0005-0000-0000-00002E020000}"/>
    <cellStyle name="_10.Bieuthegioi-tan_NGTT2008(1)_Book3_05 NGTT DN 2010 (OK) 2" xfId="590" xr:uid="{00000000-0005-0000-0000-00002F020000}"/>
    <cellStyle name="_10.Bieuthegioi-tan_NGTT2008(1)_Book3_05 NGTT DN 2010 (OK)_Bo sung 04 bieu Cong nghiep" xfId="591" xr:uid="{00000000-0005-0000-0000-000030020000}"/>
    <cellStyle name="_10.Bieuthegioi-tan_NGTT2008(1)_Book3_05 NGTT DN 2010 (OK)_Bo sung 04 bieu Cong nghiep 2" xfId="592" xr:uid="{00000000-0005-0000-0000-000031020000}"/>
    <cellStyle name="_10.Bieuthegioi-tan_NGTT2008(1)_Book3_05 NGTT DN 2010 (OK)_Bo sung 04 bieu Cong nghiep_Content" xfId="593" xr:uid="{00000000-0005-0000-0000-000032020000}"/>
    <cellStyle name="_10.Bieuthegioi-tan_NGTT2008(1)_Book3_05 NGTT DN 2010 (OK)_Content" xfId="594" xr:uid="{00000000-0005-0000-0000-000033020000}"/>
    <cellStyle name="_10.Bieuthegioi-tan_NGTT2008(1)_Book3_10 Market VH, YT, GD, NGTT 2011 " xfId="595" xr:uid="{00000000-0005-0000-0000-000034020000}"/>
    <cellStyle name="_10.Bieuthegioi-tan_NGTT2008(1)_Book3_10 Market VH, YT, GD, NGTT 2011  2" xfId="596" xr:uid="{00000000-0005-0000-0000-000035020000}"/>
    <cellStyle name="_10.Bieuthegioi-tan_NGTT2008(1)_Book3_10 Market VH, YT, GD, NGTT 2011 _03 TKQG va Thu chi NSNN 2012" xfId="597" xr:uid="{00000000-0005-0000-0000-000036020000}"/>
    <cellStyle name="_10.Bieuthegioi-tan_NGTT2008(1)_Book3_10 Market VH, YT, GD, NGTT 2011 _03 TKQG va Thu chi NSNN 2012 2" xfId="598" xr:uid="{00000000-0005-0000-0000-000037020000}"/>
    <cellStyle name="_10.Bieuthegioi-tan_NGTT2008(1)_Book3_10 Market VH, YT, GD, NGTT 2011 _03 TKQG va Thu chi NSNN 2012_Content" xfId="599" xr:uid="{00000000-0005-0000-0000-000038020000}"/>
    <cellStyle name="_10.Bieuthegioi-tan_NGTT2008(1)_Book3_10 Market VH, YT, GD, NGTT 2011 _05 Doanh nghiep va Ca the_2011 (Ok)" xfId="600" xr:uid="{00000000-0005-0000-0000-000039020000}"/>
    <cellStyle name="_10.Bieuthegioi-tan_NGTT2008(1)_Book3_10 Market VH, YT, GD, NGTT 2011 _11 (3)" xfId="601" xr:uid="{00000000-0005-0000-0000-00003A020000}"/>
    <cellStyle name="_10.Bieuthegioi-tan_NGTT2008(1)_Book3_10 Market VH, YT, GD, NGTT 2011 _11 (3) 2" xfId="602" xr:uid="{00000000-0005-0000-0000-00003B020000}"/>
    <cellStyle name="_10.Bieuthegioi-tan_NGTT2008(1)_Book3_10 Market VH, YT, GD, NGTT 2011 _11 (3)_Content" xfId="603" xr:uid="{00000000-0005-0000-0000-00003C020000}"/>
    <cellStyle name="_10.Bieuthegioi-tan_NGTT2008(1)_Book3_10 Market VH, YT, GD, NGTT 2011 _12 (2)" xfId="604" xr:uid="{00000000-0005-0000-0000-00003D020000}"/>
    <cellStyle name="_10.Bieuthegioi-tan_NGTT2008(1)_Book3_10 Market VH, YT, GD, NGTT 2011 _12 (2) 2" xfId="605" xr:uid="{00000000-0005-0000-0000-00003E020000}"/>
    <cellStyle name="_10.Bieuthegioi-tan_NGTT2008(1)_Book3_10 Market VH, YT, GD, NGTT 2011 _12 (2)_Content" xfId="606" xr:uid="{00000000-0005-0000-0000-00003F020000}"/>
    <cellStyle name="_10.Bieuthegioi-tan_NGTT2008(1)_Book3_10 Market VH, YT, GD, NGTT 2011 _Content" xfId="607" xr:uid="{00000000-0005-0000-0000-000040020000}"/>
    <cellStyle name="_10.Bieuthegioi-tan_NGTT2008(1)_Book3_10 Market VH, YT, GD, NGTT 2011 _Ngiam_lamnghiep_2011_v2(1)(1)" xfId="608" xr:uid="{00000000-0005-0000-0000-000041020000}"/>
    <cellStyle name="_10.Bieuthegioi-tan_NGTT2008(1)_Book3_10 Market VH, YT, GD, NGTT 2011 _Ngiam_lamnghiep_2011_v2(1)(1) 2" xfId="609" xr:uid="{00000000-0005-0000-0000-000042020000}"/>
    <cellStyle name="_10.Bieuthegioi-tan_NGTT2008(1)_Book3_10 Market VH, YT, GD, NGTT 2011 _Ngiam_lamnghiep_2011_v2(1)(1)_Content" xfId="610" xr:uid="{00000000-0005-0000-0000-000043020000}"/>
    <cellStyle name="_10.Bieuthegioi-tan_NGTT2008(1)_Book3_10 VH, YT, GD, NGTT 2010 - (OK)" xfId="611" xr:uid="{00000000-0005-0000-0000-000044020000}"/>
    <cellStyle name="_10.Bieuthegioi-tan_NGTT2008(1)_Book3_10 VH, YT, GD, NGTT 2010 - (OK) 2" xfId="612" xr:uid="{00000000-0005-0000-0000-000045020000}"/>
    <cellStyle name="_10.Bieuthegioi-tan_NGTT2008(1)_Book3_10 VH, YT, GD, NGTT 2010 - (OK)_Bo sung 04 bieu Cong nghiep" xfId="613" xr:uid="{00000000-0005-0000-0000-000046020000}"/>
    <cellStyle name="_10.Bieuthegioi-tan_NGTT2008(1)_Book3_10 VH, YT, GD, NGTT 2010 - (OK)_Bo sung 04 bieu Cong nghiep 2" xfId="614" xr:uid="{00000000-0005-0000-0000-000047020000}"/>
    <cellStyle name="_10.Bieuthegioi-tan_NGTT2008(1)_Book3_10 VH, YT, GD, NGTT 2010 - (OK)_Bo sung 04 bieu Cong nghiep_Content" xfId="615" xr:uid="{00000000-0005-0000-0000-000048020000}"/>
    <cellStyle name="_10.Bieuthegioi-tan_NGTT2008(1)_Book3_10 VH, YT, GD, NGTT 2010 - (OK)_Content" xfId="616" xr:uid="{00000000-0005-0000-0000-000049020000}"/>
    <cellStyle name="_10.Bieuthegioi-tan_NGTT2008(1)_Book3_11 (3)" xfId="617" xr:uid="{00000000-0005-0000-0000-00004A020000}"/>
    <cellStyle name="_10.Bieuthegioi-tan_NGTT2008(1)_Book3_11 (3) 2" xfId="618" xr:uid="{00000000-0005-0000-0000-00004B020000}"/>
    <cellStyle name="_10.Bieuthegioi-tan_NGTT2008(1)_Book3_11 (3)_Content" xfId="619" xr:uid="{00000000-0005-0000-0000-00004C020000}"/>
    <cellStyle name="_10.Bieuthegioi-tan_NGTT2008(1)_Book3_12 (2)" xfId="620" xr:uid="{00000000-0005-0000-0000-00004D020000}"/>
    <cellStyle name="_10.Bieuthegioi-tan_NGTT2008(1)_Book3_12 (2) 2" xfId="621" xr:uid="{00000000-0005-0000-0000-00004E020000}"/>
    <cellStyle name="_10.Bieuthegioi-tan_NGTT2008(1)_Book3_12 (2)_Content" xfId="622" xr:uid="{00000000-0005-0000-0000-00004F020000}"/>
    <cellStyle name="_10.Bieuthegioi-tan_NGTT2008(1)_Book3_Book1" xfId="623" xr:uid="{00000000-0005-0000-0000-000050020000}"/>
    <cellStyle name="_10.Bieuthegioi-tan_NGTT2008(1)_Book3_Book1 2" xfId="624" xr:uid="{00000000-0005-0000-0000-000051020000}"/>
    <cellStyle name="_10.Bieuthegioi-tan_NGTT2008(1)_Book3_Book1_Content" xfId="625" xr:uid="{00000000-0005-0000-0000-000052020000}"/>
    <cellStyle name="_10.Bieuthegioi-tan_NGTT2008(1)_Book3_Content" xfId="626" xr:uid="{00000000-0005-0000-0000-000053020000}"/>
    <cellStyle name="_10.Bieuthegioi-tan_NGTT2008(1)_Book3_CucThongke-phucdap-Tuan-Anh" xfId="627" xr:uid="{00000000-0005-0000-0000-000054020000}"/>
    <cellStyle name="_10.Bieuthegioi-tan_NGTT2008(1)_Book3_CucThongke-phucdap-Tuan-Anh 2" xfId="628" xr:uid="{00000000-0005-0000-0000-000055020000}"/>
    <cellStyle name="_10.Bieuthegioi-tan_NGTT2008(1)_Book3_CucThongke-phucdap-Tuan-Anh_Content" xfId="629" xr:uid="{00000000-0005-0000-0000-000056020000}"/>
    <cellStyle name="_10.Bieuthegioi-tan_NGTT2008(1)_Book3_Ngiam_lamnghiep_2011_v2(1)(1)" xfId="630" xr:uid="{00000000-0005-0000-0000-000057020000}"/>
    <cellStyle name="_10.Bieuthegioi-tan_NGTT2008(1)_Book3_Ngiam_lamnghiep_2011_v2(1)(1) 2" xfId="631" xr:uid="{00000000-0005-0000-0000-000058020000}"/>
    <cellStyle name="_10.Bieuthegioi-tan_NGTT2008(1)_Book3_Ngiam_lamnghiep_2011_v2(1)(1)_Content" xfId="632" xr:uid="{00000000-0005-0000-0000-000059020000}"/>
    <cellStyle name="_10.Bieuthegioi-tan_NGTT2008(1)_Book3_Nongnghiep" xfId="633" xr:uid="{00000000-0005-0000-0000-00005A020000}"/>
    <cellStyle name="_10.Bieuthegioi-tan_NGTT2008(1)_Book3_Nongnghiep 2" xfId="634" xr:uid="{00000000-0005-0000-0000-00005B020000}"/>
    <cellStyle name="_10.Bieuthegioi-tan_NGTT2008(1)_Book3_Nongnghiep_Bo sung 04 bieu Cong nghiep" xfId="635" xr:uid="{00000000-0005-0000-0000-00005C020000}"/>
    <cellStyle name="_10.Bieuthegioi-tan_NGTT2008(1)_Book3_Nongnghiep_Bo sung 04 bieu Cong nghiep 2" xfId="636" xr:uid="{00000000-0005-0000-0000-00005D020000}"/>
    <cellStyle name="_10.Bieuthegioi-tan_NGTT2008(1)_Book3_Nongnghiep_Bo sung 04 bieu Cong nghiep_Content" xfId="637" xr:uid="{00000000-0005-0000-0000-00005E020000}"/>
    <cellStyle name="_10.Bieuthegioi-tan_NGTT2008(1)_Book3_Nongnghiep_Content" xfId="638" xr:uid="{00000000-0005-0000-0000-00005F020000}"/>
    <cellStyle name="_10.Bieuthegioi-tan_NGTT2008(1)_Book3_So lieu quoc te TH" xfId="639" xr:uid="{00000000-0005-0000-0000-000060020000}"/>
    <cellStyle name="_10.Bieuthegioi-tan_NGTT2008(1)_Book3_So lieu quoc te TH 2" xfId="640" xr:uid="{00000000-0005-0000-0000-000061020000}"/>
    <cellStyle name="_10.Bieuthegioi-tan_NGTT2008(1)_Book3_So lieu quoc te TH_Content" xfId="641" xr:uid="{00000000-0005-0000-0000-000062020000}"/>
    <cellStyle name="_10.Bieuthegioi-tan_NGTT2008(1)_Book3_So lieu quoc te(GDP)" xfId="642" xr:uid="{00000000-0005-0000-0000-000063020000}"/>
    <cellStyle name="_10.Bieuthegioi-tan_NGTT2008(1)_Book3_So lieu quoc te(GDP) 2" xfId="643" xr:uid="{00000000-0005-0000-0000-000064020000}"/>
    <cellStyle name="_10.Bieuthegioi-tan_NGTT2008(1)_Book3_So lieu quoc te(GDP)_03 TKQG va Thu chi NSNN 2012" xfId="644" xr:uid="{00000000-0005-0000-0000-000065020000}"/>
    <cellStyle name="_10.Bieuthegioi-tan_NGTT2008(1)_Book3_So lieu quoc te(GDP)_03 TKQG va Thu chi NSNN 2012 2" xfId="645" xr:uid="{00000000-0005-0000-0000-000066020000}"/>
    <cellStyle name="_10.Bieuthegioi-tan_NGTT2008(1)_Book3_So lieu quoc te(GDP)_03 TKQG va Thu chi NSNN 2012_Content" xfId="646" xr:uid="{00000000-0005-0000-0000-000067020000}"/>
    <cellStyle name="_10.Bieuthegioi-tan_NGTT2008(1)_Book3_So lieu quoc te(GDP)_05 Doanh nghiep va Ca the_2011 (Ok)" xfId="647" xr:uid="{00000000-0005-0000-0000-000068020000}"/>
    <cellStyle name="_10.Bieuthegioi-tan_NGTT2008(1)_Book3_So lieu quoc te(GDP)_11 (3)" xfId="648" xr:uid="{00000000-0005-0000-0000-000069020000}"/>
    <cellStyle name="_10.Bieuthegioi-tan_NGTT2008(1)_Book3_So lieu quoc te(GDP)_11 (3) 2" xfId="649" xr:uid="{00000000-0005-0000-0000-00006A020000}"/>
    <cellStyle name="_10.Bieuthegioi-tan_NGTT2008(1)_Book3_So lieu quoc te(GDP)_11 (3)_Content" xfId="650" xr:uid="{00000000-0005-0000-0000-00006B020000}"/>
    <cellStyle name="_10.Bieuthegioi-tan_NGTT2008(1)_Book3_So lieu quoc te(GDP)_12 (2)" xfId="651" xr:uid="{00000000-0005-0000-0000-00006C020000}"/>
    <cellStyle name="_10.Bieuthegioi-tan_NGTT2008(1)_Book3_So lieu quoc te(GDP)_12 (2) 2" xfId="652" xr:uid="{00000000-0005-0000-0000-00006D020000}"/>
    <cellStyle name="_10.Bieuthegioi-tan_NGTT2008(1)_Book3_So lieu quoc te(GDP)_12 (2)_Content" xfId="653" xr:uid="{00000000-0005-0000-0000-00006E020000}"/>
    <cellStyle name="_10.Bieuthegioi-tan_NGTT2008(1)_Book3_So lieu quoc te(GDP)_Content" xfId="654" xr:uid="{00000000-0005-0000-0000-00006F020000}"/>
    <cellStyle name="_10.Bieuthegioi-tan_NGTT2008(1)_Book3_So lieu quoc te(GDP)_Ngiam_lamnghiep_2011_v2(1)(1)" xfId="655" xr:uid="{00000000-0005-0000-0000-000070020000}"/>
    <cellStyle name="_10.Bieuthegioi-tan_NGTT2008(1)_Book3_So lieu quoc te(GDP)_Ngiam_lamnghiep_2011_v2(1)(1) 2" xfId="656" xr:uid="{00000000-0005-0000-0000-000071020000}"/>
    <cellStyle name="_10.Bieuthegioi-tan_NGTT2008(1)_Book3_So lieu quoc te(GDP)_Ngiam_lamnghiep_2011_v2(1)(1)_Content" xfId="657" xr:uid="{00000000-0005-0000-0000-000072020000}"/>
    <cellStyle name="_10.Bieuthegioi-tan_NGTT2008(1)_Book3_XNK" xfId="658" xr:uid="{00000000-0005-0000-0000-000073020000}"/>
    <cellStyle name="_10.Bieuthegioi-tan_NGTT2008(1)_Book3_XNK 2" xfId="659" xr:uid="{00000000-0005-0000-0000-000074020000}"/>
    <cellStyle name="_10.Bieuthegioi-tan_NGTT2008(1)_Book3_XNK_Bo sung 04 bieu Cong nghiep" xfId="660" xr:uid="{00000000-0005-0000-0000-000075020000}"/>
    <cellStyle name="_10.Bieuthegioi-tan_NGTT2008(1)_Book3_XNK_Bo sung 04 bieu Cong nghiep 2" xfId="661" xr:uid="{00000000-0005-0000-0000-000076020000}"/>
    <cellStyle name="_10.Bieuthegioi-tan_NGTT2008(1)_Book3_XNK_Bo sung 04 bieu Cong nghiep_Content" xfId="662" xr:uid="{00000000-0005-0000-0000-000077020000}"/>
    <cellStyle name="_10.Bieuthegioi-tan_NGTT2008(1)_Book3_XNK_Content" xfId="663" xr:uid="{00000000-0005-0000-0000-000078020000}"/>
    <cellStyle name="_10.Bieuthegioi-tan_NGTT2008(1)_Book4" xfId="664" xr:uid="{00000000-0005-0000-0000-000079020000}"/>
    <cellStyle name="_10.Bieuthegioi-tan_NGTT2008(1)_Book4 2" xfId="665" xr:uid="{00000000-0005-0000-0000-00007A020000}"/>
    <cellStyle name="_10.Bieuthegioi-tan_NGTT2008(1)_Book4_Book1" xfId="666" xr:uid="{00000000-0005-0000-0000-00007B020000}"/>
    <cellStyle name="_10.Bieuthegioi-tan_NGTT2008(1)_Book4_Book1 2" xfId="667" xr:uid="{00000000-0005-0000-0000-00007C020000}"/>
    <cellStyle name="_10.Bieuthegioi-tan_NGTT2008(1)_Book4_Book1_Content" xfId="668" xr:uid="{00000000-0005-0000-0000-00007D020000}"/>
    <cellStyle name="_10.Bieuthegioi-tan_NGTT2008(1)_Book4_Content" xfId="669" xr:uid="{00000000-0005-0000-0000-00007E020000}"/>
    <cellStyle name="_10.Bieuthegioi-tan_NGTT2008(1)_Content" xfId="670" xr:uid="{00000000-0005-0000-0000-00007F020000}"/>
    <cellStyle name="_10.Bieuthegioi-tan_NGTT2008(1)_CSKDCT 2010" xfId="671" xr:uid="{00000000-0005-0000-0000-000080020000}"/>
    <cellStyle name="_10.Bieuthegioi-tan_NGTT2008(1)_CSKDCT 2010 2" xfId="672" xr:uid="{00000000-0005-0000-0000-000081020000}"/>
    <cellStyle name="_10.Bieuthegioi-tan_NGTT2008(1)_CSKDCT 2010_Bo sung 04 bieu Cong nghiep" xfId="673" xr:uid="{00000000-0005-0000-0000-000082020000}"/>
    <cellStyle name="_10.Bieuthegioi-tan_NGTT2008(1)_CSKDCT 2010_Bo sung 04 bieu Cong nghiep 2" xfId="674" xr:uid="{00000000-0005-0000-0000-000083020000}"/>
    <cellStyle name="_10.Bieuthegioi-tan_NGTT2008(1)_CSKDCT 2010_Bo sung 04 bieu Cong nghiep_Content" xfId="675" xr:uid="{00000000-0005-0000-0000-000084020000}"/>
    <cellStyle name="_10.Bieuthegioi-tan_NGTT2008(1)_CSKDCT 2010_Content" xfId="676" xr:uid="{00000000-0005-0000-0000-000085020000}"/>
    <cellStyle name="_10.Bieuthegioi-tan_NGTT2008(1)_CucThongke-phucdap-Tuan-Anh" xfId="677" xr:uid="{00000000-0005-0000-0000-000086020000}"/>
    <cellStyle name="_10.Bieuthegioi-tan_NGTT2008(1)_CucThongke-phucdap-Tuan-Anh 2" xfId="678" xr:uid="{00000000-0005-0000-0000-000087020000}"/>
    <cellStyle name="_10.Bieuthegioi-tan_NGTT2008(1)_CucThongke-phucdap-Tuan-Anh_Content" xfId="679" xr:uid="{00000000-0005-0000-0000-000088020000}"/>
    <cellStyle name="_10.Bieuthegioi-tan_NGTT2008(1)_dan so phan tich 10 nam(moi)" xfId="680" xr:uid="{00000000-0005-0000-0000-000089020000}"/>
    <cellStyle name="_10.Bieuthegioi-tan_NGTT2008(1)_dan so phan tich 10 nam(moi) 2" xfId="681" xr:uid="{00000000-0005-0000-0000-00008A020000}"/>
    <cellStyle name="_10.Bieuthegioi-tan_NGTT2008(1)_dan so phan tich 10 nam(moi)_02 Danso_Laodong 2012(chuan) CO SO" xfId="682" xr:uid="{00000000-0005-0000-0000-00008B020000}"/>
    <cellStyle name="_10.Bieuthegioi-tan_NGTT2008(1)_dan so phan tich 10 nam(moi)_02 Danso_Laodong 2012(chuan) CO SO 2" xfId="683" xr:uid="{00000000-0005-0000-0000-00008C020000}"/>
    <cellStyle name="_10.Bieuthegioi-tan_NGTT2008(1)_dan so phan tich 10 nam(moi)_02 Danso_Laodong 2012(chuan) CO SO_Content" xfId="684" xr:uid="{00000000-0005-0000-0000-00008D020000}"/>
    <cellStyle name="_10.Bieuthegioi-tan_NGTT2008(1)_dan so phan tich 10 nam(moi)_Content" xfId="685" xr:uid="{00000000-0005-0000-0000-00008E020000}"/>
    <cellStyle name="_10.Bieuthegioi-tan_NGTT2008(1)_Dat Dai NGTT -2013" xfId="686" xr:uid="{00000000-0005-0000-0000-00008F020000}"/>
    <cellStyle name="_10.Bieuthegioi-tan_NGTT2008(1)_Lam nghiep, thuy san 2010 (ok)" xfId="687" xr:uid="{00000000-0005-0000-0000-000090020000}"/>
    <cellStyle name="_10.Bieuthegioi-tan_NGTT2008(1)_Lam nghiep, thuy san 2010 (ok) 2" xfId="688" xr:uid="{00000000-0005-0000-0000-000091020000}"/>
    <cellStyle name="_10.Bieuthegioi-tan_NGTT2008(1)_Lam nghiep, thuy san 2010 (ok)_Content" xfId="689" xr:uid="{00000000-0005-0000-0000-000092020000}"/>
    <cellStyle name="_10.Bieuthegioi-tan_NGTT2008(1)_Maket NGTT Cong nghiep 2011" xfId="690" xr:uid="{00000000-0005-0000-0000-000093020000}"/>
    <cellStyle name="_10.Bieuthegioi-tan_NGTT2008(1)_Maket NGTT Cong nghiep 2011 2" xfId="691" xr:uid="{00000000-0005-0000-0000-000094020000}"/>
    <cellStyle name="_10.Bieuthegioi-tan_NGTT2008(1)_Maket NGTT Cong nghiep 2011_Content" xfId="692" xr:uid="{00000000-0005-0000-0000-000095020000}"/>
    <cellStyle name="_10.Bieuthegioi-tan_NGTT2008(1)_Maket NGTT Doanh Nghiep 2011" xfId="693" xr:uid="{00000000-0005-0000-0000-000096020000}"/>
    <cellStyle name="_10.Bieuthegioi-tan_NGTT2008(1)_Maket NGTT Doanh Nghiep 2011 2" xfId="694" xr:uid="{00000000-0005-0000-0000-000097020000}"/>
    <cellStyle name="_10.Bieuthegioi-tan_NGTT2008(1)_Maket NGTT Doanh Nghiep 2011_Content" xfId="695" xr:uid="{00000000-0005-0000-0000-000098020000}"/>
    <cellStyle name="_10.Bieuthegioi-tan_NGTT2008(1)_Maket NGTT Thu chi NS 2011" xfId="696" xr:uid="{00000000-0005-0000-0000-000099020000}"/>
    <cellStyle name="_10.Bieuthegioi-tan_NGTT2008(1)_Maket NGTT Thu chi NS 2011 2" xfId="697" xr:uid="{00000000-0005-0000-0000-00009A020000}"/>
    <cellStyle name="_10.Bieuthegioi-tan_NGTT2008(1)_Maket NGTT Thu chi NS 2011_Content" xfId="698" xr:uid="{00000000-0005-0000-0000-00009B020000}"/>
    <cellStyle name="_10.Bieuthegioi-tan_NGTT2008(1)_Ngiam_lamnghiep_2011_v2(1)(1)" xfId="699" xr:uid="{00000000-0005-0000-0000-00009C020000}"/>
    <cellStyle name="_10.Bieuthegioi-tan_NGTT2008(1)_Ngiam_lamnghiep_2011_v2(1)(1) 2" xfId="700" xr:uid="{00000000-0005-0000-0000-00009D020000}"/>
    <cellStyle name="_10.Bieuthegioi-tan_NGTT2008(1)_Ngiam_lamnghiep_2011_v2(1)(1)_Content" xfId="701" xr:uid="{00000000-0005-0000-0000-00009E020000}"/>
    <cellStyle name="_10.Bieuthegioi-tan_NGTT2008(1)_NGTT Ca the 2011 Diep" xfId="702" xr:uid="{00000000-0005-0000-0000-00009F020000}"/>
    <cellStyle name="_10.Bieuthegioi-tan_NGTT2008(1)_NGTT Ca the 2011 Diep 2" xfId="703" xr:uid="{00000000-0005-0000-0000-0000A0020000}"/>
    <cellStyle name="_10.Bieuthegioi-tan_NGTT2008(1)_NGTT Ca the 2011 Diep_Content" xfId="704" xr:uid="{00000000-0005-0000-0000-0000A1020000}"/>
    <cellStyle name="_10.Bieuthegioi-tan_NGTT2008(1)_Nongnghiep" xfId="705" xr:uid="{00000000-0005-0000-0000-0000A2020000}"/>
    <cellStyle name="_10.Bieuthegioi-tan_NGTT2008(1)_Nongnghiep 2" xfId="706" xr:uid="{00000000-0005-0000-0000-0000A3020000}"/>
    <cellStyle name="_10.Bieuthegioi-tan_NGTT2008(1)_Nongnghiep_Bo sung 04 bieu Cong nghiep" xfId="707" xr:uid="{00000000-0005-0000-0000-0000A4020000}"/>
    <cellStyle name="_10.Bieuthegioi-tan_NGTT2008(1)_Nongnghiep_Bo sung 04 bieu Cong nghiep 2" xfId="708" xr:uid="{00000000-0005-0000-0000-0000A5020000}"/>
    <cellStyle name="_10.Bieuthegioi-tan_NGTT2008(1)_Nongnghiep_Bo sung 04 bieu Cong nghiep_Content" xfId="709" xr:uid="{00000000-0005-0000-0000-0000A6020000}"/>
    <cellStyle name="_10.Bieuthegioi-tan_NGTT2008(1)_Nongnghiep_Content" xfId="710" xr:uid="{00000000-0005-0000-0000-0000A7020000}"/>
    <cellStyle name="_10.Bieuthegioi-tan_NGTT2008(1)_Phan i (in)" xfId="711" xr:uid="{00000000-0005-0000-0000-0000A8020000}"/>
    <cellStyle name="_10.Bieuthegioi-tan_NGTT2008(1)_So lieu quoc te TH" xfId="712" xr:uid="{00000000-0005-0000-0000-0000A9020000}"/>
    <cellStyle name="_10.Bieuthegioi-tan_NGTT2008(1)_So lieu quoc te TH 2" xfId="713" xr:uid="{00000000-0005-0000-0000-0000AA020000}"/>
    <cellStyle name="_10.Bieuthegioi-tan_NGTT2008(1)_So lieu quoc te TH_Content" xfId="714" xr:uid="{00000000-0005-0000-0000-0000AB020000}"/>
    <cellStyle name="_10.Bieuthegioi-tan_NGTT2008(1)_So lieu quoc te(GDP)" xfId="715" xr:uid="{00000000-0005-0000-0000-0000AC020000}"/>
    <cellStyle name="_10.Bieuthegioi-tan_NGTT2008(1)_So lieu quoc te(GDP) 2" xfId="716" xr:uid="{00000000-0005-0000-0000-0000AD020000}"/>
    <cellStyle name="_10.Bieuthegioi-tan_NGTT2008(1)_So lieu quoc te(GDP)_03 TKQG va Thu chi NSNN 2012" xfId="717" xr:uid="{00000000-0005-0000-0000-0000AE020000}"/>
    <cellStyle name="_10.Bieuthegioi-tan_NGTT2008(1)_So lieu quoc te(GDP)_03 TKQG va Thu chi NSNN 2012 2" xfId="718" xr:uid="{00000000-0005-0000-0000-0000AF020000}"/>
    <cellStyle name="_10.Bieuthegioi-tan_NGTT2008(1)_So lieu quoc te(GDP)_03 TKQG va Thu chi NSNN 2012_Content" xfId="719" xr:uid="{00000000-0005-0000-0000-0000B0020000}"/>
    <cellStyle name="_10.Bieuthegioi-tan_NGTT2008(1)_So lieu quoc te(GDP)_05 Doanh nghiep va Ca the_2011 (Ok)" xfId="720" xr:uid="{00000000-0005-0000-0000-0000B1020000}"/>
    <cellStyle name="_10.Bieuthegioi-tan_NGTT2008(1)_So lieu quoc te(GDP)_11 (3)" xfId="721" xr:uid="{00000000-0005-0000-0000-0000B2020000}"/>
    <cellStyle name="_10.Bieuthegioi-tan_NGTT2008(1)_So lieu quoc te(GDP)_11 (3) 2" xfId="722" xr:uid="{00000000-0005-0000-0000-0000B3020000}"/>
    <cellStyle name="_10.Bieuthegioi-tan_NGTT2008(1)_So lieu quoc te(GDP)_11 (3)_Content" xfId="723" xr:uid="{00000000-0005-0000-0000-0000B4020000}"/>
    <cellStyle name="_10.Bieuthegioi-tan_NGTT2008(1)_So lieu quoc te(GDP)_12 (2)" xfId="724" xr:uid="{00000000-0005-0000-0000-0000B5020000}"/>
    <cellStyle name="_10.Bieuthegioi-tan_NGTT2008(1)_So lieu quoc te(GDP)_12 (2) 2" xfId="725" xr:uid="{00000000-0005-0000-0000-0000B6020000}"/>
    <cellStyle name="_10.Bieuthegioi-tan_NGTT2008(1)_So lieu quoc te(GDP)_12 (2)_Content" xfId="726" xr:uid="{00000000-0005-0000-0000-0000B7020000}"/>
    <cellStyle name="_10.Bieuthegioi-tan_NGTT2008(1)_So lieu quoc te(GDP)_Content" xfId="727" xr:uid="{00000000-0005-0000-0000-0000B8020000}"/>
    <cellStyle name="_10.Bieuthegioi-tan_NGTT2008(1)_So lieu quoc te(GDP)_Ngiam_lamnghiep_2011_v2(1)(1)" xfId="728" xr:uid="{00000000-0005-0000-0000-0000B9020000}"/>
    <cellStyle name="_10.Bieuthegioi-tan_NGTT2008(1)_So lieu quoc te(GDP)_Ngiam_lamnghiep_2011_v2(1)(1) 2" xfId="729" xr:uid="{00000000-0005-0000-0000-0000BA020000}"/>
    <cellStyle name="_10.Bieuthegioi-tan_NGTT2008(1)_So lieu quoc te(GDP)_Ngiam_lamnghiep_2011_v2(1)(1)_Content" xfId="730" xr:uid="{00000000-0005-0000-0000-0000BB020000}"/>
    <cellStyle name="_10.Bieuthegioi-tan_NGTT2008(1)_Tong hop 1" xfId="731" xr:uid="{00000000-0005-0000-0000-0000BC020000}"/>
    <cellStyle name="_10.Bieuthegioi-tan_NGTT2008(1)_Tong hop NGTT" xfId="732" xr:uid="{00000000-0005-0000-0000-0000BD020000}"/>
    <cellStyle name="_10.Bieuthegioi-tan_NGTT2008(1)_Tong hop NGTT 2" xfId="733" xr:uid="{00000000-0005-0000-0000-0000BE020000}"/>
    <cellStyle name="_10.Bieuthegioi-tan_NGTT2008(1)_Tong hop NGTT_Content" xfId="734" xr:uid="{00000000-0005-0000-0000-0000BF020000}"/>
    <cellStyle name="_10.Bieuthegioi-tan_NGTT2008(1)_XNK" xfId="735" xr:uid="{00000000-0005-0000-0000-0000C0020000}"/>
    <cellStyle name="_10.Bieuthegioi-tan_NGTT2008(1)_XNK 2" xfId="736" xr:uid="{00000000-0005-0000-0000-0000C1020000}"/>
    <cellStyle name="_10.Bieuthegioi-tan_NGTT2008(1)_XNK_Bo sung 04 bieu Cong nghiep" xfId="737" xr:uid="{00000000-0005-0000-0000-0000C2020000}"/>
    <cellStyle name="_10.Bieuthegioi-tan_NGTT2008(1)_XNK_Bo sung 04 bieu Cong nghiep 2" xfId="738" xr:uid="{00000000-0005-0000-0000-0000C3020000}"/>
    <cellStyle name="_10.Bieuthegioi-tan_NGTT2008(1)_XNK_Bo sung 04 bieu Cong nghiep_Content" xfId="739" xr:uid="{00000000-0005-0000-0000-0000C4020000}"/>
    <cellStyle name="_10.Bieuthegioi-tan_NGTT2008(1)_XNK_Content" xfId="740" xr:uid="{00000000-0005-0000-0000-0000C5020000}"/>
    <cellStyle name="_15.Quoc te" xfId="757" xr:uid="{00000000-0005-0000-0000-0000D6020000}"/>
    <cellStyle name="_2.OK" xfId="758" xr:uid="{00000000-0005-0000-0000-0000D7020000}"/>
    <cellStyle name="_3OK" xfId="759" xr:uid="{00000000-0005-0000-0000-0000D8020000}"/>
    <cellStyle name="_4OK" xfId="760" xr:uid="{00000000-0005-0000-0000-0000D9020000}"/>
    <cellStyle name="_5OK" xfId="761" xr:uid="{00000000-0005-0000-0000-0000DA020000}"/>
    <cellStyle name="_6OK" xfId="762" xr:uid="{00000000-0005-0000-0000-0000DB020000}"/>
    <cellStyle name="_7OK" xfId="763" xr:uid="{00000000-0005-0000-0000-0000DC020000}"/>
    <cellStyle name="_8OK" xfId="764" xr:uid="{00000000-0005-0000-0000-0000DD020000}"/>
    <cellStyle name="_BLR MTScenarioTable" xfId="765" xr:uid="{00000000-0005-0000-0000-0000DE020000}"/>
    <cellStyle name="_BLR MTScenarioTable 2" xfId="766" xr:uid="{00000000-0005-0000-0000-0000DF020000}"/>
    <cellStyle name="_BLR MTScenarioTable 3" xfId="767" xr:uid="{00000000-0005-0000-0000-0000E0020000}"/>
    <cellStyle name="_BLR MTScenarioTable 4" xfId="768" xr:uid="{00000000-0005-0000-0000-0000E1020000}"/>
    <cellStyle name="_Book2" xfId="769" xr:uid="{00000000-0005-0000-0000-0000E2020000}"/>
    <cellStyle name="_Book2 2" xfId="770" xr:uid="{00000000-0005-0000-0000-0000E3020000}"/>
    <cellStyle name="_Book2_01 DVHC-DSLD 2010" xfId="771" xr:uid="{00000000-0005-0000-0000-0000E4020000}"/>
    <cellStyle name="_Book2_01 DVHC-DSLD 2010 2" xfId="772" xr:uid="{00000000-0005-0000-0000-0000E5020000}"/>
    <cellStyle name="_Book2_01 DVHC-DSLD 2010_Content" xfId="773" xr:uid="{00000000-0005-0000-0000-0000E6020000}"/>
    <cellStyle name="_Book2_02 Danso_Laodong 2012(chuan) CO SO" xfId="774" xr:uid="{00000000-0005-0000-0000-0000E7020000}"/>
    <cellStyle name="_Book2_03 TKQG va Thu chi NSNN 2012" xfId="775" xr:uid="{00000000-0005-0000-0000-0000E8020000}"/>
    <cellStyle name="_Book2_03 TKQG va Thu chi NSNN 2012 2" xfId="776" xr:uid="{00000000-0005-0000-0000-0000E9020000}"/>
    <cellStyle name="_Book2_03 TKQG va Thu chi NSNN 2012_Content" xfId="777" xr:uid="{00000000-0005-0000-0000-0000EA020000}"/>
    <cellStyle name="_Book2_05 Doanh nghiep va Ca the_2011 (Ok)" xfId="778" xr:uid="{00000000-0005-0000-0000-0000EB020000}"/>
    <cellStyle name="_Book2_05 NGTT DN 2010 (OK)" xfId="779" xr:uid="{00000000-0005-0000-0000-0000EC020000}"/>
    <cellStyle name="_Book2_05 NGTT DN 2010 (OK) 2" xfId="780" xr:uid="{00000000-0005-0000-0000-0000ED020000}"/>
    <cellStyle name="_Book2_05 NGTT DN 2010 (OK)_Bo sung 04 bieu Cong nghiep" xfId="781" xr:uid="{00000000-0005-0000-0000-0000EE020000}"/>
    <cellStyle name="_Book2_05 NGTT DN 2010 (OK)_Bo sung 04 bieu Cong nghiep 2" xfId="782" xr:uid="{00000000-0005-0000-0000-0000EF020000}"/>
    <cellStyle name="_Book2_05 NGTT DN 2010 (OK)_Bo sung 04 bieu Cong nghiep_Content" xfId="783" xr:uid="{00000000-0005-0000-0000-0000F0020000}"/>
    <cellStyle name="_Book2_05 NGTT DN 2010 (OK)_Content" xfId="784" xr:uid="{00000000-0005-0000-0000-0000F1020000}"/>
    <cellStyle name="_Book2_10 Market VH, YT, GD, NGTT 2011 " xfId="785" xr:uid="{00000000-0005-0000-0000-0000F2020000}"/>
    <cellStyle name="_Book2_10 Market VH, YT, GD, NGTT 2011  2" xfId="786" xr:uid="{00000000-0005-0000-0000-0000F3020000}"/>
    <cellStyle name="_Book2_10 Market VH, YT, GD, NGTT 2011 _03 TKQG va Thu chi NSNN 2012" xfId="787" xr:uid="{00000000-0005-0000-0000-0000F4020000}"/>
    <cellStyle name="_Book2_10 Market VH, YT, GD, NGTT 2011 _03 TKQG va Thu chi NSNN 2012 2" xfId="788" xr:uid="{00000000-0005-0000-0000-0000F5020000}"/>
    <cellStyle name="_Book2_10 Market VH, YT, GD, NGTT 2011 _03 TKQG va Thu chi NSNN 2012_Content" xfId="789" xr:uid="{00000000-0005-0000-0000-0000F6020000}"/>
    <cellStyle name="_Book2_10 Market VH, YT, GD, NGTT 2011 _05 Doanh nghiep va Ca the_2011 (Ok)" xfId="790" xr:uid="{00000000-0005-0000-0000-0000F7020000}"/>
    <cellStyle name="_Book2_10 Market VH, YT, GD, NGTT 2011 _11 (3)" xfId="791" xr:uid="{00000000-0005-0000-0000-0000F8020000}"/>
    <cellStyle name="_Book2_10 Market VH, YT, GD, NGTT 2011 _11 (3) 2" xfId="792" xr:uid="{00000000-0005-0000-0000-0000F9020000}"/>
    <cellStyle name="_Book2_10 Market VH, YT, GD, NGTT 2011 _11 (3)_Content" xfId="793" xr:uid="{00000000-0005-0000-0000-0000FA020000}"/>
    <cellStyle name="_Book2_10 Market VH, YT, GD, NGTT 2011 _12 (2)" xfId="794" xr:uid="{00000000-0005-0000-0000-0000FB020000}"/>
    <cellStyle name="_Book2_10 Market VH, YT, GD, NGTT 2011 _12 (2) 2" xfId="795" xr:uid="{00000000-0005-0000-0000-0000FC020000}"/>
    <cellStyle name="_Book2_10 Market VH, YT, GD, NGTT 2011 _12 (2)_Content" xfId="796" xr:uid="{00000000-0005-0000-0000-0000FD020000}"/>
    <cellStyle name="_Book2_10 Market VH, YT, GD, NGTT 2011 _Content" xfId="797" xr:uid="{00000000-0005-0000-0000-0000FE020000}"/>
    <cellStyle name="_Book2_10 Market VH, YT, GD, NGTT 2011 _Ngiam_lamnghiep_2011_v2(1)(1)" xfId="798" xr:uid="{00000000-0005-0000-0000-0000FF020000}"/>
    <cellStyle name="_Book2_10 Market VH, YT, GD, NGTT 2011 _Ngiam_lamnghiep_2011_v2(1)(1) 2" xfId="799" xr:uid="{00000000-0005-0000-0000-000000030000}"/>
    <cellStyle name="_Book2_10 Market VH, YT, GD, NGTT 2011 _Ngiam_lamnghiep_2011_v2(1)(1)_Content" xfId="800" xr:uid="{00000000-0005-0000-0000-000001030000}"/>
    <cellStyle name="_Book2_10 VH, YT, GD, NGTT 2010 - (OK)" xfId="801" xr:uid="{00000000-0005-0000-0000-000002030000}"/>
    <cellStyle name="_Book2_10 VH, YT, GD, NGTT 2010 - (OK) 2" xfId="802" xr:uid="{00000000-0005-0000-0000-000003030000}"/>
    <cellStyle name="_Book2_10 VH, YT, GD, NGTT 2010 - (OK)_Bo sung 04 bieu Cong nghiep" xfId="803" xr:uid="{00000000-0005-0000-0000-000004030000}"/>
    <cellStyle name="_Book2_10 VH, YT, GD, NGTT 2010 - (OK)_Bo sung 04 bieu Cong nghiep 2" xfId="804" xr:uid="{00000000-0005-0000-0000-000005030000}"/>
    <cellStyle name="_Book2_10 VH, YT, GD, NGTT 2010 - (OK)_Bo sung 04 bieu Cong nghiep_Content" xfId="805" xr:uid="{00000000-0005-0000-0000-000006030000}"/>
    <cellStyle name="_Book2_10 VH, YT, GD, NGTT 2010 - (OK)_Content" xfId="806" xr:uid="{00000000-0005-0000-0000-000007030000}"/>
    <cellStyle name="_Book2_11 (3)" xfId="807" xr:uid="{00000000-0005-0000-0000-000008030000}"/>
    <cellStyle name="_Book2_11 (3) 2" xfId="808" xr:uid="{00000000-0005-0000-0000-000009030000}"/>
    <cellStyle name="_Book2_11 (3)_Content" xfId="809" xr:uid="{00000000-0005-0000-0000-00000A030000}"/>
    <cellStyle name="_Book2_12 (2)" xfId="810" xr:uid="{00000000-0005-0000-0000-00000B030000}"/>
    <cellStyle name="_Book2_12 (2) 2" xfId="811" xr:uid="{00000000-0005-0000-0000-00000C030000}"/>
    <cellStyle name="_Book2_12 (2)_Content" xfId="812" xr:uid="{00000000-0005-0000-0000-00000D030000}"/>
    <cellStyle name="_Book2_Book1" xfId="813" xr:uid="{00000000-0005-0000-0000-00000E030000}"/>
    <cellStyle name="_Book2_Book1 2" xfId="814" xr:uid="{00000000-0005-0000-0000-00000F030000}"/>
    <cellStyle name="_Book2_Book1_Content" xfId="815" xr:uid="{00000000-0005-0000-0000-000010030000}"/>
    <cellStyle name="_Book2_Content" xfId="816" xr:uid="{00000000-0005-0000-0000-000011030000}"/>
    <cellStyle name="_Book2_CucThongke-phucdap-Tuan-Anh" xfId="817" xr:uid="{00000000-0005-0000-0000-000012030000}"/>
    <cellStyle name="_Book2_dan so phan tich 10 nam(moi)" xfId="818" xr:uid="{00000000-0005-0000-0000-000013030000}"/>
    <cellStyle name="_Book2_dan so phan tich 10 nam(moi) 2" xfId="819" xr:uid="{00000000-0005-0000-0000-000014030000}"/>
    <cellStyle name="_Book2_dan so phan tich 10 nam(moi)_Content" xfId="820" xr:uid="{00000000-0005-0000-0000-000015030000}"/>
    <cellStyle name="_Book2_Ngiam_lamnghiep_2011_v2(1)(1)" xfId="821" xr:uid="{00000000-0005-0000-0000-000016030000}"/>
    <cellStyle name="_Book2_Ngiam_lamnghiep_2011_v2(1)(1) 2" xfId="822" xr:uid="{00000000-0005-0000-0000-000017030000}"/>
    <cellStyle name="_Book2_Ngiam_lamnghiep_2011_v2(1)(1)_Content" xfId="823" xr:uid="{00000000-0005-0000-0000-000018030000}"/>
    <cellStyle name="_Book2_Nongnghiep" xfId="824" xr:uid="{00000000-0005-0000-0000-000019030000}"/>
    <cellStyle name="_Book2_Nongnghiep 2" xfId="825" xr:uid="{00000000-0005-0000-0000-00001A030000}"/>
    <cellStyle name="_Book2_Nongnghiep_Bo sung 04 bieu Cong nghiep" xfId="826" xr:uid="{00000000-0005-0000-0000-00001B030000}"/>
    <cellStyle name="_Book2_Nongnghiep_Bo sung 04 bieu Cong nghiep 2" xfId="827" xr:uid="{00000000-0005-0000-0000-00001C030000}"/>
    <cellStyle name="_Book2_Nongnghiep_Bo sung 04 bieu Cong nghiep_Content" xfId="828" xr:uid="{00000000-0005-0000-0000-00001D030000}"/>
    <cellStyle name="_Book2_Nongnghiep_Content" xfId="829" xr:uid="{00000000-0005-0000-0000-00001E030000}"/>
    <cellStyle name="_Book2_So lieu quoc te TH" xfId="830" xr:uid="{00000000-0005-0000-0000-00001F030000}"/>
    <cellStyle name="_Book2_So lieu quoc te TH 2" xfId="831" xr:uid="{00000000-0005-0000-0000-000020030000}"/>
    <cellStyle name="_Book2_So lieu quoc te TH_Content" xfId="832" xr:uid="{00000000-0005-0000-0000-000021030000}"/>
    <cellStyle name="_Book2_So lieu quoc te(GDP)" xfId="833" xr:uid="{00000000-0005-0000-0000-000022030000}"/>
    <cellStyle name="_Book2_So lieu quoc te(GDP) 2" xfId="834" xr:uid="{00000000-0005-0000-0000-000023030000}"/>
    <cellStyle name="_Book2_So lieu quoc te(GDP)_03 TKQG va Thu chi NSNN 2012" xfId="835" xr:uid="{00000000-0005-0000-0000-000024030000}"/>
    <cellStyle name="_Book2_So lieu quoc te(GDP)_03 TKQG va Thu chi NSNN 2012 2" xfId="836" xr:uid="{00000000-0005-0000-0000-000025030000}"/>
    <cellStyle name="_Book2_So lieu quoc te(GDP)_03 TKQG va Thu chi NSNN 2012_Content" xfId="837" xr:uid="{00000000-0005-0000-0000-000026030000}"/>
    <cellStyle name="_Book2_So lieu quoc te(GDP)_05 Doanh nghiep va Ca the_2011 (Ok)" xfId="838" xr:uid="{00000000-0005-0000-0000-000027030000}"/>
    <cellStyle name="_Book2_So lieu quoc te(GDP)_11 (3)" xfId="839" xr:uid="{00000000-0005-0000-0000-000028030000}"/>
    <cellStyle name="_Book2_So lieu quoc te(GDP)_11 (3) 2" xfId="840" xr:uid="{00000000-0005-0000-0000-000029030000}"/>
    <cellStyle name="_Book2_So lieu quoc te(GDP)_11 (3)_Content" xfId="841" xr:uid="{00000000-0005-0000-0000-00002A030000}"/>
    <cellStyle name="_Book2_So lieu quoc te(GDP)_12 (2)" xfId="842" xr:uid="{00000000-0005-0000-0000-00002B030000}"/>
    <cellStyle name="_Book2_So lieu quoc te(GDP)_12 (2) 2" xfId="843" xr:uid="{00000000-0005-0000-0000-00002C030000}"/>
    <cellStyle name="_Book2_So lieu quoc te(GDP)_12 (2)_Content" xfId="844" xr:uid="{00000000-0005-0000-0000-00002D030000}"/>
    <cellStyle name="_Book2_So lieu quoc te(GDP)_Content" xfId="845" xr:uid="{00000000-0005-0000-0000-00002E030000}"/>
    <cellStyle name="_Book2_So lieu quoc te(GDP)_Ngiam_lamnghiep_2011_v2(1)(1)" xfId="846" xr:uid="{00000000-0005-0000-0000-00002F030000}"/>
    <cellStyle name="_Book2_So lieu quoc te(GDP)_Ngiam_lamnghiep_2011_v2(1)(1) 2" xfId="847" xr:uid="{00000000-0005-0000-0000-000030030000}"/>
    <cellStyle name="_Book2_So lieu quoc te(GDP)_Ngiam_lamnghiep_2011_v2(1)(1)_Content" xfId="848" xr:uid="{00000000-0005-0000-0000-000031030000}"/>
    <cellStyle name="_Book2_Tong hop NGTT" xfId="849" xr:uid="{00000000-0005-0000-0000-000032030000}"/>
    <cellStyle name="_Book2_Tong hop NGTT 2" xfId="850" xr:uid="{00000000-0005-0000-0000-000033030000}"/>
    <cellStyle name="_Book2_Tong hop NGTT_Content" xfId="851" xr:uid="{00000000-0005-0000-0000-000034030000}"/>
    <cellStyle name="_Book2_XNK" xfId="852" xr:uid="{00000000-0005-0000-0000-000035030000}"/>
    <cellStyle name="_Book2_XNK 2" xfId="853" xr:uid="{00000000-0005-0000-0000-000036030000}"/>
    <cellStyle name="_Book2_XNK_Bo sung 04 bieu Cong nghiep" xfId="854" xr:uid="{00000000-0005-0000-0000-000037030000}"/>
    <cellStyle name="_Book2_XNK_Bo sung 04 bieu Cong nghiep 2" xfId="855" xr:uid="{00000000-0005-0000-0000-000038030000}"/>
    <cellStyle name="_Book2_XNK_Bo sung 04 bieu Cong nghiep_Content" xfId="856" xr:uid="{00000000-0005-0000-0000-000039030000}"/>
    <cellStyle name="_Book2_XNK_Content" xfId="857" xr:uid="{00000000-0005-0000-0000-00003A030000}"/>
    <cellStyle name="_Book4" xfId="858" xr:uid="{00000000-0005-0000-0000-00003B030000}"/>
    <cellStyle name="_Buuchinh - Market" xfId="859" xr:uid="{00000000-0005-0000-0000-00003C030000}"/>
    <cellStyle name="_Buuchinh - Market 2" xfId="860" xr:uid="{00000000-0005-0000-0000-00003D030000}"/>
    <cellStyle name="_Buuchinh - Market_03 TKQG va Thu chi NSNN 2012" xfId="861" xr:uid="{00000000-0005-0000-0000-00003E030000}"/>
    <cellStyle name="_Buuchinh - Market_03 TKQG va Thu chi NSNN 2012 2" xfId="862" xr:uid="{00000000-0005-0000-0000-00003F030000}"/>
    <cellStyle name="_Buuchinh - Market_03 TKQG va Thu chi NSNN 2012_Content" xfId="863" xr:uid="{00000000-0005-0000-0000-000040030000}"/>
    <cellStyle name="_Buuchinh - Market_05 Doanh nghiep va Ca the_2011 (Ok)" xfId="864" xr:uid="{00000000-0005-0000-0000-000041030000}"/>
    <cellStyle name="_Buuchinh - Market_11 (3)" xfId="865" xr:uid="{00000000-0005-0000-0000-000042030000}"/>
    <cellStyle name="_Buuchinh - Market_11 (3) 2" xfId="866" xr:uid="{00000000-0005-0000-0000-000043030000}"/>
    <cellStyle name="_Buuchinh - Market_11 (3)_Content" xfId="867" xr:uid="{00000000-0005-0000-0000-000044030000}"/>
    <cellStyle name="_Buuchinh - Market_12 (2)" xfId="868" xr:uid="{00000000-0005-0000-0000-000045030000}"/>
    <cellStyle name="_Buuchinh - Market_12 (2) 2" xfId="869" xr:uid="{00000000-0005-0000-0000-000046030000}"/>
    <cellStyle name="_Buuchinh - Market_12 (2)_Content" xfId="870" xr:uid="{00000000-0005-0000-0000-000047030000}"/>
    <cellStyle name="_Buuchinh - Market_Content" xfId="871" xr:uid="{00000000-0005-0000-0000-000048030000}"/>
    <cellStyle name="_Buuchinh - Market_Ngiam_lamnghiep_2011_v2(1)(1)" xfId="872" xr:uid="{00000000-0005-0000-0000-000049030000}"/>
    <cellStyle name="_Buuchinh - Market_Ngiam_lamnghiep_2011_v2(1)(1) 2" xfId="873" xr:uid="{00000000-0005-0000-0000-00004A030000}"/>
    <cellStyle name="_Buuchinh - Market_Ngiam_lamnghiep_2011_v2(1)(1)_Content" xfId="874" xr:uid="{00000000-0005-0000-0000-00004B030000}"/>
    <cellStyle name="_csGDPngVN" xfId="875" xr:uid="{00000000-0005-0000-0000-00004C030000}"/>
    <cellStyle name="_CSKDCT 2010" xfId="876" xr:uid="{00000000-0005-0000-0000-00004D030000}"/>
    <cellStyle name="_CSKDCT 2010 2" xfId="877" xr:uid="{00000000-0005-0000-0000-00004E030000}"/>
    <cellStyle name="_CSKDCT 2010_Bo sung 04 bieu Cong nghiep" xfId="878" xr:uid="{00000000-0005-0000-0000-00004F030000}"/>
    <cellStyle name="_CSKDCT 2010_Bo sung 04 bieu Cong nghiep 2" xfId="879" xr:uid="{00000000-0005-0000-0000-000050030000}"/>
    <cellStyle name="_CSKDCT 2010_Bo sung 04 bieu Cong nghiep_Content" xfId="880" xr:uid="{00000000-0005-0000-0000-000051030000}"/>
    <cellStyle name="_CSKDCT 2010_Content" xfId="881" xr:uid="{00000000-0005-0000-0000-000052030000}"/>
    <cellStyle name="_da sua bo nam 2000 VT- 2011 - NGTT diep" xfId="882" xr:uid="{00000000-0005-0000-0000-000053030000}"/>
    <cellStyle name="_da sua bo nam 2000 VT- 2011 - NGTT diep 2" xfId="883" xr:uid="{00000000-0005-0000-0000-000054030000}"/>
    <cellStyle name="_da sua bo nam 2000 VT- 2011 - NGTT diep_03 TKQG va Thu chi NSNN 2012" xfId="884" xr:uid="{00000000-0005-0000-0000-000055030000}"/>
    <cellStyle name="_da sua bo nam 2000 VT- 2011 - NGTT diep_03 TKQG va Thu chi NSNN 2012 2" xfId="885" xr:uid="{00000000-0005-0000-0000-000056030000}"/>
    <cellStyle name="_da sua bo nam 2000 VT- 2011 - NGTT diep_03 TKQG va Thu chi NSNN 2012_Content" xfId="886" xr:uid="{00000000-0005-0000-0000-000057030000}"/>
    <cellStyle name="_da sua bo nam 2000 VT- 2011 - NGTT diep_05 Doanh nghiep va Ca the_2011 (Ok)" xfId="887" xr:uid="{00000000-0005-0000-0000-000058030000}"/>
    <cellStyle name="_da sua bo nam 2000 VT- 2011 - NGTT diep_11 (3)" xfId="888" xr:uid="{00000000-0005-0000-0000-000059030000}"/>
    <cellStyle name="_da sua bo nam 2000 VT- 2011 - NGTT diep_11 (3) 2" xfId="889" xr:uid="{00000000-0005-0000-0000-00005A030000}"/>
    <cellStyle name="_da sua bo nam 2000 VT- 2011 - NGTT diep_11 (3)_Content" xfId="890" xr:uid="{00000000-0005-0000-0000-00005B030000}"/>
    <cellStyle name="_da sua bo nam 2000 VT- 2011 - NGTT diep_12 (2)" xfId="891" xr:uid="{00000000-0005-0000-0000-00005C030000}"/>
    <cellStyle name="_da sua bo nam 2000 VT- 2011 - NGTT diep_12 (2) 2" xfId="892" xr:uid="{00000000-0005-0000-0000-00005D030000}"/>
    <cellStyle name="_da sua bo nam 2000 VT- 2011 - NGTT diep_12 (2)_Content" xfId="893" xr:uid="{00000000-0005-0000-0000-00005E030000}"/>
    <cellStyle name="_da sua bo nam 2000 VT- 2011 - NGTT diep_Content" xfId="894" xr:uid="{00000000-0005-0000-0000-00005F030000}"/>
    <cellStyle name="_da sua bo nam 2000 VT- 2011 - NGTT diep_Ngiam_lamnghiep_2011_v2(1)(1)" xfId="895" xr:uid="{00000000-0005-0000-0000-000060030000}"/>
    <cellStyle name="_da sua bo nam 2000 VT- 2011 - NGTT diep_Ngiam_lamnghiep_2011_v2(1)(1) 2" xfId="896" xr:uid="{00000000-0005-0000-0000-000061030000}"/>
    <cellStyle name="_da sua bo nam 2000 VT- 2011 - NGTT diep_Ngiam_lamnghiep_2011_v2(1)(1)_Content" xfId="897" xr:uid="{00000000-0005-0000-0000-000062030000}"/>
    <cellStyle name="_Doi Ngheo(TV)" xfId="898" xr:uid="{00000000-0005-0000-0000-000063030000}"/>
    <cellStyle name="_Du lich" xfId="899" xr:uid="{00000000-0005-0000-0000-000064030000}"/>
    <cellStyle name="_Du lich 2" xfId="900" xr:uid="{00000000-0005-0000-0000-000065030000}"/>
    <cellStyle name="_Du lich_03 TKQG va Thu chi NSNN 2012" xfId="901" xr:uid="{00000000-0005-0000-0000-000066030000}"/>
    <cellStyle name="_Du lich_03 TKQG va Thu chi NSNN 2012 2" xfId="902" xr:uid="{00000000-0005-0000-0000-000067030000}"/>
    <cellStyle name="_Du lich_03 TKQG va Thu chi NSNN 2012_Content" xfId="903" xr:uid="{00000000-0005-0000-0000-000068030000}"/>
    <cellStyle name="_Du lich_05 Doanh nghiep va Ca the_2011 (Ok)" xfId="904" xr:uid="{00000000-0005-0000-0000-000069030000}"/>
    <cellStyle name="_Du lich_11 (3)" xfId="905" xr:uid="{00000000-0005-0000-0000-00006A030000}"/>
    <cellStyle name="_Du lich_11 (3) 2" xfId="906" xr:uid="{00000000-0005-0000-0000-00006B030000}"/>
    <cellStyle name="_Du lich_11 (3)_Content" xfId="907" xr:uid="{00000000-0005-0000-0000-00006C030000}"/>
    <cellStyle name="_Du lich_12 (2)" xfId="908" xr:uid="{00000000-0005-0000-0000-00006D030000}"/>
    <cellStyle name="_Du lich_12 (2) 2" xfId="909" xr:uid="{00000000-0005-0000-0000-00006E030000}"/>
    <cellStyle name="_Du lich_12 (2)_Content" xfId="910" xr:uid="{00000000-0005-0000-0000-00006F030000}"/>
    <cellStyle name="_Du lich_Content" xfId="911" xr:uid="{00000000-0005-0000-0000-000070030000}"/>
    <cellStyle name="_Du lich_Ngiam_lamnghiep_2011_v2(1)(1)" xfId="912" xr:uid="{00000000-0005-0000-0000-000071030000}"/>
    <cellStyle name="_Du lich_Ngiam_lamnghiep_2011_v2(1)(1) 2" xfId="913" xr:uid="{00000000-0005-0000-0000-000072030000}"/>
    <cellStyle name="_Du lich_Ngiam_lamnghiep_2011_v2(1)(1)_Content" xfId="914" xr:uid="{00000000-0005-0000-0000-000073030000}"/>
    <cellStyle name="_KT (2)" xfId="915" xr:uid="{00000000-0005-0000-0000-000074030000}"/>
    <cellStyle name="_KT (2)_1" xfId="916" xr:uid="{00000000-0005-0000-0000-000075030000}"/>
    <cellStyle name="_KT (2)_2" xfId="917" xr:uid="{00000000-0005-0000-0000-000076030000}"/>
    <cellStyle name="_KT (2)_2_TG-TH" xfId="918" xr:uid="{00000000-0005-0000-0000-000077030000}"/>
    <cellStyle name="_KT (2)_3" xfId="919" xr:uid="{00000000-0005-0000-0000-000078030000}"/>
    <cellStyle name="_KT (2)_3_TG-TH" xfId="920" xr:uid="{00000000-0005-0000-0000-000079030000}"/>
    <cellStyle name="_KT (2)_4" xfId="921" xr:uid="{00000000-0005-0000-0000-00007A030000}"/>
    <cellStyle name="_KT (2)_4_TG-TH" xfId="922" xr:uid="{00000000-0005-0000-0000-00007B030000}"/>
    <cellStyle name="_KT (2)_5" xfId="923" xr:uid="{00000000-0005-0000-0000-00007C030000}"/>
    <cellStyle name="_KT (2)_TG-TH" xfId="924" xr:uid="{00000000-0005-0000-0000-00007D030000}"/>
    <cellStyle name="_KT_TG" xfId="925" xr:uid="{00000000-0005-0000-0000-00007E030000}"/>
    <cellStyle name="_KT_TG_1" xfId="926" xr:uid="{00000000-0005-0000-0000-00007F030000}"/>
    <cellStyle name="_KT_TG_2" xfId="927" xr:uid="{00000000-0005-0000-0000-000080030000}"/>
    <cellStyle name="_KT_TG_3" xfId="928" xr:uid="{00000000-0005-0000-0000-000081030000}"/>
    <cellStyle name="_KT_TG_4" xfId="929" xr:uid="{00000000-0005-0000-0000-000082030000}"/>
    <cellStyle name="_NGTK-tomtat-2010-DSLD-10-3-2011_final_4" xfId="930" xr:uid="{00000000-0005-0000-0000-000083030000}"/>
    <cellStyle name="_NGTK-tomtat-2010-DSLD-10-3-2011_final_4 2" xfId="931" xr:uid="{00000000-0005-0000-0000-000084030000}"/>
    <cellStyle name="_NGTK-tomtat-2010-DSLD-10-3-2011_final_4_02 Danso_Laodong 2012(chuan) CO SO" xfId="932" xr:uid="{00000000-0005-0000-0000-000085030000}"/>
    <cellStyle name="_NGTK-tomtat-2010-DSLD-10-3-2011_final_4_02 Danso_Laodong 2012(chuan) CO SO 2" xfId="933" xr:uid="{00000000-0005-0000-0000-000086030000}"/>
    <cellStyle name="_NGTK-tomtat-2010-DSLD-10-3-2011_final_4_02 Danso_Laodong 2012(chuan) CO SO_Content" xfId="934" xr:uid="{00000000-0005-0000-0000-000087030000}"/>
    <cellStyle name="_NGTK-tomtat-2010-DSLD-10-3-2011_final_4_Content" xfId="935" xr:uid="{00000000-0005-0000-0000-000088030000}"/>
    <cellStyle name="_NGTT 2011 - XNK - Market dasua" xfId="936" xr:uid="{00000000-0005-0000-0000-000089030000}"/>
    <cellStyle name="_NGTT 2011 - XNK - Market dasua 2" xfId="937" xr:uid="{00000000-0005-0000-0000-00008A030000}"/>
    <cellStyle name="_NGTT 2011 - XNK - Market dasua_03 TKQG va Thu chi NSNN 2012" xfId="938" xr:uid="{00000000-0005-0000-0000-00008B030000}"/>
    <cellStyle name="_NGTT 2011 - XNK - Market dasua_03 TKQG va Thu chi NSNN 2012 2" xfId="939" xr:uid="{00000000-0005-0000-0000-00008C030000}"/>
    <cellStyle name="_NGTT 2011 - XNK - Market dasua_03 TKQG va Thu chi NSNN 2012_Content" xfId="940" xr:uid="{00000000-0005-0000-0000-00008D030000}"/>
    <cellStyle name="_NGTT 2011 - XNK - Market dasua_05 Doanh nghiep va Ca the_2011 (Ok)" xfId="941" xr:uid="{00000000-0005-0000-0000-00008E030000}"/>
    <cellStyle name="_NGTT 2011 - XNK - Market dasua_11 (3)" xfId="942" xr:uid="{00000000-0005-0000-0000-00008F030000}"/>
    <cellStyle name="_NGTT 2011 - XNK - Market dasua_11 (3) 2" xfId="943" xr:uid="{00000000-0005-0000-0000-000090030000}"/>
    <cellStyle name="_NGTT 2011 - XNK - Market dasua_11 (3)_Content" xfId="944" xr:uid="{00000000-0005-0000-0000-000091030000}"/>
    <cellStyle name="_NGTT 2011 - XNK - Market dasua_12 (2)" xfId="945" xr:uid="{00000000-0005-0000-0000-000092030000}"/>
    <cellStyle name="_NGTT 2011 - XNK - Market dasua_12 (2) 2" xfId="946" xr:uid="{00000000-0005-0000-0000-000093030000}"/>
    <cellStyle name="_NGTT 2011 - XNK - Market dasua_12 (2)_Content" xfId="947" xr:uid="{00000000-0005-0000-0000-000094030000}"/>
    <cellStyle name="_NGTT 2011 - XNK - Market dasua_Content" xfId="948" xr:uid="{00000000-0005-0000-0000-000095030000}"/>
    <cellStyle name="_NGTT 2011 - XNK - Market dasua_Ngiam_lamnghiep_2011_v2(1)(1)" xfId="949" xr:uid="{00000000-0005-0000-0000-000096030000}"/>
    <cellStyle name="_NGTT 2011 - XNK - Market dasua_Ngiam_lamnghiep_2011_v2(1)(1) 2" xfId="950" xr:uid="{00000000-0005-0000-0000-000097030000}"/>
    <cellStyle name="_NGTT 2011 - XNK - Market dasua_Ngiam_lamnghiep_2011_v2(1)(1)_Content" xfId="951" xr:uid="{00000000-0005-0000-0000-000098030000}"/>
    <cellStyle name="_Nonglamthuysan" xfId="952" xr:uid="{00000000-0005-0000-0000-000099030000}"/>
    <cellStyle name="_Nonglamthuysan 2" xfId="953" xr:uid="{00000000-0005-0000-0000-00009A030000}"/>
    <cellStyle name="_Nonglamthuysan_03 TKQG va Thu chi NSNN 2012" xfId="954" xr:uid="{00000000-0005-0000-0000-00009B030000}"/>
    <cellStyle name="_Nonglamthuysan_03 TKQG va Thu chi NSNN 2012 2" xfId="955" xr:uid="{00000000-0005-0000-0000-00009C030000}"/>
    <cellStyle name="_Nonglamthuysan_03 TKQG va Thu chi NSNN 2012_Content" xfId="956" xr:uid="{00000000-0005-0000-0000-00009D030000}"/>
    <cellStyle name="_Nonglamthuysan_05 Doanh nghiep va Ca the_2011 (Ok)" xfId="957" xr:uid="{00000000-0005-0000-0000-00009E030000}"/>
    <cellStyle name="_Nonglamthuysan_11 (3)" xfId="958" xr:uid="{00000000-0005-0000-0000-00009F030000}"/>
    <cellStyle name="_Nonglamthuysan_11 (3) 2" xfId="959" xr:uid="{00000000-0005-0000-0000-0000A0030000}"/>
    <cellStyle name="_Nonglamthuysan_11 (3)_Content" xfId="960" xr:uid="{00000000-0005-0000-0000-0000A1030000}"/>
    <cellStyle name="_Nonglamthuysan_12 (2)" xfId="961" xr:uid="{00000000-0005-0000-0000-0000A2030000}"/>
    <cellStyle name="_Nonglamthuysan_12 (2) 2" xfId="962" xr:uid="{00000000-0005-0000-0000-0000A3030000}"/>
    <cellStyle name="_Nonglamthuysan_12 (2)_Content" xfId="963" xr:uid="{00000000-0005-0000-0000-0000A4030000}"/>
    <cellStyle name="_Nonglamthuysan_Content" xfId="964" xr:uid="{00000000-0005-0000-0000-0000A5030000}"/>
    <cellStyle name="_Nonglamthuysan_Ngiam_lamnghiep_2011_v2(1)(1)" xfId="965" xr:uid="{00000000-0005-0000-0000-0000A6030000}"/>
    <cellStyle name="_Nonglamthuysan_Ngiam_lamnghiep_2011_v2(1)(1) 2" xfId="966" xr:uid="{00000000-0005-0000-0000-0000A7030000}"/>
    <cellStyle name="_Nonglamthuysan_Ngiam_lamnghiep_2011_v2(1)(1)_Content" xfId="967" xr:uid="{00000000-0005-0000-0000-0000A8030000}"/>
    <cellStyle name="_NSNN" xfId="968" xr:uid="{00000000-0005-0000-0000-0000A9030000}"/>
    <cellStyle name="_OECD(Labor)_v1" xfId="969" xr:uid="{00000000-0005-0000-0000-0000AA030000}"/>
    <cellStyle name="_PkBoP_h" xfId="970" xr:uid="{00000000-0005-0000-0000-0000AB030000}"/>
    <cellStyle name="_PkBoP_h 2" xfId="971" xr:uid="{00000000-0005-0000-0000-0000AC030000}"/>
    <cellStyle name="_PkBoP_h 3" xfId="972" xr:uid="{00000000-0005-0000-0000-0000AD030000}"/>
    <cellStyle name="_PkBoP_h 4" xfId="973" xr:uid="{00000000-0005-0000-0000-0000AE030000}"/>
    <cellStyle name="_quarterly gdp data" xfId="974" xr:uid="{00000000-0005-0000-0000-0000AF030000}"/>
    <cellStyle name="_So lieu quoc te TH" xfId="975" xr:uid="{00000000-0005-0000-0000-0000B0030000}"/>
    <cellStyle name="_So lieu quoc te TH 2" xfId="976" xr:uid="{00000000-0005-0000-0000-0000B1030000}"/>
    <cellStyle name="_So lieu quoc te TH_03 TKQG va Thu chi NSNN 2012" xfId="977" xr:uid="{00000000-0005-0000-0000-0000B2030000}"/>
    <cellStyle name="_So lieu quoc te TH_03 TKQG va Thu chi NSNN 2012 2" xfId="978" xr:uid="{00000000-0005-0000-0000-0000B3030000}"/>
    <cellStyle name="_So lieu quoc te TH_03 TKQG va Thu chi NSNN 2012_Content" xfId="979" xr:uid="{00000000-0005-0000-0000-0000B4030000}"/>
    <cellStyle name="_So lieu quoc te TH_05 Doanh nghiep va Ca the_2011 (Ok)" xfId="980" xr:uid="{00000000-0005-0000-0000-0000B5030000}"/>
    <cellStyle name="_So lieu quoc te TH_11 (3)" xfId="981" xr:uid="{00000000-0005-0000-0000-0000B6030000}"/>
    <cellStyle name="_So lieu quoc te TH_11 (3) 2" xfId="982" xr:uid="{00000000-0005-0000-0000-0000B7030000}"/>
    <cellStyle name="_So lieu quoc te TH_11 (3)_Content" xfId="983" xr:uid="{00000000-0005-0000-0000-0000B8030000}"/>
    <cellStyle name="_So lieu quoc te TH_12 (2)" xfId="984" xr:uid="{00000000-0005-0000-0000-0000B9030000}"/>
    <cellStyle name="_So lieu quoc te TH_12 (2) 2" xfId="985" xr:uid="{00000000-0005-0000-0000-0000BA030000}"/>
    <cellStyle name="_So lieu quoc te TH_12 (2)_Content" xfId="986" xr:uid="{00000000-0005-0000-0000-0000BB030000}"/>
    <cellStyle name="_So lieu quoc te TH_Content" xfId="987" xr:uid="{00000000-0005-0000-0000-0000BC030000}"/>
    <cellStyle name="_So lieu quoc te TH_Ngiam_lamnghiep_2011_v2(1)(1)" xfId="988" xr:uid="{00000000-0005-0000-0000-0000BD030000}"/>
    <cellStyle name="_So lieu quoc te TH_Ngiam_lamnghiep_2011_v2(1)(1) 2" xfId="989" xr:uid="{00000000-0005-0000-0000-0000BE030000}"/>
    <cellStyle name="_So lieu quoc te TH_Ngiam_lamnghiep_2011_v2(1)(1)_Content" xfId="990" xr:uid="{00000000-0005-0000-0000-0000BF030000}"/>
    <cellStyle name="_TangGDP" xfId="991" xr:uid="{00000000-0005-0000-0000-0000C0030000}"/>
    <cellStyle name="_TG-TH" xfId="992" xr:uid="{00000000-0005-0000-0000-0000C1030000}"/>
    <cellStyle name="_TG-TH_1" xfId="993" xr:uid="{00000000-0005-0000-0000-0000C2030000}"/>
    <cellStyle name="_TG-TH_2" xfId="994" xr:uid="{00000000-0005-0000-0000-0000C3030000}"/>
    <cellStyle name="_TG-TH_3" xfId="995" xr:uid="{00000000-0005-0000-0000-0000C4030000}"/>
    <cellStyle name="_TG-TH_4" xfId="996" xr:uid="{00000000-0005-0000-0000-0000C5030000}"/>
    <cellStyle name="_Tich luy" xfId="997" xr:uid="{00000000-0005-0000-0000-0000C6030000}"/>
    <cellStyle name="_Tieudung" xfId="998" xr:uid="{00000000-0005-0000-0000-0000C7030000}"/>
    <cellStyle name="_Tong hop NGTT" xfId="999" xr:uid="{00000000-0005-0000-0000-0000C8030000}"/>
    <cellStyle name="_Tong hop NGTT 2" xfId="1000" xr:uid="{00000000-0005-0000-0000-0000C9030000}"/>
    <cellStyle name="_Tong hop NGTT_02 Danso_Laodong 2012(chuan) CO SO" xfId="1001" xr:uid="{00000000-0005-0000-0000-0000CA030000}"/>
    <cellStyle name="_Tong hop NGTT_02 Danso_Laodong 2012(chuan) CO SO 2" xfId="1002" xr:uid="{00000000-0005-0000-0000-0000CB030000}"/>
    <cellStyle name="_Tong hop NGTT_02 Danso_Laodong 2012(chuan) CO SO_Content" xfId="1003" xr:uid="{00000000-0005-0000-0000-0000CC030000}"/>
    <cellStyle name="_Tong hop NGTT_Content" xfId="1004" xr:uid="{00000000-0005-0000-0000-0000CD030000}"/>
    <cellStyle name="??" xfId="32" xr:uid="{00000000-0005-0000-0000-000001000000}"/>
    <cellStyle name="?? [0.00]_PRODUCT DETAIL Q1" xfId="33" xr:uid="{00000000-0005-0000-0000-000002000000}"/>
    <cellStyle name="?? [0]" xfId="34" xr:uid="{00000000-0005-0000-0000-000003000000}"/>
    <cellStyle name="?? [0] 2" xfId="35" xr:uid="{00000000-0005-0000-0000-000004000000}"/>
    <cellStyle name="??_(????)??????" xfId="40" xr:uid="{00000000-0005-0000-0000-000009000000}"/>
    <cellStyle name="???_95" xfId="39" xr:uid="{00000000-0005-0000-0000-000008000000}"/>
    <cellStyle name="???? [0.00]_PRODUCT DETAIL Q1" xfId="36" xr:uid="{00000000-0005-0000-0000-000005000000}"/>
    <cellStyle name="????_PRODUCT DETAIL Q1" xfId="37" xr:uid="{00000000-0005-0000-0000-000006000000}"/>
    <cellStyle name="???[0]_Book1" xfId="38" xr:uid="{00000000-0005-0000-0000-000007000000}"/>
    <cellStyle name="=C:\WINNT35\SYSTEM32\COMMAND.COM" xfId="1008" xr:uid="{00000000-0005-0000-0000-0000D1030000}"/>
    <cellStyle name="=C:\WINNT35\SYSTEM32\COMMAND.COM 2" xfId="1009" xr:uid="{00000000-0005-0000-0000-0000D2030000}"/>
    <cellStyle name="=C:\WINNT35\SYSTEM32\COMMAND.COM 2 2" xfId="1010" xr:uid="{00000000-0005-0000-0000-0000D3030000}"/>
    <cellStyle name="=C:\WINNT35\SYSTEM32\COMMAND.COM 3" xfId="1011" xr:uid="{00000000-0005-0000-0000-0000D4030000}"/>
    <cellStyle name="¥¼©w¸q" xfId="1005" xr:uid="{00000000-0005-0000-0000-0000CE030000}"/>
    <cellStyle name="¥¼©w¸q 2" xfId="1006" xr:uid="{00000000-0005-0000-0000-0000CF030000}"/>
    <cellStyle name="¥¼©w¸q 3" xfId="1007" xr:uid="{00000000-0005-0000-0000-0000D0030000}"/>
    <cellStyle name="1" xfId="1012" xr:uid="{00000000-0005-0000-0000-0000D5030000}"/>
    <cellStyle name="1 2" xfId="1013" xr:uid="{00000000-0005-0000-0000-0000D6030000}"/>
    <cellStyle name="1 indent" xfId="1014" xr:uid="{00000000-0005-0000-0000-0000D7030000}"/>
    <cellStyle name="1 indent 2" xfId="1015" xr:uid="{00000000-0005-0000-0000-0000D8030000}"/>
    <cellStyle name="1 indent 3" xfId="1016" xr:uid="{00000000-0005-0000-0000-0000D9030000}"/>
    <cellStyle name="1 indent 4" xfId="1017" xr:uid="{00000000-0005-0000-0000-0000DA030000}"/>
    <cellStyle name="1 indent 5" xfId="1018" xr:uid="{00000000-0005-0000-0000-0000DB030000}"/>
    <cellStyle name="1_01 DVHC-DSLD 2010" xfId="1019" xr:uid="{00000000-0005-0000-0000-0000DC030000}"/>
    <cellStyle name="1_01 DVHC-DSLD 2010 2" xfId="1020" xr:uid="{00000000-0005-0000-0000-0000DD030000}"/>
    <cellStyle name="1_01 DVHC-DSLD 2010_02 Danso_Laodong 2012(chuan) CO SO" xfId="1021" xr:uid="{00000000-0005-0000-0000-0000DE030000}"/>
    <cellStyle name="1_01 DVHC-DSLD 2010_02 Danso_Laodong 2012(chuan) CO SO 2" xfId="1022" xr:uid="{00000000-0005-0000-0000-0000DF030000}"/>
    <cellStyle name="1_01 DVHC-DSLD 2010_02 Danso_Laodong 2012(chuan) CO SO_Content" xfId="1023" xr:uid="{00000000-0005-0000-0000-0000E0030000}"/>
    <cellStyle name="1_01 DVHC-DSLD 2010_Bo sung 04 bieu Cong nghiep" xfId="1024" xr:uid="{00000000-0005-0000-0000-0000E1030000}"/>
    <cellStyle name="1_01 DVHC-DSLD 2010_Bo sung 04 bieu Cong nghiep 2" xfId="1025" xr:uid="{00000000-0005-0000-0000-0000E2030000}"/>
    <cellStyle name="1_01 DVHC-DSLD 2010_Bo sung 04 bieu Cong nghiep_Content" xfId="1026" xr:uid="{00000000-0005-0000-0000-0000E3030000}"/>
    <cellStyle name="1_01 DVHC-DSLD 2010_Content" xfId="1027" xr:uid="{00000000-0005-0000-0000-0000E4030000}"/>
    <cellStyle name="1_01 DVHC-DSLD 2010_nien giam tom tat 2010 (thuy)" xfId="1028" xr:uid="{00000000-0005-0000-0000-0000E5030000}"/>
    <cellStyle name="1_01 DVHC-DSLD 2010_nien giam tom tat 2010 (thuy) 2" xfId="1029" xr:uid="{00000000-0005-0000-0000-0000E6030000}"/>
    <cellStyle name="1_01 DVHC-DSLD 2010_nien giam tom tat 2010 (thuy)_02 Danso_Laodong 2012(chuan) CO SO" xfId="1030" xr:uid="{00000000-0005-0000-0000-0000E7030000}"/>
    <cellStyle name="1_01 DVHC-DSLD 2010_nien giam tom tat 2010 (thuy)_02 Danso_Laodong 2012(chuan) CO SO 2" xfId="1031" xr:uid="{00000000-0005-0000-0000-0000E8030000}"/>
    <cellStyle name="1_01 DVHC-DSLD 2010_nien giam tom tat 2010 (thuy)_02 Danso_Laodong 2012(chuan) CO SO_Content" xfId="1032" xr:uid="{00000000-0005-0000-0000-0000E9030000}"/>
    <cellStyle name="1_01 DVHC-DSLD 2010_nien giam tom tat 2010 (thuy)_Content" xfId="1033" xr:uid="{00000000-0005-0000-0000-0000EA030000}"/>
    <cellStyle name="1_01 DVHC-DSLD 2010_Tong hop NGTT" xfId="1034" xr:uid="{00000000-0005-0000-0000-0000EB030000}"/>
    <cellStyle name="1_01 DVHC-DSLD 2010_Tong hop NGTT 2" xfId="1035" xr:uid="{00000000-0005-0000-0000-0000EC030000}"/>
    <cellStyle name="1_01 DVHC-DSLD 2010_Tong hop NGTT_Content" xfId="1036" xr:uid="{00000000-0005-0000-0000-0000ED030000}"/>
    <cellStyle name="1_02 Danso_Laodong 2012(chuan) CO SO" xfId="1037" xr:uid="{00000000-0005-0000-0000-0000EE030000}"/>
    <cellStyle name="1_02 Danso_Laodong 2012(chuan) CO SO 2" xfId="1038" xr:uid="{00000000-0005-0000-0000-0000EF030000}"/>
    <cellStyle name="1_02 Danso_Laodong 2012(chuan) CO SO_Content" xfId="1039" xr:uid="{00000000-0005-0000-0000-0000F0030000}"/>
    <cellStyle name="1_03 Dautu 2010" xfId="1040" xr:uid="{00000000-0005-0000-0000-0000F1030000}"/>
    <cellStyle name="1_03 Dautu 2010 2" xfId="1041" xr:uid="{00000000-0005-0000-0000-0000F2030000}"/>
    <cellStyle name="1_03 Dautu 2010_02 Danso_Laodong 2012(chuan) CO SO" xfId="1042" xr:uid="{00000000-0005-0000-0000-0000F3030000}"/>
    <cellStyle name="1_03 Dautu 2010_02 Danso_Laodong 2012(chuan) CO SO 2" xfId="1043" xr:uid="{00000000-0005-0000-0000-0000F4030000}"/>
    <cellStyle name="1_03 Dautu 2010_02 Danso_Laodong 2012(chuan) CO SO_Content" xfId="1044" xr:uid="{00000000-0005-0000-0000-0000F5030000}"/>
    <cellStyle name="1_03 Dautu 2010_Content" xfId="1045" xr:uid="{00000000-0005-0000-0000-0000F6030000}"/>
    <cellStyle name="1_03 TKQG" xfId="1046" xr:uid="{00000000-0005-0000-0000-0000F7030000}"/>
    <cellStyle name="1_05 Doanh nghiep va Ca the_2011 (Ok)" xfId="1047" xr:uid="{00000000-0005-0000-0000-0000F8030000}"/>
    <cellStyle name="1_05 Thu chi NSNN" xfId="1048" xr:uid="{00000000-0005-0000-0000-0000F9030000}"/>
    <cellStyle name="1_05 Thu chi NSNN 2" xfId="1049" xr:uid="{00000000-0005-0000-0000-0000FA030000}"/>
    <cellStyle name="1_05 Thu chi NSNN_Content" xfId="1050" xr:uid="{00000000-0005-0000-0000-0000FB030000}"/>
    <cellStyle name="1_05 Thuong mai" xfId="1051" xr:uid="{00000000-0005-0000-0000-0000FC030000}"/>
    <cellStyle name="1_05 Thuong mai 2" xfId="1052" xr:uid="{00000000-0005-0000-0000-0000FD030000}"/>
    <cellStyle name="1_05 Thuong mai_02 Danso_Laodong 2012(chuan) CO SO" xfId="1053" xr:uid="{00000000-0005-0000-0000-0000FE030000}"/>
    <cellStyle name="1_05 Thuong mai_02 Danso_Laodong 2012(chuan) CO SO 2" xfId="1054" xr:uid="{00000000-0005-0000-0000-0000FF030000}"/>
    <cellStyle name="1_05 Thuong mai_02 Danso_Laodong 2012(chuan) CO SO_Content" xfId="1055" xr:uid="{00000000-0005-0000-0000-000000040000}"/>
    <cellStyle name="1_05 Thuong mai_Content" xfId="1056" xr:uid="{00000000-0005-0000-0000-000001040000}"/>
    <cellStyle name="1_06 Van tai" xfId="1057" xr:uid="{00000000-0005-0000-0000-000002040000}"/>
    <cellStyle name="1_06 Van tai 2" xfId="1058" xr:uid="{00000000-0005-0000-0000-000003040000}"/>
    <cellStyle name="1_06 Van tai_02 Danso_Laodong 2012(chuan) CO SO" xfId="1059" xr:uid="{00000000-0005-0000-0000-000004040000}"/>
    <cellStyle name="1_06 Van tai_02 Danso_Laodong 2012(chuan) CO SO 2" xfId="1060" xr:uid="{00000000-0005-0000-0000-000005040000}"/>
    <cellStyle name="1_06 Van tai_02 Danso_Laodong 2012(chuan) CO SO_Content" xfId="1061" xr:uid="{00000000-0005-0000-0000-000006040000}"/>
    <cellStyle name="1_06 Van tai_Content" xfId="1062" xr:uid="{00000000-0005-0000-0000-000007040000}"/>
    <cellStyle name="1_07 Buu dien" xfId="1063" xr:uid="{00000000-0005-0000-0000-000008040000}"/>
    <cellStyle name="1_07 Buu dien 2" xfId="1064" xr:uid="{00000000-0005-0000-0000-000009040000}"/>
    <cellStyle name="1_07 Buu dien_02 Danso_Laodong 2012(chuan) CO SO" xfId="1065" xr:uid="{00000000-0005-0000-0000-00000A040000}"/>
    <cellStyle name="1_07 Buu dien_02 Danso_Laodong 2012(chuan) CO SO 2" xfId="1066" xr:uid="{00000000-0005-0000-0000-00000B040000}"/>
    <cellStyle name="1_07 Buu dien_02 Danso_Laodong 2012(chuan) CO SO_Content" xfId="1067" xr:uid="{00000000-0005-0000-0000-00000C040000}"/>
    <cellStyle name="1_07 Buu dien_Content" xfId="1068" xr:uid="{00000000-0005-0000-0000-00000D040000}"/>
    <cellStyle name="1_08 Van tai" xfId="1069" xr:uid="{00000000-0005-0000-0000-00000E040000}"/>
    <cellStyle name="1_08 Van tai 2" xfId="1070" xr:uid="{00000000-0005-0000-0000-00000F040000}"/>
    <cellStyle name="1_08 Van tai_02 Danso_Laodong 2012(chuan) CO SO" xfId="1071" xr:uid="{00000000-0005-0000-0000-000010040000}"/>
    <cellStyle name="1_08 Van tai_02 Danso_Laodong 2012(chuan) CO SO 2" xfId="1072" xr:uid="{00000000-0005-0000-0000-000011040000}"/>
    <cellStyle name="1_08 Van tai_02 Danso_Laodong 2012(chuan) CO SO_Content" xfId="1073" xr:uid="{00000000-0005-0000-0000-000012040000}"/>
    <cellStyle name="1_08 Van tai_Content" xfId="1074" xr:uid="{00000000-0005-0000-0000-000013040000}"/>
    <cellStyle name="1_08 Yte-van hoa" xfId="1075" xr:uid="{00000000-0005-0000-0000-000014040000}"/>
    <cellStyle name="1_08 Yte-van hoa 2" xfId="1076" xr:uid="{00000000-0005-0000-0000-000015040000}"/>
    <cellStyle name="1_08 Yte-van hoa_02 Danso_Laodong 2012(chuan) CO SO" xfId="1077" xr:uid="{00000000-0005-0000-0000-000016040000}"/>
    <cellStyle name="1_08 Yte-van hoa_02 Danso_Laodong 2012(chuan) CO SO 2" xfId="1078" xr:uid="{00000000-0005-0000-0000-000017040000}"/>
    <cellStyle name="1_08 Yte-van hoa_02 Danso_Laodong 2012(chuan) CO SO_Content" xfId="1079" xr:uid="{00000000-0005-0000-0000-000018040000}"/>
    <cellStyle name="1_08 Yte-van hoa_Content" xfId="1080" xr:uid="{00000000-0005-0000-0000-000019040000}"/>
    <cellStyle name="1_10 Market VH, YT, GD, NGTT 2011 " xfId="1081" xr:uid="{00000000-0005-0000-0000-00001A040000}"/>
    <cellStyle name="1_10 Market VH, YT, GD, NGTT 2011  2" xfId="1082" xr:uid="{00000000-0005-0000-0000-00001B040000}"/>
    <cellStyle name="1_10 Market VH, YT, GD, NGTT 2011 _03 TKQG va Thu chi NSNN 2012" xfId="1083" xr:uid="{00000000-0005-0000-0000-00001C040000}"/>
    <cellStyle name="1_10 Market VH, YT, GD, NGTT 2011 _03 TKQG va Thu chi NSNN 2012 2" xfId="1084" xr:uid="{00000000-0005-0000-0000-00001D040000}"/>
    <cellStyle name="1_10 Market VH, YT, GD, NGTT 2011 _03 TKQG va Thu chi NSNN 2012_Content" xfId="1085" xr:uid="{00000000-0005-0000-0000-00001E040000}"/>
    <cellStyle name="1_10 Market VH, YT, GD, NGTT 2011 _05 Doanh nghiep va Ca the_2011 (Ok)" xfId="1086" xr:uid="{00000000-0005-0000-0000-00001F040000}"/>
    <cellStyle name="1_10 Market VH, YT, GD, NGTT 2011 _11 (3)" xfId="1087" xr:uid="{00000000-0005-0000-0000-000020040000}"/>
    <cellStyle name="1_10 Market VH, YT, GD, NGTT 2011 _11 (3) 2" xfId="1088" xr:uid="{00000000-0005-0000-0000-000021040000}"/>
    <cellStyle name="1_10 Market VH, YT, GD, NGTT 2011 _11 (3)_Content" xfId="1089" xr:uid="{00000000-0005-0000-0000-000022040000}"/>
    <cellStyle name="1_10 Market VH, YT, GD, NGTT 2011 _12 (2)" xfId="1090" xr:uid="{00000000-0005-0000-0000-000023040000}"/>
    <cellStyle name="1_10 Market VH, YT, GD, NGTT 2011 _12 (2) 2" xfId="1091" xr:uid="{00000000-0005-0000-0000-000024040000}"/>
    <cellStyle name="1_10 Market VH, YT, GD, NGTT 2011 _12 (2)_Content" xfId="1092" xr:uid="{00000000-0005-0000-0000-000025040000}"/>
    <cellStyle name="1_10 Market VH, YT, GD, NGTT 2011 _Content" xfId="1093" xr:uid="{00000000-0005-0000-0000-000026040000}"/>
    <cellStyle name="1_10 Market VH, YT, GD, NGTT 2011 _Ngiam_lamnghiep_2011_v2(1)(1)" xfId="1094" xr:uid="{00000000-0005-0000-0000-000027040000}"/>
    <cellStyle name="1_10 Market VH, YT, GD, NGTT 2011 _Ngiam_lamnghiep_2011_v2(1)(1) 2" xfId="1095" xr:uid="{00000000-0005-0000-0000-000028040000}"/>
    <cellStyle name="1_10 Market VH, YT, GD, NGTT 2011 _Ngiam_lamnghiep_2011_v2(1)(1)_Content" xfId="1096" xr:uid="{00000000-0005-0000-0000-000029040000}"/>
    <cellStyle name="1_10 VH, YT, GD, NGTT 2010 - (OK)" xfId="1097" xr:uid="{00000000-0005-0000-0000-00002A040000}"/>
    <cellStyle name="1_10 VH, YT, GD, NGTT 2010 - (OK) 2" xfId="1098" xr:uid="{00000000-0005-0000-0000-00002B040000}"/>
    <cellStyle name="1_10 VH, YT, GD, NGTT 2010 - (OK)_Bo sung 04 bieu Cong nghiep" xfId="1099" xr:uid="{00000000-0005-0000-0000-00002C040000}"/>
    <cellStyle name="1_10 VH, YT, GD, NGTT 2010 - (OK)_Bo sung 04 bieu Cong nghiep 2" xfId="1100" xr:uid="{00000000-0005-0000-0000-00002D040000}"/>
    <cellStyle name="1_10 VH, YT, GD, NGTT 2010 - (OK)_Bo sung 04 bieu Cong nghiep_Content" xfId="1101" xr:uid="{00000000-0005-0000-0000-00002E040000}"/>
    <cellStyle name="1_10 VH, YT, GD, NGTT 2010 - (OK)_Content" xfId="1102" xr:uid="{00000000-0005-0000-0000-00002F040000}"/>
    <cellStyle name="1_11 (3)" xfId="1103" xr:uid="{00000000-0005-0000-0000-000030040000}"/>
    <cellStyle name="1_11 (3) 2" xfId="1104" xr:uid="{00000000-0005-0000-0000-000031040000}"/>
    <cellStyle name="1_11 (3)_Content" xfId="1105" xr:uid="{00000000-0005-0000-0000-000032040000}"/>
    <cellStyle name="1_11 So lieu quoc te 2010-final" xfId="1106" xr:uid="{00000000-0005-0000-0000-000033040000}"/>
    <cellStyle name="1_11 So lieu quoc te 2010-final 2" xfId="1107" xr:uid="{00000000-0005-0000-0000-000034040000}"/>
    <cellStyle name="1_11 So lieu quoc te 2010-final_Content" xfId="1108" xr:uid="{00000000-0005-0000-0000-000035040000}"/>
    <cellStyle name="1_11.Bieuthegioi-hien_NGTT2009" xfId="1109" xr:uid="{00000000-0005-0000-0000-000036040000}"/>
    <cellStyle name="1_11.Bieuthegioi-hien_NGTT2009 2" xfId="1110" xr:uid="{00000000-0005-0000-0000-000037040000}"/>
    <cellStyle name="1_11.Bieuthegioi-hien_NGTT2009_02 Danso_Laodong 2012(chuan) CO SO" xfId="1111" xr:uid="{00000000-0005-0000-0000-000038040000}"/>
    <cellStyle name="1_11.Bieuthegioi-hien_NGTT2009_02 Danso_Laodong 2012(chuan) CO SO 2" xfId="1112" xr:uid="{00000000-0005-0000-0000-000039040000}"/>
    <cellStyle name="1_11.Bieuthegioi-hien_NGTT2009_02 Danso_Laodong 2012(chuan) CO SO_Content" xfId="1113" xr:uid="{00000000-0005-0000-0000-00003A040000}"/>
    <cellStyle name="1_11.Bieuthegioi-hien_NGTT2009_03 TKQG va Thu chi NSNN 2012" xfId="1114" xr:uid="{00000000-0005-0000-0000-00003B040000}"/>
    <cellStyle name="1_11.Bieuthegioi-hien_NGTT2009_03 TKQG va Thu chi NSNN 2012 2" xfId="1115" xr:uid="{00000000-0005-0000-0000-00003C040000}"/>
    <cellStyle name="1_11.Bieuthegioi-hien_NGTT2009_03 TKQG va Thu chi NSNN 2012_Content" xfId="1116" xr:uid="{00000000-0005-0000-0000-00003D040000}"/>
    <cellStyle name="1_11.Bieuthegioi-hien_NGTT2009_05 Doanh nghiep va Ca the_2011 (Ok)" xfId="1117" xr:uid="{00000000-0005-0000-0000-00003E040000}"/>
    <cellStyle name="1_11.Bieuthegioi-hien_NGTT2009_11 (3)" xfId="1118" xr:uid="{00000000-0005-0000-0000-00003F040000}"/>
    <cellStyle name="1_11.Bieuthegioi-hien_NGTT2009_11 (3) 2" xfId="1119" xr:uid="{00000000-0005-0000-0000-000040040000}"/>
    <cellStyle name="1_11.Bieuthegioi-hien_NGTT2009_11 (3)_Content" xfId="1120" xr:uid="{00000000-0005-0000-0000-000041040000}"/>
    <cellStyle name="1_11.Bieuthegioi-hien_NGTT2009_12 (2)" xfId="1121" xr:uid="{00000000-0005-0000-0000-000042040000}"/>
    <cellStyle name="1_11.Bieuthegioi-hien_NGTT2009_12 (2) 2" xfId="1122" xr:uid="{00000000-0005-0000-0000-000043040000}"/>
    <cellStyle name="1_11.Bieuthegioi-hien_NGTT2009_12 (2)_Content" xfId="1123" xr:uid="{00000000-0005-0000-0000-000044040000}"/>
    <cellStyle name="1_11.Bieuthegioi-hien_NGTT2009_Bo sung 04 bieu Cong nghiep" xfId="1124" xr:uid="{00000000-0005-0000-0000-000045040000}"/>
    <cellStyle name="1_11.Bieuthegioi-hien_NGTT2009_Bo sung 04 bieu Cong nghiep 2" xfId="1125" xr:uid="{00000000-0005-0000-0000-000046040000}"/>
    <cellStyle name="1_11.Bieuthegioi-hien_NGTT2009_Bo sung 04 bieu Cong nghiep_Content" xfId="1126" xr:uid="{00000000-0005-0000-0000-000047040000}"/>
    <cellStyle name="1_11.Bieuthegioi-hien_NGTT2009_Content" xfId="1127" xr:uid="{00000000-0005-0000-0000-000048040000}"/>
    <cellStyle name="1_11.Bieuthegioi-hien_NGTT2009_CucThongke-phucdap-Tuan-Anh" xfId="1128" xr:uid="{00000000-0005-0000-0000-000049040000}"/>
    <cellStyle name="1_11.Bieuthegioi-hien_NGTT2009_CucThongke-phucdap-Tuan-Anh 2" xfId="1129" xr:uid="{00000000-0005-0000-0000-00004A040000}"/>
    <cellStyle name="1_11.Bieuthegioi-hien_NGTT2009_CucThongke-phucdap-Tuan-Anh_Content" xfId="1130" xr:uid="{00000000-0005-0000-0000-00004B040000}"/>
    <cellStyle name="1_11.Bieuthegioi-hien_NGTT2009_Ngiam_lamnghiep_2011_v2(1)(1)" xfId="1131" xr:uid="{00000000-0005-0000-0000-00004C040000}"/>
    <cellStyle name="1_11.Bieuthegioi-hien_NGTT2009_Ngiam_lamnghiep_2011_v2(1)(1) 2" xfId="1132" xr:uid="{00000000-0005-0000-0000-00004D040000}"/>
    <cellStyle name="1_11.Bieuthegioi-hien_NGTT2009_Ngiam_lamnghiep_2011_v2(1)(1)_Content" xfId="1133" xr:uid="{00000000-0005-0000-0000-00004E040000}"/>
    <cellStyle name="1_12 (2)" xfId="1134" xr:uid="{00000000-0005-0000-0000-00004F040000}"/>
    <cellStyle name="1_12 (2) 2" xfId="1135" xr:uid="{00000000-0005-0000-0000-000050040000}"/>
    <cellStyle name="1_12 (2)_Content" xfId="1136" xr:uid="{00000000-0005-0000-0000-000051040000}"/>
    <cellStyle name="1_ArticleIV TABLES01" xfId="1137" xr:uid="{00000000-0005-0000-0000-000052040000}"/>
    <cellStyle name="1_ArticleIV TABLES01_Fiscal" xfId="1138" xr:uid="{00000000-0005-0000-0000-000053040000}"/>
    <cellStyle name="1_ArticleIV TABLES01_In BPFF" xfId="1139" xr:uid="{00000000-0005-0000-0000-000054040000}"/>
    <cellStyle name="1_ArticleIV TABLES01_In_DDebt" xfId="1140" xr:uid="{00000000-0005-0000-0000-000055040000}"/>
    <cellStyle name="1_ArticleIV TABLES01_In_fis" xfId="1141" xr:uid="{00000000-0005-0000-0000-000056040000}"/>
    <cellStyle name="1_Book1" xfId="1142" xr:uid="{00000000-0005-0000-0000-000057040000}"/>
    <cellStyle name="1_Book1 2" xfId="1143" xr:uid="{00000000-0005-0000-0000-000058040000}"/>
    <cellStyle name="1_Book1_Content" xfId="1144" xr:uid="{00000000-0005-0000-0000-000059040000}"/>
    <cellStyle name="1_Book2" xfId="1145" xr:uid="{00000000-0005-0000-0000-00005A040000}"/>
    <cellStyle name="1_Book2_Fiscal" xfId="1146" xr:uid="{00000000-0005-0000-0000-00005B040000}"/>
    <cellStyle name="1_Book2_In BPFF" xfId="1147" xr:uid="{00000000-0005-0000-0000-00005C040000}"/>
    <cellStyle name="1_Book2_In_DDebt" xfId="1148" xr:uid="{00000000-0005-0000-0000-00005D040000}"/>
    <cellStyle name="1_Book2_In_fis" xfId="1149" xr:uid="{00000000-0005-0000-0000-00005E040000}"/>
    <cellStyle name="1_Book3" xfId="1150" xr:uid="{00000000-0005-0000-0000-00005F040000}"/>
    <cellStyle name="1_Book3 2" xfId="1151" xr:uid="{00000000-0005-0000-0000-000060040000}"/>
    <cellStyle name="1_Book3_01 DVHC-DSLD 2010" xfId="1152" xr:uid="{00000000-0005-0000-0000-000061040000}"/>
    <cellStyle name="1_Book3_01 DVHC-DSLD 2010 2" xfId="1153" xr:uid="{00000000-0005-0000-0000-000062040000}"/>
    <cellStyle name="1_Book3_01 DVHC-DSLD 2010_Content" xfId="1154" xr:uid="{00000000-0005-0000-0000-000063040000}"/>
    <cellStyle name="1_Book3_02 Danso_Laodong 2012(chuan) CO SO" xfId="1155" xr:uid="{00000000-0005-0000-0000-000064040000}"/>
    <cellStyle name="1_Book3_02 Danso_Laodong 2012(chuan) CO SO 2" xfId="1156" xr:uid="{00000000-0005-0000-0000-000065040000}"/>
    <cellStyle name="1_Book3_02 Danso_Laodong 2012(chuan) CO SO_Content" xfId="1157" xr:uid="{00000000-0005-0000-0000-000066040000}"/>
    <cellStyle name="1_Book3_03 TKQG va Thu chi NSNN 2012" xfId="1158" xr:uid="{00000000-0005-0000-0000-000067040000}"/>
    <cellStyle name="1_Book3_03 TKQG va Thu chi NSNN 2012 2" xfId="1159" xr:uid="{00000000-0005-0000-0000-000068040000}"/>
    <cellStyle name="1_Book3_03 TKQG va Thu chi NSNN 2012_Content" xfId="1160" xr:uid="{00000000-0005-0000-0000-000069040000}"/>
    <cellStyle name="1_Book3_05 Doanh nghiep va Ca the_2011 (Ok)" xfId="1161" xr:uid="{00000000-0005-0000-0000-00006A040000}"/>
    <cellStyle name="1_Book3_05 NGTT DN 2010 (OK)" xfId="1162" xr:uid="{00000000-0005-0000-0000-00006B040000}"/>
    <cellStyle name="1_Book3_05 NGTT DN 2010 (OK) 2" xfId="1163" xr:uid="{00000000-0005-0000-0000-00006C040000}"/>
    <cellStyle name="1_Book3_05 NGTT DN 2010 (OK)_Bo sung 04 bieu Cong nghiep" xfId="1164" xr:uid="{00000000-0005-0000-0000-00006D040000}"/>
    <cellStyle name="1_Book3_05 NGTT DN 2010 (OK)_Bo sung 04 bieu Cong nghiep 2" xfId="1165" xr:uid="{00000000-0005-0000-0000-00006E040000}"/>
    <cellStyle name="1_Book3_05 NGTT DN 2010 (OK)_Bo sung 04 bieu Cong nghiep_Content" xfId="1166" xr:uid="{00000000-0005-0000-0000-00006F040000}"/>
    <cellStyle name="1_Book3_05 NGTT DN 2010 (OK)_Content" xfId="1167" xr:uid="{00000000-0005-0000-0000-000070040000}"/>
    <cellStyle name="1_Book3_10 Market VH, YT, GD, NGTT 2011 " xfId="1168" xr:uid="{00000000-0005-0000-0000-000071040000}"/>
    <cellStyle name="1_Book3_10 Market VH, YT, GD, NGTT 2011  2" xfId="1169" xr:uid="{00000000-0005-0000-0000-000072040000}"/>
    <cellStyle name="1_Book3_10 Market VH, YT, GD, NGTT 2011 _03 TKQG va Thu chi NSNN 2012" xfId="1170" xr:uid="{00000000-0005-0000-0000-000073040000}"/>
    <cellStyle name="1_Book3_10 Market VH, YT, GD, NGTT 2011 _03 TKQG va Thu chi NSNN 2012 2" xfId="1171" xr:uid="{00000000-0005-0000-0000-000074040000}"/>
    <cellStyle name="1_Book3_10 Market VH, YT, GD, NGTT 2011 _03 TKQG va Thu chi NSNN 2012_Content" xfId="1172" xr:uid="{00000000-0005-0000-0000-000075040000}"/>
    <cellStyle name="1_Book3_10 Market VH, YT, GD, NGTT 2011 _05 Doanh nghiep va Ca the_2011 (Ok)" xfId="1173" xr:uid="{00000000-0005-0000-0000-000076040000}"/>
    <cellStyle name="1_Book3_10 Market VH, YT, GD, NGTT 2011 _11 (3)" xfId="1174" xr:uid="{00000000-0005-0000-0000-000077040000}"/>
    <cellStyle name="1_Book3_10 Market VH, YT, GD, NGTT 2011 _11 (3) 2" xfId="1175" xr:uid="{00000000-0005-0000-0000-000078040000}"/>
    <cellStyle name="1_Book3_10 Market VH, YT, GD, NGTT 2011 _11 (3)_Content" xfId="1176" xr:uid="{00000000-0005-0000-0000-000079040000}"/>
    <cellStyle name="1_Book3_10 Market VH, YT, GD, NGTT 2011 _12 (2)" xfId="1177" xr:uid="{00000000-0005-0000-0000-00007A040000}"/>
    <cellStyle name="1_Book3_10 Market VH, YT, GD, NGTT 2011 _12 (2) 2" xfId="1178" xr:uid="{00000000-0005-0000-0000-00007B040000}"/>
    <cellStyle name="1_Book3_10 Market VH, YT, GD, NGTT 2011 _12 (2)_Content" xfId="1179" xr:uid="{00000000-0005-0000-0000-00007C040000}"/>
    <cellStyle name="1_Book3_10 Market VH, YT, GD, NGTT 2011 _Content" xfId="1180" xr:uid="{00000000-0005-0000-0000-00007D040000}"/>
    <cellStyle name="1_Book3_10 Market VH, YT, GD, NGTT 2011 _Ngiam_lamnghiep_2011_v2(1)(1)" xfId="1181" xr:uid="{00000000-0005-0000-0000-00007E040000}"/>
    <cellStyle name="1_Book3_10 Market VH, YT, GD, NGTT 2011 _Ngiam_lamnghiep_2011_v2(1)(1) 2" xfId="1182" xr:uid="{00000000-0005-0000-0000-00007F040000}"/>
    <cellStyle name="1_Book3_10 Market VH, YT, GD, NGTT 2011 _Ngiam_lamnghiep_2011_v2(1)(1)_Content" xfId="1183" xr:uid="{00000000-0005-0000-0000-000080040000}"/>
    <cellStyle name="1_Book3_10 VH, YT, GD, NGTT 2010 - (OK)" xfId="1184" xr:uid="{00000000-0005-0000-0000-000081040000}"/>
    <cellStyle name="1_Book3_10 VH, YT, GD, NGTT 2010 - (OK) 2" xfId="1185" xr:uid="{00000000-0005-0000-0000-000082040000}"/>
    <cellStyle name="1_Book3_10 VH, YT, GD, NGTT 2010 - (OK)_Bo sung 04 bieu Cong nghiep" xfId="1186" xr:uid="{00000000-0005-0000-0000-000083040000}"/>
    <cellStyle name="1_Book3_10 VH, YT, GD, NGTT 2010 - (OK)_Bo sung 04 bieu Cong nghiep 2" xfId="1187" xr:uid="{00000000-0005-0000-0000-000084040000}"/>
    <cellStyle name="1_Book3_10 VH, YT, GD, NGTT 2010 - (OK)_Bo sung 04 bieu Cong nghiep_Content" xfId="1188" xr:uid="{00000000-0005-0000-0000-000085040000}"/>
    <cellStyle name="1_Book3_10 VH, YT, GD, NGTT 2010 - (OK)_Content" xfId="1189" xr:uid="{00000000-0005-0000-0000-000086040000}"/>
    <cellStyle name="1_Book3_11 (3)" xfId="1190" xr:uid="{00000000-0005-0000-0000-000087040000}"/>
    <cellStyle name="1_Book3_11 (3) 2" xfId="1191" xr:uid="{00000000-0005-0000-0000-000088040000}"/>
    <cellStyle name="1_Book3_11 (3)_Content" xfId="1192" xr:uid="{00000000-0005-0000-0000-000089040000}"/>
    <cellStyle name="1_Book3_12 (2)" xfId="1193" xr:uid="{00000000-0005-0000-0000-00008A040000}"/>
    <cellStyle name="1_Book3_12 (2) 2" xfId="1194" xr:uid="{00000000-0005-0000-0000-00008B040000}"/>
    <cellStyle name="1_Book3_12 (2)_Content" xfId="1195" xr:uid="{00000000-0005-0000-0000-00008C040000}"/>
    <cellStyle name="1_Book3_Book1" xfId="1196" xr:uid="{00000000-0005-0000-0000-00008D040000}"/>
    <cellStyle name="1_Book3_Book1 2" xfId="1197" xr:uid="{00000000-0005-0000-0000-00008E040000}"/>
    <cellStyle name="1_Book3_Book1_Content" xfId="1198" xr:uid="{00000000-0005-0000-0000-00008F040000}"/>
    <cellStyle name="1_Book3_Content" xfId="1199" xr:uid="{00000000-0005-0000-0000-000090040000}"/>
    <cellStyle name="1_Book3_CucThongke-phucdap-Tuan-Anh" xfId="1200" xr:uid="{00000000-0005-0000-0000-000091040000}"/>
    <cellStyle name="1_Book3_CucThongke-phucdap-Tuan-Anh 2" xfId="1201" xr:uid="{00000000-0005-0000-0000-000092040000}"/>
    <cellStyle name="1_Book3_CucThongke-phucdap-Tuan-Anh_Content" xfId="1202" xr:uid="{00000000-0005-0000-0000-000093040000}"/>
    <cellStyle name="1_Book3_Fiscal" xfId="1203" xr:uid="{00000000-0005-0000-0000-000094040000}"/>
    <cellStyle name="1_Book3_In BPFF" xfId="1204" xr:uid="{00000000-0005-0000-0000-000095040000}"/>
    <cellStyle name="1_Book3_In_DDebt" xfId="1205" xr:uid="{00000000-0005-0000-0000-000096040000}"/>
    <cellStyle name="1_Book3_In_fis" xfId="1206" xr:uid="{00000000-0005-0000-0000-000097040000}"/>
    <cellStyle name="1_Book3_Ngiam_lamnghiep_2011_v2(1)(1)" xfId="1207" xr:uid="{00000000-0005-0000-0000-000098040000}"/>
    <cellStyle name="1_Book3_Ngiam_lamnghiep_2011_v2(1)(1) 2" xfId="1208" xr:uid="{00000000-0005-0000-0000-000099040000}"/>
    <cellStyle name="1_Book3_Ngiam_lamnghiep_2011_v2(1)(1)_Content" xfId="1209" xr:uid="{00000000-0005-0000-0000-00009A040000}"/>
    <cellStyle name="1_Book3_Nongnghiep" xfId="1210" xr:uid="{00000000-0005-0000-0000-00009B040000}"/>
    <cellStyle name="1_Book3_Nongnghiep 2" xfId="1211" xr:uid="{00000000-0005-0000-0000-00009C040000}"/>
    <cellStyle name="1_Book3_Nongnghiep_Bo sung 04 bieu Cong nghiep" xfId="1212" xr:uid="{00000000-0005-0000-0000-00009D040000}"/>
    <cellStyle name="1_Book3_Nongnghiep_Bo sung 04 bieu Cong nghiep 2" xfId="1213" xr:uid="{00000000-0005-0000-0000-00009E040000}"/>
    <cellStyle name="1_Book3_Nongnghiep_Bo sung 04 bieu Cong nghiep_Content" xfId="1214" xr:uid="{00000000-0005-0000-0000-00009F040000}"/>
    <cellStyle name="1_Book3_Nongnghiep_Content" xfId="1215" xr:uid="{00000000-0005-0000-0000-0000A0040000}"/>
    <cellStyle name="1_Book3_So lieu quoc te TH" xfId="1216" xr:uid="{00000000-0005-0000-0000-0000A1040000}"/>
    <cellStyle name="1_Book3_So lieu quoc te TH 2" xfId="1217" xr:uid="{00000000-0005-0000-0000-0000A2040000}"/>
    <cellStyle name="1_Book3_So lieu quoc te TH_Content" xfId="1218" xr:uid="{00000000-0005-0000-0000-0000A3040000}"/>
    <cellStyle name="1_Book3_So lieu quoc te(GDP)" xfId="1219" xr:uid="{00000000-0005-0000-0000-0000A4040000}"/>
    <cellStyle name="1_Book3_So lieu quoc te(GDP) 2" xfId="1220" xr:uid="{00000000-0005-0000-0000-0000A5040000}"/>
    <cellStyle name="1_Book3_So lieu quoc te(GDP)_03 TKQG va Thu chi NSNN 2012" xfId="1221" xr:uid="{00000000-0005-0000-0000-0000A6040000}"/>
    <cellStyle name="1_Book3_So lieu quoc te(GDP)_03 TKQG va Thu chi NSNN 2012 2" xfId="1222" xr:uid="{00000000-0005-0000-0000-0000A7040000}"/>
    <cellStyle name="1_Book3_So lieu quoc te(GDP)_03 TKQG va Thu chi NSNN 2012_Content" xfId="1223" xr:uid="{00000000-0005-0000-0000-0000A8040000}"/>
    <cellStyle name="1_Book3_So lieu quoc te(GDP)_05 Doanh nghiep va Ca the_2011 (Ok)" xfId="1224" xr:uid="{00000000-0005-0000-0000-0000A9040000}"/>
    <cellStyle name="1_Book3_So lieu quoc te(GDP)_11 (3)" xfId="1225" xr:uid="{00000000-0005-0000-0000-0000AA040000}"/>
    <cellStyle name="1_Book3_So lieu quoc te(GDP)_11 (3) 2" xfId="1226" xr:uid="{00000000-0005-0000-0000-0000AB040000}"/>
    <cellStyle name="1_Book3_So lieu quoc te(GDP)_11 (3)_Content" xfId="1227" xr:uid="{00000000-0005-0000-0000-0000AC040000}"/>
    <cellStyle name="1_Book3_So lieu quoc te(GDP)_12 (2)" xfId="1228" xr:uid="{00000000-0005-0000-0000-0000AD040000}"/>
    <cellStyle name="1_Book3_So lieu quoc te(GDP)_12 (2) 2" xfId="1229" xr:uid="{00000000-0005-0000-0000-0000AE040000}"/>
    <cellStyle name="1_Book3_So lieu quoc te(GDP)_12 (2)_Content" xfId="1230" xr:uid="{00000000-0005-0000-0000-0000AF040000}"/>
    <cellStyle name="1_Book3_So lieu quoc te(GDP)_Content" xfId="1231" xr:uid="{00000000-0005-0000-0000-0000B0040000}"/>
    <cellStyle name="1_Book3_So lieu quoc te(GDP)_Ngiam_lamnghiep_2011_v2(1)(1)" xfId="1232" xr:uid="{00000000-0005-0000-0000-0000B1040000}"/>
    <cellStyle name="1_Book3_So lieu quoc te(GDP)_Ngiam_lamnghiep_2011_v2(1)(1) 2" xfId="1233" xr:uid="{00000000-0005-0000-0000-0000B2040000}"/>
    <cellStyle name="1_Book3_So lieu quoc te(GDP)_Ngiam_lamnghiep_2011_v2(1)(1)_Content" xfId="1234" xr:uid="{00000000-0005-0000-0000-0000B3040000}"/>
    <cellStyle name="1_Book3_update comparison " xfId="1235" xr:uid="{00000000-0005-0000-0000-0000B4040000}"/>
    <cellStyle name="1_Book3_XNK" xfId="1236" xr:uid="{00000000-0005-0000-0000-0000B5040000}"/>
    <cellStyle name="1_Book3_XNK 2" xfId="1237" xr:uid="{00000000-0005-0000-0000-0000B6040000}"/>
    <cellStyle name="1_Book3_XNK_Bo sung 04 bieu Cong nghiep" xfId="1238" xr:uid="{00000000-0005-0000-0000-0000B7040000}"/>
    <cellStyle name="1_Book3_XNK_Bo sung 04 bieu Cong nghiep 2" xfId="1239" xr:uid="{00000000-0005-0000-0000-0000B8040000}"/>
    <cellStyle name="1_Book3_XNK_Bo sung 04 bieu Cong nghiep_Content" xfId="1240" xr:uid="{00000000-0005-0000-0000-0000B9040000}"/>
    <cellStyle name="1_Book3_XNK_Content" xfId="1241" xr:uid="{00000000-0005-0000-0000-0000BA040000}"/>
    <cellStyle name="1_Book4" xfId="1242" xr:uid="{00000000-0005-0000-0000-0000BB040000}"/>
    <cellStyle name="1_Book4 2" xfId="1243" xr:uid="{00000000-0005-0000-0000-0000BC040000}"/>
    <cellStyle name="1_Book4_Book1" xfId="1244" xr:uid="{00000000-0005-0000-0000-0000BD040000}"/>
    <cellStyle name="1_Book4_Book1 2" xfId="1245" xr:uid="{00000000-0005-0000-0000-0000BE040000}"/>
    <cellStyle name="1_Book4_Book1_Content" xfId="1246" xr:uid="{00000000-0005-0000-0000-0000BF040000}"/>
    <cellStyle name="1_Book4_Content" xfId="1247" xr:uid="{00000000-0005-0000-0000-0000C0040000}"/>
    <cellStyle name="1_Book4_Fiscal" xfId="1248" xr:uid="{00000000-0005-0000-0000-0000C1040000}"/>
    <cellStyle name="1_Book4_In BPFF" xfId="1249" xr:uid="{00000000-0005-0000-0000-0000C2040000}"/>
    <cellStyle name="1_Book4_In_DDebt" xfId="1250" xr:uid="{00000000-0005-0000-0000-0000C3040000}"/>
    <cellStyle name="1_Book4_In_fis" xfId="1251" xr:uid="{00000000-0005-0000-0000-0000C4040000}"/>
    <cellStyle name="1_Book4_update comparison " xfId="1252" xr:uid="{00000000-0005-0000-0000-0000C5040000}"/>
    <cellStyle name="1_BOPart4" xfId="1253" xr:uid="{00000000-0005-0000-0000-0000C6040000}"/>
    <cellStyle name="1_BOPart4_Fiscal" xfId="1254" xr:uid="{00000000-0005-0000-0000-0000C7040000}"/>
    <cellStyle name="1_BOPart4_In BPFF" xfId="1255" xr:uid="{00000000-0005-0000-0000-0000C8040000}"/>
    <cellStyle name="1_BOPart4_In_DDebt" xfId="1256" xr:uid="{00000000-0005-0000-0000-0000C9040000}"/>
    <cellStyle name="1_BOPart4_In_fis" xfId="1257" xr:uid="{00000000-0005-0000-0000-0000CA040000}"/>
    <cellStyle name="1_Brief 2002" xfId="1258" xr:uid="{00000000-0005-0000-0000-0000CB040000}"/>
    <cellStyle name="1_Brief 2002_Fiscal" xfId="1259" xr:uid="{00000000-0005-0000-0000-0000CC040000}"/>
    <cellStyle name="1_Brief 2002_In BPFF" xfId="1260" xr:uid="{00000000-0005-0000-0000-0000CD040000}"/>
    <cellStyle name="1_Brief 2002_In_DDebt" xfId="1261" xr:uid="{00000000-0005-0000-0000-0000CE040000}"/>
    <cellStyle name="1_Brief 2002_In_fis" xfId="1262" xr:uid="{00000000-0005-0000-0000-0000CF040000}"/>
    <cellStyle name="1_BRU-KI 2010-updated" xfId="1263" xr:uid="{00000000-0005-0000-0000-0000D0040000}"/>
    <cellStyle name="1_CAM-KI 2010-updated" xfId="1264" xr:uid="{00000000-0005-0000-0000-0000D1040000}"/>
    <cellStyle name="1_CAM-KI 2010-updated 2" xfId="1265" xr:uid="{00000000-0005-0000-0000-0000D2040000}"/>
    <cellStyle name="1_Content" xfId="1266" xr:uid="{00000000-0005-0000-0000-0000D3040000}"/>
    <cellStyle name="1_CSKDCT 2010" xfId="1267" xr:uid="{00000000-0005-0000-0000-0000D4040000}"/>
    <cellStyle name="1_CSKDCT 2010 2" xfId="1268" xr:uid="{00000000-0005-0000-0000-0000D5040000}"/>
    <cellStyle name="1_CSKDCT 2010_Bo sung 04 bieu Cong nghiep" xfId="1269" xr:uid="{00000000-0005-0000-0000-0000D6040000}"/>
    <cellStyle name="1_CSKDCT 2010_Bo sung 04 bieu Cong nghiep 2" xfId="1270" xr:uid="{00000000-0005-0000-0000-0000D7040000}"/>
    <cellStyle name="1_CSKDCT 2010_Bo sung 04 bieu Cong nghiep_Content" xfId="1271" xr:uid="{00000000-0005-0000-0000-0000D8040000}"/>
    <cellStyle name="1_CSKDCT 2010_Content" xfId="1272" xr:uid="{00000000-0005-0000-0000-0000D9040000}"/>
    <cellStyle name="1_CucThongke-phucdap-Tuan-Anh" xfId="1273" xr:uid="{00000000-0005-0000-0000-0000DA040000}"/>
    <cellStyle name="1_CucThongke-phucdap-Tuan-Anh 2" xfId="1274" xr:uid="{00000000-0005-0000-0000-0000DB040000}"/>
    <cellStyle name="1_CucThongke-phucdap-Tuan-Anh_Content" xfId="1275" xr:uid="{00000000-0005-0000-0000-0000DC040000}"/>
    <cellStyle name="1_dan so phan tich 10 nam(moi)" xfId="1276" xr:uid="{00000000-0005-0000-0000-0000DD040000}"/>
    <cellStyle name="1_dan so phan tich 10 nam(moi) 2" xfId="1277" xr:uid="{00000000-0005-0000-0000-0000DE040000}"/>
    <cellStyle name="1_dan so phan tich 10 nam(moi)_02 Danso_Laodong 2012(chuan) CO SO" xfId="1278" xr:uid="{00000000-0005-0000-0000-0000DF040000}"/>
    <cellStyle name="1_dan so phan tich 10 nam(moi)_02 Danso_Laodong 2012(chuan) CO SO 2" xfId="1279" xr:uid="{00000000-0005-0000-0000-0000E0040000}"/>
    <cellStyle name="1_dan so phan tich 10 nam(moi)_02 Danso_Laodong 2012(chuan) CO SO_Content" xfId="1280" xr:uid="{00000000-0005-0000-0000-0000E1040000}"/>
    <cellStyle name="1_dan so phan tich 10 nam(moi)_Content" xfId="1281" xr:uid="{00000000-0005-0000-0000-0000E2040000}"/>
    <cellStyle name="1_Dat Dai NGTT -2013" xfId="1282" xr:uid="{00000000-0005-0000-0000-0000E3040000}"/>
    <cellStyle name="1_DPG Statistical Annex Feb 10 2006" xfId="1283" xr:uid="{00000000-0005-0000-0000-0000E4040000}"/>
    <cellStyle name="1_Fiscal" xfId="1284" xr:uid="{00000000-0005-0000-0000-0000E5040000}"/>
    <cellStyle name="1_Fiscal_1" xfId="1285" xr:uid="{00000000-0005-0000-0000-0000E6040000}"/>
    <cellStyle name="1_In BPFF" xfId="1286" xr:uid="{00000000-0005-0000-0000-0000E7040000}"/>
    <cellStyle name="1_In_DDebt" xfId="1287" xr:uid="{00000000-0005-0000-0000-0000E8040000}"/>
    <cellStyle name="1_In_fis" xfId="1288" xr:uid="{00000000-0005-0000-0000-0000E9040000}"/>
    <cellStyle name="1_Lam nghiep, thuy san 2010" xfId="1289" xr:uid="{00000000-0005-0000-0000-0000EA040000}"/>
    <cellStyle name="1_Lam nghiep, thuy san 2010 (ok)" xfId="1290" xr:uid="{00000000-0005-0000-0000-0000EB040000}"/>
    <cellStyle name="1_Lam nghiep, thuy san 2010 (ok)_11 (3)" xfId="1291" xr:uid="{00000000-0005-0000-0000-0000EC040000}"/>
    <cellStyle name="1_Lam nghiep, thuy san 2010 (ok)_12 (2)" xfId="1292" xr:uid="{00000000-0005-0000-0000-0000ED040000}"/>
    <cellStyle name="1_Lam nghiep, thuy san 2010_02 Danso_Laodong 2012(chuan) CO SO" xfId="1293" xr:uid="{00000000-0005-0000-0000-0000EE040000}"/>
    <cellStyle name="1_Lam nghiep, thuy san 2010_03 TKQG va Thu chi NSNN 2012" xfId="1294" xr:uid="{00000000-0005-0000-0000-0000EF040000}"/>
    <cellStyle name="1_Lam nghiep, thuy san 2010_05 Doanh nghiep va Ca the_2011 (Ok)" xfId="1295" xr:uid="{00000000-0005-0000-0000-0000F0040000}"/>
    <cellStyle name="1_Lam nghiep, thuy san 2010_11 (3)" xfId="1296" xr:uid="{00000000-0005-0000-0000-0000F1040000}"/>
    <cellStyle name="1_Lam nghiep, thuy san 2010_12 (2)" xfId="1297" xr:uid="{00000000-0005-0000-0000-0000F2040000}"/>
    <cellStyle name="1_Lam nghiep, thuy san 2010_Bo sung 04 bieu Cong nghiep" xfId="1298" xr:uid="{00000000-0005-0000-0000-0000F3040000}"/>
    <cellStyle name="1_Lam nghiep, thuy san 2010_CucThongke-phucdap-Tuan-Anh" xfId="1299" xr:uid="{00000000-0005-0000-0000-0000F4040000}"/>
    <cellStyle name="1_Lam nghiep, thuy san 2010_Ngiam_lamnghiep_2011_v2(1)(1)" xfId="1300" xr:uid="{00000000-0005-0000-0000-0000F5040000}"/>
    <cellStyle name="1_Lam nghiep, thuy san 2010_nien giam tom tat 2010 (thuy)" xfId="1301" xr:uid="{00000000-0005-0000-0000-0000F6040000}"/>
    <cellStyle name="1_LAO-KI 2010-updated" xfId="1302" xr:uid="{00000000-0005-0000-0000-0000F7040000}"/>
    <cellStyle name="1_Maket NGTT Cong nghiep 2011" xfId="1303" xr:uid="{00000000-0005-0000-0000-0000F8040000}"/>
    <cellStyle name="1_Maket NGTT Cong nghiep 2011 2" xfId="1304" xr:uid="{00000000-0005-0000-0000-0000F9040000}"/>
    <cellStyle name="1_Maket NGTT Cong nghiep 2011_Content" xfId="1305" xr:uid="{00000000-0005-0000-0000-0000FA040000}"/>
    <cellStyle name="1_Maket NGTT Doanh Nghiep 2011" xfId="1306" xr:uid="{00000000-0005-0000-0000-0000FB040000}"/>
    <cellStyle name="1_Maket NGTT Doanh Nghiep 2011 2" xfId="1307" xr:uid="{00000000-0005-0000-0000-0000FC040000}"/>
    <cellStyle name="1_Maket NGTT Doanh Nghiep 2011_Content" xfId="1308" xr:uid="{00000000-0005-0000-0000-0000FD040000}"/>
    <cellStyle name="1_Maket NGTT Thu chi NS 2011" xfId="1309" xr:uid="{00000000-0005-0000-0000-0000FE040000}"/>
    <cellStyle name="1_Maket NGTT Thu chi NS 2011 2" xfId="1310" xr:uid="{00000000-0005-0000-0000-0000FF040000}"/>
    <cellStyle name="1_Maket NGTT Thu chi NS 2011_Content" xfId="1311" xr:uid="{00000000-0005-0000-0000-000000050000}"/>
    <cellStyle name="1_mdvmacrofr2001" xfId="1312" xr:uid="{00000000-0005-0000-0000-000001050000}"/>
    <cellStyle name="1_mdvmacrofr2001_Fiscal" xfId="1313" xr:uid="{00000000-0005-0000-0000-000002050000}"/>
    <cellStyle name="1_mdvmacrofr2001_In BPFF" xfId="1314" xr:uid="{00000000-0005-0000-0000-000003050000}"/>
    <cellStyle name="1_mdvmacrofr2001_In_DDebt" xfId="1315" xr:uid="{00000000-0005-0000-0000-000004050000}"/>
    <cellStyle name="1_mdvmacrofr2001_In_fis" xfId="1316" xr:uid="{00000000-0005-0000-0000-000005050000}"/>
    <cellStyle name="1_Ngiam_lamnghiep_2011_v2(1)(1)" xfId="1317" xr:uid="{00000000-0005-0000-0000-000006050000}"/>
    <cellStyle name="1_Ngiam_lamnghiep_2011_v2(1)(1) 2" xfId="1318" xr:uid="{00000000-0005-0000-0000-000007050000}"/>
    <cellStyle name="1_Ngiam_lamnghiep_2011_v2(1)(1)_Content" xfId="1319" xr:uid="{00000000-0005-0000-0000-000008050000}"/>
    <cellStyle name="1_NGTT Ca the 2011 Diep" xfId="1320" xr:uid="{00000000-0005-0000-0000-000009050000}"/>
    <cellStyle name="1_NGTT Ca the 2011 Diep 2" xfId="1321" xr:uid="{00000000-0005-0000-0000-00000A050000}"/>
    <cellStyle name="1_NGTT Ca the 2011 Diep_Content" xfId="1322" xr:uid="{00000000-0005-0000-0000-00000B050000}"/>
    <cellStyle name="1_Nongnghiep" xfId="1323" xr:uid="{00000000-0005-0000-0000-00000C050000}"/>
    <cellStyle name="1_Nongnghiep 2" xfId="1324" xr:uid="{00000000-0005-0000-0000-00000D050000}"/>
    <cellStyle name="1_Nongnghiep_Bo sung 04 bieu Cong nghiep" xfId="1325" xr:uid="{00000000-0005-0000-0000-00000E050000}"/>
    <cellStyle name="1_Nongnghiep_Bo sung 04 bieu Cong nghiep 2" xfId="1326" xr:uid="{00000000-0005-0000-0000-00000F050000}"/>
    <cellStyle name="1_Nongnghiep_Bo sung 04 bieu Cong nghiep_Content" xfId="1327" xr:uid="{00000000-0005-0000-0000-000010050000}"/>
    <cellStyle name="1_Nongnghiep_Content" xfId="1328" xr:uid="{00000000-0005-0000-0000-000011050000}"/>
    <cellStyle name="1_Phan i (in)" xfId="1329" xr:uid="{00000000-0005-0000-0000-000012050000}"/>
    <cellStyle name="1_So lieu quoc te TH" xfId="1330" xr:uid="{00000000-0005-0000-0000-000013050000}"/>
    <cellStyle name="1_So lieu quoc te TH 2" xfId="1331" xr:uid="{00000000-0005-0000-0000-000014050000}"/>
    <cellStyle name="1_So lieu quoc te TH_Content" xfId="1332" xr:uid="{00000000-0005-0000-0000-000015050000}"/>
    <cellStyle name="1_So lieu quoc te(GDP)" xfId="1333" xr:uid="{00000000-0005-0000-0000-000016050000}"/>
    <cellStyle name="1_So lieu quoc te(GDP) 2" xfId="1334" xr:uid="{00000000-0005-0000-0000-000017050000}"/>
    <cellStyle name="1_So lieu quoc te(GDP)_03 TKQG va Thu chi NSNN 2012" xfId="1335" xr:uid="{00000000-0005-0000-0000-000018050000}"/>
    <cellStyle name="1_So lieu quoc te(GDP)_03 TKQG va Thu chi NSNN 2012 2" xfId="1336" xr:uid="{00000000-0005-0000-0000-000019050000}"/>
    <cellStyle name="1_So lieu quoc te(GDP)_03 TKQG va Thu chi NSNN 2012_Content" xfId="1337" xr:uid="{00000000-0005-0000-0000-00001A050000}"/>
    <cellStyle name="1_So lieu quoc te(GDP)_05 Doanh nghiep va Ca the_2011 (Ok)" xfId="1338" xr:uid="{00000000-0005-0000-0000-00001B050000}"/>
    <cellStyle name="1_So lieu quoc te(GDP)_11 (3)" xfId="1339" xr:uid="{00000000-0005-0000-0000-00001C050000}"/>
    <cellStyle name="1_So lieu quoc te(GDP)_11 (3) 2" xfId="1340" xr:uid="{00000000-0005-0000-0000-00001D050000}"/>
    <cellStyle name="1_So lieu quoc te(GDP)_11 (3)_Content" xfId="1341" xr:uid="{00000000-0005-0000-0000-00001E050000}"/>
    <cellStyle name="1_So lieu quoc te(GDP)_12 (2)" xfId="1342" xr:uid="{00000000-0005-0000-0000-00001F050000}"/>
    <cellStyle name="1_So lieu quoc te(GDP)_12 (2) 2" xfId="1343" xr:uid="{00000000-0005-0000-0000-000020050000}"/>
    <cellStyle name="1_So lieu quoc te(GDP)_12 (2)_Content" xfId="1344" xr:uid="{00000000-0005-0000-0000-000021050000}"/>
    <cellStyle name="1_So lieu quoc te(GDP)_Content" xfId="1345" xr:uid="{00000000-0005-0000-0000-000022050000}"/>
    <cellStyle name="1_So lieu quoc te(GDP)_Ngiam_lamnghiep_2011_v2(1)(1)" xfId="1346" xr:uid="{00000000-0005-0000-0000-000023050000}"/>
    <cellStyle name="1_So lieu quoc te(GDP)_Ngiam_lamnghiep_2011_v2(1)(1) 2" xfId="1347" xr:uid="{00000000-0005-0000-0000-000024050000}"/>
    <cellStyle name="1_So lieu quoc te(GDP)_Ngiam_lamnghiep_2011_v2(1)(1)_Content" xfId="1348" xr:uid="{00000000-0005-0000-0000-000025050000}"/>
    <cellStyle name="1_Tong hop 1" xfId="1349" xr:uid="{00000000-0005-0000-0000-000026050000}"/>
    <cellStyle name="1_Tong hop NGTT" xfId="1350" xr:uid="{00000000-0005-0000-0000-000027050000}"/>
    <cellStyle name="1_Tong hop NGTT 2" xfId="1351" xr:uid="{00000000-0005-0000-0000-000028050000}"/>
    <cellStyle name="1_Tong hop NGTT_Content" xfId="1352" xr:uid="{00000000-0005-0000-0000-000029050000}"/>
    <cellStyle name="1_update comparison " xfId="1353" xr:uid="{00000000-0005-0000-0000-00002A050000}"/>
    <cellStyle name="1_WEO" xfId="1354" xr:uid="{00000000-0005-0000-0000-00002B050000}"/>
    <cellStyle name="1_WEO_Fiscal" xfId="1355" xr:uid="{00000000-0005-0000-0000-00002C050000}"/>
    <cellStyle name="1_WEO_In BPFF" xfId="1356" xr:uid="{00000000-0005-0000-0000-00002D050000}"/>
    <cellStyle name="1_WEO_In_DDebt" xfId="1357" xr:uid="{00000000-0005-0000-0000-00002E050000}"/>
    <cellStyle name="1_WEO_In_fis" xfId="1358" xr:uid="{00000000-0005-0000-0000-00002F050000}"/>
    <cellStyle name="1_XNK" xfId="1359" xr:uid="{00000000-0005-0000-0000-000030050000}"/>
    <cellStyle name="1_XNK 2" xfId="1360" xr:uid="{00000000-0005-0000-0000-000031050000}"/>
    <cellStyle name="1_XNK_Bo sung 04 bieu Cong nghiep" xfId="1361" xr:uid="{00000000-0005-0000-0000-000032050000}"/>
    <cellStyle name="1_XNK_Bo sung 04 bieu Cong nghiep 2" xfId="1362" xr:uid="{00000000-0005-0000-0000-000033050000}"/>
    <cellStyle name="1_XNK_Bo sung 04 bieu Cong nghiep_Content" xfId="1363" xr:uid="{00000000-0005-0000-0000-000034050000}"/>
    <cellStyle name="1_XNK_Content" xfId="1364" xr:uid="{00000000-0005-0000-0000-000035050000}"/>
    <cellStyle name="¹éºÐÀ²_      " xfId="1365" xr:uid="{00000000-0005-0000-0000-000036050000}"/>
    <cellStyle name="2 indents" xfId="1366" xr:uid="{00000000-0005-0000-0000-000037050000}"/>
    <cellStyle name="2 indents 2" xfId="1367" xr:uid="{00000000-0005-0000-0000-000038050000}"/>
    <cellStyle name="2 indents 3" xfId="1368" xr:uid="{00000000-0005-0000-0000-000039050000}"/>
    <cellStyle name="2 indents 4" xfId="1369" xr:uid="{00000000-0005-0000-0000-00003A050000}"/>
    <cellStyle name="2 indents 5" xfId="1370" xr:uid="{00000000-0005-0000-0000-00003B050000}"/>
    <cellStyle name="20% - Accent1 10" xfId="1371" xr:uid="{00000000-0005-0000-0000-00003C050000}"/>
    <cellStyle name="20% - Accent1 11" xfId="1372" xr:uid="{00000000-0005-0000-0000-00003D050000}"/>
    <cellStyle name="20% - Accent1 12" xfId="1373" xr:uid="{00000000-0005-0000-0000-00003E050000}"/>
    <cellStyle name="20% - Accent1 13" xfId="1374" xr:uid="{00000000-0005-0000-0000-00003F050000}"/>
    <cellStyle name="20% - Accent1 14" xfId="1375" xr:uid="{00000000-0005-0000-0000-000040050000}"/>
    <cellStyle name="20% - Accent1 15" xfId="1376" xr:uid="{00000000-0005-0000-0000-000041050000}"/>
    <cellStyle name="20% - Accent1 16" xfId="1377" xr:uid="{00000000-0005-0000-0000-000042050000}"/>
    <cellStyle name="20% - Accent1 17" xfId="1378" xr:uid="{00000000-0005-0000-0000-000043050000}"/>
    <cellStyle name="20% - Accent1 2" xfId="1379" xr:uid="{00000000-0005-0000-0000-000044050000}"/>
    <cellStyle name="20% - Accent1 2 2" xfId="1380" xr:uid="{00000000-0005-0000-0000-000045050000}"/>
    <cellStyle name="20% - Accent1 2_update comparison " xfId="1381" xr:uid="{00000000-0005-0000-0000-000046050000}"/>
    <cellStyle name="20% - Accent1 3" xfId="1382" xr:uid="{00000000-0005-0000-0000-000047050000}"/>
    <cellStyle name="20% - Accent1 3 2" xfId="1383" xr:uid="{00000000-0005-0000-0000-000048050000}"/>
    <cellStyle name="20% - Accent1 4" xfId="1384" xr:uid="{00000000-0005-0000-0000-000049050000}"/>
    <cellStyle name="20% - Accent1 5" xfId="1385" xr:uid="{00000000-0005-0000-0000-00004A050000}"/>
    <cellStyle name="20% - Accent1 6" xfId="1386" xr:uid="{00000000-0005-0000-0000-00004B050000}"/>
    <cellStyle name="20% - Accent1 7" xfId="1387" xr:uid="{00000000-0005-0000-0000-00004C050000}"/>
    <cellStyle name="20% - Accent1 8" xfId="1388" xr:uid="{00000000-0005-0000-0000-00004D050000}"/>
    <cellStyle name="20% - Accent1 9" xfId="1389" xr:uid="{00000000-0005-0000-0000-00004E050000}"/>
    <cellStyle name="20% - Accent2 10" xfId="1390" xr:uid="{00000000-0005-0000-0000-00004F050000}"/>
    <cellStyle name="20% - Accent2 11" xfId="1391" xr:uid="{00000000-0005-0000-0000-000050050000}"/>
    <cellStyle name="20% - Accent2 12" xfId="1392" xr:uid="{00000000-0005-0000-0000-000051050000}"/>
    <cellStyle name="20% - Accent2 13" xfId="1393" xr:uid="{00000000-0005-0000-0000-000052050000}"/>
    <cellStyle name="20% - Accent2 14" xfId="1394" xr:uid="{00000000-0005-0000-0000-000053050000}"/>
    <cellStyle name="20% - Accent2 15" xfId="1395" xr:uid="{00000000-0005-0000-0000-000054050000}"/>
    <cellStyle name="20% - Accent2 16" xfId="1396" xr:uid="{00000000-0005-0000-0000-000055050000}"/>
    <cellStyle name="20% - Accent2 17" xfId="1397" xr:uid="{00000000-0005-0000-0000-000056050000}"/>
    <cellStyle name="20% - Accent2 2" xfId="1398" xr:uid="{00000000-0005-0000-0000-000057050000}"/>
    <cellStyle name="20% - Accent2 2 2" xfId="1399" xr:uid="{00000000-0005-0000-0000-000058050000}"/>
    <cellStyle name="20% - Accent2 2_update comparison " xfId="1400" xr:uid="{00000000-0005-0000-0000-000059050000}"/>
    <cellStyle name="20% - Accent2 3" xfId="1401" xr:uid="{00000000-0005-0000-0000-00005A050000}"/>
    <cellStyle name="20% - Accent2 3 2" xfId="1402" xr:uid="{00000000-0005-0000-0000-00005B050000}"/>
    <cellStyle name="20% - Accent2 4" xfId="1403" xr:uid="{00000000-0005-0000-0000-00005C050000}"/>
    <cellStyle name="20% - Accent2 5" xfId="1404" xr:uid="{00000000-0005-0000-0000-00005D050000}"/>
    <cellStyle name="20% - Accent2 6" xfId="1405" xr:uid="{00000000-0005-0000-0000-00005E050000}"/>
    <cellStyle name="20% - Accent2 7" xfId="1406" xr:uid="{00000000-0005-0000-0000-00005F050000}"/>
    <cellStyle name="20% - Accent2 8" xfId="1407" xr:uid="{00000000-0005-0000-0000-000060050000}"/>
    <cellStyle name="20% - Accent2 9" xfId="1408" xr:uid="{00000000-0005-0000-0000-000061050000}"/>
    <cellStyle name="20% - Accent3 10" xfId="1409" xr:uid="{00000000-0005-0000-0000-000062050000}"/>
    <cellStyle name="20% - Accent3 11" xfId="1410" xr:uid="{00000000-0005-0000-0000-000063050000}"/>
    <cellStyle name="20% - Accent3 12" xfId="1411" xr:uid="{00000000-0005-0000-0000-000064050000}"/>
    <cellStyle name="20% - Accent3 13" xfId="1412" xr:uid="{00000000-0005-0000-0000-000065050000}"/>
    <cellStyle name="20% - Accent3 14" xfId="1413" xr:uid="{00000000-0005-0000-0000-000066050000}"/>
    <cellStyle name="20% - Accent3 15" xfId="1414" xr:uid="{00000000-0005-0000-0000-000067050000}"/>
    <cellStyle name="20% - Accent3 16" xfId="1415" xr:uid="{00000000-0005-0000-0000-000068050000}"/>
    <cellStyle name="20% - Accent3 17" xfId="1416" xr:uid="{00000000-0005-0000-0000-000069050000}"/>
    <cellStyle name="20% - Accent3 2" xfId="1417" xr:uid="{00000000-0005-0000-0000-00006A050000}"/>
    <cellStyle name="20% - Accent3 2 2" xfId="1418" xr:uid="{00000000-0005-0000-0000-00006B050000}"/>
    <cellStyle name="20% - Accent3 2_update comparison " xfId="1419" xr:uid="{00000000-0005-0000-0000-00006C050000}"/>
    <cellStyle name="20% - Accent3 3" xfId="1420" xr:uid="{00000000-0005-0000-0000-00006D050000}"/>
    <cellStyle name="20% - Accent3 3 2" xfId="1421" xr:uid="{00000000-0005-0000-0000-00006E050000}"/>
    <cellStyle name="20% - Accent3 4" xfId="1422" xr:uid="{00000000-0005-0000-0000-00006F050000}"/>
    <cellStyle name="20% - Accent3 5" xfId="1423" xr:uid="{00000000-0005-0000-0000-000070050000}"/>
    <cellStyle name="20% - Accent3 6" xfId="1424" xr:uid="{00000000-0005-0000-0000-000071050000}"/>
    <cellStyle name="20% - Accent3 7" xfId="1425" xr:uid="{00000000-0005-0000-0000-000072050000}"/>
    <cellStyle name="20% - Accent3 8" xfId="1426" xr:uid="{00000000-0005-0000-0000-000073050000}"/>
    <cellStyle name="20% - Accent3 9" xfId="1427" xr:uid="{00000000-0005-0000-0000-000074050000}"/>
    <cellStyle name="20% - Accent4 10" xfId="1428" xr:uid="{00000000-0005-0000-0000-000075050000}"/>
    <cellStyle name="20% - Accent4 11" xfId="1429" xr:uid="{00000000-0005-0000-0000-000076050000}"/>
    <cellStyle name="20% - Accent4 12" xfId="1430" xr:uid="{00000000-0005-0000-0000-000077050000}"/>
    <cellStyle name="20% - Accent4 13" xfId="1431" xr:uid="{00000000-0005-0000-0000-000078050000}"/>
    <cellStyle name="20% - Accent4 14" xfId="1432" xr:uid="{00000000-0005-0000-0000-000079050000}"/>
    <cellStyle name="20% - Accent4 15" xfId="1433" xr:uid="{00000000-0005-0000-0000-00007A050000}"/>
    <cellStyle name="20% - Accent4 16" xfId="1434" xr:uid="{00000000-0005-0000-0000-00007B050000}"/>
    <cellStyle name="20% - Accent4 17" xfId="1435" xr:uid="{00000000-0005-0000-0000-00007C050000}"/>
    <cellStyle name="20% - Accent4 2" xfId="1436" xr:uid="{00000000-0005-0000-0000-00007D050000}"/>
    <cellStyle name="20% - Accent4 2 2" xfId="1437" xr:uid="{00000000-0005-0000-0000-00007E050000}"/>
    <cellStyle name="20% - Accent4 2_update comparison " xfId="1438" xr:uid="{00000000-0005-0000-0000-00007F050000}"/>
    <cellStyle name="20% - Accent4 3" xfId="1439" xr:uid="{00000000-0005-0000-0000-000080050000}"/>
    <cellStyle name="20% - Accent4 3 2" xfId="1440" xr:uid="{00000000-0005-0000-0000-000081050000}"/>
    <cellStyle name="20% - Accent4 4" xfId="1441" xr:uid="{00000000-0005-0000-0000-000082050000}"/>
    <cellStyle name="20% - Accent4 5" xfId="1442" xr:uid="{00000000-0005-0000-0000-000083050000}"/>
    <cellStyle name="20% - Accent4 6" xfId="1443" xr:uid="{00000000-0005-0000-0000-000084050000}"/>
    <cellStyle name="20% - Accent4 7" xfId="1444" xr:uid="{00000000-0005-0000-0000-000085050000}"/>
    <cellStyle name="20% - Accent4 8" xfId="1445" xr:uid="{00000000-0005-0000-0000-000086050000}"/>
    <cellStyle name="20% - Accent4 9" xfId="1446" xr:uid="{00000000-0005-0000-0000-000087050000}"/>
    <cellStyle name="20% - Accent5 10" xfId="1447" xr:uid="{00000000-0005-0000-0000-000088050000}"/>
    <cellStyle name="20% - Accent5 11" xfId="1448" xr:uid="{00000000-0005-0000-0000-000089050000}"/>
    <cellStyle name="20% - Accent5 12" xfId="1449" xr:uid="{00000000-0005-0000-0000-00008A050000}"/>
    <cellStyle name="20% - Accent5 13" xfId="1450" xr:uid="{00000000-0005-0000-0000-00008B050000}"/>
    <cellStyle name="20% - Accent5 14" xfId="1451" xr:uid="{00000000-0005-0000-0000-00008C050000}"/>
    <cellStyle name="20% - Accent5 15" xfId="1452" xr:uid="{00000000-0005-0000-0000-00008D050000}"/>
    <cellStyle name="20% - Accent5 16" xfId="1453" xr:uid="{00000000-0005-0000-0000-00008E050000}"/>
    <cellStyle name="20% - Accent5 17" xfId="1454" xr:uid="{00000000-0005-0000-0000-00008F050000}"/>
    <cellStyle name="20% - Accent5 2" xfId="1455" xr:uid="{00000000-0005-0000-0000-000090050000}"/>
    <cellStyle name="20% - Accent5 3" xfId="1456" xr:uid="{00000000-0005-0000-0000-000091050000}"/>
    <cellStyle name="20% - Accent5 3 2" xfId="1457" xr:uid="{00000000-0005-0000-0000-000092050000}"/>
    <cellStyle name="20% - Accent5 4" xfId="1458" xr:uid="{00000000-0005-0000-0000-000093050000}"/>
    <cellStyle name="20% - Accent5 5" xfId="1459" xr:uid="{00000000-0005-0000-0000-000094050000}"/>
    <cellStyle name="20% - Accent5 6" xfId="1460" xr:uid="{00000000-0005-0000-0000-000095050000}"/>
    <cellStyle name="20% - Accent5 7" xfId="1461" xr:uid="{00000000-0005-0000-0000-000096050000}"/>
    <cellStyle name="20% - Accent5 8" xfId="1462" xr:uid="{00000000-0005-0000-0000-000097050000}"/>
    <cellStyle name="20% - Accent5 9" xfId="1463" xr:uid="{00000000-0005-0000-0000-000098050000}"/>
    <cellStyle name="20% - Accent6 10" xfId="1464" xr:uid="{00000000-0005-0000-0000-000099050000}"/>
    <cellStyle name="20% - Accent6 11" xfId="1465" xr:uid="{00000000-0005-0000-0000-00009A050000}"/>
    <cellStyle name="20% - Accent6 12" xfId="1466" xr:uid="{00000000-0005-0000-0000-00009B050000}"/>
    <cellStyle name="20% - Accent6 13" xfId="1467" xr:uid="{00000000-0005-0000-0000-00009C050000}"/>
    <cellStyle name="20% - Accent6 14" xfId="1468" xr:uid="{00000000-0005-0000-0000-00009D050000}"/>
    <cellStyle name="20% - Accent6 15" xfId="1469" xr:uid="{00000000-0005-0000-0000-00009E050000}"/>
    <cellStyle name="20% - Accent6 16" xfId="1470" xr:uid="{00000000-0005-0000-0000-00009F050000}"/>
    <cellStyle name="20% - Accent6 17" xfId="1471" xr:uid="{00000000-0005-0000-0000-0000A0050000}"/>
    <cellStyle name="20% - Accent6 2" xfId="1472" xr:uid="{00000000-0005-0000-0000-0000A1050000}"/>
    <cellStyle name="20% - Accent6 2 2" xfId="1473" xr:uid="{00000000-0005-0000-0000-0000A2050000}"/>
    <cellStyle name="20% - Accent6 2_update comparison " xfId="1474" xr:uid="{00000000-0005-0000-0000-0000A3050000}"/>
    <cellStyle name="20% - Accent6 3" xfId="1475" xr:uid="{00000000-0005-0000-0000-0000A4050000}"/>
    <cellStyle name="20% - Accent6 3 2" xfId="1476" xr:uid="{00000000-0005-0000-0000-0000A5050000}"/>
    <cellStyle name="20% - Accent6 4" xfId="1477" xr:uid="{00000000-0005-0000-0000-0000A6050000}"/>
    <cellStyle name="20% - Accent6 5" xfId="1478" xr:uid="{00000000-0005-0000-0000-0000A7050000}"/>
    <cellStyle name="20% - Accent6 6" xfId="1479" xr:uid="{00000000-0005-0000-0000-0000A8050000}"/>
    <cellStyle name="20% - Accent6 7" xfId="1480" xr:uid="{00000000-0005-0000-0000-0000A9050000}"/>
    <cellStyle name="20% - Accent6 8" xfId="1481" xr:uid="{00000000-0005-0000-0000-0000AA050000}"/>
    <cellStyle name="20% - Accent6 9" xfId="1482" xr:uid="{00000000-0005-0000-0000-0000AB050000}"/>
    <cellStyle name="20% - 강조색1" xfId="1483" xr:uid="{00000000-0005-0000-0000-0000AC050000}"/>
    <cellStyle name="20% - 강조색2" xfId="1484" xr:uid="{00000000-0005-0000-0000-0000AD050000}"/>
    <cellStyle name="20% - 강조색3" xfId="1485" xr:uid="{00000000-0005-0000-0000-0000AE050000}"/>
    <cellStyle name="20% - 강조색4" xfId="1486" xr:uid="{00000000-0005-0000-0000-0000AF050000}"/>
    <cellStyle name="20% - 강조색5" xfId="1487" xr:uid="{00000000-0005-0000-0000-0000B0050000}"/>
    <cellStyle name="20% - 강조색6" xfId="1488" xr:uid="{00000000-0005-0000-0000-0000B1050000}"/>
    <cellStyle name="3 indents" xfId="1489" xr:uid="{00000000-0005-0000-0000-0000B2050000}"/>
    <cellStyle name="3 indents 2" xfId="1490" xr:uid="{00000000-0005-0000-0000-0000B3050000}"/>
    <cellStyle name="3 indents 3" xfId="1491" xr:uid="{00000000-0005-0000-0000-0000B4050000}"/>
    <cellStyle name="3 indents 4" xfId="1492" xr:uid="{00000000-0005-0000-0000-0000B5050000}"/>
    <cellStyle name="3 indents 5" xfId="1493" xr:uid="{00000000-0005-0000-0000-0000B6050000}"/>
    <cellStyle name="4 indents" xfId="1494" xr:uid="{00000000-0005-0000-0000-0000B7050000}"/>
    <cellStyle name="4 indents 2" xfId="1495" xr:uid="{00000000-0005-0000-0000-0000B8050000}"/>
    <cellStyle name="4 indents 3" xfId="1496" xr:uid="{00000000-0005-0000-0000-0000B9050000}"/>
    <cellStyle name="4 indents 4" xfId="1497" xr:uid="{00000000-0005-0000-0000-0000BA050000}"/>
    <cellStyle name="4 indents 5" xfId="1498" xr:uid="{00000000-0005-0000-0000-0000BB050000}"/>
    <cellStyle name="40% - Accent1 10" xfId="1499" xr:uid="{00000000-0005-0000-0000-0000BC050000}"/>
    <cellStyle name="40% - Accent1 11" xfId="1500" xr:uid="{00000000-0005-0000-0000-0000BD050000}"/>
    <cellStyle name="40% - Accent1 12" xfId="1501" xr:uid="{00000000-0005-0000-0000-0000BE050000}"/>
    <cellStyle name="40% - Accent1 13" xfId="1502" xr:uid="{00000000-0005-0000-0000-0000BF050000}"/>
    <cellStyle name="40% - Accent1 14" xfId="1503" xr:uid="{00000000-0005-0000-0000-0000C0050000}"/>
    <cellStyle name="40% - Accent1 15" xfId="1504" xr:uid="{00000000-0005-0000-0000-0000C1050000}"/>
    <cellStyle name="40% - Accent1 16" xfId="1505" xr:uid="{00000000-0005-0000-0000-0000C2050000}"/>
    <cellStyle name="40% - Accent1 17" xfId="1506" xr:uid="{00000000-0005-0000-0000-0000C3050000}"/>
    <cellStyle name="40% - Accent1 2" xfId="1507" xr:uid="{00000000-0005-0000-0000-0000C4050000}"/>
    <cellStyle name="40% - Accent1 2 2" xfId="1508" xr:uid="{00000000-0005-0000-0000-0000C5050000}"/>
    <cellStyle name="40% - Accent1 2_update comparison " xfId="1509" xr:uid="{00000000-0005-0000-0000-0000C6050000}"/>
    <cellStyle name="40% - Accent1 3" xfId="1510" xr:uid="{00000000-0005-0000-0000-0000C7050000}"/>
    <cellStyle name="40% - Accent1 3 2" xfId="1511" xr:uid="{00000000-0005-0000-0000-0000C8050000}"/>
    <cellStyle name="40% - Accent1 4" xfId="1512" xr:uid="{00000000-0005-0000-0000-0000C9050000}"/>
    <cellStyle name="40% - Accent1 5" xfId="1513" xr:uid="{00000000-0005-0000-0000-0000CA050000}"/>
    <cellStyle name="40% - Accent1 6" xfId="1514" xr:uid="{00000000-0005-0000-0000-0000CB050000}"/>
    <cellStyle name="40% - Accent1 7" xfId="1515" xr:uid="{00000000-0005-0000-0000-0000CC050000}"/>
    <cellStyle name="40% - Accent1 8" xfId="1516" xr:uid="{00000000-0005-0000-0000-0000CD050000}"/>
    <cellStyle name="40% - Accent1 9" xfId="1517" xr:uid="{00000000-0005-0000-0000-0000CE050000}"/>
    <cellStyle name="40% - Accent2 10" xfId="1518" xr:uid="{00000000-0005-0000-0000-0000CF050000}"/>
    <cellStyle name="40% - Accent2 11" xfId="1519" xr:uid="{00000000-0005-0000-0000-0000D0050000}"/>
    <cellStyle name="40% - Accent2 12" xfId="1520" xr:uid="{00000000-0005-0000-0000-0000D1050000}"/>
    <cellStyle name="40% - Accent2 13" xfId="1521" xr:uid="{00000000-0005-0000-0000-0000D2050000}"/>
    <cellStyle name="40% - Accent2 14" xfId="1522" xr:uid="{00000000-0005-0000-0000-0000D3050000}"/>
    <cellStyle name="40% - Accent2 15" xfId="1523" xr:uid="{00000000-0005-0000-0000-0000D4050000}"/>
    <cellStyle name="40% - Accent2 16" xfId="1524" xr:uid="{00000000-0005-0000-0000-0000D5050000}"/>
    <cellStyle name="40% - Accent2 17" xfId="1525" xr:uid="{00000000-0005-0000-0000-0000D6050000}"/>
    <cellStyle name="40% - Accent2 2" xfId="1526" xr:uid="{00000000-0005-0000-0000-0000D7050000}"/>
    <cellStyle name="40% - Accent2 3" xfId="1527" xr:uid="{00000000-0005-0000-0000-0000D8050000}"/>
    <cellStyle name="40% - Accent2 3 2" xfId="1528" xr:uid="{00000000-0005-0000-0000-0000D9050000}"/>
    <cellStyle name="40% - Accent2 4" xfId="1529" xr:uid="{00000000-0005-0000-0000-0000DA050000}"/>
    <cellStyle name="40% - Accent2 5" xfId="1530" xr:uid="{00000000-0005-0000-0000-0000DB050000}"/>
    <cellStyle name="40% - Accent2 6" xfId="1531" xr:uid="{00000000-0005-0000-0000-0000DC050000}"/>
    <cellStyle name="40% - Accent2 7" xfId="1532" xr:uid="{00000000-0005-0000-0000-0000DD050000}"/>
    <cellStyle name="40% - Accent2 8" xfId="1533" xr:uid="{00000000-0005-0000-0000-0000DE050000}"/>
    <cellStyle name="40% - Accent2 9" xfId="1534" xr:uid="{00000000-0005-0000-0000-0000DF050000}"/>
    <cellStyle name="40% - Accent3 10" xfId="1535" xr:uid="{00000000-0005-0000-0000-0000E0050000}"/>
    <cellStyle name="40% - Accent3 11" xfId="1536" xr:uid="{00000000-0005-0000-0000-0000E1050000}"/>
    <cellStyle name="40% - Accent3 12" xfId="1537" xr:uid="{00000000-0005-0000-0000-0000E2050000}"/>
    <cellStyle name="40% - Accent3 13" xfId="1538" xr:uid="{00000000-0005-0000-0000-0000E3050000}"/>
    <cellStyle name="40% - Accent3 14" xfId="1539" xr:uid="{00000000-0005-0000-0000-0000E4050000}"/>
    <cellStyle name="40% - Accent3 15" xfId="1540" xr:uid="{00000000-0005-0000-0000-0000E5050000}"/>
    <cellStyle name="40% - Accent3 16" xfId="1541" xr:uid="{00000000-0005-0000-0000-0000E6050000}"/>
    <cellStyle name="40% - Accent3 17" xfId="1542" xr:uid="{00000000-0005-0000-0000-0000E7050000}"/>
    <cellStyle name="40% - Accent3 2" xfId="1543" xr:uid="{00000000-0005-0000-0000-0000E8050000}"/>
    <cellStyle name="40% - Accent3 2 2" xfId="1544" xr:uid="{00000000-0005-0000-0000-0000E9050000}"/>
    <cellStyle name="40% - Accent3 2_update comparison " xfId="1545" xr:uid="{00000000-0005-0000-0000-0000EA050000}"/>
    <cellStyle name="40% - Accent3 3" xfId="1546" xr:uid="{00000000-0005-0000-0000-0000EB050000}"/>
    <cellStyle name="40% - Accent3 3 2" xfId="1547" xr:uid="{00000000-0005-0000-0000-0000EC050000}"/>
    <cellStyle name="40% - Accent3 4" xfId="1548" xr:uid="{00000000-0005-0000-0000-0000ED050000}"/>
    <cellStyle name="40% - Accent3 5" xfId="1549" xr:uid="{00000000-0005-0000-0000-0000EE050000}"/>
    <cellStyle name="40% - Accent3 6" xfId="1550" xr:uid="{00000000-0005-0000-0000-0000EF050000}"/>
    <cellStyle name="40% - Accent3 7" xfId="1551" xr:uid="{00000000-0005-0000-0000-0000F0050000}"/>
    <cellStyle name="40% - Accent3 8" xfId="1552" xr:uid="{00000000-0005-0000-0000-0000F1050000}"/>
    <cellStyle name="40% - Accent3 9" xfId="1553" xr:uid="{00000000-0005-0000-0000-0000F2050000}"/>
    <cellStyle name="40% - Accent4 10" xfId="1554" xr:uid="{00000000-0005-0000-0000-0000F3050000}"/>
    <cellStyle name="40% - Accent4 11" xfId="1555" xr:uid="{00000000-0005-0000-0000-0000F4050000}"/>
    <cellStyle name="40% - Accent4 12" xfId="1556" xr:uid="{00000000-0005-0000-0000-0000F5050000}"/>
    <cellStyle name="40% - Accent4 13" xfId="1557" xr:uid="{00000000-0005-0000-0000-0000F6050000}"/>
    <cellStyle name="40% - Accent4 14" xfId="1558" xr:uid="{00000000-0005-0000-0000-0000F7050000}"/>
    <cellStyle name="40% - Accent4 15" xfId="1559" xr:uid="{00000000-0005-0000-0000-0000F8050000}"/>
    <cellStyle name="40% - Accent4 16" xfId="1560" xr:uid="{00000000-0005-0000-0000-0000F9050000}"/>
    <cellStyle name="40% - Accent4 17" xfId="1561" xr:uid="{00000000-0005-0000-0000-0000FA050000}"/>
    <cellStyle name="40% - Accent4 2" xfId="1562" xr:uid="{00000000-0005-0000-0000-0000FB050000}"/>
    <cellStyle name="40% - Accent4 2 2" xfId="1563" xr:uid="{00000000-0005-0000-0000-0000FC050000}"/>
    <cellStyle name="40% - Accent4 2_update comparison " xfId="1564" xr:uid="{00000000-0005-0000-0000-0000FD050000}"/>
    <cellStyle name="40% - Accent4 3" xfId="1565" xr:uid="{00000000-0005-0000-0000-0000FE050000}"/>
    <cellStyle name="40% - Accent4 3 2" xfId="1566" xr:uid="{00000000-0005-0000-0000-0000FF050000}"/>
    <cellStyle name="40% - Accent4 4" xfId="1567" xr:uid="{00000000-0005-0000-0000-000000060000}"/>
    <cellStyle name="40% - Accent4 5" xfId="1568" xr:uid="{00000000-0005-0000-0000-000001060000}"/>
    <cellStyle name="40% - Accent4 6" xfId="1569" xr:uid="{00000000-0005-0000-0000-000002060000}"/>
    <cellStyle name="40% - Accent4 7" xfId="1570" xr:uid="{00000000-0005-0000-0000-000003060000}"/>
    <cellStyle name="40% - Accent4 8" xfId="1571" xr:uid="{00000000-0005-0000-0000-000004060000}"/>
    <cellStyle name="40% - Accent4 9" xfId="1572" xr:uid="{00000000-0005-0000-0000-000005060000}"/>
    <cellStyle name="40% - Accent5 10" xfId="1573" xr:uid="{00000000-0005-0000-0000-000006060000}"/>
    <cellStyle name="40% - Accent5 11" xfId="1574" xr:uid="{00000000-0005-0000-0000-000007060000}"/>
    <cellStyle name="40% - Accent5 12" xfId="1575" xr:uid="{00000000-0005-0000-0000-000008060000}"/>
    <cellStyle name="40% - Accent5 13" xfId="1576" xr:uid="{00000000-0005-0000-0000-000009060000}"/>
    <cellStyle name="40% - Accent5 14" xfId="1577" xr:uid="{00000000-0005-0000-0000-00000A060000}"/>
    <cellStyle name="40% - Accent5 15" xfId="1578" xr:uid="{00000000-0005-0000-0000-00000B060000}"/>
    <cellStyle name="40% - Accent5 16" xfId="1579" xr:uid="{00000000-0005-0000-0000-00000C060000}"/>
    <cellStyle name="40% - Accent5 17" xfId="1580" xr:uid="{00000000-0005-0000-0000-00000D060000}"/>
    <cellStyle name="40% - Accent5 2" xfId="1581" xr:uid="{00000000-0005-0000-0000-00000E060000}"/>
    <cellStyle name="40% - Accent5 2 2" xfId="1582" xr:uid="{00000000-0005-0000-0000-00000F060000}"/>
    <cellStyle name="40% - Accent5 2_update comparison " xfId="1583" xr:uid="{00000000-0005-0000-0000-000010060000}"/>
    <cellStyle name="40% - Accent5 3" xfId="1584" xr:uid="{00000000-0005-0000-0000-000011060000}"/>
    <cellStyle name="40% - Accent5 3 2" xfId="1585" xr:uid="{00000000-0005-0000-0000-000012060000}"/>
    <cellStyle name="40% - Accent5 4" xfId="1586" xr:uid="{00000000-0005-0000-0000-000013060000}"/>
    <cellStyle name="40% - Accent5 5" xfId="1587" xr:uid="{00000000-0005-0000-0000-000014060000}"/>
    <cellStyle name="40% - Accent5 6" xfId="1588" xr:uid="{00000000-0005-0000-0000-000015060000}"/>
    <cellStyle name="40% - Accent5 7" xfId="1589" xr:uid="{00000000-0005-0000-0000-000016060000}"/>
    <cellStyle name="40% - Accent5 8" xfId="1590" xr:uid="{00000000-0005-0000-0000-000017060000}"/>
    <cellStyle name="40% - Accent5 9" xfId="1591" xr:uid="{00000000-0005-0000-0000-000018060000}"/>
    <cellStyle name="40% - Accent6 10" xfId="1592" xr:uid="{00000000-0005-0000-0000-000019060000}"/>
    <cellStyle name="40% - Accent6 11" xfId="1593" xr:uid="{00000000-0005-0000-0000-00001A060000}"/>
    <cellStyle name="40% - Accent6 12" xfId="1594" xr:uid="{00000000-0005-0000-0000-00001B060000}"/>
    <cellStyle name="40% - Accent6 13" xfId="1595" xr:uid="{00000000-0005-0000-0000-00001C060000}"/>
    <cellStyle name="40% - Accent6 14" xfId="1596" xr:uid="{00000000-0005-0000-0000-00001D060000}"/>
    <cellStyle name="40% - Accent6 15" xfId="1597" xr:uid="{00000000-0005-0000-0000-00001E060000}"/>
    <cellStyle name="40% - Accent6 16" xfId="1598" xr:uid="{00000000-0005-0000-0000-00001F060000}"/>
    <cellStyle name="40% - Accent6 17" xfId="1599" xr:uid="{00000000-0005-0000-0000-000020060000}"/>
    <cellStyle name="40% - Accent6 2" xfId="1600" xr:uid="{00000000-0005-0000-0000-000021060000}"/>
    <cellStyle name="40% - Accent6 2 2" xfId="1601" xr:uid="{00000000-0005-0000-0000-000022060000}"/>
    <cellStyle name="40% - Accent6 2_update comparison " xfId="1602" xr:uid="{00000000-0005-0000-0000-000023060000}"/>
    <cellStyle name="40% - Accent6 3" xfId="1603" xr:uid="{00000000-0005-0000-0000-000024060000}"/>
    <cellStyle name="40% - Accent6 3 2" xfId="1604" xr:uid="{00000000-0005-0000-0000-000025060000}"/>
    <cellStyle name="40% - Accent6 4" xfId="1605" xr:uid="{00000000-0005-0000-0000-000026060000}"/>
    <cellStyle name="40% - Accent6 5" xfId="1606" xr:uid="{00000000-0005-0000-0000-000027060000}"/>
    <cellStyle name="40% - Accent6 6" xfId="1607" xr:uid="{00000000-0005-0000-0000-000028060000}"/>
    <cellStyle name="40% - Accent6 7" xfId="1608" xr:uid="{00000000-0005-0000-0000-000029060000}"/>
    <cellStyle name="40% - Accent6 8" xfId="1609" xr:uid="{00000000-0005-0000-0000-00002A060000}"/>
    <cellStyle name="40% - Accent6 9" xfId="1610" xr:uid="{00000000-0005-0000-0000-00002B060000}"/>
    <cellStyle name="40% - 강조색1" xfId="1611" xr:uid="{00000000-0005-0000-0000-00002C060000}"/>
    <cellStyle name="40% - 강조색2" xfId="1612" xr:uid="{00000000-0005-0000-0000-00002D060000}"/>
    <cellStyle name="40% - 강조색3" xfId="1613" xr:uid="{00000000-0005-0000-0000-00002E060000}"/>
    <cellStyle name="40% - 강조색4" xfId="1614" xr:uid="{00000000-0005-0000-0000-00002F060000}"/>
    <cellStyle name="40% - 강조색5" xfId="1615" xr:uid="{00000000-0005-0000-0000-000030060000}"/>
    <cellStyle name="40% - 강조색6" xfId="1616" xr:uid="{00000000-0005-0000-0000-000031060000}"/>
    <cellStyle name="5 indents" xfId="1617" xr:uid="{00000000-0005-0000-0000-000032060000}"/>
    <cellStyle name="60% - Accent1 10" xfId="1618" xr:uid="{00000000-0005-0000-0000-000033060000}"/>
    <cellStyle name="60% - Accent1 11" xfId="1619" xr:uid="{00000000-0005-0000-0000-000034060000}"/>
    <cellStyle name="60% - Accent1 12" xfId="1620" xr:uid="{00000000-0005-0000-0000-000035060000}"/>
    <cellStyle name="60% - Accent1 13" xfId="1621" xr:uid="{00000000-0005-0000-0000-000036060000}"/>
    <cellStyle name="60% - Accent1 14" xfId="1622" xr:uid="{00000000-0005-0000-0000-000037060000}"/>
    <cellStyle name="60% - Accent1 15" xfId="1623" xr:uid="{00000000-0005-0000-0000-000038060000}"/>
    <cellStyle name="60% - Accent1 16" xfId="1624" xr:uid="{00000000-0005-0000-0000-000039060000}"/>
    <cellStyle name="60% - Accent1 17" xfId="1625" xr:uid="{00000000-0005-0000-0000-00003A060000}"/>
    <cellStyle name="60% - Accent1 2" xfId="1626" xr:uid="{00000000-0005-0000-0000-00003B060000}"/>
    <cellStyle name="60% - Accent1 2 2" xfId="1627" xr:uid="{00000000-0005-0000-0000-00003C060000}"/>
    <cellStyle name="60% - Accent1 2_update comparison " xfId="1628" xr:uid="{00000000-0005-0000-0000-00003D060000}"/>
    <cellStyle name="60% - Accent1 3" xfId="1629" xr:uid="{00000000-0005-0000-0000-00003E060000}"/>
    <cellStyle name="60% - Accent1 3 2" xfId="1630" xr:uid="{00000000-0005-0000-0000-00003F060000}"/>
    <cellStyle name="60% - Accent1 4" xfId="1631" xr:uid="{00000000-0005-0000-0000-000040060000}"/>
    <cellStyle name="60% - Accent1 5" xfId="1632" xr:uid="{00000000-0005-0000-0000-000041060000}"/>
    <cellStyle name="60% - Accent1 6" xfId="1633" xr:uid="{00000000-0005-0000-0000-000042060000}"/>
    <cellStyle name="60% - Accent1 7" xfId="1634" xr:uid="{00000000-0005-0000-0000-000043060000}"/>
    <cellStyle name="60% - Accent1 8" xfId="1635" xr:uid="{00000000-0005-0000-0000-000044060000}"/>
    <cellStyle name="60% - Accent1 9" xfId="1636" xr:uid="{00000000-0005-0000-0000-000045060000}"/>
    <cellStyle name="60% - Accent2 10" xfId="1637" xr:uid="{00000000-0005-0000-0000-000046060000}"/>
    <cellStyle name="60% - Accent2 11" xfId="1638" xr:uid="{00000000-0005-0000-0000-000047060000}"/>
    <cellStyle name="60% - Accent2 12" xfId="1639" xr:uid="{00000000-0005-0000-0000-000048060000}"/>
    <cellStyle name="60% - Accent2 13" xfId="1640" xr:uid="{00000000-0005-0000-0000-000049060000}"/>
    <cellStyle name="60% - Accent2 14" xfId="1641" xr:uid="{00000000-0005-0000-0000-00004A060000}"/>
    <cellStyle name="60% - Accent2 15" xfId="1642" xr:uid="{00000000-0005-0000-0000-00004B060000}"/>
    <cellStyle name="60% - Accent2 16" xfId="1643" xr:uid="{00000000-0005-0000-0000-00004C060000}"/>
    <cellStyle name="60% - Accent2 17" xfId="1644" xr:uid="{00000000-0005-0000-0000-00004D060000}"/>
    <cellStyle name="60% - Accent2 2" xfId="1645" xr:uid="{00000000-0005-0000-0000-00004E060000}"/>
    <cellStyle name="60% - Accent2 2 2" xfId="1646" xr:uid="{00000000-0005-0000-0000-00004F060000}"/>
    <cellStyle name="60% - Accent2 2_update comparison " xfId="1647" xr:uid="{00000000-0005-0000-0000-000050060000}"/>
    <cellStyle name="60% - Accent2 3" xfId="1648" xr:uid="{00000000-0005-0000-0000-000051060000}"/>
    <cellStyle name="60% - Accent2 3 2" xfId="1649" xr:uid="{00000000-0005-0000-0000-000052060000}"/>
    <cellStyle name="60% - Accent2 4" xfId="1650" xr:uid="{00000000-0005-0000-0000-000053060000}"/>
    <cellStyle name="60% - Accent2 5" xfId="1651" xr:uid="{00000000-0005-0000-0000-000054060000}"/>
    <cellStyle name="60% - Accent2 6" xfId="1652" xr:uid="{00000000-0005-0000-0000-000055060000}"/>
    <cellStyle name="60% - Accent2 7" xfId="1653" xr:uid="{00000000-0005-0000-0000-000056060000}"/>
    <cellStyle name="60% - Accent2 8" xfId="1654" xr:uid="{00000000-0005-0000-0000-000057060000}"/>
    <cellStyle name="60% - Accent2 9" xfId="1655" xr:uid="{00000000-0005-0000-0000-000058060000}"/>
    <cellStyle name="60% - Accent3 10" xfId="1656" xr:uid="{00000000-0005-0000-0000-000059060000}"/>
    <cellStyle name="60% - Accent3 11" xfId="1657" xr:uid="{00000000-0005-0000-0000-00005A060000}"/>
    <cellStyle name="60% - Accent3 12" xfId="1658" xr:uid="{00000000-0005-0000-0000-00005B060000}"/>
    <cellStyle name="60% - Accent3 13" xfId="1659" xr:uid="{00000000-0005-0000-0000-00005C060000}"/>
    <cellStyle name="60% - Accent3 14" xfId="1660" xr:uid="{00000000-0005-0000-0000-00005D060000}"/>
    <cellStyle name="60% - Accent3 15" xfId="1661" xr:uid="{00000000-0005-0000-0000-00005E060000}"/>
    <cellStyle name="60% - Accent3 16" xfId="1662" xr:uid="{00000000-0005-0000-0000-00005F060000}"/>
    <cellStyle name="60% - Accent3 17" xfId="1663" xr:uid="{00000000-0005-0000-0000-000060060000}"/>
    <cellStyle name="60% - Accent3 2" xfId="1664" xr:uid="{00000000-0005-0000-0000-000061060000}"/>
    <cellStyle name="60% - Accent3 2 2" xfId="1665" xr:uid="{00000000-0005-0000-0000-000062060000}"/>
    <cellStyle name="60% - Accent3 2_update comparison " xfId="1666" xr:uid="{00000000-0005-0000-0000-000063060000}"/>
    <cellStyle name="60% - Accent3 3" xfId="1667" xr:uid="{00000000-0005-0000-0000-000064060000}"/>
    <cellStyle name="60% - Accent3 3 2" xfId="1668" xr:uid="{00000000-0005-0000-0000-000065060000}"/>
    <cellStyle name="60% - Accent3 4" xfId="1669" xr:uid="{00000000-0005-0000-0000-000066060000}"/>
    <cellStyle name="60% - Accent3 5" xfId="1670" xr:uid="{00000000-0005-0000-0000-000067060000}"/>
    <cellStyle name="60% - Accent3 6" xfId="1671" xr:uid="{00000000-0005-0000-0000-000068060000}"/>
    <cellStyle name="60% - Accent3 7" xfId="1672" xr:uid="{00000000-0005-0000-0000-000069060000}"/>
    <cellStyle name="60% - Accent3 8" xfId="1673" xr:uid="{00000000-0005-0000-0000-00006A060000}"/>
    <cellStyle name="60% - Accent3 9" xfId="1674" xr:uid="{00000000-0005-0000-0000-00006B060000}"/>
    <cellStyle name="60% - Accent4 10" xfId="1675" xr:uid="{00000000-0005-0000-0000-00006C060000}"/>
    <cellStyle name="60% - Accent4 11" xfId="1676" xr:uid="{00000000-0005-0000-0000-00006D060000}"/>
    <cellStyle name="60% - Accent4 12" xfId="1677" xr:uid="{00000000-0005-0000-0000-00006E060000}"/>
    <cellStyle name="60% - Accent4 13" xfId="1678" xr:uid="{00000000-0005-0000-0000-00006F060000}"/>
    <cellStyle name="60% - Accent4 14" xfId="1679" xr:uid="{00000000-0005-0000-0000-000070060000}"/>
    <cellStyle name="60% - Accent4 15" xfId="1680" xr:uid="{00000000-0005-0000-0000-000071060000}"/>
    <cellStyle name="60% - Accent4 16" xfId="1681" xr:uid="{00000000-0005-0000-0000-000072060000}"/>
    <cellStyle name="60% - Accent4 17" xfId="1682" xr:uid="{00000000-0005-0000-0000-000073060000}"/>
    <cellStyle name="60% - Accent4 2" xfId="1683" xr:uid="{00000000-0005-0000-0000-000074060000}"/>
    <cellStyle name="60% - Accent4 2 2" xfId="1684" xr:uid="{00000000-0005-0000-0000-000075060000}"/>
    <cellStyle name="60% - Accent4 2_update comparison " xfId="1685" xr:uid="{00000000-0005-0000-0000-000076060000}"/>
    <cellStyle name="60% - Accent4 3" xfId="1686" xr:uid="{00000000-0005-0000-0000-000077060000}"/>
    <cellStyle name="60% - Accent4 3 2" xfId="1687" xr:uid="{00000000-0005-0000-0000-000078060000}"/>
    <cellStyle name="60% - Accent4 4" xfId="1688" xr:uid="{00000000-0005-0000-0000-000079060000}"/>
    <cellStyle name="60% - Accent4 5" xfId="1689" xr:uid="{00000000-0005-0000-0000-00007A060000}"/>
    <cellStyle name="60% - Accent4 6" xfId="1690" xr:uid="{00000000-0005-0000-0000-00007B060000}"/>
    <cellStyle name="60% - Accent4 7" xfId="1691" xr:uid="{00000000-0005-0000-0000-00007C060000}"/>
    <cellStyle name="60% - Accent4 8" xfId="1692" xr:uid="{00000000-0005-0000-0000-00007D060000}"/>
    <cellStyle name="60% - Accent4 9" xfId="1693" xr:uid="{00000000-0005-0000-0000-00007E060000}"/>
    <cellStyle name="60% - Accent5 10" xfId="1694" xr:uid="{00000000-0005-0000-0000-00007F060000}"/>
    <cellStyle name="60% - Accent5 11" xfId="1695" xr:uid="{00000000-0005-0000-0000-000080060000}"/>
    <cellStyle name="60% - Accent5 12" xfId="1696" xr:uid="{00000000-0005-0000-0000-000081060000}"/>
    <cellStyle name="60% - Accent5 13" xfId="1697" xr:uid="{00000000-0005-0000-0000-000082060000}"/>
    <cellStyle name="60% - Accent5 14" xfId="1698" xr:uid="{00000000-0005-0000-0000-000083060000}"/>
    <cellStyle name="60% - Accent5 15" xfId="1699" xr:uid="{00000000-0005-0000-0000-000084060000}"/>
    <cellStyle name="60% - Accent5 16" xfId="1700" xr:uid="{00000000-0005-0000-0000-000085060000}"/>
    <cellStyle name="60% - Accent5 17" xfId="1701" xr:uid="{00000000-0005-0000-0000-000086060000}"/>
    <cellStyle name="60% - Accent5 2" xfId="1702" xr:uid="{00000000-0005-0000-0000-000087060000}"/>
    <cellStyle name="60% - Accent5 2 2" xfId="1703" xr:uid="{00000000-0005-0000-0000-000088060000}"/>
    <cellStyle name="60% - Accent5 2_update comparison " xfId="1704" xr:uid="{00000000-0005-0000-0000-000089060000}"/>
    <cellStyle name="60% - Accent5 3" xfId="1705" xr:uid="{00000000-0005-0000-0000-00008A060000}"/>
    <cellStyle name="60% - Accent5 3 2" xfId="1706" xr:uid="{00000000-0005-0000-0000-00008B060000}"/>
    <cellStyle name="60% - Accent5 4" xfId="1707" xr:uid="{00000000-0005-0000-0000-00008C060000}"/>
    <cellStyle name="60% - Accent5 5" xfId="1708" xr:uid="{00000000-0005-0000-0000-00008D060000}"/>
    <cellStyle name="60% - Accent5 6" xfId="1709" xr:uid="{00000000-0005-0000-0000-00008E060000}"/>
    <cellStyle name="60% - Accent5 7" xfId="1710" xr:uid="{00000000-0005-0000-0000-00008F060000}"/>
    <cellStyle name="60% - Accent5 8" xfId="1711" xr:uid="{00000000-0005-0000-0000-000090060000}"/>
    <cellStyle name="60% - Accent5 9" xfId="1712" xr:uid="{00000000-0005-0000-0000-000091060000}"/>
    <cellStyle name="60% - Accent6 10" xfId="1713" xr:uid="{00000000-0005-0000-0000-000092060000}"/>
    <cellStyle name="60% - Accent6 11" xfId="1714" xr:uid="{00000000-0005-0000-0000-000093060000}"/>
    <cellStyle name="60% - Accent6 12" xfId="1715" xr:uid="{00000000-0005-0000-0000-000094060000}"/>
    <cellStyle name="60% - Accent6 13" xfId="1716" xr:uid="{00000000-0005-0000-0000-000095060000}"/>
    <cellStyle name="60% - Accent6 14" xfId="1717" xr:uid="{00000000-0005-0000-0000-000096060000}"/>
    <cellStyle name="60% - Accent6 15" xfId="1718" xr:uid="{00000000-0005-0000-0000-000097060000}"/>
    <cellStyle name="60% - Accent6 16" xfId="1719" xr:uid="{00000000-0005-0000-0000-000098060000}"/>
    <cellStyle name="60% - Accent6 17" xfId="1720" xr:uid="{00000000-0005-0000-0000-000099060000}"/>
    <cellStyle name="60% - Accent6 2" xfId="1721" xr:uid="{00000000-0005-0000-0000-00009A060000}"/>
    <cellStyle name="60% - Accent6 2 2" xfId="1722" xr:uid="{00000000-0005-0000-0000-00009B060000}"/>
    <cellStyle name="60% - Accent6 2_update comparison " xfId="1723" xr:uid="{00000000-0005-0000-0000-00009C060000}"/>
    <cellStyle name="60% - Accent6 3" xfId="1724" xr:uid="{00000000-0005-0000-0000-00009D060000}"/>
    <cellStyle name="60% - Accent6 3 2" xfId="1725" xr:uid="{00000000-0005-0000-0000-00009E060000}"/>
    <cellStyle name="60% - Accent6 4" xfId="1726" xr:uid="{00000000-0005-0000-0000-00009F060000}"/>
    <cellStyle name="60% - Accent6 5" xfId="1727" xr:uid="{00000000-0005-0000-0000-0000A0060000}"/>
    <cellStyle name="60% - Accent6 6" xfId="1728" xr:uid="{00000000-0005-0000-0000-0000A1060000}"/>
    <cellStyle name="60% - Accent6 7" xfId="1729" xr:uid="{00000000-0005-0000-0000-0000A2060000}"/>
    <cellStyle name="60% - Accent6 8" xfId="1730" xr:uid="{00000000-0005-0000-0000-0000A3060000}"/>
    <cellStyle name="60% - Accent6 9" xfId="1731" xr:uid="{00000000-0005-0000-0000-0000A4060000}"/>
    <cellStyle name="60% - 강조색1" xfId="1732" xr:uid="{00000000-0005-0000-0000-0000A5060000}"/>
    <cellStyle name="60% - 강조색2" xfId="1733" xr:uid="{00000000-0005-0000-0000-0000A6060000}"/>
    <cellStyle name="60% - 강조색3" xfId="1734" xr:uid="{00000000-0005-0000-0000-0000A7060000}"/>
    <cellStyle name="60% - 강조색4" xfId="1735" xr:uid="{00000000-0005-0000-0000-0000A8060000}"/>
    <cellStyle name="60% - 강조색5" xfId="1736" xr:uid="{00000000-0005-0000-0000-0000A9060000}"/>
    <cellStyle name="60% - 강조색6" xfId="1737" xr:uid="{00000000-0005-0000-0000-0000AA060000}"/>
    <cellStyle name="Accent1 - 20%" xfId="1738" xr:uid="{00000000-0005-0000-0000-0000AB060000}"/>
    <cellStyle name="Accent1 - 40%" xfId="1739" xr:uid="{00000000-0005-0000-0000-0000AC060000}"/>
    <cellStyle name="Accent1 - 60%" xfId="1740" xr:uid="{00000000-0005-0000-0000-0000AD060000}"/>
    <cellStyle name="Accent1 10" xfId="1741" xr:uid="{00000000-0005-0000-0000-0000AE060000}"/>
    <cellStyle name="Accent1 11" xfId="1742" xr:uid="{00000000-0005-0000-0000-0000AF060000}"/>
    <cellStyle name="Accent1 12" xfId="1743" xr:uid="{00000000-0005-0000-0000-0000B0060000}"/>
    <cellStyle name="Accent1 13" xfId="1744" xr:uid="{00000000-0005-0000-0000-0000B1060000}"/>
    <cellStyle name="Accent1 14" xfId="1745" xr:uid="{00000000-0005-0000-0000-0000B2060000}"/>
    <cellStyle name="Accent1 15" xfId="1746" xr:uid="{00000000-0005-0000-0000-0000B3060000}"/>
    <cellStyle name="Accent1 16" xfId="1747" xr:uid="{00000000-0005-0000-0000-0000B4060000}"/>
    <cellStyle name="Accent1 17" xfId="1748" xr:uid="{00000000-0005-0000-0000-0000B5060000}"/>
    <cellStyle name="Accent1 18" xfId="1749" xr:uid="{00000000-0005-0000-0000-0000B6060000}"/>
    <cellStyle name="Accent1 19" xfId="1750" xr:uid="{00000000-0005-0000-0000-0000B7060000}"/>
    <cellStyle name="Accent1 2" xfId="1751" xr:uid="{00000000-0005-0000-0000-0000B8060000}"/>
    <cellStyle name="Accent1 2 2" xfId="1752" xr:uid="{00000000-0005-0000-0000-0000B9060000}"/>
    <cellStyle name="Accent1 2_update comparison " xfId="1753" xr:uid="{00000000-0005-0000-0000-0000BA060000}"/>
    <cellStyle name="Accent1 20" xfId="1754" xr:uid="{00000000-0005-0000-0000-0000BB060000}"/>
    <cellStyle name="Accent1 21" xfId="1755" xr:uid="{00000000-0005-0000-0000-0000BC060000}"/>
    <cellStyle name="Accent1 22" xfId="1756" xr:uid="{00000000-0005-0000-0000-0000BD060000}"/>
    <cellStyle name="Accent1 23" xfId="1757" xr:uid="{00000000-0005-0000-0000-0000BE060000}"/>
    <cellStyle name="Accent1 24" xfId="1758" xr:uid="{00000000-0005-0000-0000-0000BF060000}"/>
    <cellStyle name="Accent1 25" xfId="1759" xr:uid="{00000000-0005-0000-0000-0000C0060000}"/>
    <cellStyle name="Accent1 26" xfId="1760" xr:uid="{00000000-0005-0000-0000-0000C1060000}"/>
    <cellStyle name="Accent1 3" xfId="1761" xr:uid="{00000000-0005-0000-0000-0000C2060000}"/>
    <cellStyle name="Accent1 3 2" xfId="1762" xr:uid="{00000000-0005-0000-0000-0000C3060000}"/>
    <cellStyle name="Accent1 4" xfId="1763" xr:uid="{00000000-0005-0000-0000-0000C4060000}"/>
    <cellStyle name="Accent1 5" xfId="1764" xr:uid="{00000000-0005-0000-0000-0000C5060000}"/>
    <cellStyle name="Accent1 6" xfId="1765" xr:uid="{00000000-0005-0000-0000-0000C6060000}"/>
    <cellStyle name="Accent1 7" xfId="1766" xr:uid="{00000000-0005-0000-0000-0000C7060000}"/>
    <cellStyle name="Accent1 8" xfId="1767" xr:uid="{00000000-0005-0000-0000-0000C8060000}"/>
    <cellStyle name="Accent1 9" xfId="1768" xr:uid="{00000000-0005-0000-0000-0000C9060000}"/>
    <cellStyle name="Accent2 - 20%" xfId="1769" xr:uid="{00000000-0005-0000-0000-0000CA060000}"/>
    <cellStyle name="Accent2 - 40%" xfId="1770" xr:uid="{00000000-0005-0000-0000-0000CB060000}"/>
    <cellStyle name="Accent2 - 60%" xfId="1771" xr:uid="{00000000-0005-0000-0000-0000CC060000}"/>
    <cellStyle name="Accent2 10" xfId="1772" xr:uid="{00000000-0005-0000-0000-0000CD060000}"/>
    <cellStyle name="Accent2 11" xfId="1773" xr:uid="{00000000-0005-0000-0000-0000CE060000}"/>
    <cellStyle name="Accent2 12" xfId="1774" xr:uid="{00000000-0005-0000-0000-0000CF060000}"/>
    <cellStyle name="Accent2 13" xfId="1775" xr:uid="{00000000-0005-0000-0000-0000D0060000}"/>
    <cellStyle name="Accent2 14" xfId="1776" xr:uid="{00000000-0005-0000-0000-0000D1060000}"/>
    <cellStyle name="Accent2 15" xfId="1777" xr:uid="{00000000-0005-0000-0000-0000D2060000}"/>
    <cellStyle name="Accent2 16" xfId="1778" xr:uid="{00000000-0005-0000-0000-0000D3060000}"/>
    <cellStyle name="Accent2 17" xfId="1779" xr:uid="{00000000-0005-0000-0000-0000D4060000}"/>
    <cellStyle name="Accent2 18" xfId="1780" xr:uid="{00000000-0005-0000-0000-0000D5060000}"/>
    <cellStyle name="Accent2 19" xfId="1781" xr:uid="{00000000-0005-0000-0000-0000D6060000}"/>
    <cellStyle name="Accent2 2" xfId="1782" xr:uid="{00000000-0005-0000-0000-0000D7060000}"/>
    <cellStyle name="Accent2 2 2" xfId="1783" xr:uid="{00000000-0005-0000-0000-0000D8060000}"/>
    <cellStyle name="Accent2 2_update comparison " xfId="1784" xr:uid="{00000000-0005-0000-0000-0000D9060000}"/>
    <cellStyle name="Accent2 20" xfId="1785" xr:uid="{00000000-0005-0000-0000-0000DA060000}"/>
    <cellStyle name="Accent2 21" xfId="1786" xr:uid="{00000000-0005-0000-0000-0000DB060000}"/>
    <cellStyle name="Accent2 22" xfId="1787" xr:uid="{00000000-0005-0000-0000-0000DC060000}"/>
    <cellStyle name="Accent2 23" xfId="1788" xr:uid="{00000000-0005-0000-0000-0000DD060000}"/>
    <cellStyle name="Accent2 24" xfId="1789" xr:uid="{00000000-0005-0000-0000-0000DE060000}"/>
    <cellStyle name="Accent2 25" xfId="1790" xr:uid="{00000000-0005-0000-0000-0000DF060000}"/>
    <cellStyle name="Accent2 26" xfId="1791" xr:uid="{00000000-0005-0000-0000-0000E0060000}"/>
    <cellStyle name="Accent2 3" xfId="1792" xr:uid="{00000000-0005-0000-0000-0000E1060000}"/>
    <cellStyle name="Accent2 3 2" xfId="1793" xr:uid="{00000000-0005-0000-0000-0000E2060000}"/>
    <cellStyle name="Accent2 4" xfId="1794" xr:uid="{00000000-0005-0000-0000-0000E3060000}"/>
    <cellStyle name="Accent2 5" xfId="1795" xr:uid="{00000000-0005-0000-0000-0000E4060000}"/>
    <cellStyle name="Accent2 6" xfId="1796" xr:uid="{00000000-0005-0000-0000-0000E5060000}"/>
    <cellStyle name="Accent2 7" xfId="1797" xr:uid="{00000000-0005-0000-0000-0000E6060000}"/>
    <cellStyle name="Accent2 8" xfId="1798" xr:uid="{00000000-0005-0000-0000-0000E7060000}"/>
    <cellStyle name="Accent2 9" xfId="1799" xr:uid="{00000000-0005-0000-0000-0000E8060000}"/>
    <cellStyle name="Accent3 - 20%" xfId="1800" xr:uid="{00000000-0005-0000-0000-0000E9060000}"/>
    <cellStyle name="Accent3 - 40%" xfId="1801" xr:uid="{00000000-0005-0000-0000-0000EA060000}"/>
    <cellStyle name="Accent3 - 60%" xfId="1802" xr:uid="{00000000-0005-0000-0000-0000EB060000}"/>
    <cellStyle name="Accent3 10" xfId="1803" xr:uid="{00000000-0005-0000-0000-0000EC060000}"/>
    <cellStyle name="Accent3 11" xfId="1804" xr:uid="{00000000-0005-0000-0000-0000ED060000}"/>
    <cellStyle name="Accent3 12" xfId="1805" xr:uid="{00000000-0005-0000-0000-0000EE060000}"/>
    <cellStyle name="Accent3 13" xfId="1806" xr:uid="{00000000-0005-0000-0000-0000EF060000}"/>
    <cellStyle name="Accent3 14" xfId="1807" xr:uid="{00000000-0005-0000-0000-0000F0060000}"/>
    <cellStyle name="Accent3 15" xfId="1808" xr:uid="{00000000-0005-0000-0000-0000F1060000}"/>
    <cellStyle name="Accent3 16" xfId="1809" xr:uid="{00000000-0005-0000-0000-0000F2060000}"/>
    <cellStyle name="Accent3 17" xfId="1810" xr:uid="{00000000-0005-0000-0000-0000F3060000}"/>
    <cellStyle name="Accent3 18" xfId="1811" xr:uid="{00000000-0005-0000-0000-0000F4060000}"/>
    <cellStyle name="Accent3 19" xfId="1812" xr:uid="{00000000-0005-0000-0000-0000F5060000}"/>
    <cellStyle name="Accent3 2" xfId="1813" xr:uid="{00000000-0005-0000-0000-0000F6060000}"/>
    <cellStyle name="Accent3 2 2" xfId="1814" xr:uid="{00000000-0005-0000-0000-0000F7060000}"/>
    <cellStyle name="Accent3 2_update comparison " xfId="1815" xr:uid="{00000000-0005-0000-0000-0000F8060000}"/>
    <cellStyle name="Accent3 20" xfId="1816" xr:uid="{00000000-0005-0000-0000-0000F9060000}"/>
    <cellStyle name="Accent3 21" xfId="1817" xr:uid="{00000000-0005-0000-0000-0000FA060000}"/>
    <cellStyle name="Accent3 22" xfId="1818" xr:uid="{00000000-0005-0000-0000-0000FB060000}"/>
    <cellStyle name="Accent3 23" xfId="1819" xr:uid="{00000000-0005-0000-0000-0000FC060000}"/>
    <cellStyle name="Accent3 24" xfId="1820" xr:uid="{00000000-0005-0000-0000-0000FD060000}"/>
    <cellStyle name="Accent3 25" xfId="1821" xr:uid="{00000000-0005-0000-0000-0000FE060000}"/>
    <cellStyle name="Accent3 26" xfId="1822" xr:uid="{00000000-0005-0000-0000-0000FF060000}"/>
    <cellStyle name="Accent3 3" xfId="1823" xr:uid="{00000000-0005-0000-0000-000000070000}"/>
    <cellStyle name="Accent3 3 2" xfId="1824" xr:uid="{00000000-0005-0000-0000-000001070000}"/>
    <cellStyle name="Accent3 4" xfId="1825" xr:uid="{00000000-0005-0000-0000-000002070000}"/>
    <cellStyle name="Accent3 5" xfId="1826" xr:uid="{00000000-0005-0000-0000-000003070000}"/>
    <cellStyle name="Accent3 6" xfId="1827" xr:uid="{00000000-0005-0000-0000-000004070000}"/>
    <cellStyle name="Accent3 7" xfId="1828" xr:uid="{00000000-0005-0000-0000-000005070000}"/>
    <cellStyle name="Accent3 8" xfId="1829" xr:uid="{00000000-0005-0000-0000-000006070000}"/>
    <cellStyle name="Accent3 9" xfId="1830" xr:uid="{00000000-0005-0000-0000-000007070000}"/>
    <cellStyle name="Accent4 - 20%" xfId="1831" xr:uid="{00000000-0005-0000-0000-000008070000}"/>
    <cellStyle name="Accent4 - 40%" xfId="1832" xr:uid="{00000000-0005-0000-0000-000009070000}"/>
    <cellStyle name="Accent4 - 60%" xfId="1833" xr:uid="{00000000-0005-0000-0000-00000A070000}"/>
    <cellStyle name="Accent4 10" xfId="1834" xr:uid="{00000000-0005-0000-0000-00000B070000}"/>
    <cellStyle name="Accent4 11" xfId="1835" xr:uid="{00000000-0005-0000-0000-00000C070000}"/>
    <cellStyle name="Accent4 12" xfId="1836" xr:uid="{00000000-0005-0000-0000-00000D070000}"/>
    <cellStyle name="Accent4 13" xfId="1837" xr:uid="{00000000-0005-0000-0000-00000E070000}"/>
    <cellStyle name="Accent4 14" xfId="1838" xr:uid="{00000000-0005-0000-0000-00000F070000}"/>
    <cellStyle name="Accent4 15" xfId="1839" xr:uid="{00000000-0005-0000-0000-000010070000}"/>
    <cellStyle name="Accent4 16" xfId="1840" xr:uid="{00000000-0005-0000-0000-000011070000}"/>
    <cellStyle name="Accent4 17" xfId="1841" xr:uid="{00000000-0005-0000-0000-000012070000}"/>
    <cellStyle name="Accent4 18" xfId="1842" xr:uid="{00000000-0005-0000-0000-000013070000}"/>
    <cellStyle name="Accent4 19" xfId="1843" xr:uid="{00000000-0005-0000-0000-000014070000}"/>
    <cellStyle name="Accent4 2" xfId="1844" xr:uid="{00000000-0005-0000-0000-000015070000}"/>
    <cellStyle name="Accent4 2 2" xfId="1845" xr:uid="{00000000-0005-0000-0000-000016070000}"/>
    <cellStyle name="Accent4 2_update comparison " xfId="1846" xr:uid="{00000000-0005-0000-0000-000017070000}"/>
    <cellStyle name="Accent4 20" xfId="1847" xr:uid="{00000000-0005-0000-0000-000018070000}"/>
    <cellStyle name="Accent4 21" xfId="1848" xr:uid="{00000000-0005-0000-0000-000019070000}"/>
    <cellStyle name="Accent4 22" xfId="1849" xr:uid="{00000000-0005-0000-0000-00001A070000}"/>
    <cellStyle name="Accent4 23" xfId="1850" xr:uid="{00000000-0005-0000-0000-00001B070000}"/>
    <cellStyle name="Accent4 24" xfId="1851" xr:uid="{00000000-0005-0000-0000-00001C070000}"/>
    <cellStyle name="Accent4 25" xfId="1852" xr:uid="{00000000-0005-0000-0000-00001D070000}"/>
    <cellStyle name="Accent4 26" xfId="1853" xr:uid="{00000000-0005-0000-0000-00001E070000}"/>
    <cellStyle name="Accent4 3" xfId="1854" xr:uid="{00000000-0005-0000-0000-00001F070000}"/>
    <cellStyle name="Accent4 3 2" xfId="1855" xr:uid="{00000000-0005-0000-0000-000020070000}"/>
    <cellStyle name="Accent4 4" xfId="1856" xr:uid="{00000000-0005-0000-0000-000021070000}"/>
    <cellStyle name="Accent4 5" xfId="1857" xr:uid="{00000000-0005-0000-0000-000022070000}"/>
    <cellStyle name="Accent4 6" xfId="1858" xr:uid="{00000000-0005-0000-0000-000023070000}"/>
    <cellStyle name="Accent4 7" xfId="1859" xr:uid="{00000000-0005-0000-0000-000024070000}"/>
    <cellStyle name="Accent4 8" xfId="1860" xr:uid="{00000000-0005-0000-0000-000025070000}"/>
    <cellStyle name="Accent4 9" xfId="1861" xr:uid="{00000000-0005-0000-0000-000026070000}"/>
    <cellStyle name="Accent5 - 20%" xfId="1862" xr:uid="{00000000-0005-0000-0000-000027070000}"/>
    <cellStyle name="Accent5 - 40%" xfId="1863" xr:uid="{00000000-0005-0000-0000-000028070000}"/>
    <cellStyle name="Accent5 - 60%" xfId="1864" xr:uid="{00000000-0005-0000-0000-000029070000}"/>
    <cellStyle name="Accent5 10" xfId="1865" xr:uid="{00000000-0005-0000-0000-00002A070000}"/>
    <cellStyle name="Accent5 11" xfId="1866" xr:uid="{00000000-0005-0000-0000-00002B070000}"/>
    <cellStyle name="Accent5 12" xfId="1867" xr:uid="{00000000-0005-0000-0000-00002C070000}"/>
    <cellStyle name="Accent5 13" xfId="1868" xr:uid="{00000000-0005-0000-0000-00002D070000}"/>
    <cellStyle name="Accent5 14" xfId="1869" xr:uid="{00000000-0005-0000-0000-00002E070000}"/>
    <cellStyle name="Accent5 15" xfId="1870" xr:uid="{00000000-0005-0000-0000-00002F070000}"/>
    <cellStyle name="Accent5 16" xfId="1871" xr:uid="{00000000-0005-0000-0000-000030070000}"/>
    <cellStyle name="Accent5 17" xfId="1872" xr:uid="{00000000-0005-0000-0000-000031070000}"/>
    <cellStyle name="Accent5 18" xfId="1873" xr:uid="{00000000-0005-0000-0000-000032070000}"/>
    <cellStyle name="Accent5 19" xfId="1874" xr:uid="{00000000-0005-0000-0000-000033070000}"/>
    <cellStyle name="Accent5 2" xfId="1875" xr:uid="{00000000-0005-0000-0000-000034070000}"/>
    <cellStyle name="Accent5 20" xfId="1876" xr:uid="{00000000-0005-0000-0000-000035070000}"/>
    <cellStyle name="Accent5 21" xfId="1877" xr:uid="{00000000-0005-0000-0000-000036070000}"/>
    <cellStyle name="Accent5 22" xfId="1878" xr:uid="{00000000-0005-0000-0000-000037070000}"/>
    <cellStyle name="Accent5 23" xfId="1879" xr:uid="{00000000-0005-0000-0000-000038070000}"/>
    <cellStyle name="Accent5 24" xfId="1880" xr:uid="{00000000-0005-0000-0000-000039070000}"/>
    <cellStyle name="Accent5 25" xfId="1881" xr:uid="{00000000-0005-0000-0000-00003A070000}"/>
    <cellStyle name="Accent5 26" xfId="1882" xr:uid="{00000000-0005-0000-0000-00003B070000}"/>
    <cellStyle name="Accent5 3" xfId="1883" xr:uid="{00000000-0005-0000-0000-00003C070000}"/>
    <cellStyle name="Accent5 3 2" xfId="1884" xr:uid="{00000000-0005-0000-0000-00003D070000}"/>
    <cellStyle name="Accent5 4" xfId="1885" xr:uid="{00000000-0005-0000-0000-00003E070000}"/>
    <cellStyle name="Accent5 5" xfId="1886" xr:uid="{00000000-0005-0000-0000-00003F070000}"/>
    <cellStyle name="Accent5 6" xfId="1887" xr:uid="{00000000-0005-0000-0000-000040070000}"/>
    <cellStyle name="Accent5 7" xfId="1888" xr:uid="{00000000-0005-0000-0000-000041070000}"/>
    <cellStyle name="Accent5 8" xfId="1889" xr:uid="{00000000-0005-0000-0000-000042070000}"/>
    <cellStyle name="Accent5 9" xfId="1890" xr:uid="{00000000-0005-0000-0000-000043070000}"/>
    <cellStyle name="Accent6 - 20%" xfId="1891" xr:uid="{00000000-0005-0000-0000-000044070000}"/>
    <cellStyle name="Accent6 - 40%" xfId="1892" xr:uid="{00000000-0005-0000-0000-000045070000}"/>
    <cellStyle name="Accent6 - 60%" xfId="1893" xr:uid="{00000000-0005-0000-0000-000046070000}"/>
    <cellStyle name="Accent6 10" xfId="1894" xr:uid="{00000000-0005-0000-0000-000047070000}"/>
    <cellStyle name="Accent6 11" xfId="1895" xr:uid="{00000000-0005-0000-0000-000048070000}"/>
    <cellStyle name="Accent6 12" xfId="1896" xr:uid="{00000000-0005-0000-0000-000049070000}"/>
    <cellStyle name="Accent6 13" xfId="1897" xr:uid="{00000000-0005-0000-0000-00004A070000}"/>
    <cellStyle name="Accent6 14" xfId="1898" xr:uid="{00000000-0005-0000-0000-00004B070000}"/>
    <cellStyle name="Accent6 15" xfId="1899" xr:uid="{00000000-0005-0000-0000-00004C070000}"/>
    <cellStyle name="Accent6 16" xfId="1900" xr:uid="{00000000-0005-0000-0000-00004D070000}"/>
    <cellStyle name="Accent6 17" xfId="1901" xr:uid="{00000000-0005-0000-0000-00004E070000}"/>
    <cellStyle name="Accent6 18" xfId="1902" xr:uid="{00000000-0005-0000-0000-00004F070000}"/>
    <cellStyle name="Accent6 19" xfId="1903" xr:uid="{00000000-0005-0000-0000-000050070000}"/>
    <cellStyle name="Accent6 2" xfId="1904" xr:uid="{00000000-0005-0000-0000-000051070000}"/>
    <cellStyle name="Accent6 2 2" xfId="1905" xr:uid="{00000000-0005-0000-0000-000052070000}"/>
    <cellStyle name="Accent6 2_update comparison " xfId="1906" xr:uid="{00000000-0005-0000-0000-000053070000}"/>
    <cellStyle name="Accent6 20" xfId="1907" xr:uid="{00000000-0005-0000-0000-000054070000}"/>
    <cellStyle name="Accent6 21" xfId="1908" xr:uid="{00000000-0005-0000-0000-000055070000}"/>
    <cellStyle name="Accent6 22" xfId="1909" xr:uid="{00000000-0005-0000-0000-000056070000}"/>
    <cellStyle name="Accent6 23" xfId="1910" xr:uid="{00000000-0005-0000-0000-000057070000}"/>
    <cellStyle name="Accent6 24" xfId="1911" xr:uid="{00000000-0005-0000-0000-000058070000}"/>
    <cellStyle name="Accent6 25" xfId="1912" xr:uid="{00000000-0005-0000-0000-000059070000}"/>
    <cellStyle name="Accent6 26" xfId="1913" xr:uid="{00000000-0005-0000-0000-00005A070000}"/>
    <cellStyle name="Accent6 3" xfId="1914" xr:uid="{00000000-0005-0000-0000-00005B070000}"/>
    <cellStyle name="Accent6 3 2" xfId="1915" xr:uid="{00000000-0005-0000-0000-00005C070000}"/>
    <cellStyle name="Accent6 4" xfId="1916" xr:uid="{00000000-0005-0000-0000-00005D070000}"/>
    <cellStyle name="Accent6 5" xfId="1917" xr:uid="{00000000-0005-0000-0000-00005E070000}"/>
    <cellStyle name="Accent6 6" xfId="1918" xr:uid="{00000000-0005-0000-0000-00005F070000}"/>
    <cellStyle name="Accent6 7" xfId="1919" xr:uid="{00000000-0005-0000-0000-000060070000}"/>
    <cellStyle name="Accent6 8" xfId="1920" xr:uid="{00000000-0005-0000-0000-000061070000}"/>
    <cellStyle name="Accent6 9" xfId="1921" xr:uid="{00000000-0005-0000-0000-000062070000}"/>
    <cellStyle name="ÅëÈ­ [0]_      " xfId="1922" xr:uid="{00000000-0005-0000-0000-000063070000}"/>
    <cellStyle name="ÅëÈ­_      " xfId="1923" xr:uid="{00000000-0005-0000-0000-000064070000}"/>
    <cellStyle name="AeE­_INQUIRY ¿?¾÷AßAø " xfId="1924" xr:uid="{00000000-0005-0000-0000-000065070000}"/>
    <cellStyle name="ÅëÈ­_L601CPT" xfId="1925" xr:uid="{00000000-0005-0000-0000-000066070000}"/>
    <cellStyle name="arial" xfId="1926" xr:uid="{00000000-0005-0000-0000-000067070000}"/>
    <cellStyle name="Array" xfId="1927" xr:uid="{00000000-0005-0000-0000-000068070000}"/>
    <cellStyle name="Array 2" xfId="1928" xr:uid="{00000000-0005-0000-0000-000069070000}"/>
    <cellStyle name="Array Enter" xfId="1929" xr:uid="{00000000-0005-0000-0000-00006A070000}"/>
    <cellStyle name="Array Enter 2" xfId="1930" xr:uid="{00000000-0005-0000-0000-00006B070000}"/>
    <cellStyle name="Array_Debt data" xfId="1931" xr:uid="{00000000-0005-0000-0000-00006C070000}"/>
    <cellStyle name="AutoFormat Options" xfId="1938" xr:uid="{00000000-0005-0000-0000-000073070000}"/>
    <cellStyle name="AutoFormat Options 2" xfId="1939" xr:uid="{00000000-0005-0000-0000-000074070000}"/>
    <cellStyle name="AutoFormat Options 3" xfId="1940" xr:uid="{00000000-0005-0000-0000-000075070000}"/>
    <cellStyle name="AutoFormat Options 4" xfId="1941" xr:uid="{00000000-0005-0000-0000-000076070000}"/>
    <cellStyle name="AutoFormat Options_update comparison " xfId="1942" xr:uid="{00000000-0005-0000-0000-000077070000}"/>
    <cellStyle name="ÄÞ¸¶ [0]_      " xfId="1932" xr:uid="{00000000-0005-0000-0000-00006D070000}"/>
    <cellStyle name="AÞ¸¶ [0]_INQUIRY ¿?¾÷AßAø " xfId="1933" xr:uid="{00000000-0005-0000-0000-00006E070000}"/>
    <cellStyle name="ÄÞ¸¶ [0]_L601CPT" xfId="1934" xr:uid="{00000000-0005-0000-0000-00006F070000}"/>
    <cellStyle name="ÄÞ¸¶_      " xfId="1935" xr:uid="{00000000-0005-0000-0000-000070070000}"/>
    <cellStyle name="AÞ¸¶_INQUIRY ¿?¾÷AßAø " xfId="1936" xr:uid="{00000000-0005-0000-0000-000071070000}"/>
    <cellStyle name="ÄÞ¸¶_L601CPT" xfId="1937" xr:uid="{00000000-0005-0000-0000-000072070000}"/>
    <cellStyle name="Bad 10" xfId="1943" xr:uid="{00000000-0005-0000-0000-000078070000}"/>
    <cellStyle name="Bad 11" xfId="1944" xr:uid="{00000000-0005-0000-0000-000079070000}"/>
    <cellStyle name="Bad 12" xfId="1945" xr:uid="{00000000-0005-0000-0000-00007A070000}"/>
    <cellStyle name="Bad 13" xfId="1946" xr:uid="{00000000-0005-0000-0000-00007B070000}"/>
    <cellStyle name="Bad 14" xfId="1947" xr:uid="{00000000-0005-0000-0000-00007C070000}"/>
    <cellStyle name="Bad 15" xfId="1948" xr:uid="{00000000-0005-0000-0000-00007D070000}"/>
    <cellStyle name="Bad 16" xfId="1949" xr:uid="{00000000-0005-0000-0000-00007E070000}"/>
    <cellStyle name="Bad 17" xfId="1950" xr:uid="{00000000-0005-0000-0000-00007F070000}"/>
    <cellStyle name="Bad 2" xfId="1951" xr:uid="{00000000-0005-0000-0000-000080070000}"/>
    <cellStyle name="Bad 2 2" xfId="1952" xr:uid="{00000000-0005-0000-0000-000081070000}"/>
    <cellStyle name="Bad 2_update comparison " xfId="1953" xr:uid="{00000000-0005-0000-0000-000082070000}"/>
    <cellStyle name="Bad 3" xfId="1954" xr:uid="{00000000-0005-0000-0000-000083070000}"/>
    <cellStyle name="Bad 3 2" xfId="1955" xr:uid="{00000000-0005-0000-0000-000084070000}"/>
    <cellStyle name="Bad 4" xfId="1956" xr:uid="{00000000-0005-0000-0000-000085070000}"/>
    <cellStyle name="Bad 5" xfId="1957" xr:uid="{00000000-0005-0000-0000-000086070000}"/>
    <cellStyle name="Bad 6" xfId="1958" xr:uid="{00000000-0005-0000-0000-000087070000}"/>
    <cellStyle name="Bad 7" xfId="1959" xr:uid="{00000000-0005-0000-0000-000088070000}"/>
    <cellStyle name="Bad 8" xfId="1960" xr:uid="{00000000-0005-0000-0000-000089070000}"/>
    <cellStyle name="Bad 9" xfId="1961" xr:uid="{00000000-0005-0000-0000-00008A070000}"/>
    <cellStyle name="C?AØ_¿?¾÷CoE² " xfId="1962" xr:uid="{00000000-0005-0000-0000-00008B070000}"/>
    <cellStyle name="Ç¥ÁØ_      " xfId="1963" xr:uid="{00000000-0005-0000-0000-00008C070000}"/>
    <cellStyle name="Cabe‡alho 1" xfId="1964" xr:uid="{00000000-0005-0000-0000-00008D070000}"/>
    <cellStyle name="Cabe‡alho 2" xfId="1965" xr:uid="{00000000-0005-0000-0000-00008E070000}"/>
    <cellStyle name="Cabecera 1" xfId="1966" xr:uid="{00000000-0005-0000-0000-00008F070000}"/>
    <cellStyle name="Cabecera 2" xfId="1967" xr:uid="{00000000-0005-0000-0000-000090070000}"/>
    <cellStyle name="Calc Currency (0)" xfId="1968" xr:uid="{00000000-0005-0000-0000-000091070000}"/>
    <cellStyle name="Calc Currency (2)" xfId="1969" xr:uid="{00000000-0005-0000-0000-000092070000}"/>
    <cellStyle name="Calc Percent (0)" xfId="1970" xr:uid="{00000000-0005-0000-0000-000093070000}"/>
    <cellStyle name="Calc Percent (1)" xfId="1971" xr:uid="{00000000-0005-0000-0000-000094070000}"/>
    <cellStyle name="Calc Percent (2)" xfId="1972" xr:uid="{00000000-0005-0000-0000-000095070000}"/>
    <cellStyle name="Calc Units (0)" xfId="1973" xr:uid="{00000000-0005-0000-0000-000096070000}"/>
    <cellStyle name="Calc Units (1)" xfId="1974" xr:uid="{00000000-0005-0000-0000-000097070000}"/>
    <cellStyle name="Calc Units (2)" xfId="1975" xr:uid="{00000000-0005-0000-0000-000098070000}"/>
    <cellStyle name="Calculation 10" xfId="1976" xr:uid="{00000000-0005-0000-0000-000099070000}"/>
    <cellStyle name="Calculation 10 10" xfId="1977" xr:uid="{00000000-0005-0000-0000-00009A070000}"/>
    <cellStyle name="Calculation 10 10 10" xfId="1978" xr:uid="{00000000-0005-0000-0000-00009B070000}"/>
    <cellStyle name="Calculation 10 10 2" xfId="1979" xr:uid="{00000000-0005-0000-0000-00009C070000}"/>
    <cellStyle name="Calculation 10 10 2 2" xfId="1980" xr:uid="{00000000-0005-0000-0000-00009D070000}"/>
    <cellStyle name="Calculation 10 10 2 3" xfId="1981" xr:uid="{00000000-0005-0000-0000-00009E070000}"/>
    <cellStyle name="Calculation 10 10 2 4" xfId="1982" xr:uid="{00000000-0005-0000-0000-00009F070000}"/>
    <cellStyle name="Calculation 10 10 2 5" xfId="1983" xr:uid="{00000000-0005-0000-0000-0000A0070000}"/>
    <cellStyle name="Calculation 10 10 2 6" xfId="1984" xr:uid="{00000000-0005-0000-0000-0000A1070000}"/>
    <cellStyle name="Calculation 10 10 3" xfId="1985" xr:uid="{00000000-0005-0000-0000-0000A2070000}"/>
    <cellStyle name="Calculation 10 10 3 2" xfId="1986" xr:uid="{00000000-0005-0000-0000-0000A3070000}"/>
    <cellStyle name="Calculation 10 10 3 3" xfId="1987" xr:uid="{00000000-0005-0000-0000-0000A4070000}"/>
    <cellStyle name="Calculation 10 10 3 4" xfId="1988" xr:uid="{00000000-0005-0000-0000-0000A5070000}"/>
    <cellStyle name="Calculation 10 10 3 5" xfId="1989" xr:uid="{00000000-0005-0000-0000-0000A6070000}"/>
    <cellStyle name="Calculation 10 10 3 6" xfId="1990" xr:uid="{00000000-0005-0000-0000-0000A7070000}"/>
    <cellStyle name="Calculation 10 10 4" xfId="1991" xr:uid="{00000000-0005-0000-0000-0000A8070000}"/>
    <cellStyle name="Calculation 10 10 4 2" xfId="1992" xr:uid="{00000000-0005-0000-0000-0000A9070000}"/>
    <cellStyle name="Calculation 10 10 4 3" xfId="1993" xr:uid="{00000000-0005-0000-0000-0000AA070000}"/>
    <cellStyle name="Calculation 10 10 4 4" xfId="1994" xr:uid="{00000000-0005-0000-0000-0000AB070000}"/>
    <cellStyle name="Calculation 10 10 4 5" xfId="1995" xr:uid="{00000000-0005-0000-0000-0000AC070000}"/>
    <cellStyle name="Calculation 10 10 4 6" xfId="1996" xr:uid="{00000000-0005-0000-0000-0000AD070000}"/>
    <cellStyle name="Calculation 10 10 5" xfId="1997" xr:uid="{00000000-0005-0000-0000-0000AE070000}"/>
    <cellStyle name="Calculation 10 10 5 2" xfId="1998" xr:uid="{00000000-0005-0000-0000-0000AF070000}"/>
    <cellStyle name="Calculation 10 10 5 3" xfId="1999" xr:uid="{00000000-0005-0000-0000-0000B0070000}"/>
    <cellStyle name="Calculation 10 10 5 4" xfId="2000" xr:uid="{00000000-0005-0000-0000-0000B1070000}"/>
    <cellStyle name="Calculation 10 10 5 5" xfId="2001" xr:uid="{00000000-0005-0000-0000-0000B2070000}"/>
    <cellStyle name="Calculation 10 10 5 6" xfId="2002" xr:uid="{00000000-0005-0000-0000-0000B3070000}"/>
    <cellStyle name="Calculation 10 10 6" xfId="2003" xr:uid="{00000000-0005-0000-0000-0000B4070000}"/>
    <cellStyle name="Calculation 10 10 6 2" xfId="2004" xr:uid="{00000000-0005-0000-0000-0000B5070000}"/>
    <cellStyle name="Calculation 10 10 6 3" xfId="2005" xr:uid="{00000000-0005-0000-0000-0000B6070000}"/>
    <cellStyle name="Calculation 10 10 6 4" xfId="2006" xr:uid="{00000000-0005-0000-0000-0000B7070000}"/>
    <cellStyle name="Calculation 10 10 6 5" xfId="2007" xr:uid="{00000000-0005-0000-0000-0000B8070000}"/>
    <cellStyle name="Calculation 10 10 6 6" xfId="2008" xr:uid="{00000000-0005-0000-0000-0000B9070000}"/>
    <cellStyle name="Calculation 10 10 7" xfId="2009" xr:uid="{00000000-0005-0000-0000-0000BA070000}"/>
    <cellStyle name="Calculation 10 10 7 2" xfId="2010" xr:uid="{00000000-0005-0000-0000-0000BB070000}"/>
    <cellStyle name="Calculation 10 10 7 3" xfId="2011" xr:uid="{00000000-0005-0000-0000-0000BC070000}"/>
    <cellStyle name="Calculation 10 10 7 4" xfId="2012" xr:uid="{00000000-0005-0000-0000-0000BD070000}"/>
    <cellStyle name="Calculation 10 10 7 5" xfId="2013" xr:uid="{00000000-0005-0000-0000-0000BE070000}"/>
    <cellStyle name="Calculation 10 10 7 6" xfId="2014" xr:uid="{00000000-0005-0000-0000-0000BF070000}"/>
    <cellStyle name="Calculation 10 10 8" xfId="2015" xr:uid="{00000000-0005-0000-0000-0000C0070000}"/>
    <cellStyle name="Calculation 10 10 9" xfId="2016" xr:uid="{00000000-0005-0000-0000-0000C1070000}"/>
    <cellStyle name="Calculation 10 11" xfId="2017" xr:uid="{00000000-0005-0000-0000-0000C2070000}"/>
    <cellStyle name="Calculation 10 11 10" xfId="2018" xr:uid="{00000000-0005-0000-0000-0000C3070000}"/>
    <cellStyle name="Calculation 10 11 2" xfId="2019" xr:uid="{00000000-0005-0000-0000-0000C4070000}"/>
    <cellStyle name="Calculation 10 11 2 2" xfId="2020" xr:uid="{00000000-0005-0000-0000-0000C5070000}"/>
    <cellStyle name="Calculation 10 11 2 3" xfId="2021" xr:uid="{00000000-0005-0000-0000-0000C6070000}"/>
    <cellStyle name="Calculation 10 11 2 4" xfId="2022" xr:uid="{00000000-0005-0000-0000-0000C7070000}"/>
    <cellStyle name="Calculation 10 11 2 5" xfId="2023" xr:uid="{00000000-0005-0000-0000-0000C8070000}"/>
    <cellStyle name="Calculation 10 11 2 6" xfId="2024" xr:uid="{00000000-0005-0000-0000-0000C9070000}"/>
    <cellStyle name="Calculation 10 11 3" xfId="2025" xr:uid="{00000000-0005-0000-0000-0000CA070000}"/>
    <cellStyle name="Calculation 10 11 3 2" xfId="2026" xr:uid="{00000000-0005-0000-0000-0000CB070000}"/>
    <cellStyle name="Calculation 10 11 3 3" xfId="2027" xr:uid="{00000000-0005-0000-0000-0000CC070000}"/>
    <cellStyle name="Calculation 10 11 3 4" xfId="2028" xr:uid="{00000000-0005-0000-0000-0000CD070000}"/>
    <cellStyle name="Calculation 10 11 3 5" xfId="2029" xr:uid="{00000000-0005-0000-0000-0000CE070000}"/>
    <cellStyle name="Calculation 10 11 3 6" xfId="2030" xr:uid="{00000000-0005-0000-0000-0000CF070000}"/>
    <cellStyle name="Calculation 10 11 4" xfId="2031" xr:uid="{00000000-0005-0000-0000-0000D0070000}"/>
    <cellStyle name="Calculation 10 11 4 2" xfId="2032" xr:uid="{00000000-0005-0000-0000-0000D1070000}"/>
    <cellStyle name="Calculation 10 11 4 3" xfId="2033" xr:uid="{00000000-0005-0000-0000-0000D2070000}"/>
    <cellStyle name="Calculation 10 11 4 4" xfId="2034" xr:uid="{00000000-0005-0000-0000-0000D3070000}"/>
    <cellStyle name="Calculation 10 11 4 5" xfId="2035" xr:uid="{00000000-0005-0000-0000-0000D4070000}"/>
    <cellStyle name="Calculation 10 11 4 6" xfId="2036" xr:uid="{00000000-0005-0000-0000-0000D5070000}"/>
    <cellStyle name="Calculation 10 11 5" xfId="2037" xr:uid="{00000000-0005-0000-0000-0000D6070000}"/>
    <cellStyle name="Calculation 10 11 5 2" xfId="2038" xr:uid="{00000000-0005-0000-0000-0000D7070000}"/>
    <cellStyle name="Calculation 10 11 5 3" xfId="2039" xr:uid="{00000000-0005-0000-0000-0000D8070000}"/>
    <cellStyle name="Calculation 10 11 5 4" xfId="2040" xr:uid="{00000000-0005-0000-0000-0000D9070000}"/>
    <cellStyle name="Calculation 10 11 5 5" xfId="2041" xr:uid="{00000000-0005-0000-0000-0000DA070000}"/>
    <cellStyle name="Calculation 10 11 5 6" xfId="2042" xr:uid="{00000000-0005-0000-0000-0000DB070000}"/>
    <cellStyle name="Calculation 10 11 6" xfId="2043" xr:uid="{00000000-0005-0000-0000-0000DC070000}"/>
    <cellStyle name="Calculation 10 11 6 2" xfId="2044" xr:uid="{00000000-0005-0000-0000-0000DD070000}"/>
    <cellStyle name="Calculation 10 11 6 3" xfId="2045" xr:uid="{00000000-0005-0000-0000-0000DE070000}"/>
    <cellStyle name="Calculation 10 11 6 4" xfId="2046" xr:uid="{00000000-0005-0000-0000-0000DF070000}"/>
    <cellStyle name="Calculation 10 11 6 5" xfId="2047" xr:uid="{00000000-0005-0000-0000-0000E0070000}"/>
    <cellStyle name="Calculation 10 11 6 6" xfId="2048" xr:uid="{00000000-0005-0000-0000-0000E1070000}"/>
    <cellStyle name="Calculation 10 11 7" xfId="2049" xr:uid="{00000000-0005-0000-0000-0000E2070000}"/>
    <cellStyle name="Calculation 10 11 7 2" xfId="2050" xr:uid="{00000000-0005-0000-0000-0000E3070000}"/>
    <cellStyle name="Calculation 10 11 7 3" xfId="2051" xr:uid="{00000000-0005-0000-0000-0000E4070000}"/>
    <cellStyle name="Calculation 10 11 7 4" xfId="2052" xr:uid="{00000000-0005-0000-0000-0000E5070000}"/>
    <cellStyle name="Calculation 10 11 7 5" xfId="2053" xr:uid="{00000000-0005-0000-0000-0000E6070000}"/>
    <cellStyle name="Calculation 10 11 7 6" xfId="2054" xr:uid="{00000000-0005-0000-0000-0000E7070000}"/>
    <cellStyle name="Calculation 10 11 8" xfId="2055" xr:uid="{00000000-0005-0000-0000-0000E8070000}"/>
    <cellStyle name="Calculation 10 11 9" xfId="2056" xr:uid="{00000000-0005-0000-0000-0000E9070000}"/>
    <cellStyle name="Calculation 10 12" xfId="2057" xr:uid="{00000000-0005-0000-0000-0000EA070000}"/>
    <cellStyle name="Calculation 10 12 10" xfId="2058" xr:uid="{00000000-0005-0000-0000-0000EB070000}"/>
    <cellStyle name="Calculation 10 12 2" xfId="2059" xr:uid="{00000000-0005-0000-0000-0000EC070000}"/>
    <cellStyle name="Calculation 10 12 2 2" xfId="2060" xr:uid="{00000000-0005-0000-0000-0000ED070000}"/>
    <cellStyle name="Calculation 10 12 2 3" xfId="2061" xr:uid="{00000000-0005-0000-0000-0000EE070000}"/>
    <cellStyle name="Calculation 10 12 2 4" xfId="2062" xr:uid="{00000000-0005-0000-0000-0000EF070000}"/>
    <cellStyle name="Calculation 10 12 2 5" xfId="2063" xr:uid="{00000000-0005-0000-0000-0000F0070000}"/>
    <cellStyle name="Calculation 10 12 2 6" xfId="2064" xr:uid="{00000000-0005-0000-0000-0000F1070000}"/>
    <cellStyle name="Calculation 10 12 3" xfId="2065" xr:uid="{00000000-0005-0000-0000-0000F2070000}"/>
    <cellStyle name="Calculation 10 12 3 2" xfId="2066" xr:uid="{00000000-0005-0000-0000-0000F3070000}"/>
    <cellStyle name="Calculation 10 12 3 3" xfId="2067" xr:uid="{00000000-0005-0000-0000-0000F4070000}"/>
    <cellStyle name="Calculation 10 12 3 4" xfId="2068" xr:uid="{00000000-0005-0000-0000-0000F5070000}"/>
    <cellStyle name="Calculation 10 12 3 5" xfId="2069" xr:uid="{00000000-0005-0000-0000-0000F6070000}"/>
    <cellStyle name="Calculation 10 12 3 6" xfId="2070" xr:uid="{00000000-0005-0000-0000-0000F7070000}"/>
    <cellStyle name="Calculation 10 12 4" xfId="2071" xr:uid="{00000000-0005-0000-0000-0000F8070000}"/>
    <cellStyle name="Calculation 10 12 4 2" xfId="2072" xr:uid="{00000000-0005-0000-0000-0000F9070000}"/>
    <cellStyle name="Calculation 10 12 4 3" xfId="2073" xr:uid="{00000000-0005-0000-0000-0000FA070000}"/>
    <cellStyle name="Calculation 10 12 4 4" xfId="2074" xr:uid="{00000000-0005-0000-0000-0000FB070000}"/>
    <cellStyle name="Calculation 10 12 4 5" xfId="2075" xr:uid="{00000000-0005-0000-0000-0000FC070000}"/>
    <cellStyle name="Calculation 10 12 4 6" xfId="2076" xr:uid="{00000000-0005-0000-0000-0000FD070000}"/>
    <cellStyle name="Calculation 10 12 5" xfId="2077" xr:uid="{00000000-0005-0000-0000-0000FE070000}"/>
    <cellStyle name="Calculation 10 12 5 2" xfId="2078" xr:uid="{00000000-0005-0000-0000-0000FF070000}"/>
    <cellStyle name="Calculation 10 12 5 3" xfId="2079" xr:uid="{00000000-0005-0000-0000-000000080000}"/>
    <cellStyle name="Calculation 10 12 5 4" xfId="2080" xr:uid="{00000000-0005-0000-0000-000001080000}"/>
    <cellStyle name="Calculation 10 12 5 5" xfId="2081" xr:uid="{00000000-0005-0000-0000-000002080000}"/>
    <cellStyle name="Calculation 10 12 5 6" xfId="2082" xr:uid="{00000000-0005-0000-0000-000003080000}"/>
    <cellStyle name="Calculation 10 12 6" xfId="2083" xr:uid="{00000000-0005-0000-0000-000004080000}"/>
    <cellStyle name="Calculation 10 12 6 2" xfId="2084" xr:uid="{00000000-0005-0000-0000-000005080000}"/>
    <cellStyle name="Calculation 10 12 6 3" xfId="2085" xr:uid="{00000000-0005-0000-0000-000006080000}"/>
    <cellStyle name="Calculation 10 12 6 4" xfId="2086" xr:uid="{00000000-0005-0000-0000-000007080000}"/>
    <cellStyle name="Calculation 10 12 6 5" xfId="2087" xr:uid="{00000000-0005-0000-0000-000008080000}"/>
    <cellStyle name="Calculation 10 12 6 6" xfId="2088" xr:uid="{00000000-0005-0000-0000-000009080000}"/>
    <cellStyle name="Calculation 10 12 7" xfId="2089" xr:uid="{00000000-0005-0000-0000-00000A080000}"/>
    <cellStyle name="Calculation 10 12 7 2" xfId="2090" xr:uid="{00000000-0005-0000-0000-00000B080000}"/>
    <cellStyle name="Calculation 10 12 7 3" xfId="2091" xr:uid="{00000000-0005-0000-0000-00000C080000}"/>
    <cellStyle name="Calculation 10 12 7 4" xfId="2092" xr:uid="{00000000-0005-0000-0000-00000D080000}"/>
    <cellStyle name="Calculation 10 12 7 5" xfId="2093" xr:uid="{00000000-0005-0000-0000-00000E080000}"/>
    <cellStyle name="Calculation 10 12 7 6" xfId="2094" xr:uid="{00000000-0005-0000-0000-00000F080000}"/>
    <cellStyle name="Calculation 10 12 8" xfId="2095" xr:uid="{00000000-0005-0000-0000-000010080000}"/>
    <cellStyle name="Calculation 10 12 9" xfId="2096" xr:uid="{00000000-0005-0000-0000-000011080000}"/>
    <cellStyle name="Calculation 10 13" xfId="2097" xr:uid="{00000000-0005-0000-0000-000012080000}"/>
    <cellStyle name="Calculation 10 13 10" xfId="2098" xr:uid="{00000000-0005-0000-0000-000013080000}"/>
    <cellStyle name="Calculation 10 13 2" xfId="2099" xr:uid="{00000000-0005-0000-0000-000014080000}"/>
    <cellStyle name="Calculation 10 13 2 2" xfId="2100" xr:uid="{00000000-0005-0000-0000-000015080000}"/>
    <cellStyle name="Calculation 10 13 2 3" xfId="2101" xr:uid="{00000000-0005-0000-0000-000016080000}"/>
    <cellStyle name="Calculation 10 13 2 4" xfId="2102" xr:uid="{00000000-0005-0000-0000-000017080000}"/>
    <cellStyle name="Calculation 10 13 2 5" xfId="2103" xr:uid="{00000000-0005-0000-0000-000018080000}"/>
    <cellStyle name="Calculation 10 13 2 6" xfId="2104" xr:uid="{00000000-0005-0000-0000-000019080000}"/>
    <cellStyle name="Calculation 10 13 3" xfId="2105" xr:uid="{00000000-0005-0000-0000-00001A080000}"/>
    <cellStyle name="Calculation 10 13 3 2" xfId="2106" xr:uid="{00000000-0005-0000-0000-00001B080000}"/>
    <cellStyle name="Calculation 10 13 3 3" xfId="2107" xr:uid="{00000000-0005-0000-0000-00001C080000}"/>
    <cellStyle name="Calculation 10 13 3 4" xfId="2108" xr:uid="{00000000-0005-0000-0000-00001D080000}"/>
    <cellStyle name="Calculation 10 13 3 5" xfId="2109" xr:uid="{00000000-0005-0000-0000-00001E080000}"/>
    <cellStyle name="Calculation 10 13 3 6" xfId="2110" xr:uid="{00000000-0005-0000-0000-00001F080000}"/>
    <cellStyle name="Calculation 10 13 4" xfId="2111" xr:uid="{00000000-0005-0000-0000-000020080000}"/>
    <cellStyle name="Calculation 10 13 4 2" xfId="2112" xr:uid="{00000000-0005-0000-0000-000021080000}"/>
    <cellStyle name="Calculation 10 13 4 3" xfId="2113" xr:uid="{00000000-0005-0000-0000-000022080000}"/>
    <cellStyle name="Calculation 10 13 4 4" xfId="2114" xr:uid="{00000000-0005-0000-0000-000023080000}"/>
    <cellStyle name="Calculation 10 13 4 5" xfId="2115" xr:uid="{00000000-0005-0000-0000-000024080000}"/>
    <cellStyle name="Calculation 10 13 4 6" xfId="2116" xr:uid="{00000000-0005-0000-0000-000025080000}"/>
    <cellStyle name="Calculation 10 13 5" xfId="2117" xr:uid="{00000000-0005-0000-0000-000026080000}"/>
    <cellStyle name="Calculation 10 13 5 2" xfId="2118" xr:uid="{00000000-0005-0000-0000-000027080000}"/>
    <cellStyle name="Calculation 10 13 5 3" xfId="2119" xr:uid="{00000000-0005-0000-0000-000028080000}"/>
    <cellStyle name="Calculation 10 13 5 4" xfId="2120" xr:uid="{00000000-0005-0000-0000-000029080000}"/>
    <cellStyle name="Calculation 10 13 5 5" xfId="2121" xr:uid="{00000000-0005-0000-0000-00002A080000}"/>
    <cellStyle name="Calculation 10 13 5 6" xfId="2122" xr:uid="{00000000-0005-0000-0000-00002B080000}"/>
    <cellStyle name="Calculation 10 13 6" xfId="2123" xr:uid="{00000000-0005-0000-0000-00002C080000}"/>
    <cellStyle name="Calculation 10 13 6 2" xfId="2124" xr:uid="{00000000-0005-0000-0000-00002D080000}"/>
    <cellStyle name="Calculation 10 13 6 3" xfId="2125" xr:uid="{00000000-0005-0000-0000-00002E080000}"/>
    <cellStyle name="Calculation 10 13 6 4" xfId="2126" xr:uid="{00000000-0005-0000-0000-00002F080000}"/>
    <cellStyle name="Calculation 10 13 6 5" xfId="2127" xr:uid="{00000000-0005-0000-0000-000030080000}"/>
    <cellStyle name="Calculation 10 13 6 6" xfId="2128" xr:uid="{00000000-0005-0000-0000-000031080000}"/>
    <cellStyle name="Calculation 10 13 7" xfId="2129" xr:uid="{00000000-0005-0000-0000-000032080000}"/>
    <cellStyle name="Calculation 10 13 7 2" xfId="2130" xr:uid="{00000000-0005-0000-0000-000033080000}"/>
    <cellStyle name="Calculation 10 13 7 3" xfId="2131" xr:uid="{00000000-0005-0000-0000-000034080000}"/>
    <cellStyle name="Calculation 10 13 7 4" xfId="2132" xr:uid="{00000000-0005-0000-0000-000035080000}"/>
    <cellStyle name="Calculation 10 13 7 5" xfId="2133" xr:uid="{00000000-0005-0000-0000-000036080000}"/>
    <cellStyle name="Calculation 10 13 7 6" xfId="2134" xr:uid="{00000000-0005-0000-0000-000037080000}"/>
    <cellStyle name="Calculation 10 13 8" xfId="2135" xr:uid="{00000000-0005-0000-0000-000038080000}"/>
    <cellStyle name="Calculation 10 13 9" xfId="2136" xr:uid="{00000000-0005-0000-0000-000039080000}"/>
    <cellStyle name="Calculation 10 14" xfId="2137" xr:uid="{00000000-0005-0000-0000-00003A080000}"/>
    <cellStyle name="Calculation 10 14 10" xfId="2138" xr:uid="{00000000-0005-0000-0000-00003B080000}"/>
    <cellStyle name="Calculation 10 14 2" xfId="2139" xr:uid="{00000000-0005-0000-0000-00003C080000}"/>
    <cellStyle name="Calculation 10 14 2 2" xfId="2140" xr:uid="{00000000-0005-0000-0000-00003D080000}"/>
    <cellStyle name="Calculation 10 14 2 3" xfId="2141" xr:uid="{00000000-0005-0000-0000-00003E080000}"/>
    <cellStyle name="Calculation 10 14 2 4" xfId="2142" xr:uid="{00000000-0005-0000-0000-00003F080000}"/>
    <cellStyle name="Calculation 10 14 2 5" xfId="2143" xr:uid="{00000000-0005-0000-0000-000040080000}"/>
    <cellStyle name="Calculation 10 14 2 6" xfId="2144" xr:uid="{00000000-0005-0000-0000-000041080000}"/>
    <cellStyle name="Calculation 10 14 3" xfId="2145" xr:uid="{00000000-0005-0000-0000-000042080000}"/>
    <cellStyle name="Calculation 10 14 3 2" xfId="2146" xr:uid="{00000000-0005-0000-0000-000043080000}"/>
    <cellStyle name="Calculation 10 14 3 3" xfId="2147" xr:uid="{00000000-0005-0000-0000-000044080000}"/>
    <cellStyle name="Calculation 10 14 3 4" xfId="2148" xr:uid="{00000000-0005-0000-0000-000045080000}"/>
    <cellStyle name="Calculation 10 14 3 5" xfId="2149" xr:uid="{00000000-0005-0000-0000-000046080000}"/>
    <cellStyle name="Calculation 10 14 3 6" xfId="2150" xr:uid="{00000000-0005-0000-0000-000047080000}"/>
    <cellStyle name="Calculation 10 14 4" xfId="2151" xr:uid="{00000000-0005-0000-0000-000048080000}"/>
    <cellStyle name="Calculation 10 14 4 2" xfId="2152" xr:uid="{00000000-0005-0000-0000-000049080000}"/>
    <cellStyle name="Calculation 10 14 4 3" xfId="2153" xr:uid="{00000000-0005-0000-0000-00004A080000}"/>
    <cellStyle name="Calculation 10 14 4 4" xfId="2154" xr:uid="{00000000-0005-0000-0000-00004B080000}"/>
    <cellStyle name="Calculation 10 14 4 5" xfId="2155" xr:uid="{00000000-0005-0000-0000-00004C080000}"/>
    <cellStyle name="Calculation 10 14 4 6" xfId="2156" xr:uid="{00000000-0005-0000-0000-00004D080000}"/>
    <cellStyle name="Calculation 10 14 5" xfId="2157" xr:uid="{00000000-0005-0000-0000-00004E080000}"/>
    <cellStyle name="Calculation 10 14 5 2" xfId="2158" xr:uid="{00000000-0005-0000-0000-00004F080000}"/>
    <cellStyle name="Calculation 10 14 5 3" xfId="2159" xr:uid="{00000000-0005-0000-0000-000050080000}"/>
    <cellStyle name="Calculation 10 14 5 4" xfId="2160" xr:uid="{00000000-0005-0000-0000-000051080000}"/>
    <cellStyle name="Calculation 10 14 5 5" xfId="2161" xr:uid="{00000000-0005-0000-0000-000052080000}"/>
    <cellStyle name="Calculation 10 14 5 6" xfId="2162" xr:uid="{00000000-0005-0000-0000-000053080000}"/>
    <cellStyle name="Calculation 10 14 6" xfId="2163" xr:uid="{00000000-0005-0000-0000-000054080000}"/>
    <cellStyle name="Calculation 10 14 6 2" xfId="2164" xr:uid="{00000000-0005-0000-0000-000055080000}"/>
    <cellStyle name="Calculation 10 14 6 3" xfId="2165" xr:uid="{00000000-0005-0000-0000-000056080000}"/>
    <cellStyle name="Calculation 10 14 6 4" xfId="2166" xr:uid="{00000000-0005-0000-0000-000057080000}"/>
    <cellStyle name="Calculation 10 14 6 5" xfId="2167" xr:uid="{00000000-0005-0000-0000-000058080000}"/>
    <cellStyle name="Calculation 10 14 6 6" xfId="2168" xr:uid="{00000000-0005-0000-0000-000059080000}"/>
    <cellStyle name="Calculation 10 14 7" xfId="2169" xr:uid="{00000000-0005-0000-0000-00005A080000}"/>
    <cellStyle name="Calculation 10 14 7 2" xfId="2170" xr:uid="{00000000-0005-0000-0000-00005B080000}"/>
    <cellStyle name="Calculation 10 14 7 3" xfId="2171" xr:uid="{00000000-0005-0000-0000-00005C080000}"/>
    <cellStyle name="Calculation 10 14 7 4" xfId="2172" xr:uid="{00000000-0005-0000-0000-00005D080000}"/>
    <cellStyle name="Calculation 10 14 7 5" xfId="2173" xr:uid="{00000000-0005-0000-0000-00005E080000}"/>
    <cellStyle name="Calculation 10 14 7 6" xfId="2174" xr:uid="{00000000-0005-0000-0000-00005F080000}"/>
    <cellStyle name="Calculation 10 14 8" xfId="2175" xr:uid="{00000000-0005-0000-0000-000060080000}"/>
    <cellStyle name="Calculation 10 14 9" xfId="2176" xr:uid="{00000000-0005-0000-0000-000061080000}"/>
    <cellStyle name="Calculation 10 15" xfId="2177" xr:uid="{00000000-0005-0000-0000-000062080000}"/>
    <cellStyle name="Calculation 10 15 10" xfId="2178" xr:uid="{00000000-0005-0000-0000-000063080000}"/>
    <cellStyle name="Calculation 10 15 2" xfId="2179" xr:uid="{00000000-0005-0000-0000-000064080000}"/>
    <cellStyle name="Calculation 10 15 2 2" xfId="2180" xr:uid="{00000000-0005-0000-0000-000065080000}"/>
    <cellStyle name="Calculation 10 15 2 3" xfId="2181" xr:uid="{00000000-0005-0000-0000-000066080000}"/>
    <cellStyle name="Calculation 10 15 2 4" xfId="2182" xr:uid="{00000000-0005-0000-0000-000067080000}"/>
    <cellStyle name="Calculation 10 15 2 5" xfId="2183" xr:uid="{00000000-0005-0000-0000-000068080000}"/>
    <cellStyle name="Calculation 10 15 2 6" xfId="2184" xr:uid="{00000000-0005-0000-0000-000069080000}"/>
    <cellStyle name="Calculation 10 15 3" xfId="2185" xr:uid="{00000000-0005-0000-0000-00006A080000}"/>
    <cellStyle name="Calculation 10 15 3 2" xfId="2186" xr:uid="{00000000-0005-0000-0000-00006B080000}"/>
    <cellStyle name="Calculation 10 15 3 3" xfId="2187" xr:uid="{00000000-0005-0000-0000-00006C080000}"/>
    <cellStyle name="Calculation 10 15 3 4" xfId="2188" xr:uid="{00000000-0005-0000-0000-00006D080000}"/>
    <cellStyle name="Calculation 10 15 3 5" xfId="2189" xr:uid="{00000000-0005-0000-0000-00006E080000}"/>
    <cellStyle name="Calculation 10 15 3 6" xfId="2190" xr:uid="{00000000-0005-0000-0000-00006F080000}"/>
    <cellStyle name="Calculation 10 15 4" xfId="2191" xr:uid="{00000000-0005-0000-0000-000070080000}"/>
    <cellStyle name="Calculation 10 15 4 2" xfId="2192" xr:uid="{00000000-0005-0000-0000-000071080000}"/>
    <cellStyle name="Calculation 10 15 4 3" xfId="2193" xr:uid="{00000000-0005-0000-0000-000072080000}"/>
    <cellStyle name="Calculation 10 15 4 4" xfId="2194" xr:uid="{00000000-0005-0000-0000-000073080000}"/>
    <cellStyle name="Calculation 10 15 4 5" xfId="2195" xr:uid="{00000000-0005-0000-0000-000074080000}"/>
    <cellStyle name="Calculation 10 15 4 6" xfId="2196" xr:uid="{00000000-0005-0000-0000-000075080000}"/>
    <cellStyle name="Calculation 10 15 5" xfId="2197" xr:uid="{00000000-0005-0000-0000-000076080000}"/>
    <cellStyle name="Calculation 10 15 5 2" xfId="2198" xr:uid="{00000000-0005-0000-0000-000077080000}"/>
    <cellStyle name="Calculation 10 15 5 3" xfId="2199" xr:uid="{00000000-0005-0000-0000-000078080000}"/>
    <cellStyle name="Calculation 10 15 5 4" xfId="2200" xr:uid="{00000000-0005-0000-0000-000079080000}"/>
    <cellStyle name="Calculation 10 15 5 5" xfId="2201" xr:uid="{00000000-0005-0000-0000-00007A080000}"/>
    <cellStyle name="Calculation 10 15 5 6" xfId="2202" xr:uid="{00000000-0005-0000-0000-00007B080000}"/>
    <cellStyle name="Calculation 10 15 6" xfId="2203" xr:uid="{00000000-0005-0000-0000-00007C080000}"/>
    <cellStyle name="Calculation 10 15 6 2" xfId="2204" xr:uid="{00000000-0005-0000-0000-00007D080000}"/>
    <cellStyle name="Calculation 10 15 6 3" xfId="2205" xr:uid="{00000000-0005-0000-0000-00007E080000}"/>
    <cellStyle name="Calculation 10 15 6 4" xfId="2206" xr:uid="{00000000-0005-0000-0000-00007F080000}"/>
    <cellStyle name="Calculation 10 15 6 5" xfId="2207" xr:uid="{00000000-0005-0000-0000-000080080000}"/>
    <cellStyle name="Calculation 10 15 6 6" xfId="2208" xr:uid="{00000000-0005-0000-0000-000081080000}"/>
    <cellStyle name="Calculation 10 15 7" xfId="2209" xr:uid="{00000000-0005-0000-0000-000082080000}"/>
    <cellStyle name="Calculation 10 15 7 2" xfId="2210" xr:uid="{00000000-0005-0000-0000-000083080000}"/>
    <cellStyle name="Calculation 10 15 7 3" xfId="2211" xr:uid="{00000000-0005-0000-0000-000084080000}"/>
    <cellStyle name="Calculation 10 15 7 4" xfId="2212" xr:uid="{00000000-0005-0000-0000-000085080000}"/>
    <cellStyle name="Calculation 10 15 7 5" xfId="2213" xr:uid="{00000000-0005-0000-0000-000086080000}"/>
    <cellStyle name="Calculation 10 15 7 6" xfId="2214" xr:uid="{00000000-0005-0000-0000-000087080000}"/>
    <cellStyle name="Calculation 10 15 8" xfId="2215" xr:uid="{00000000-0005-0000-0000-000088080000}"/>
    <cellStyle name="Calculation 10 15 9" xfId="2216" xr:uid="{00000000-0005-0000-0000-000089080000}"/>
    <cellStyle name="Calculation 10 16" xfId="2217" xr:uid="{00000000-0005-0000-0000-00008A080000}"/>
    <cellStyle name="Calculation 10 16 10" xfId="2218" xr:uid="{00000000-0005-0000-0000-00008B080000}"/>
    <cellStyle name="Calculation 10 16 2" xfId="2219" xr:uid="{00000000-0005-0000-0000-00008C080000}"/>
    <cellStyle name="Calculation 10 16 2 2" xfId="2220" xr:uid="{00000000-0005-0000-0000-00008D080000}"/>
    <cellStyle name="Calculation 10 16 2 3" xfId="2221" xr:uid="{00000000-0005-0000-0000-00008E080000}"/>
    <cellStyle name="Calculation 10 16 2 4" xfId="2222" xr:uid="{00000000-0005-0000-0000-00008F080000}"/>
    <cellStyle name="Calculation 10 16 2 5" xfId="2223" xr:uid="{00000000-0005-0000-0000-000090080000}"/>
    <cellStyle name="Calculation 10 16 2 6" xfId="2224" xr:uid="{00000000-0005-0000-0000-000091080000}"/>
    <cellStyle name="Calculation 10 16 3" xfId="2225" xr:uid="{00000000-0005-0000-0000-000092080000}"/>
    <cellStyle name="Calculation 10 16 3 2" xfId="2226" xr:uid="{00000000-0005-0000-0000-000093080000}"/>
    <cellStyle name="Calculation 10 16 3 3" xfId="2227" xr:uid="{00000000-0005-0000-0000-000094080000}"/>
    <cellStyle name="Calculation 10 16 3 4" xfId="2228" xr:uid="{00000000-0005-0000-0000-000095080000}"/>
    <cellStyle name="Calculation 10 16 3 5" xfId="2229" xr:uid="{00000000-0005-0000-0000-000096080000}"/>
    <cellStyle name="Calculation 10 16 3 6" xfId="2230" xr:uid="{00000000-0005-0000-0000-000097080000}"/>
    <cellStyle name="Calculation 10 16 4" xfId="2231" xr:uid="{00000000-0005-0000-0000-000098080000}"/>
    <cellStyle name="Calculation 10 16 4 2" xfId="2232" xr:uid="{00000000-0005-0000-0000-000099080000}"/>
    <cellStyle name="Calculation 10 16 4 3" xfId="2233" xr:uid="{00000000-0005-0000-0000-00009A080000}"/>
    <cellStyle name="Calculation 10 16 4 4" xfId="2234" xr:uid="{00000000-0005-0000-0000-00009B080000}"/>
    <cellStyle name="Calculation 10 16 4 5" xfId="2235" xr:uid="{00000000-0005-0000-0000-00009C080000}"/>
    <cellStyle name="Calculation 10 16 4 6" xfId="2236" xr:uid="{00000000-0005-0000-0000-00009D080000}"/>
    <cellStyle name="Calculation 10 16 5" xfId="2237" xr:uid="{00000000-0005-0000-0000-00009E080000}"/>
    <cellStyle name="Calculation 10 16 5 2" xfId="2238" xr:uid="{00000000-0005-0000-0000-00009F080000}"/>
    <cellStyle name="Calculation 10 16 5 3" xfId="2239" xr:uid="{00000000-0005-0000-0000-0000A0080000}"/>
    <cellStyle name="Calculation 10 16 5 4" xfId="2240" xr:uid="{00000000-0005-0000-0000-0000A1080000}"/>
    <cellStyle name="Calculation 10 16 5 5" xfId="2241" xr:uid="{00000000-0005-0000-0000-0000A2080000}"/>
    <cellStyle name="Calculation 10 16 5 6" xfId="2242" xr:uid="{00000000-0005-0000-0000-0000A3080000}"/>
    <cellStyle name="Calculation 10 16 6" xfId="2243" xr:uid="{00000000-0005-0000-0000-0000A4080000}"/>
    <cellStyle name="Calculation 10 16 6 2" xfId="2244" xr:uid="{00000000-0005-0000-0000-0000A5080000}"/>
    <cellStyle name="Calculation 10 16 6 3" xfId="2245" xr:uid="{00000000-0005-0000-0000-0000A6080000}"/>
    <cellStyle name="Calculation 10 16 6 4" xfId="2246" xr:uid="{00000000-0005-0000-0000-0000A7080000}"/>
    <cellStyle name="Calculation 10 16 6 5" xfId="2247" xr:uid="{00000000-0005-0000-0000-0000A8080000}"/>
    <cellStyle name="Calculation 10 16 6 6" xfId="2248" xr:uid="{00000000-0005-0000-0000-0000A9080000}"/>
    <cellStyle name="Calculation 10 16 7" xfId="2249" xr:uid="{00000000-0005-0000-0000-0000AA080000}"/>
    <cellStyle name="Calculation 10 16 7 2" xfId="2250" xr:uid="{00000000-0005-0000-0000-0000AB080000}"/>
    <cellStyle name="Calculation 10 16 7 3" xfId="2251" xr:uid="{00000000-0005-0000-0000-0000AC080000}"/>
    <cellStyle name="Calculation 10 16 7 4" xfId="2252" xr:uid="{00000000-0005-0000-0000-0000AD080000}"/>
    <cellStyle name="Calculation 10 16 7 5" xfId="2253" xr:uid="{00000000-0005-0000-0000-0000AE080000}"/>
    <cellStyle name="Calculation 10 16 7 6" xfId="2254" xr:uid="{00000000-0005-0000-0000-0000AF080000}"/>
    <cellStyle name="Calculation 10 16 8" xfId="2255" xr:uid="{00000000-0005-0000-0000-0000B0080000}"/>
    <cellStyle name="Calculation 10 16 9" xfId="2256" xr:uid="{00000000-0005-0000-0000-0000B1080000}"/>
    <cellStyle name="Calculation 10 17" xfId="2257" xr:uid="{00000000-0005-0000-0000-0000B2080000}"/>
    <cellStyle name="Calculation 10 17 10" xfId="2258" xr:uid="{00000000-0005-0000-0000-0000B3080000}"/>
    <cellStyle name="Calculation 10 17 2" xfId="2259" xr:uid="{00000000-0005-0000-0000-0000B4080000}"/>
    <cellStyle name="Calculation 10 17 2 2" xfId="2260" xr:uid="{00000000-0005-0000-0000-0000B5080000}"/>
    <cellStyle name="Calculation 10 17 2 3" xfId="2261" xr:uid="{00000000-0005-0000-0000-0000B6080000}"/>
    <cellStyle name="Calculation 10 17 2 4" xfId="2262" xr:uid="{00000000-0005-0000-0000-0000B7080000}"/>
    <cellStyle name="Calculation 10 17 2 5" xfId="2263" xr:uid="{00000000-0005-0000-0000-0000B8080000}"/>
    <cellStyle name="Calculation 10 17 2 6" xfId="2264" xr:uid="{00000000-0005-0000-0000-0000B9080000}"/>
    <cellStyle name="Calculation 10 17 3" xfId="2265" xr:uid="{00000000-0005-0000-0000-0000BA080000}"/>
    <cellStyle name="Calculation 10 17 3 2" xfId="2266" xr:uid="{00000000-0005-0000-0000-0000BB080000}"/>
    <cellStyle name="Calculation 10 17 3 3" xfId="2267" xr:uid="{00000000-0005-0000-0000-0000BC080000}"/>
    <cellStyle name="Calculation 10 17 3 4" xfId="2268" xr:uid="{00000000-0005-0000-0000-0000BD080000}"/>
    <cellStyle name="Calculation 10 17 3 5" xfId="2269" xr:uid="{00000000-0005-0000-0000-0000BE080000}"/>
    <cellStyle name="Calculation 10 17 3 6" xfId="2270" xr:uid="{00000000-0005-0000-0000-0000BF080000}"/>
    <cellStyle name="Calculation 10 17 4" xfId="2271" xr:uid="{00000000-0005-0000-0000-0000C0080000}"/>
    <cellStyle name="Calculation 10 17 4 2" xfId="2272" xr:uid="{00000000-0005-0000-0000-0000C1080000}"/>
    <cellStyle name="Calculation 10 17 4 3" xfId="2273" xr:uid="{00000000-0005-0000-0000-0000C2080000}"/>
    <cellStyle name="Calculation 10 17 4 4" xfId="2274" xr:uid="{00000000-0005-0000-0000-0000C3080000}"/>
    <cellStyle name="Calculation 10 17 4 5" xfId="2275" xr:uid="{00000000-0005-0000-0000-0000C4080000}"/>
    <cellStyle name="Calculation 10 17 4 6" xfId="2276" xr:uid="{00000000-0005-0000-0000-0000C5080000}"/>
    <cellStyle name="Calculation 10 17 5" xfId="2277" xr:uid="{00000000-0005-0000-0000-0000C6080000}"/>
    <cellStyle name="Calculation 10 17 5 2" xfId="2278" xr:uid="{00000000-0005-0000-0000-0000C7080000}"/>
    <cellStyle name="Calculation 10 17 5 3" xfId="2279" xr:uid="{00000000-0005-0000-0000-0000C8080000}"/>
    <cellStyle name="Calculation 10 17 5 4" xfId="2280" xr:uid="{00000000-0005-0000-0000-0000C9080000}"/>
    <cellStyle name="Calculation 10 17 5 5" xfId="2281" xr:uid="{00000000-0005-0000-0000-0000CA080000}"/>
    <cellStyle name="Calculation 10 17 5 6" xfId="2282" xr:uid="{00000000-0005-0000-0000-0000CB080000}"/>
    <cellStyle name="Calculation 10 17 6" xfId="2283" xr:uid="{00000000-0005-0000-0000-0000CC080000}"/>
    <cellStyle name="Calculation 10 17 6 2" xfId="2284" xr:uid="{00000000-0005-0000-0000-0000CD080000}"/>
    <cellStyle name="Calculation 10 17 6 3" xfId="2285" xr:uid="{00000000-0005-0000-0000-0000CE080000}"/>
    <cellStyle name="Calculation 10 17 6 4" xfId="2286" xr:uid="{00000000-0005-0000-0000-0000CF080000}"/>
    <cellStyle name="Calculation 10 17 6 5" xfId="2287" xr:uid="{00000000-0005-0000-0000-0000D0080000}"/>
    <cellStyle name="Calculation 10 17 6 6" xfId="2288" xr:uid="{00000000-0005-0000-0000-0000D1080000}"/>
    <cellStyle name="Calculation 10 17 7" xfId="2289" xr:uid="{00000000-0005-0000-0000-0000D2080000}"/>
    <cellStyle name="Calculation 10 17 7 2" xfId="2290" xr:uid="{00000000-0005-0000-0000-0000D3080000}"/>
    <cellStyle name="Calculation 10 17 7 3" xfId="2291" xr:uid="{00000000-0005-0000-0000-0000D4080000}"/>
    <cellStyle name="Calculation 10 17 7 4" xfId="2292" xr:uid="{00000000-0005-0000-0000-0000D5080000}"/>
    <cellStyle name="Calculation 10 17 7 5" xfId="2293" xr:uid="{00000000-0005-0000-0000-0000D6080000}"/>
    <cellStyle name="Calculation 10 17 7 6" xfId="2294" xr:uid="{00000000-0005-0000-0000-0000D7080000}"/>
    <cellStyle name="Calculation 10 17 8" xfId="2295" xr:uid="{00000000-0005-0000-0000-0000D8080000}"/>
    <cellStyle name="Calculation 10 17 9" xfId="2296" xr:uid="{00000000-0005-0000-0000-0000D9080000}"/>
    <cellStyle name="Calculation 10 18" xfId="2297" xr:uid="{00000000-0005-0000-0000-0000DA080000}"/>
    <cellStyle name="Calculation 10 18 10" xfId="2298" xr:uid="{00000000-0005-0000-0000-0000DB080000}"/>
    <cellStyle name="Calculation 10 18 2" xfId="2299" xr:uid="{00000000-0005-0000-0000-0000DC080000}"/>
    <cellStyle name="Calculation 10 18 2 2" xfId="2300" xr:uid="{00000000-0005-0000-0000-0000DD080000}"/>
    <cellStyle name="Calculation 10 18 2 3" xfId="2301" xr:uid="{00000000-0005-0000-0000-0000DE080000}"/>
    <cellStyle name="Calculation 10 18 2 4" xfId="2302" xr:uid="{00000000-0005-0000-0000-0000DF080000}"/>
    <cellStyle name="Calculation 10 18 2 5" xfId="2303" xr:uid="{00000000-0005-0000-0000-0000E0080000}"/>
    <cellStyle name="Calculation 10 18 2 6" xfId="2304" xr:uid="{00000000-0005-0000-0000-0000E1080000}"/>
    <cellStyle name="Calculation 10 18 3" xfId="2305" xr:uid="{00000000-0005-0000-0000-0000E2080000}"/>
    <cellStyle name="Calculation 10 18 3 2" xfId="2306" xr:uid="{00000000-0005-0000-0000-0000E3080000}"/>
    <cellStyle name="Calculation 10 18 3 3" xfId="2307" xr:uid="{00000000-0005-0000-0000-0000E4080000}"/>
    <cellStyle name="Calculation 10 18 3 4" xfId="2308" xr:uid="{00000000-0005-0000-0000-0000E5080000}"/>
    <cellStyle name="Calculation 10 18 3 5" xfId="2309" xr:uid="{00000000-0005-0000-0000-0000E6080000}"/>
    <cellStyle name="Calculation 10 18 3 6" xfId="2310" xr:uid="{00000000-0005-0000-0000-0000E7080000}"/>
    <cellStyle name="Calculation 10 18 4" xfId="2311" xr:uid="{00000000-0005-0000-0000-0000E8080000}"/>
    <cellStyle name="Calculation 10 18 4 2" xfId="2312" xr:uid="{00000000-0005-0000-0000-0000E9080000}"/>
    <cellStyle name="Calculation 10 18 4 3" xfId="2313" xr:uid="{00000000-0005-0000-0000-0000EA080000}"/>
    <cellStyle name="Calculation 10 18 4 4" xfId="2314" xr:uid="{00000000-0005-0000-0000-0000EB080000}"/>
    <cellStyle name="Calculation 10 18 4 5" xfId="2315" xr:uid="{00000000-0005-0000-0000-0000EC080000}"/>
    <cellStyle name="Calculation 10 18 4 6" xfId="2316" xr:uid="{00000000-0005-0000-0000-0000ED080000}"/>
    <cellStyle name="Calculation 10 18 5" xfId="2317" xr:uid="{00000000-0005-0000-0000-0000EE080000}"/>
    <cellStyle name="Calculation 10 18 5 2" xfId="2318" xr:uid="{00000000-0005-0000-0000-0000EF080000}"/>
    <cellStyle name="Calculation 10 18 5 3" xfId="2319" xr:uid="{00000000-0005-0000-0000-0000F0080000}"/>
    <cellStyle name="Calculation 10 18 5 4" xfId="2320" xr:uid="{00000000-0005-0000-0000-0000F1080000}"/>
    <cellStyle name="Calculation 10 18 5 5" xfId="2321" xr:uid="{00000000-0005-0000-0000-0000F2080000}"/>
    <cellStyle name="Calculation 10 18 5 6" xfId="2322" xr:uid="{00000000-0005-0000-0000-0000F3080000}"/>
    <cellStyle name="Calculation 10 18 6" xfId="2323" xr:uid="{00000000-0005-0000-0000-0000F4080000}"/>
    <cellStyle name="Calculation 10 18 6 2" xfId="2324" xr:uid="{00000000-0005-0000-0000-0000F5080000}"/>
    <cellStyle name="Calculation 10 18 6 3" xfId="2325" xr:uid="{00000000-0005-0000-0000-0000F6080000}"/>
    <cellStyle name="Calculation 10 18 6 4" xfId="2326" xr:uid="{00000000-0005-0000-0000-0000F7080000}"/>
    <cellStyle name="Calculation 10 18 6 5" xfId="2327" xr:uid="{00000000-0005-0000-0000-0000F8080000}"/>
    <cellStyle name="Calculation 10 18 6 6" xfId="2328" xr:uid="{00000000-0005-0000-0000-0000F9080000}"/>
    <cellStyle name="Calculation 10 18 7" xfId="2329" xr:uid="{00000000-0005-0000-0000-0000FA080000}"/>
    <cellStyle name="Calculation 10 18 7 2" xfId="2330" xr:uid="{00000000-0005-0000-0000-0000FB080000}"/>
    <cellStyle name="Calculation 10 18 7 3" xfId="2331" xr:uid="{00000000-0005-0000-0000-0000FC080000}"/>
    <cellStyle name="Calculation 10 18 7 4" xfId="2332" xr:uid="{00000000-0005-0000-0000-0000FD080000}"/>
    <cellStyle name="Calculation 10 18 7 5" xfId="2333" xr:uid="{00000000-0005-0000-0000-0000FE080000}"/>
    <cellStyle name="Calculation 10 18 7 6" xfId="2334" xr:uid="{00000000-0005-0000-0000-0000FF080000}"/>
    <cellStyle name="Calculation 10 18 8" xfId="2335" xr:uid="{00000000-0005-0000-0000-000000090000}"/>
    <cellStyle name="Calculation 10 18 9" xfId="2336" xr:uid="{00000000-0005-0000-0000-000001090000}"/>
    <cellStyle name="Calculation 10 19" xfId="2337" xr:uid="{00000000-0005-0000-0000-000002090000}"/>
    <cellStyle name="Calculation 10 19 10" xfId="2338" xr:uid="{00000000-0005-0000-0000-000003090000}"/>
    <cellStyle name="Calculation 10 19 2" xfId="2339" xr:uid="{00000000-0005-0000-0000-000004090000}"/>
    <cellStyle name="Calculation 10 19 2 2" xfId="2340" xr:uid="{00000000-0005-0000-0000-000005090000}"/>
    <cellStyle name="Calculation 10 19 2 3" xfId="2341" xr:uid="{00000000-0005-0000-0000-000006090000}"/>
    <cellStyle name="Calculation 10 19 2 4" xfId="2342" xr:uid="{00000000-0005-0000-0000-000007090000}"/>
    <cellStyle name="Calculation 10 19 2 5" xfId="2343" xr:uid="{00000000-0005-0000-0000-000008090000}"/>
    <cellStyle name="Calculation 10 19 2 6" xfId="2344" xr:uid="{00000000-0005-0000-0000-000009090000}"/>
    <cellStyle name="Calculation 10 19 3" xfId="2345" xr:uid="{00000000-0005-0000-0000-00000A090000}"/>
    <cellStyle name="Calculation 10 19 3 2" xfId="2346" xr:uid="{00000000-0005-0000-0000-00000B090000}"/>
    <cellStyle name="Calculation 10 19 3 3" xfId="2347" xr:uid="{00000000-0005-0000-0000-00000C090000}"/>
    <cellStyle name="Calculation 10 19 3 4" xfId="2348" xr:uid="{00000000-0005-0000-0000-00000D090000}"/>
    <cellStyle name="Calculation 10 19 3 5" xfId="2349" xr:uid="{00000000-0005-0000-0000-00000E090000}"/>
    <cellStyle name="Calculation 10 19 3 6" xfId="2350" xr:uid="{00000000-0005-0000-0000-00000F090000}"/>
    <cellStyle name="Calculation 10 19 4" xfId="2351" xr:uid="{00000000-0005-0000-0000-000010090000}"/>
    <cellStyle name="Calculation 10 19 4 2" xfId="2352" xr:uid="{00000000-0005-0000-0000-000011090000}"/>
    <cellStyle name="Calculation 10 19 4 3" xfId="2353" xr:uid="{00000000-0005-0000-0000-000012090000}"/>
    <cellStyle name="Calculation 10 19 4 4" xfId="2354" xr:uid="{00000000-0005-0000-0000-000013090000}"/>
    <cellStyle name="Calculation 10 19 4 5" xfId="2355" xr:uid="{00000000-0005-0000-0000-000014090000}"/>
    <cellStyle name="Calculation 10 19 4 6" xfId="2356" xr:uid="{00000000-0005-0000-0000-000015090000}"/>
    <cellStyle name="Calculation 10 19 5" xfId="2357" xr:uid="{00000000-0005-0000-0000-000016090000}"/>
    <cellStyle name="Calculation 10 19 5 2" xfId="2358" xr:uid="{00000000-0005-0000-0000-000017090000}"/>
    <cellStyle name="Calculation 10 19 5 3" xfId="2359" xr:uid="{00000000-0005-0000-0000-000018090000}"/>
    <cellStyle name="Calculation 10 19 5 4" xfId="2360" xr:uid="{00000000-0005-0000-0000-000019090000}"/>
    <cellStyle name="Calculation 10 19 5 5" xfId="2361" xr:uid="{00000000-0005-0000-0000-00001A090000}"/>
    <cellStyle name="Calculation 10 19 5 6" xfId="2362" xr:uid="{00000000-0005-0000-0000-00001B090000}"/>
    <cellStyle name="Calculation 10 19 6" xfId="2363" xr:uid="{00000000-0005-0000-0000-00001C090000}"/>
    <cellStyle name="Calculation 10 19 6 2" xfId="2364" xr:uid="{00000000-0005-0000-0000-00001D090000}"/>
    <cellStyle name="Calculation 10 19 6 3" xfId="2365" xr:uid="{00000000-0005-0000-0000-00001E090000}"/>
    <cellStyle name="Calculation 10 19 6 4" xfId="2366" xr:uid="{00000000-0005-0000-0000-00001F090000}"/>
    <cellStyle name="Calculation 10 19 6 5" xfId="2367" xr:uid="{00000000-0005-0000-0000-000020090000}"/>
    <cellStyle name="Calculation 10 19 6 6" xfId="2368" xr:uid="{00000000-0005-0000-0000-000021090000}"/>
    <cellStyle name="Calculation 10 19 7" xfId="2369" xr:uid="{00000000-0005-0000-0000-000022090000}"/>
    <cellStyle name="Calculation 10 19 7 2" xfId="2370" xr:uid="{00000000-0005-0000-0000-000023090000}"/>
    <cellStyle name="Calculation 10 19 7 3" xfId="2371" xr:uid="{00000000-0005-0000-0000-000024090000}"/>
    <cellStyle name="Calculation 10 19 7 4" xfId="2372" xr:uid="{00000000-0005-0000-0000-000025090000}"/>
    <cellStyle name="Calculation 10 19 7 5" xfId="2373" xr:uid="{00000000-0005-0000-0000-000026090000}"/>
    <cellStyle name="Calculation 10 19 7 6" xfId="2374" xr:uid="{00000000-0005-0000-0000-000027090000}"/>
    <cellStyle name="Calculation 10 19 8" xfId="2375" xr:uid="{00000000-0005-0000-0000-000028090000}"/>
    <cellStyle name="Calculation 10 19 9" xfId="2376" xr:uid="{00000000-0005-0000-0000-000029090000}"/>
    <cellStyle name="Calculation 10 2" xfId="2377" xr:uid="{00000000-0005-0000-0000-00002A090000}"/>
    <cellStyle name="Calculation 10 2 10" xfId="2378" xr:uid="{00000000-0005-0000-0000-00002B090000}"/>
    <cellStyle name="Calculation 10 2 10 10" xfId="2379" xr:uid="{00000000-0005-0000-0000-00002C090000}"/>
    <cellStyle name="Calculation 10 2 10 2" xfId="2380" xr:uid="{00000000-0005-0000-0000-00002D090000}"/>
    <cellStyle name="Calculation 10 2 10 2 2" xfId="2381" xr:uid="{00000000-0005-0000-0000-00002E090000}"/>
    <cellStyle name="Calculation 10 2 10 2 3" xfId="2382" xr:uid="{00000000-0005-0000-0000-00002F090000}"/>
    <cellStyle name="Calculation 10 2 10 2 4" xfId="2383" xr:uid="{00000000-0005-0000-0000-000030090000}"/>
    <cellStyle name="Calculation 10 2 10 2 5" xfId="2384" xr:uid="{00000000-0005-0000-0000-000031090000}"/>
    <cellStyle name="Calculation 10 2 10 2 6" xfId="2385" xr:uid="{00000000-0005-0000-0000-000032090000}"/>
    <cellStyle name="Calculation 10 2 10 3" xfId="2386" xr:uid="{00000000-0005-0000-0000-000033090000}"/>
    <cellStyle name="Calculation 10 2 10 3 2" xfId="2387" xr:uid="{00000000-0005-0000-0000-000034090000}"/>
    <cellStyle name="Calculation 10 2 10 3 3" xfId="2388" xr:uid="{00000000-0005-0000-0000-000035090000}"/>
    <cellStyle name="Calculation 10 2 10 3 4" xfId="2389" xr:uid="{00000000-0005-0000-0000-000036090000}"/>
    <cellStyle name="Calculation 10 2 10 3 5" xfId="2390" xr:uid="{00000000-0005-0000-0000-000037090000}"/>
    <cellStyle name="Calculation 10 2 10 3 6" xfId="2391" xr:uid="{00000000-0005-0000-0000-000038090000}"/>
    <cellStyle name="Calculation 10 2 10 4" xfId="2392" xr:uid="{00000000-0005-0000-0000-000039090000}"/>
    <cellStyle name="Calculation 10 2 10 4 2" xfId="2393" xr:uid="{00000000-0005-0000-0000-00003A090000}"/>
    <cellStyle name="Calculation 10 2 10 4 3" xfId="2394" xr:uid="{00000000-0005-0000-0000-00003B090000}"/>
    <cellStyle name="Calculation 10 2 10 4 4" xfId="2395" xr:uid="{00000000-0005-0000-0000-00003C090000}"/>
    <cellStyle name="Calculation 10 2 10 4 5" xfId="2396" xr:uid="{00000000-0005-0000-0000-00003D090000}"/>
    <cellStyle name="Calculation 10 2 10 4 6" xfId="2397" xr:uid="{00000000-0005-0000-0000-00003E090000}"/>
    <cellStyle name="Calculation 10 2 10 5" xfId="2398" xr:uid="{00000000-0005-0000-0000-00003F090000}"/>
    <cellStyle name="Calculation 10 2 10 5 2" xfId="2399" xr:uid="{00000000-0005-0000-0000-000040090000}"/>
    <cellStyle name="Calculation 10 2 10 5 3" xfId="2400" xr:uid="{00000000-0005-0000-0000-000041090000}"/>
    <cellStyle name="Calculation 10 2 10 5 4" xfId="2401" xr:uid="{00000000-0005-0000-0000-000042090000}"/>
    <cellStyle name="Calculation 10 2 10 5 5" xfId="2402" xr:uid="{00000000-0005-0000-0000-000043090000}"/>
    <cellStyle name="Calculation 10 2 10 5 6" xfId="2403" xr:uid="{00000000-0005-0000-0000-000044090000}"/>
    <cellStyle name="Calculation 10 2 10 6" xfId="2404" xr:uid="{00000000-0005-0000-0000-000045090000}"/>
    <cellStyle name="Calculation 10 2 10 6 2" xfId="2405" xr:uid="{00000000-0005-0000-0000-000046090000}"/>
    <cellStyle name="Calculation 10 2 10 6 3" xfId="2406" xr:uid="{00000000-0005-0000-0000-000047090000}"/>
    <cellStyle name="Calculation 10 2 10 6 4" xfId="2407" xr:uid="{00000000-0005-0000-0000-000048090000}"/>
    <cellStyle name="Calculation 10 2 10 6 5" xfId="2408" xr:uid="{00000000-0005-0000-0000-000049090000}"/>
    <cellStyle name="Calculation 10 2 10 6 6" xfId="2409" xr:uid="{00000000-0005-0000-0000-00004A090000}"/>
    <cellStyle name="Calculation 10 2 10 7" xfId="2410" xr:uid="{00000000-0005-0000-0000-00004B090000}"/>
    <cellStyle name="Calculation 10 2 10 7 2" xfId="2411" xr:uid="{00000000-0005-0000-0000-00004C090000}"/>
    <cellStyle name="Calculation 10 2 10 7 3" xfId="2412" xr:uid="{00000000-0005-0000-0000-00004D090000}"/>
    <cellStyle name="Calculation 10 2 10 7 4" xfId="2413" xr:uid="{00000000-0005-0000-0000-00004E090000}"/>
    <cellStyle name="Calculation 10 2 10 7 5" xfId="2414" xr:uid="{00000000-0005-0000-0000-00004F090000}"/>
    <cellStyle name="Calculation 10 2 10 7 6" xfId="2415" xr:uid="{00000000-0005-0000-0000-000050090000}"/>
    <cellStyle name="Calculation 10 2 10 8" xfId="2416" xr:uid="{00000000-0005-0000-0000-000051090000}"/>
    <cellStyle name="Calculation 10 2 10 9" xfId="2417" xr:uid="{00000000-0005-0000-0000-000052090000}"/>
    <cellStyle name="Calculation 10 2 11" xfId="2418" xr:uid="{00000000-0005-0000-0000-000053090000}"/>
    <cellStyle name="Calculation 10 2 11 10" xfId="2419" xr:uid="{00000000-0005-0000-0000-000054090000}"/>
    <cellStyle name="Calculation 10 2 11 2" xfId="2420" xr:uid="{00000000-0005-0000-0000-000055090000}"/>
    <cellStyle name="Calculation 10 2 11 2 2" xfId="2421" xr:uid="{00000000-0005-0000-0000-000056090000}"/>
    <cellStyle name="Calculation 10 2 11 2 3" xfId="2422" xr:uid="{00000000-0005-0000-0000-000057090000}"/>
    <cellStyle name="Calculation 10 2 11 2 4" xfId="2423" xr:uid="{00000000-0005-0000-0000-000058090000}"/>
    <cellStyle name="Calculation 10 2 11 2 5" xfId="2424" xr:uid="{00000000-0005-0000-0000-000059090000}"/>
    <cellStyle name="Calculation 10 2 11 2 6" xfId="2425" xr:uid="{00000000-0005-0000-0000-00005A090000}"/>
    <cellStyle name="Calculation 10 2 11 3" xfId="2426" xr:uid="{00000000-0005-0000-0000-00005B090000}"/>
    <cellStyle name="Calculation 10 2 11 3 2" xfId="2427" xr:uid="{00000000-0005-0000-0000-00005C090000}"/>
    <cellStyle name="Calculation 10 2 11 3 3" xfId="2428" xr:uid="{00000000-0005-0000-0000-00005D090000}"/>
    <cellStyle name="Calculation 10 2 11 3 4" xfId="2429" xr:uid="{00000000-0005-0000-0000-00005E090000}"/>
    <cellStyle name="Calculation 10 2 11 3 5" xfId="2430" xr:uid="{00000000-0005-0000-0000-00005F090000}"/>
    <cellStyle name="Calculation 10 2 11 3 6" xfId="2431" xr:uid="{00000000-0005-0000-0000-000060090000}"/>
    <cellStyle name="Calculation 10 2 11 4" xfId="2432" xr:uid="{00000000-0005-0000-0000-000061090000}"/>
    <cellStyle name="Calculation 10 2 11 4 2" xfId="2433" xr:uid="{00000000-0005-0000-0000-000062090000}"/>
    <cellStyle name="Calculation 10 2 11 4 3" xfId="2434" xr:uid="{00000000-0005-0000-0000-000063090000}"/>
    <cellStyle name="Calculation 10 2 11 4 4" xfId="2435" xr:uid="{00000000-0005-0000-0000-000064090000}"/>
    <cellStyle name="Calculation 10 2 11 4 5" xfId="2436" xr:uid="{00000000-0005-0000-0000-000065090000}"/>
    <cellStyle name="Calculation 10 2 11 4 6" xfId="2437" xr:uid="{00000000-0005-0000-0000-000066090000}"/>
    <cellStyle name="Calculation 10 2 11 5" xfId="2438" xr:uid="{00000000-0005-0000-0000-000067090000}"/>
    <cellStyle name="Calculation 10 2 11 5 2" xfId="2439" xr:uid="{00000000-0005-0000-0000-000068090000}"/>
    <cellStyle name="Calculation 10 2 11 5 3" xfId="2440" xr:uid="{00000000-0005-0000-0000-000069090000}"/>
    <cellStyle name="Calculation 10 2 11 5 4" xfId="2441" xr:uid="{00000000-0005-0000-0000-00006A090000}"/>
    <cellStyle name="Calculation 10 2 11 5 5" xfId="2442" xr:uid="{00000000-0005-0000-0000-00006B090000}"/>
    <cellStyle name="Calculation 10 2 11 5 6" xfId="2443" xr:uid="{00000000-0005-0000-0000-00006C090000}"/>
    <cellStyle name="Calculation 10 2 11 6" xfId="2444" xr:uid="{00000000-0005-0000-0000-00006D090000}"/>
    <cellStyle name="Calculation 10 2 11 6 2" xfId="2445" xr:uid="{00000000-0005-0000-0000-00006E090000}"/>
    <cellStyle name="Calculation 10 2 11 6 3" xfId="2446" xr:uid="{00000000-0005-0000-0000-00006F090000}"/>
    <cellStyle name="Calculation 10 2 11 6 4" xfId="2447" xr:uid="{00000000-0005-0000-0000-000070090000}"/>
    <cellStyle name="Calculation 10 2 11 6 5" xfId="2448" xr:uid="{00000000-0005-0000-0000-000071090000}"/>
    <cellStyle name="Calculation 10 2 11 6 6" xfId="2449" xr:uid="{00000000-0005-0000-0000-000072090000}"/>
    <cellStyle name="Calculation 10 2 11 7" xfId="2450" xr:uid="{00000000-0005-0000-0000-000073090000}"/>
    <cellStyle name="Calculation 10 2 11 7 2" xfId="2451" xr:uid="{00000000-0005-0000-0000-000074090000}"/>
    <cellStyle name="Calculation 10 2 11 7 3" xfId="2452" xr:uid="{00000000-0005-0000-0000-000075090000}"/>
    <cellStyle name="Calculation 10 2 11 7 4" xfId="2453" xr:uid="{00000000-0005-0000-0000-000076090000}"/>
    <cellStyle name="Calculation 10 2 11 7 5" xfId="2454" xr:uid="{00000000-0005-0000-0000-000077090000}"/>
    <cellStyle name="Calculation 10 2 11 7 6" xfId="2455" xr:uid="{00000000-0005-0000-0000-000078090000}"/>
    <cellStyle name="Calculation 10 2 11 8" xfId="2456" xr:uid="{00000000-0005-0000-0000-000079090000}"/>
    <cellStyle name="Calculation 10 2 11 9" xfId="2457" xr:uid="{00000000-0005-0000-0000-00007A090000}"/>
    <cellStyle name="Calculation 10 2 12" xfId="2458" xr:uid="{00000000-0005-0000-0000-00007B090000}"/>
    <cellStyle name="Calculation 10 2 12 10" xfId="2459" xr:uid="{00000000-0005-0000-0000-00007C090000}"/>
    <cellStyle name="Calculation 10 2 12 2" xfId="2460" xr:uid="{00000000-0005-0000-0000-00007D090000}"/>
    <cellStyle name="Calculation 10 2 12 2 2" xfId="2461" xr:uid="{00000000-0005-0000-0000-00007E090000}"/>
    <cellStyle name="Calculation 10 2 12 2 3" xfId="2462" xr:uid="{00000000-0005-0000-0000-00007F090000}"/>
    <cellStyle name="Calculation 10 2 12 2 4" xfId="2463" xr:uid="{00000000-0005-0000-0000-000080090000}"/>
    <cellStyle name="Calculation 10 2 12 2 5" xfId="2464" xr:uid="{00000000-0005-0000-0000-000081090000}"/>
    <cellStyle name="Calculation 10 2 12 2 6" xfId="2465" xr:uid="{00000000-0005-0000-0000-000082090000}"/>
    <cellStyle name="Calculation 10 2 12 3" xfId="2466" xr:uid="{00000000-0005-0000-0000-000083090000}"/>
    <cellStyle name="Calculation 10 2 12 3 2" xfId="2467" xr:uid="{00000000-0005-0000-0000-000084090000}"/>
    <cellStyle name="Calculation 10 2 12 3 3" xfId="2468" xr:uid="{00000000-0005-0000-0000-000085090000}"/>
    <cellStyle name="Calculation 10 2 12 3 4" xfId="2469" xr:uid="{00000000-0005-0000-0000-000086090000}"/>
    <cellStyle name="Calculation 10 2 12 3 5" xfId="2470" xr:uid="{00000000-0005-0000-0000-000087090000}"/>
    <cellStyle name="Calculation 10 2 12 3 6" xfId="2471" xr:uid="{00000000-0005-0000-0000-000088090000}"/>
    <cellStyle name="Calculation 10 2 12 4" xfId="2472" xr:uid="{00000000-0005-0000-0000-000089090000}"/>
    <cellStyle name="Calculation 10 2 12 4 2" xfId="2473" xr:uid="{00000000-0005-0000-0000-00008A090000}"/>
    <cellStyle name="Calculation 10 2 12 4 3" xfId="2474" xr:uid="{00000000-0005-0000-0000-00008B090000}"/>
    <cellStyle name="Calculation 10 2 12 4 4" xfId="2475" xr:uid="{00000000-0005-0000-0000-00008C090000}"/>
    <cellStyle name="Calculation 10 2 12 4 5" xfId="2476" xr:uid="{00000000-0005-0000-0000-00008D090000}"/>
    <cellStyle name="Calculation 10 2 12 4 6" xfId="2477" xr:uid="{00000000-0005-0000-0000-00008E090000}"/>
    <cellStyle name="Calculation 10 2 12 5" xfId="2478" xr:uid="{00000000-0005-0000-0000-00008F090000}"/>
    <cellStyle name="Calculation 10 2 12 5 2" xfId="2479" xr:uid="{00000000-0005-0000-0000-000090090000}"/>
    <cellStyle name="Calculation 10 2 12 5 3" xfId="2480" xr:uid="{00000000-0005-0000-0000-000091090000}"/>
    <cellStyle name="Calculation 10 2 12 5 4" xfId="2481" xr:uid="{00000000-0005-0000-0000-000092090000}"/>
    <cellStyle name="Calculation 10 2 12 5 5" xfId="2482" xr:uid="{00000000-0005-0000-0000-000093090000}"/>
    <cellStyle name="Calculation 10 2 12 5 6" xfId="2483" xr:uid="{00000000-0005-0000-0000-000094090000}"/>
    <cellStyle name="Calculation 10 2 12 6" xfId="2484" xr:uid="{00000000-0005-0000-0000-000095090000}"/>
    <cellStyle name="Calculation 10 2 12 6 2" xfId="2485" xr:uid="{00000000-0005-0000-0000-000096090000}"/>
    <cellStyle name="Calculation 10 2 12 6 3" xfId="2486" xr:uid="{00000000-0005-0000-0000-000097090000}"/>
    <cellStyle name="Calculation 10 2 12 6 4" xfId="2487" xr:uid="{00000000-0005-0000-0000-000098090000}"/>
    <cellStyle name="Calculation 10 2 12 6 5" xfId="2488" xr:uid="{00000000-0005-0000-0000-000099090000}"/>
    <cellStyle name="Calculation 10 2 12 6 6" xfId="2489" xr:uid="{00000000-0005-0000-0000-00009A090000}"/>
    <cellStyle name="Calculation 10 2 12 7" xfId="2490" xr:uid="{00000000-0005-0000-0000-00009B090000}"/>
    <cellStyle name="Calculation 10 2 12 7 2" xfId="2491" xr:uid="{00000000-0005-0000-0000-00009C090000}"/>
    <cellStyle name="Calculation 10 2 12 7 3" xfId="2492" xr:uid="{00000000-0005-0000-0000-00009D090000}"/>
    <cellStyle name="Calculation 10 2 12 7 4" xfId="2493" xr:uid="{00000000-0005-0000-0000-00009E090000}"/>
    <cellStyle name="Calculation 10 2 12 7 5" xfId="2494" xr:uid="{00000000-0005-0000-0000-00009F090000}"/>
    <cellStyle name="Calculation 10 2 12 7 6" xfId="2495" xr:uid="{00000000-0005-0000-0000-0000A0090000}"/>
    <cellStyle name="Calculation 10 2 12 8" xfId="2496" xr:uid="{00000000-0005-0000-0000-0000A1090000}"/>
    <cellStyle name="Calculation 10 2 12 9" xfId="2497" xr:uid="{00000000-0005-0000-0000-0000A2090000}"/>
    <cellStyle name="Calculation 10 2 13" xfId="2498" xr:uid="{00000000-0005-0000-0000-0000A3090000}"/>
    <cellStyle name="Calculation 10 2 13 10" xfId="2499" xr:uid="{00000000-0005-0000-0000-0000A4090000}"/>
    <cellStyle name="Calculation 10 2 13 2" xfId="2500" xr:uid="{00000000-0005-0000-0000-0000A5090000}"/>
    <cellStyle name="Calculation 10 2 13 2 2" xfId="2501" xr:uid="{00000000-0005-0000-0000-0000A6090000}"/>
    <cellStyle name="Calculation 10 2 13 2 3" xfId="2502" xr:uid="{00000000-0005-0000-0000-0000A7090000}"/>
    <cellStyle name="Calculation 10 2 13 2 4" xfId="2503" xr:uid="{00000000-0005-0000-0000-0000A8090000}"/>
    <cellStyle name="Calculation 10 2 13 2 5" xfId="2504" xr:uid="{00000000-0005-0000-0000-0000A9090000}"/>
    <cellStyle name="Calculation 10 2 13 2 6" xfId="2505" xr:uid="{00000000-0005-0000-0000-0000AA090000}"/>
    <cellStyle name="Calculation 10 2 13 3" xfId="2506" xr:uid="{00000000-0005-0000-0000-0000AB090000}"/>
    <cellStyle name="Calculation 10 2 13 3 2" xfId="2507" xr:uid="{00000000-0005-0000-0000-0000AC090000}"/>
    <cellStyle name="Calculation 10 2 13 3 3" xfId="2508" xr:uid="{00000000-0005-0000-0000-0000AD090000}"/>
    <cellStyle name="Calculation 10 2 13 3 4" xfId="2509" xr:uid="{00000000-0005-0000-0000-0000AE090000}"/>
    <cellStyle name="Calculation 10 2 13 3 5" xfId="2510" xr:uid="{00000000-0005-0000-0000-0000AF090000}"/>
    <cellStyle name="Calculation 10 2 13 3 6" xfId="2511" xr:uid="{00000000-0005-0000-0000-0000B0090000}"/>
    <cellStyle name="Calculation 10 2 13 4" xfId="2512" xr:uid="{00000000-0005-0000-0000-0000B1090000}"/>
    <cellStyle name="Calculation 10 2 13 4 2" xfId="2513" xr:uid="{00000000-0005-0000-0000-0000B2090000}"/>
    <cellStyle name="Calculation 10 2 13 4 3" xfId="2514" xr:uid="{00000000-0005-0000-0000-0000B3090000}"/>
    <cellStyle name="Calculation 10 2 13 4 4" xfId="2515" xr:uid="{00000000-0005-0000-0000-0000B4090000}"/>
    <cellStyle name="Calculation 10 2 13 4 5" xfId="2516" xr:uid="{00000000-0005-0000-0000-0000B5090000}"/>
    <cellStyle name="Calculation 10 2 13 4 6" xfId="2517" xr:uid="{00000000-0005-0000-0000-0000B6090000}"/>
    <cellStyle name="Calculation 10 2 13 5" xfId="2518" xr:uid="{00000000-0005-0000-0000-0000B7090000}"/>
    <cellStyle name="Calculation 10 2 13 5 2" xfId="2519" xr:uid="{00000000-0005-0000-0000-0000B8090000}"/>
    <cellStyle name="Calculation 10 2 13 5 3" xfId="2520" xr:uid="{00000000-0005-0000-0000-0000B9090000}"/>
    <cellStyle name="Calculation 10 2 13 5 4" xfId="2521" xr:uid="{00000000-0005-0000-0000-0000BA090000}"/>
    <cellStyle name="Calculation 10 2 13 5 5" xfId="2522" xr:uid="{00000000-0005-0000-0000-0000BB090000}"/>
    <cellStyle name="Calculation 10 2 13 5 6" xfId="2523" xr:uid="{00000000-0005-0000-0000-0000BC090000}"/>
    <cellStyle name="Calculation 10 2 13 6" xfId="2524" xr:uid="{00000000-0005-0000-0000-0000BD090000}"/>
    <cellStyle name="Calculation 10 2 13 6 2" xfId="2525" xr:uid="{00000000-0005-0000-0000-0000BE090000}"/>
    <cellStyle name="Calculation 10 2 13 6 3" xfId="2526" xr:uid="{00000000-0005-0000-0000-0000BF090000}"/>
    <cellStyle name="Calculation 10 2 13 6 4" xfId="2527" xr:uid="{00000000-0005-0000-0000-0000C0090000}"/>
    <cellStyle name="Calculation 10 2 13 6 5" xfId="2528" xr:uid="{00000000-0005-0000-0000-0000C1090000}"/>
    <cellStyle name="Calculation 10 2 13 6 6" xfId="2529" xr:uid="{00000000-0005-0000-0000-0000C2090000}"/>
    <cellStyle name="Calculation 10 2 13 7" xfId="2530" xr:uid="{00000000-0005-0000-0000-0000C3090000}"/>
    <cellStyle name="Calculation 10 2 13 7 2" xfId="2531" xr:uid="{00000000-0005-0000-0000-0000C4090000}"/>
    <cellStyle name="Calculation 10 2 13 7 3" xfId="2532" xr:uid="{00000000-0005-0000-0000-0000C5090000}"/>
    <cellStyle name="Calculation 10 2 13 7 4" xfId="2533" xr:uid="{00000000-0005-0000-0000-0000C6090000}"/>
    <cellStyle name="Calculation 10 2 13 7 5" xfId="2534" xr:uid="{00000000-0005-0000-0000-0000C7090000}"/>
    <cellStyle name="Calculation 10 2 13 7 6" xfId="2535" xr:uid="{00000000-0005-0000-0000-0000C8090000}"/>
    <cellStyle name="Calculation 10 2 13 8" xfId="2536" xr:uid="{00000000-0005-0000-0000-0000C9090000}"/>
    <cellStyle name="Calculation 10 2 13 9" xfId="2537" xr:uid="{00000000-0005-0000-0000-0000CA090000}"/>
    <cellStyle name="Calculation 10 2 14" xfId="2538" xr:uid="{00000000-0005-0000-0000-0000CB090000}"/>
    <cellStyle name="Calculation 10 2 14 10" xfId="2539" xr:uid="{00000000-0005-0000-0000-0000CC090000}"/>
    <cellStyle name="Calculation 10 2 14 2" xfId="2540" xr:uid="{00000000-0005-0000-0000-0000CD090000}"/>
    <cellStyle name="Calculation 10 2 14 2 2" xfId="2541" xr:uid="{00000000-0005-0000-0000-0000CE090000}"/>
    <cellStyle name="Calculation 10 2 14 2 3" xfId="2542" xr:uid="{00000000-0005-0000-0000-0000CF090000}"/>
    <cellStyle name="Calculation 10 2 14 2 4" xfId="2543" xr:uid="{00000000-0005-0000-0000-0000D0090000}"/>
    <cellStyle name="Calculation 10 2 14 2 5" xfId="2544" xr:uid="{00000000-0005-0000-0000-0000D1090000}"/>
    <cellStyle name="Calculation 10 2 14 2 6" xfId="2545" xr:uid="{00000000-0005-0000-0000-0000D2090000}"/>
    <cellStyle name="Calculation 10 2 14 3" xfId="2546" xr:uid="{00000000-0005-0000-0000-0000D3090000}"/>
    <cellStyle name="Calculation 10 2 14 3 2" xfId="2547" xr:uid="{00000000-0005-0000-0000-0000D4090000}"/>
    <cellStyle name="Calculation 10 2 14 3 3" xfId="2548" xr:uid="{00000000-0005-0000-0000-0000D5090000}"/>
    <cellStyle name="Calculation 10 2 14 3 4" xfId="2549" xr:uid="{00000000-0005-0000-0000-0000D6090000}"/>
    <cellStyle name="Calculation 10 2 14 3 5" xfId="2550" xr:uid="{00000000-0005-0000-0000-0000D7090000}"/>
    <cellStyle name="Calculation 10 2 14 3 6" xfId="2551" xr:uid="{00000000-0005-0000-0000-0000D8090000}"/>
    <cellStyle name="Calculation 10 2 14 4" xfId="2552" xr:uid="{00000000-0005-0000-0000-0000D9090000}"/>
    <cellStyle name="Calculation 10 2 14 4 2" xfId="2553" xr:uid="{00000000-0005-0000-0000-0000DA090000}"/>
    <cellStyle name="Calculation 10 2 14 4 3" xfId="2554" xr:uid="{00000000-0005-0000-0000-0000DB090000}"/>
    <cellStyle name="Calculation 10 2 14 4 4" xfId="2555" xr:uid="{00000000-0005-0000-0000-0000DC090000}"/>
    <cellStyle name="Calculation 10 2 14 4 5" xfId="2556" xr:uid="{00000000-0005-0000-0000-0000DD090000}"/>
    <cellStyle name="Calculation 10 2 14 4 6" xfId="2557" xr:uid="{00000000-0005-0000-0000-0000DE090000}"/>
    <cellStyle name="Calculation 10 2 14 5" xfId="2558" xr:uid="{00000000-0005-0000-0000-0000DF090000}"/>
    <cellStyle name="Calculation 10 2 14 5 2" xfId="2559" xr:uid="{00000000-0005-0000-0000-0000E0090000}"/>
    <cellStyle name="Calculation 10 2 14 5 3" xfId="2560" xr:uid="{00000000-0005-0000-0000-0000E1090000}"/>
    <cellStyle name="Calculation 10 2 14 5 4" xfId="2561" xr:uid="{00000000-0005-0000-0000-0000E2090000}"/>
    <cellStyle name="Calculation 10 2 14 5 5" xfId="2562" xr:uid="{00000000-0005-0000-0000-0000E3090000}"/>
    <cellStyle name="Calculation 10 2 14 5 6" xfId="2563" xr:uid="{00000000-0005-0000-0000-0000E4090000}"/>
    <cellStyle name="Calculation 10 2 14 6" xfId="2564" xr:uid="{00000000-0005-0000-0000-0000E5090000}"/>
    <cellStyle name="Calculation 10 2 14 6 2" xfId="2565" xr:uid="{00000000-0005-0000-0000-0000E6090000}"/>
    <cellStyle name="Calculation 10 2 14 6 3" xfId="2566" xr:uid="{00000000-0005-0000-0000-0000E7090000}"/>
    <cellStyle name="Calculation 10 2 14 6 4" xfId="2567" xr:uid="{00000000-0005-0000-0000-0000E8090000}"/>
    <cellStyle name="Calculation 10 2 14 6 5" xfId="2568" xr:uid="{00000000-0005-0000-0000-0000E9090000}"/>
    <cellStyle name="Calculation 10 2 14 6 6" xfId="2569" xr:uid="{00000000-0005-0000-0000-0000EA090000}"/>
    <cellStyle name="Calculation 10 2 14 7" xfId="2570" xr:uid="{00000000-0005-0000-0000-0000EB090000}"/>
    <cellStyle name="Calculation 10 2 14 7 2" xfId="2571" xr:uid="{00000000-0005-0000-0000-0000EC090000}"/>
    <cellStyle name="Calculation 10 2 14 7 3" xfId="2572" xr:uid="{00000000-0005-0000-0000-0000ED090000}"/>
    <cellStyle name="Calculation 10 2 14 7 4" xfId="2573" xr:uid="{00000000-0005-0000-0000-0000EE090000}"/>
    <cellStyle name="Calculation 10 2 14 7 5" xfId="2574" xr:uid="{00000000-0005-0000-0000-0000EF090000}"/>
    <cellStyle name="Calculation 10 2 14 7 6" xfId="2575" xr:uid="{00000000-0005-0000-0000-0000F0090000}"/>
    <cellStyle name="Calculation 10 2 14 8" xfId="2576" xr:uid="{00000000-0005-0000-0000-0000F1090000}"/>
    <cellStyle name="Calculation 10 2 14 9" xfId="2577" xr:uid="{00000000-0005-0000-0000-0000F2090000}"/>
    <cellStyle name="Calculation 10 2 15" xfId="2578" xr:uid="{00000000-0005-0000-0000-0000F3090000}"/>
    <cellStyle name="Calculation 10 2 15 10" xfId="2579" xr:uid="{00000000-0005-0000-0000-0000F4090000}"/>
    <cellStyle name="Calculation 10 2 15 2" xfId="2580" xr:uid="{00000000-0005-0000-0000-0000F5090000}"/>
    <cellStyle name="Calculation 10 2 15 2 2" xfId="2581" xr:uid="{00000000-0005-0000-0000-0000F6090000}"/>
    <cellStyle name="Calculation 10 2 15 2 3" xfId="2582" xr:uid="{00000000-0005-0000-0000-0000F7090000}"/>
    <cellStyle name="Calculation 10 2 15 2 4" xfId="2583" xr:uid="{00000000-0005-0000-0000-0000F8090000}"/>
    <cellStyle name="Calculation 10 2 15 2 5" xfId="2584" xr:uid="{00000000-0005-0000-0000-0000F9090000}"/>
    <cellStyle name="Calculation 10 2 15 2 6" xfId="2585" xr:uid="{00000000-0005-0000-0000-0000FA090000}"/>
    <cellStyle name="Calculation 10 2 15 3" xfId="2586" xr:uid="{00000000-0005-0000-0000-0000FB090000}"/>
    <cellStyle name="Calculation 10 2 15 3 2" xfId="2587" xr:uid="{00000000-0005-0000-0000-0000FC090000}"/>
    <cellStyle name="Calculation 10 2 15 3 3" xfId="2588" xr:uid="{00000000-0005-0000-0000-0000FD090000}"/>
    <cellStyle name="Calculation 10 2 15 3 4" xfId="2589" xr:uid="{00000000-0005-0000-0000-0000FE090000}"/>
    <cellStyle name="Calculation 10 2 15 3 5" xfId="2590" xr:uid="{00000000-0005-0000-0000-0000FF090000}"/>
    <cellStyle name="Calculation 10 2 15 3 6" xfId="2591" xr:uid="{00000000-0005-0000-0000-0000000A0000}"/>
    <cellStyle name="Calculation 10 2 15 4" xfId="2592" xr:uid="{00000000-0005-0000-0000-0000010A0000}"/>
    <cellStyle name="Calculation 10 2 15 4 2" xfId="2593" xr:uid="{00000000-0005-0000-0000-0000020A0000}"/>
    <cellStyle name="Calculation 10 2 15 4 3" xfId="2594" xr:uid="{00000000-0005-0000-0000-0000030A0000}"/>
    <cellStyle name="Calculation 10 2 15 4 4" xfId="2595" xr:uid="{00000000-0005-0000-0000-0000040A0000}"/>
    <cellStyle name="Calculation 10 2 15 4 5" xfId="2596" xr:uid="{00000000-0005-0000-0000-0000050A0000}"/>
    <cellStyle name="Calculation 10 2 15 4 6" xfId="2597" xr:uid="{00000000-0005-0000-0000-0000060A0000}"/>
    <cellStyle name="Calculation 10 2 15 5" xfId="2598" xr:uid="{00000000-0005-0000-0000-0000070A0000}"/>
    <cellStyle name="Calculation 10 2 15 5 2" xfId="2599" xr:uid="{00000000-0005-0000-0000-0000080A0000}"/>
    <cellStyle name="Calculation 10 2 15 5 3" xfId="2600" xr:uid="{00000000-0005-0000-0000-0000090A0000}"/>
    <cellStyle name="Calculation 10 2 15 5 4" xfId="2601" xr:uid="{00000000-0005-0000-0000-00000A0A0000}"/>
    <cellStyle name="Calculation 10 2 15 5 5" xfId="2602" xr:uid="{00000000-0005-0000-0000-00000B0A0000}"/>
    <cellStyle name="Calculation 10 2 15 5 6" xfId="2603" xr:uid="{00000000-0005-0000-0000-00000C0A0000}"/>
    <cellStyle name="Calculation 10 2 15 6" xfId="2604" xr:uid="{00000000-0005-0000-0000-00000D0A0000}"/>
    <cellStyle name="Calculation 10 2 15 6 2" xfId="2605" xr:uid="{00000000-0005-0000-0000-00000E0A0000}"/>
    <cellStyle name="Calculation 10 2 15 6 3" xfId="2606" xr:uid="{00000000-0005-0000-0000-00000F0A0000}"/>
    <cellStyle name="Calculation 10 2 15 6 4" xfId="2607" xr:uid="{00000000-0005-0000-0000-0000100A0000}"/>
    <cellStyle name="Calculation 10 2 15 6 5" xfId="2608" xr:uid="{00000000-0005-0000-0000-0000110A0000}"/>
    <cellStyle name="Calculation 10 2 15 6 6" xfId="2609" xr:uid="{00000000-0005-0000-0000-0000120A0000}"/>
    <cellStyle name="Calculation 10 2 15 7" xfId="2610" xr:uid="{00000000-0005-0000-0000-0000130A0000}"/>
    <cellStyle name="Calculation 10 2 15 7 2" xfId="2611" xr:uid="{00000000-0005-0000-0000-0000140A0000}"/>
    <cellStyle name="Calculation 10 2 15 7 3" xfId="2612" xr:uid="{00000000-0005-0000-0000-0000150A0000}"/>
    <cellStyle name="Calculation 10 2 15 7 4" xfId="2613" xr:uid="{00000000-0005-0000-0000-0000160A0000}"/>
    <cellStyle name="Calculation 10 2 15 7 5" xfId="2614" xr:uid="{00000000-0005-0000-0000-0000170A0000}"/>
    <cellStyle name="Calculation 10 2 15 7 6" xfId="2615" xr:uid="{00000000-0005-0000-0000-0000180A0000}"/>
    <cellStyle name="Calculation 10 2 15 8" xfId="2616" xr:uid="{00000000-0005-0000-0000-0000190A0000}"/>
    <cellStyle name="Calculation 10 2 15 9" xfId="2617" xr:uid="{00000000-0005-0000-0000-00001A0A0000}"/>
    <cellStyle name="Calculation 10 2 16" xfId="2618" xr:uid="{00000000-0005-0000-0000-00001B0A0000}"/>
    <cellStyle name="Calculation 10 2 16 10" xfId="2619" xr:uid="{00000000-0005-0000-0000-00001C0A0000}"/>
    <cellStyle name="Calculation 10 2 16 2" xfId="2620" xr:uid="{00000000-0005-0000-0000-00001D0A0000}"/>
    <cellStyle name="Calculation 10 2 16 2 2" xfId="2621" xr:uid="{00000000-0005-0000-0000-00001E0A0000}"/>
    <cellStyle name="Calculation 10 2 16 2 3" xfId="2622" xr:uid="{00000000-0005-0000-0000-00001F0A0000}"/>
    <cellStyle name="Calculation 10 2 16 2 4" xfId="2623" xr:uid="{00000000-0005-0000-0000-0000200A0000}"/>
    <cellStyle name="Calculation 10 2 16 2 5" xfId="2624" xr:uid="{00000000-0005-0000-0000-0000210A0000}"/>
    <cellStyle name="Calculation 10 2 16 2 6" xfId="2625" xr:uid="{00000000-0005-0000-0000-0000220A0000}"/>
    <cellStyle name="Calculation 10 2 16 3" xfId="2626" xr:uid="{00000000-0005-0000-0000-0000230A0000}"/>
    <cellStyle name="Calculation 10 2 16 3 2" xfId="2627" xr:uid="{00000000-0005-0000-0000-0000240A0000}"/>
    <cellStyle name="Calculation 10 2 16 3 3" xfId="2628" xr:uid="{00000000-0005-0000-0000-0000250A0000}"/>
    <cellStyle name="Calculation 10 2 16 3 4" xfId="2629" xr:uid="{00000000-0005-0000-0000-0000260A0000}"/>
    <cellStyle name="Calculation 10 2 16 3 5" xfId="2630" xr:uid="{00000000-0005-0000-0000-0000270A0000}"/>
    <cellStyle name="Calculation 10 2 16 3 6" xfId="2631" xr:uid="{00000000-0005-0000-0000-0000280A0000}"/>
    <cellStyle name="Calculation 10 2 16 4" xfId="2632" xr:uid="{00000000-0005-0000-0000-0000290A0000}"/>
    <cellStyle name="Calculation 10 2 16 4 2" xfId="2633" xr:uid="{00000000-0005-0000-0000-00002A0A0000}"/>
    <cellStyle name="Calculation 10 2 16 4 3" xfId="2634" xr:uid="{00000000-0005-0000-0000-00002B0A0000}"/>
    <cellStyle name="Calculation 10 2 16 4 4" xfId="2635" xr:uid="{00000000-0005-0000-0000-00002C0A0000}"/>
    <cellStyle name="Calculation 10 2 16 4 5" xfId="2636" xr:uid="{00000000-0005-0000-0000-00002D0A0000}"/>
    <cellStyle name="Calculation 10 2 16 4 6" xfId="2637" xr:uid="{00000000-0005-0000-0000-00002E0A0000}"/>
    <cellStyle name="Calculation 10 2 16 5" xfId="2638" xr:uid="{00000000-0005-0000-0000-00002F0A0000}"/>
    <cellStyle name="Calculation 10 2 16 5 2" xfId="2639" xr:uid="{00000000-0005-0000-0000-0000300A0000}"/>
    <cellStyle name="Calculation 10 2 16 5 3" xfId="2640" xr:uid="{00000000-0005-0000-0000-0000310A0000}"/>
    <cellStyle name="Calculation 10 2 16 5 4" xfId="2641" xr:uid="{00000000-0005-0000-0000-0000320A0000}"/>
    <cellStyle name="Calculation 10 2 16 5 5" xfId="2642" xr:uid="{00000000-0005-0000-0000-0000330A0000}"/>
    <cellStyle name="Calculation 10 2 16 5 6" xfId="2643" xr:uid="{00000000-0005-0000-0000-0000340A0000}"/>
    <cellStyle name="Calculation 10 2 16 6" xfId="2644" xr:uid="{00000000-0005-0000-0000-0000350A0000}"/>
    <cellStyle name="Calculation 10 2 16 6 2" xfId="2645" xr:uid="{00000000-0005-0000-0000-0000360A0000}"/>
    <cellStyle name="Calculation 10 2 16 6 3" xfId="2646" xr:uid="{00000000-0005-0000-0000-0000370A0000}"/>
    <cellStyle name="Calculation 10 2 16 6 4" xfId="2647" xr:uid="{00000000-0005-0000-0000-0000380A0000}"/>
    <cellStyle name="Calculation 10 2 16 6 5" xfId="2648" xr:uid="{00000000-0005-0000-0000-0000390A0000}"/>
    <cellStyle name="Calculation 10 2 16 6 6" xfId="2649" xr:uid="{00000000-0005-0000-0000-00003A0A0000}"/>
    <cellStyle name="Calculation 10 2 16 7" xfId="2650" xr:uid="{00000000-0005-0000-0000-00003B0A0000}"/>
    <cellStyle name="Calculation 10 2 16 7 2" xfId="2651" xr:uid="{00000000-0005-0000-0000-00003C0A0000}"/>
    <cellStyle name="Calculation 10 2 16 7 3" xfId="2652" xr:uid="{00000000-0005-0000-0000-00003D0A0000}"/>
    <cellStyle name="Calculation 10 2 16 7 4" xfId="2653" xr:uid="{00000000-0005-0000-0000-00003E0A0000}"/>
    <cellStyle name="Calculation 10 2 16 7 5" xfId="2654" xr:uid="{00000000-0005-0000-0000-00003F0A0000}"/>
    <cellStyle name="Calculation 10 2 16 7 6" xfId="2655" xr:uid="{00000000-0005-0000-0000-0000400A0000}"/>
    <cellStyle name="Calculation 10 2 16 8" xfId="2656" xr:uid="{00000000-0005-0000-0000-0000410A0000}"/>
    <cellStyle name="Calculation 10 2 16 9" xfId="2657" xr:uid="{00000000-0005-0000-0000-0000420A0000}"/>
    <cellStyle name="Calculation 10 2 17" xfId="2658" xr:uid="{00000000-0005-0000-0000-0000430A0000}"/>
    <cellStyle name="Calculation 10 2 17 10" xfId="2659" xr:uid="{00000000-0005-0000-0000-0000440A0000}"/>
    <cellStyle name="Calculation 10 2 17 2" xfId="2660" xr:uid="{00000000-0005-0000-0000-0000450A0000}"/>
    <cellStyle name="Calculation 10 2 17 2 2" xfId="2661" xr:uid="{00000000-0005-0000-0000-0000460A0000}"/>
    <cellStyle name="Calculation 10 2 17 2 3" xfId="2662" xr:uid="{00000000-0005-0000-0000-0000470A0000}"/>
    <cellStyle name="Calculation 10 2 17 2 4" xfId="2663" xr:uid="{00000000-0005-0000-0000-0000480A0000}"/>
    <cellStyle name="Calculation 10 2 17 2 5" xfId="2664" xr:uid="{00000000-0005-0000-0000-0000490A0000}"/>
    <cellStyle name="Calculation 10 2 17 2 6" xfId="2665" xr:uid="{00000000-0005-0000-0000-00004A0A0000}"/>
    <cellStyle name="Calculation 10 2 17 3" xfId="2666" xr:uid="{00000000-0005-0000-0000-00004B0A0000}"/>
    <cellStyle name="Calculation 10 2 17 3 2" xfId="2667" xr:uid="{00000000-0005-0000-0000-00004C0A0000}"/>
    <cellStyle name="Calculation 10 2 17 3 3" xfId="2668" xr:uid="{00000000-0005-0000-0000-00004D0A0000}"/>
    <cellStyle name="Calculation 10 2 17 3 4" xfId="2669" xr:uid="{00000000-0005-0000-0000-00004E0A0000}"/>
    <cellStyle name="Calculation 10 2 17 3 5" xfId="2670" xr:uid="{00000000-0005-0000-0000-00004F0A0000}"/>
    <cellStyle name="Calculation 10 2 17 3 6" xfId="2671" xr:uid="{00000000-0005-0000-0000-0000500A0000}"/>
    <cellStyle name="Calculation 10 2 17 4" xfId="2672" xr:uid="{00000000-0005-0000-0000-0000510A0000}"/>
    <cellStyle name="Calculation 10 2 17 4 2" xfId="2673" xr:uid="{00000000-0005-0000-0000-0000520A0000}"/>
    <cellStyle name="Calculation 10 2 17 4 3" xfId="2674" xr:uid="{00000000-0005-0000-0000-0000530A0000}"/>
    <cellStyle name="Calculation 10 2 17 4 4" xfId="2675" xr:uid="{00000000-0005-0000-0000-0000540A0000}"/>
    <cellStyle name="Calculation 10 2 17 4 5" xfId="2676" xr:uid="{00000000-0005-0000-0000-0000550A0000}"/>
    <cellStyle name="Calculation 10 2 17 4 6" xfId="2677" xr:uid="{00000000-0005-0000-0000-0000560A0000}"/>
    <cellStyle name="Calculation 10 2 17 5" xfId="2678" xr:uid="{00000000-0005-0000-0000-0000570A0000}"/>
    <cellStyle name="Calculation 10 2 17 5 2" xfId="2679" xr:uid="{00000000-0005-0000-0000-0000580A0000}"/>
    <cellStyle name="Calculation 10 2 17 5 3" xfId="2680" xr:uid="{00000000-0005-0000-0000-0000590A0000}"/>
    <cellStyle name="Calculation 10 2 17 5 4" xfId="2681" xr:uid="{00000000-0005-0000-0000-00005A0A0000}"/>
    <cellStyle name="Calculation 10 2 17 5 5" xfId="2682" xr:uid="{00000000-0005-0000-0000-00005B0A0000}"/>
    <cellStyle name="Calculation 10 2 17 5 6" xfId="2683" xr:uid="{00000000-0005-0000-0000-00005C0A0000}"/>
    <cellStyle name="Calculation 10 2 17 6" xfId="2684" xr:uid="{00000000-0005-0000-0000-00005D0A0000}"/>
    <cellStyle name="Calculation 10 2 17 6 2" xfId="2685" xr:uid="{00000000-0005-0000-0000-00005E0A0000}"/>
    <cellStyle name="Calculation 10 2 17 6 3" xfId="2686" xr:uid="{00000000-0005-0000-0000-00005F0A0000}"/>
    <cellStyle name="Calculation 10 2 17 6 4" xfId="2687" xr:uid="{00000000-0005-0000-0000-0000600A0000}"/>
    <cellStyle name="Calculation 10 2 17 6 5" xfId="2688" xr:uid="{00000000-0005-0000-0000-0000610A0000}"/>
    <cellStyle name="Calculation 10 2 17 6 6" xfId="2689" xr:uid="{00000000-0005-0000-0000-0000620A0000}"/>
    <cellStyle name="Calculation 10 2 17 7" xfId="2690" xr:uid="{00000000-0005-0000-0000-0000630A0000}"/>
    <cellStyle name="Calculation 10 2 17 7 2" xfId="2691" xr:uid="{00000000-0005-0000-0000-0000640A0000}"/>
    <cellStyle name="Calculation 10 2 17 7 3" xfId="2692" xr:uid="{00000000-0005-0000-0000-0000650A0000}"/>
    <cellStyle name="Calculation 10 2 17 7 4" xfId="2693" xr:uid="{00000000-0005-0000-0000-0000660A0000}"/>
    <cellStyle name="Calculation 10 2 17 7 5" xfId="2694" xr:uid="{00000000-0005-0000-0000-0000670A0000}"/>
    <cellStyle name="Calculation 10 2 17 7 6" xfId="2695" xr:uid="{00000000-0005-0000-0000-0000680A0000}"/>
    <cellStyle name="Calculation 10 2 17 8" xfId="2696" xr:uid="{00000000-0005-0000-0000-0000690A0000}"/>
    <cellStyle name="Calculation 10 2 17 9" xfId="2697" xr:uid="{00000000-0005-0000-0000-00006A0A0000}"/>
    <cellStyle name="Calculation 10 2 18" xfId="2698" xr:uid="{00000000-0005-0000-0000-00006B0A0000}"/>
    <cellStyle name="Calculation 10 2 18 10" xfId="2699" xr:uid="{00000000-0005-0000-0000-00006C0A0000}"/>
    <cellStyle name="Calculation 10 2 18 2" xfId="2700" xr:uid="{00000000-0005-0000-0000-00006D0A0000}"/>
    <cellStyle name="Calculation 10 2 18 2 2" xfId="2701" xr:uid="{00000000-0005-0000-0000-00006E0A0000}"/>
    <cellStyle name="Calculation 10 2 18 2 3" xfId="2702" xr:uid="{00000000-0005-0000-0000-00006F0A0000}"/>
    <cellStyle name="Calculation 10 2 18 2 4" xfId="2703" xr:uid="{00000000-0005-0000-0000-0000700A0000}"/>
    <cellStyle name="Calculation 10 2 18 2 5" xfId="2704" xr:uid="{00000000-0005-0000-0000-0000710A0000}"/>
    <cellStyle name="Calculation 10 2 18 2 6" xfId="2705" xr:uid="{00000000-0005-0000-0000-0000720A0000}"/>
    <cellStyle name="Calculation 10 2 18 3" xfId="2706" xr:uid="{00000000-0005-0000-0000-0000730A0000}"/>
    <cellStyle name="Calculation 10 2 18 3 2" xfId="2707" xr:uid="{00000000-0005-0000-0000-0000740A0000}"/>
    <cellStyle name="Calculation 10 2 18 3 3" xfId="2708" xr:uid="{00000000-0005-0000-0000-0000750A0000}"/>
    <cellStyle name="Calculation 10 2 18 3 4" xfId="2709" xr:uid="{00000000-0005-0000-0000-0000760A0000}"/>
    <cellStyle name="Calculation 10 2 18 3 5" xfId="2710" xr:uid="{00000000-0005-0000-0000-0000770A0000}"/>
    <cellStyle name="Calculation 10 2 18 3 6" xfId="2711" xr:uid="{00000000-0005-0000-0000-0000780A0000}"/>
    <cellStyle name="Calculation 10 2 18 4" xfId="2712" xr:uid="{00000000-0005-0000-0000-0000790A0000}"/>
    <cellStyle name="Calculation 10 2 18 4 2" xfId="2713" xr:uid="{00000000-0005-0000-0000-00007A0A0000}"/>
    <cellStyle name="Calculation 10 2 18 4 3" xfId="2714" xr:uid="{00000000-0005-0000-0000-00007B0A0000}"/>
    <cellStyle name="Calculation 10 2 18 4 4" xfId="2715" xr:uid="{00000000-0005-0000-0000-00007C0A0000}"/>
    <cellStyle name="Calculation 10 2 18 4 5" xfId="2716" xr:uid="{00000000-0005-0000-0000-00007D0A0000}"/>
    <cellStyle name="Calculation 10 2 18 4 6" xfId="2717" xr:uid="{00000000-0005-0000-0000-00007E0A0000}"/>
    <cellStyle name="Calculation 10 2 18 5" xfId="2718" xr:uid="{00000000-0005-0000-0000-00007F0A0000}"/>
    <cellStyle name="Calculation 10 2 18 5 2" xfId="2719" xr:uid="{00000000-0005-0000-0000-0000800A0000}"/>
    <cellStyle name="Calculation 10 2 18 5 3" xfId="2720" xr:uid="{00000000-0005-0000-0000-0000810A0000}"/>
    <cellStyle name="Calculation 10 2 18 5 4" xfId="2721" xr:uid="{00000000-0005-0000-0000-0000820A0000}"/>
    <cellStyle name="Calculation 10 2 18 5 5" xfId="2722" xr:uid="{00000000-0005-0000-0000-0000830A0000}"/>
    <cellStyle name="Calculation 10 2 18 5 6" xfId="2723" xr:uid="{00000000-0005-0000-0000-0000840A0000}"/>
    <cellStyle name="Calculation 10 2 18 6" xfId="2724" xr:uid="{00000000-0005-0000-0000-0000850A0000}"/>
    <cellStyle name="Calculation 10 2 18 6 2" xfId="2725" xr:uid="{00000000-0005-0000-0000-0000860A0000}"/>
    <cellStyle name="Calculation 10 2 18 6 3" xfId="2726" xr:uid="{00000000-0005-0000-0000-0000870A0000}"/>
    <cellStyle name="Calculation 10 2 18 6 4" xfId="2727" xr:uid="{00000000-0005-0000-0000-0000880A0000}"/>
    <cellStyle name="Calculation 10 2 18 6 5" xfId="2728" xr:uid="{00000000-0005-0000-0000-0000890A0000}"/>
    <cellStyle name="Calculation 10 2 18 6 6" xfId="2729" xr:uid="{00000000-0005-0000-0000-00008A0A0000}"/>
    <cellStyle name="Calculation 10 2 18 7" xfId="2730" xr:uid="{00000000-0005-0000-0000-00008B0A0000}"/>
    <cellStyle name="Calculation 10 2 18 7 2" xfId="2731" xr:uid="{00000000-0005-0000-0000-00008C0A0000}"/>
    <cellStyle name="Calculation 10 2 18 7 3" xfId="2732" xr:uid="{00000000-0005-0000-0000-00008D0A0000}"/>
    <cellStyle name="Calculation 10 2 18 7 4" xfId="2733" xr:uid="{00000000-0005-0000-0000-00008E0A0000}"/>
    <cellStyle name="Calculation 10 2 18 7 5" xfId="2734" xr:uid="{00000000-0005-0000-0000-00008F0A0000}"/>
    <cellStyle name="Calculation 10 2 18 7 6" xfId="2735" xr:uid="{00000000-0005-0000-0000-0000900A0000}"/>
    <cellStyle name="Calculation 10 2 18 8" xfId="2736" xr:uid="{00000000-0005-0000-0000-0000910A0000}"/>
    <cellStyle name="Calculation 10 2 18 9" xfId="2737" xr:uid="{00000000-0005-0000-0000-0000920A0000}"/>
    <cellStyle name="Calculation 10 2 19" xfId="2738" xr:uid="{00000000-0005-0000-0000-0000930A0000}"/>
    <cellStyle name="Calculation 10 2 19 10" xfId="2739" xr:uid="{00000000-0005-0000-0000-0000940A0000}"/>
    <cellStyle name="Calculation 10 2 19 2" xfId="2740" xr:uid="{00000000-0005-0000-0000-0000950A0000}"/>
    <cellStyle name="Calculation 10 2 19 2 2" xfId="2741" xr:uid="{00000000-0005-0000-0000-0000960A0000}"/>
    <cellStyle name="Calculation 10 2 19 2 3" xfId="2742" xr:uid="{00000000-0005-0000-0000-0000970A0000}"/>
    <cellStyle name="Calculation 10 2 19 2 4" xfId="2743" xr:uid="{00000000-0005-0000-0000-0000980A0000}"/>
    <cellStyle name="Calculation 10 2 19 2 5" xfId="2744" xr:uid="{00000000-0005-0000-0000-0000990A0000}"/>
    <cellStyle name="Calculation 10 2 19 2 6" xfId="2745" xr:uid="{00000000-0005-0000-0000-00009A0A0000}"/>
    <cellStyle name="Calculation 10 2 19 3" xfId="2746" xr:uid="{00000000-0005-0000-0000-00009B0A0000}"/>
    <cellStyle name="Calculation 10 2 19 3 2" xfId="2747" xr:uid="{00000000-0005-0000-0000-00009C0A0000}"/>
    <cellStyle name="Calculation 10 2 19 3 3" xfId="2748" xr:uid="{00000000-0005-0000-0000-00009D0A0000}"/>
    <cellStyle name="Calculation 10 2 19 3 4" xfId="2749" xr:uid="{00000000-0005-0000-0000-00009E0A0000}"/>
    <cellStyle name="Calculation 10 2 19 3 5" xfId="2750" xr:uid="{00000000-0005-0000-0000-00009F0A0000}"/>
    <cellStyle name="Calculation 10 2 19 3 6" xfId="2751" xr:uid="{00000000-0005-0000-0000-0000A00A0000}"/>
    <cellStyle name="Calculation 10 2 19 4" xfId="2752" xr:uid="{00000000-0005-0000-0000-0000A10A0000}"/>
    <cellStyle name="Calculation 10 2 19 4 2" xfId="2753" xr:uid="{00000000-0005-0000-0000-0000A20A0000}"/>
    <cellStyle name="Calculation 10 2 19 4 3" xfId="2754" xr:uid="{00000000-0005-0000-0000-0000A30A0000}"/>
    <cellStyle name="Calculation 10 2 19 4 4" xfId="2755" xr:uid="{00000000-0005-0000-0000-0000A40A0000}"/>
    <cellStyle name="Calculation 10 2 19 4 5" xfId="2756" xr:uid="{00000000-0005-0000-0000-0000A50A0000}"/>
    <cellStyle name="Calculation 10 2 19 4 6" xfId="2757" xr:uid="{00000000-0005-0000-0000-0000A60A0000}"/>
    <cellStyle name="Calculation 10 2 19 5" xfId="2758" xr:uid="{00000000-0005-0000-0000-0000A70A0000}"/>
    <cellStyle name="Calculation 10 2 19 5 2" xfId="2759" xr:uid="{00000000-0005-0000-0000-0000A80A0000}"/>
    <cellStyle name="Calculation 10 2 19 5 3" xfId="2760" xr:uid="{00000000-0005-0000-0000-0000A90A0000}"/>
    <cellStyle name="Calculation 10 2 19 5 4" xfId="2761" xr:uid="{00000000-0005-0000-0000-0000AA0A0000}"/>
    <cellStyle name="Calculation 10 2 19 5 5" xfId="2762" xr:uid="{00000000-0005-0000-0000-0000AB0A0000}"/>
    <cellStyle name="Calculation 10 2 19 5 6" xfId="2763" xr:uid="{00000000-0005-0000-0000-0000AC0A0000}"/>
    <cellStyle name="Calculation 10 2 19 6" xfId="2764" xr:uid="{00000000-0005-0000-0000-0000AD0A0000}"/>
    <cellStyle name="Calculation 10 2 19 6 2" xfId="2765" xr:uid="{00000000-0005-0000-0000-0000AE0A0000}"/>
    <cellStyle name="Calculation 10 2 19 6 3" xfId="2766" xr:uid="{00000000-0005-0000-0000-0000AF0A0000}"/>
    <cellStyle name="Calculation 10 2 19 6 4" xfId="2767" xr:uid="{00000000-0005-0000-0000-0000B00A0000}"/>
    <cellStyle name="Calculation 10 2 19 6 5" xfId="2768" xr:uid="{00000000-0005-0000-0000-0000B10A0000}"/>
    <cellStyle name="Calculation 10 2 19 6 6" xfId="2769" xr:uid="{00000000-0005-0000-0000-0000B20A0000}"/>
    <cellStyle name="Calculation 10 2 19 7" xfId="2770" xr:uid="{00000000-0005-0000-0000-0000B30A0000}"/>
    <cellStyle name="Calculation 10 2 19 7 2" xfId="2771" xr:uid="{00000000-0005-0000-0000-0000B40A0000}"/>
    <cellStyle name="Calculation 10 2 19 7 3" xfId="2772" xr:uid="{00000000-0005-0000-0000-0000B50A0000}"/>
    <cellStyle name="Calculation 10 2 19 7 4" xfId="2773" xr:uid="{00000000-0005-0000-0000-0000B60A0000}"/>
    <cellStyle name="Calculation 10 2 19 7 5" xfId="2774" xr:uid="{00000000-0005-0000-0000-0000B70A0000}"/>
    <cellStyle name="Calculation 10 2 19 7 6" xfId="2775" xr:uid="{00000000-0005-0000-0000-0000B80A0000}"/>
    <cellStyle name="Calculation 10 2 19 8" xfId="2776" xr:uid="{00000000-0005-0000-0000-0000B90A0000}"/>
    <cellStyle name="Calculation 10 2 19 9" xfId="2777" xr:uid="{00000000-0005-0000-0000-0000BA0A0000}"/>
    <cellStyle name="Calculation 10 2 2" xfId="2778" xr:uid="{00000000-0005-0000-0000-0000BB0A0000}"/>
    <cellStyle name="Calculation 10 2 2 10" xfId="2779" xr:uid="{00000000-0005-0000-0000-0000BC0A0000}"/>
    <cellStyle name="Calculation 10 2 2 2" xfId="2780" xr:uid="{00000000-0005-0000-0000-0000BD0A0000}"/>
    <cellStyle name="Calculation 10 2 2 2 2" xfId="2781" xr:uid="{00000000-0005-0000-0000-0000BE0A0000}"/>
    <cellStyle name="Calculation 10 2 2 2 3" xfId="2782" xr:uid="{00000000-0005-0000-0000-0000BF0A0000}"/>
    <cellStyle name="Calculation 10 2 2 2 4" xfId="2783" xr:uid="{00000000-0005-0000-0000-0000C00A0000}"/>
    <cellStyle name="Calculation 10 2 2 2 5" xfId="2784" xr:uid="{00000000-0005-0000-0000-0000C10A0000}"/>
    <cellStyle name="Calculation 10 2 2 2 6" xfId="2785" xr:uid="{00000000-0005-0000-0000-0000C20A0000}"/>
    <cellStyle name="Calculation 10 2 2 3" xfId="2786" xr:uid="{00000000-0005-0000-0000-0000C30A0000}"/>
    <cellStyle name="Calculation 10 2 2 3 2" xfId="2787" xr:uid="{00000000-0005-0000-0000-0000C40A0000}"/>
    <cellStyle name="Calculation 10 2 2 3 3" xfId="2788" xr:uid="{00000000-0005-0000-0000-0000C50A0000}"/>
    <cellStyle name="Calculation 10 2 2 3 4" xfId="2789" xr:uid="{00000000-0005-0000-0000-0000C60A0000}"/>
    <cellStyle name="Calculation 10 2 2 3 5" xfId="2790" xr:uid="{00000000-0005-0000-0000-0000C70A0000}"/>
    <cellStyle name="Calculation 10 2 2 3 6" xfId="2791" xr:uid="{00000000-0005-0000-0000-0000C80A0000}"/>
    <cellStyle name="Calculation 10 2 2 4" xfId="2792" xr:uid="{00000000-0005-0000-0000-0000C90A0000}"/>
    <cellStyle name="Calculation 10 2 2 4 2" xfId="2793" xr:uid="{00000000-0005-0000-0000-0000CA0A0000}"/>
    <cellStyle name="Calculation 10 2 2 4 3" xfId="2794" xr:uid="{00000000-0005-0000-0000-0000CB0A0000}"/>
    <cellStyle name="Calculation 10 2 2 4 4" xfId="2795" xr:uid="{00000000-0005-0000-0000-0000CC0A0000}"/>
    <cellStyle name="Calculation 10 2 2 4 5" xfId="2796" xr:uid="{00000000-0005-0000-0000-0000CD0A0000}"/>
    <cellStyle name="Calculation 10 2 2 4 6" xfId="2797" xr:uid="{00000000-0005-0000-0000-0000CE0A0000}"/>
    <cellStyle name="Calculation 10 2 2 5" xfId="2798" xr:uid="{00000000-0005-0000-0000-0000CF0A0000}"/>
    <cellStyle name="Calculation 10 2 2 5 2" xfId="2799" xr:uid="{00000000-0005-0000-0000-0000D00A0000}"/>
    <cellStyle name="Calculation 10 2 2 5 3" xfId="2800" xr:uid="{00000000-0005-0000-0000-0000D10A0000}"/>
    <cellStyle name="Calculation 10 2 2 5 4" xfId="2801" xr:uid="{00000000-0005-0000-0000-0000D20A0000}"/>
    <cellStyle name="Calculation 10 2 2 5 5" xfId="2802" xr:uid="{00000000-0005-0000-0000-0000D30A0000}"/>
    <cellStyle name="Calculation 10 2 2 5 6" xfId="2803" xr:uid="{00000000-0005-0000-0000-0000D40A0000}"/>
    <cellStyle name="Calculation 10 2 2 6" xfId="2804" xr:uid="{00000000-0005-0000-0000-0000D50A0000}"/>
    <cellStyle name="Calculation 10 2 2 6 2" xfId="2805" xr:uid="{00000000-0005-0000-0000-0000D60A0000}"/>
    <cellStyle name="Calculation 10 2 2 6 3" xfId="2806" xr:uid="{00000000-0005-0000-0000-0000D70A0000}"/>
    <cellStyle name="Calculation 10 2 2 6 4" xfId="2807" xr:uid="{00000000-0005-0000-0000-0000D80A0000}"/>
    <cellStyle name="Calculation 10 2 2 6 5" xfId="2808" xr:uid="{00000000-0005-0000-0000-0000D90A0000}"/>
    <cellStyle name="Calculation 10 2 2 6 6" xfId="2809" xr:uid="{00000000-0005-0000-0000-0000DA0A0000}"/>
    <cellStyle name="Calculation 10 2 2 7" xfId="2810" xr:uid="{00000000-0005-0000-0000-0000DB0A0000}"/>
    <cellStyle name="Calculation 10 2 2 7 2" xfId="2811" xr:uid="{00000000-0005-0000-0000-0000DC0A0000}"/>
    <cellStyle name="Calculation 10 2 2 7 3" xfId="2812" xr:uid="{00000000-0005-0000-0000-0000DD0A0000}"/>
    <cellStyle name="Calculation 10 2 2 7 4" xfId="2813" xr:uid="{00000000-0005-0000-0000-0000DE0A0000}"/>
    <cellStyle name="Calculation 10 2 2 7 5" xfId="2814" xr:uid="{00000000-0005-0000-0000-0000DF0A0000}"/>
    <cellStyle name="Calculation 10 2 2 7 6" xfId="2815" xr:uid="{00000000-0005-0000-0000-0000E00A0000}"/>
    <cellStyle name="Calculation 10 2 2 8" xfId="2816" xr:uid="{00000000-0005-0000-0000-0000E10A0000}"/>
    <cellStyle name="Calculation 10 2 2 9" xfId="2817" xr:uid="{00000000-0005-0000-0000-0000E20A0000}"/>
    <cellStyle name="Calculation 10 2 20" xfId="2818" xr:uid="{00000000-0005-0000-0000-0000E30A0000}"/>
    <cellStyle name="Calculation 10 2 20 10" xfId="2819" xr:uid="{00000000-0005-0000-0000-0000E40A0000}"/>
    <cellStyle name="Calculation 10 2 20 2" xfId="2820" xr:uid="{00000000-0005-0000-0000-0000E50A0000}"/>
    <cellStyle name="Calculation 10 2 20 2 2" xfId="2821" xr:uid="{00000000-0005-0000-0000-0000E60A0000}"/>
    <cellStyle name="Calculation 10 2 20 2 3" xfId="2822" xr:uid="{00000000-0005-0000-0000-0000E70A0000}"/>
    <cellStyle name="Calculation 10 2 20 2 4" xfId="2823" xr:uid="{00000000-0005-0000-0000-0000E80A0000}"/>
    <cellStyle name="Calculation 10 2 20 2 5" xfId="2824" xr:uid="{00000000-0005-0000-0000-0000E90A0000}"/>
    <cellStyle name="Calculation 10 2 20 2 6" xfId="2825" xr:uid="{00000000-0005-0000-0000-0000EA0A0000}"/>
    <cellStyle name="Calculation 10 2 20 3" xfId="2826" xr:uid="{00000000-0005-0000-0000-0000EB0A0000}"/>
    <cellStyle name="Calculation 10 2 20 3 2" xfId="2827" xr:uid="{00000000-0005-0000-0000-0000EC0A0000}"/>
    <cellStyle name="Calculation 10 2 20 3 3" xfId="2828" xr:uid="{00000000-0005-0000-0000-0000ED0A0000}"/>
    <cellStyle name="Calculation 10 2 20 3 4" xfId="2829" xr:uid="{00000000-0005-0000-0000-0000EE0A0000}"/>
    <cellStyle name="Calculation 10 2 20 3 5" xfId="2830" xr:uid="{00000000-0005-0000-0000-0000EF0A0000}"/>
    <cellStyle name="Calculation 10 2 20 3 6" xfId="2831" xr:uid="{00000000-0005-0000-0000-0000F00A0000}"/>
    <cellStyle name="Calculation 10 2 20 4" xfId="2832" xr:uid="{00000000-0005-0000-0000-0000F10A0000}"/>
    <cellStyle name="Calculation 10 2 20 4 2" xfId="2833" xr:uid="{00000000-0005-0000-0000-0000F20A0000}"/>
    <cellStyle name="Calculation 10 2 20 4 3" xfId="2834" xr:uid="{00000000-0005-0000-0000-0000F30A0000}"/>
    <cellStyle name="Calculation 10 2 20 4 4" xfId="2835" xr:uid="{00000000-0005-0000-0000-0000F40A0000}"/>
    <cellStyle name="Calculation 10 2 20 4 5" xfId="2836" xr:uid="{00000000-0005-0000-0000-0000F50A0000}"/>
    <cellStyle name="Calculation 10 2 20 4 6" xfId="2837" xr:uid="{00000000-0005-0000-0000-0000F60A0000}"/>
    <cellStyle name="Calculation 10 2 20 5" xfId="2838" xr:uid="{00000000-0005-0000-0000-0000F70A0000}"/>
    <cellStyle name="Calculation 10 2 20 5 2" xfId="2839" xr:uid="{00000000-0005-0000-0000-0000F80A0000}"/>
    <cellStyle name="Calculation 10 2 20 5 3" xfId="2840" xr:uid="{00000000-0005-0000-0000-0000F90A0000}"/>
    <cellStyle name="Calculation 10 2 20 5 4" xfId="2841" xr:uid="{00000000-0005-0000-0000-0000FA0A0000}"/>
    <cellStyle name="Calculation 10 2 20 5 5" xfId="2842" xr:uid="{00000000-0005-0000-0000-0000FB0A0000}"/>
    <cellStyle name="Calculation 10 2 20 5 6" xfId="2843" xr:uid="{00000000-0005-0000-0000-0000FC0A0000}"/>
    <cellStyle name="Calculation 10 2 20 6" xfId="2844" xr:uid="{00000000-0005-0000-0000-0000FD0A0000}"/>
    <cellStyle name="Calculation 10 2 20 6 2" xfId="2845" xr:uid="{00000000-0005-0000-0000-0000FE0A0000}"/>
    <cellStyle name="Calculation 10 2 20 6 3" xfId="2846" xr:uid="{00000000-0005-0000-0000-0000FF0A0000}"/>
    <cellStyle name="Calculation 10 2 20 6 4" xfId="2847" xr:uid="{00000000-0005-0000-0000-0000000B0000}"/>
    <cellStyle name="Calculation 10 2 20 6 5" xfId="2848" xr:uid="{00000000-0005-0000-0000-0000010B0000}"/>
    <cellStyle name="Calculation 10 2 20 6 6" xfId="2849" xr:uid="{00000000-0005-0000-0000-0000020B0000}"/>
    <cellStyle name="Calculation 10 2 20 7" xfId="2850" xr:uid="{00000000-0005-0000-0000-0000030B0000}"/>
    <cellStyle name="Calculation 10 2 20 7 2" xfId="2851" xr:uid="{00000000-0005-0000-0000-0000040B0000}"/>
    <cellStyle name="Calculation 10 2 20 7 3" xfId="2852" xr:uid="{00000000-0005-0000-0000-0000050B0000}"/>
    <cellStyle name="Calculation 10 2 20 7 4" xfId="2853" xr:uid="{00000000-0005-0000-0000-0000060B0000}"/>
    <cellStyle name="Calculation 10 2 20 7 5" xfId="2854" xr:uid="{00000000-0005-0000-0000-0000070B0000}"/>
    <cellStyle name="Calculation 10 2 20 7 6" xfId="2855" xr:uid="{00000000-0005-0000-0000-0000080B0000}"/>
    <cellStyle name="Calculation 10 2 20 8" xfId="2856" xr:uid="{00000000-0005-0000-0000-0000090B0000}"/>
    <cellStyle name="Calculation 10 2 20 9" xfId="2857" xr:uid="{00000000-0005-0000-0000-00000A0B0000}"/>
    <cellStyle name="Calculation 10 2 21" xfId="2858" xr:uid="{00000000-0005-0000-0000-00000B0B0000}"/>
    <cellStyle name="Calculation 10 2 21 10" xfId="2859" xr:uid="{00000000-0005-0000-0000-00000C0B0000}"/>
    <cellStyle name="Calculation 10 2 21 2" xfId="2860" xr:uid="{00000000-0005-0000-0000-00000D0B0000}"/>
    <cellStyle name="Calculation 10 2 21 2 2" xfId="2861" xr:uid="{00000000-0005-0000-0000-00000E0B0000}"/>
    <cellStyle name="Calculation 10 2 21 2 3" xfId="2862" xr:uid="{00000000-0005-0000-0000-00000F0B0000}"/>
    <cellStyle name="Calculation 10 2 21 2 4" xfId="2863" xr:uid="{00000000-0005-0000-0000-0000100B0000}"/>
    <cellStyle name="Calculation 10 2 21 2 5" xfId="2864" xr:uid="{00000000-0005-0000-0000-0000110B0000}"/>
    <cellStyle name="Calculation 10 2 21 2 6" xfId="2865" xr:uid="{00000000-0005-0000-0000-0000120B0000}"/>
    <cellStyle name="Calculation 10 2 21 3" xfId="2866" xr:uid="{00000000-0005-0000-0000-0000130B0000}"/>
    <cellStyle name="Calculation 10 2 21 3 2" xfId="2867" xr:uid="{00000000-0005-0000-0000-0000140B0000}"/>
    <cellStyle name="Calculation 10 2 21 3 3" xfId="2868" xr:uid="{00000000-0005-0000-0000-0000150B0000}"/>
    <cellStyle name="Calculation 10 2 21 3 4" xfId="2869" xr:uid="{00000000-0005-0000-0000-0000160B0000}"/>
    <cellStyle name="Calculation 10 2 21 3 5" xfId="2870" xr:uid="{00000000-0005-0000-0000-0000170B0000}"/>
    <cellStyle name="Calculation 10 2 21 3 6" xfId="2871" xr:uid="{00000000-0005-0000-0000-0000180B0000}"/>
    <cellStyle name="Calculation 10 2 21 4" xfId="2872" xr:uid="{00000000-0005-0000-0000-0000190B0000}"/>
    <cellStyle name="Calculation 10 2 21 4 2" xfId="2873" xr:uid="{00000000-0005-0000-0000-00001A0B0000}"/>
    <cellStyle name="Calculation 10 2 21 4 3" xfId="2874" xr:uid="{00000000-0005-0000-0000-00001B0B0000}"/>
    <cellStyle name="Calculation 10 2 21 4 4" xfId="2875" xr:uid="{00000000-0005-0000-0000-00001C0B0000}"/>
    <cellStyle name="Calculation 10 2 21 4 5" xfId="2876" xr:uid="{00000000-0005-0000-0000-00001D0B0000}"/>
    <cellStyle name="Calculation 10 2 21 4 6" xfId="2877" xr:uid="{00000000-0005-0000-0000-00001E0B0000}"/>
    <cellStyle name="Calculation 10 2 21 5" xfId="2878" xr:uid="{00000000-0005-0000-0000-00001F0B0000}"/>
    <cellStyle name="Calculation 10 2 21 5 2" xfId="2879" xr:uid="{00000000-0005-0000-0000-0000200B0000}"/>
    <cellStyle name="Calculation 10 2 21 5 3" xfId="2880" xr:uid="{00000000-0005-0000-0000-0000210B0000}"/>
    <cellStyle name="Calculation 10 2 21 5 4" xfId="2881" xr:uid="{00000000-0005-0000-0000-0000220B0000}"/>
    <cellStyle name="Calculation 10 2 21 5 5" xfId="2882" xr:uid="{00000000-0005-0000-0000-0000230B0000}"/>
    <cellStyle name="Calculation 10 2 21 5 6" xfId="2883" xr:uid="{00000000-0005-0000-0000-0000240B0000}"/>
    <cellStyle name="Calculation 10 2 21 6" xfId="2884" xr:uid="{00000000-0005-0000-0000-0000250B0000}"/>
    <cellStyle name="Calculation 10 2 21 6 2" xfId="2885" xr:uid="{00000000-0005-0000-0000-0000260B0000}"/>
    <cellStyle name="Calculation 10 2 21 6 3" xfId="2886" xr:uid="{00000000-0005-0000-0000-0000270B0000}"/>
    <cellStyle name="Calculation 10 2 21 6 4" xfId="2887" xr:uid="{00000000-0005-0000-0000-0000280B0000}"/>
    <cellStyle name="Calculation 10 2 21 6 5" xfId="2888" xr:uid="{00000000-0005-0000-0000-0000290B0000}"/>
    <cellStyle name="Calculation 10 2 21 6 6" xfId="2889" xr:uid="{00000000-0005-0000-0000-00002A0B0000}"/>
    <cellStyle name="Calculation 10 2 21 7" xfId="2890" xr:uid="{00000000-0005-0000-0000-00002B0B0000}"/>
    <cellStyle name="Calculation 10 2 21 7 2" xfId="2891" xr:uid="{00000000-0005-0000-0000-00002C0B0000}"/>
    <cellStyle name="Calculation 10 2 21 7 3" xfId="2892" xr:uid="{00000000-0005-0000-0000-00002D0B0000}"/>
    <cellStyle name="Calculation 10 2 21 7 4" xfId="2893" xr:uid="{00000000-0005-0000-0000-00002E0B0000}"/>
    <cellStyle name="Calculation 10 2 21 7 5" xfId="2894" xr:uid="{00000000-0005-0000-0000-00002F0B0000}"/>
    <cellStyle name="Calculation 10 2 21 7 6" xfId="2895" xr:uid="{00000000-0005-0000-0000-0000300B0000}"/>
    <cellStyle name="Calculation 10 2 21 8" xfId="2896" xr:uid="{00000000-0005-0000-0000-0000310B0000}"/>
    <cellStyle name="Calculation 10 2 21 9" xfId="2897" xr:uid="{00000000-0005-0000-0000-0000320B0000}"/>
    <cellStyle name="Calculation 10 2 22" xfId="2898" xr:uid="{00000000-0005-0000-0000-0000330B0000}"/>
    <cellStyle name="Calculation 10 2 22 10" xfId="2899" xr:uid="{00000000-0005-0000-0000-0000340B0000}"/>
    <cellStyle name="Calculation 10 2 22 2" xfId="2900" xr:uid="{00000000-0005-0000-0000-0000350B0000}"/>
    <cellStyle name="Calculation 10 2 22 2 2" xfId="2901" xr:uid="{00000000-0005-0000-0000-0000360B0000}"/>
    <cellStyle name="Calculation 10 2 22 2 3" xfId="2902" xr:uid="{00000000-0005-0000-0000-0000370B0000}"/>
    <cellStyle name="Calculation 10 2 22 2 4" xfId="2903" xr:uid="{00000000-0005-0000-0000-0000380B0000}"/>
    <cellStyle name="Calculation 10 2 22 2 5" xfId="2904" xr:uid="{00000000-0005-0000-0000-0000390B0000}"/>
    <cellStyle name="Calculation 10 2 22 2 6" xfId="2905" xr:uid="{00000000-0005-0000-0000-00003A0B0000}"/>
    <cellStyle name="Calculation 10 2 22 3" xfId="2906" xr:uid="{00000000-0005-0000-0000-00003B0B0000}"/>
    <cellStyle name="Calculation 10 2 22 3 2" xfId="2907" xr:uid="{00000000-0005-0000-0000-00003C0B0000}"/>
    <cellStyle name="Calculation 10 2 22 3 3" xfId="2908" xr:uid="{00000000-0005-0000-0000-00003D0B0000}"/>
    <cellStyle name="Calculation 10 2 22 3 4" xfId="2909" xr:uid="{00000000-0005-0000-0000-00003E0B0000}"/>
    <cellStyle name="Calculation 10 2 22 3 5" xfId="2910" xr:uid="{00000000-0005-0000-0000-00003F0B0000}"/>
    <cellStyle name="Calculation 10 2 22 3 6" xfId="2911" xr:uid="{00000000-0005-0000-0000-0000400B0000}"/>
    <cellStyle name="Calculation 10 2 22 4" xfId="2912" xr:uid="{00000000-0005-0000-0000-0000410B0000}"/>
    <cellStyle name="Calculation 10 2 22 4 2" xfId="2913" xr:uid="{00000000-0005-0000-0000-0000420B0000}"/>
    <cellStyle name="Calculation 10 2 22 4 3" xfId="2914" xr:uid="{00000000-0005-0000-0000-0000430B0000}"/>
    <cellStyle name="Calculation 10 2 22 4 4" xfId="2915" xr:uid="{00000000-0005-0000-0000-0000440B0000}"/>
    <cellStyle name="Calculation 10 2 22 4 5" xfId="2916" xr:uid="{00000000-0005-0000-0000-0000450B0000}"/>
    <cellStyle name="Calculation 10 2 22 4 6" xfId="2917" xr:uid="{00000000-0005-0000-0000-0000460B0000}"/>
    <cellStyle name="Calculation 10 2 22 5" xfId="2918" xr:uid="{00000000-0005-0000-0000-0000470B0000}"/>
    <cellStyle name="Calculation 10 2 22 5 2" xfId="2919" xr:uid="{00000000-0005-0000-0000-0000480B0000}"/>
    <cellStyle name="Calculation 10 2 22 5 3" xfId="2920" xr:uid="{00000000-0005-0000-0000-0000490B0000}"/>
    <cellStyle name="Calculation 10 2 22 5 4" xfId="2921" xr:uid="{00000000-0005-0000-0000-00004A0B0000}"/>
    <cellStyle name="Calculation 10 2 22 5 5" xfId="2922" xr:uid="{00000000-0005-0000-0000-00004B0B0000}"/>
    <cellStyle name="Calculation 10 2 22 5 6" xfId="2923" xr:uid="{00000000-0005-0000-0000-00004C0B0000}"/>
    <cellStyle name="Calculation 10 2 22 6" xfId="2924" xr:uid="{00000000-0005-0000-0000-00004D0B0000}"/>
    <cellStyle name="Calculation 10 2 22 6 2" xfId="2925" xr:uid="{00000000-0005-0000-0000-00004E0B0000}"/>
    <cellStyle name="Calculation 10 2 22 6 3" xfId="2926" xr:uid="{00000000-0005-0000-0000-00004F0B0000}"/>
    <cellStyle name="Calculation 10 2 22 6 4" xfId="2927" xr:uid="{00000000-0005-0000-0000-0000500B0000}"/>
    <cellStyle name="Calculation 10 2 22 6 5" xfId="2928" xr:uid="{00000000-0005-0000-0000-0000510B0000}"/>
    <cellStyle name="Calculation 10 2 22 6 6" xfId="2929" xr:uid="{00000000-0005-0000-0000-0000520B0000}"/>
    <cellStyle name="Calculation 10 2 22 7" xfId="2930" xr:uid="{00000000-0005-0000-0000-0000530B0000}"/>
    <cellStyle name="Calculation 10 2 22 7 2" xfId="2931" xr:uid="{00000000-0005-0000-0000-0000540B0000}"/>
    <cellStyle name="Calculation 10 2 22 7 3" xfId="2932" xr:uid="{00000000-0005-0000-0000-0000550B0000}"/>
    <cellStyle name="Calculation 10 2 22 7 4" xfId="2933" xr:uid="{00000000-0005-0000-0000-0000560B0000}"/>
    <cellStyle name="Calculation 10 2 22 7 5" xfId="2934" xr:uid="{00000000-0005-0000-0000-0000570B0000}"/>
    <cellStyle name="Calculation 10 2 22 7 6" xfId="2935" xr:uid="{00000000-0005-0000-0000-0000580B0000}"/>
    <cellStyle name="Calculation 10 2 22 8" xfId="2936" xr:uid="{00000000-0005-0000-0000-0000590B0000}"/>
    <cellStyle name="Calculation 10 2 22 9" xfId="2937" xr:uid="{00000000-0005-0000-0000-00005A0B0000}"/>
    <cellStyle name="Calculation 10 2 23" xfId="2938" xr:uid="{00000000-0005-0000-0000-00005B0B0000}"/>
    <cellStyle name="Calculation 10 2 23 10" xfId="2939" xr:uid="{00000000-0005-0000-0000-00005C0B0000}"/>
    <cellStyle name="Calculation 10 2 23 2" xfId="2940" xr:uid="{00000000-0005-0000-0000-00005D0B0000}"/>
    <cellStyle name="Calculation 10 2 23 2 2" xfId="2941" xr:uid="{00000000-0005-0000-0000-00005E0B0000}"/>
    <cellStyle name="Calculation 10 2 23 2 3" xfId="2942" xr:uid="{00000000-0005-0000-0000-00005F0B0000}"/>
    <cellStyle name="Calculation 10 2 23 2 4" xfId="2943" xr:uid="{00000000-0005-0000-0000-0000600B0000}"/>
    <cellStyle name="Calculation 10 2 23 2 5" xfId="2944" xr:uid="{00000000-0005-0000-0000-0000610B0000}"/>
    <cellStyle name="Calculation 10 2 23 2 6" xfId="2945" xr:uid="{00000000-0005-0000-0000-0000620B0000}"/>
    <cellStyle name="Calculation 10 2 23 3" xfId="2946" xr:uid="{00000000-0005-0000-0000-0000630B0000}"/>
    <cellStyle name="Calculation 10 2 23 3 2" xfId="2947" xr:uid="{00000000-0005-0000-0000-0000640B0000}"/>
    <cellStyle name="Calculation 10 2 23 3 3" xfId="2948" xr:uid="{00000000-0005-0000-0000-0000650B0000}"/>
    <cellStyle name="Calculation 10 2 23 3 4" xfId="2949" xr:uid="{00000000-0005-0000-0000-0000660B0000}"/>
    <cellStyle name="Calculation 10 2 23 3 5" xfId="2950" xr:uid="{00000000-0005-0000-0000-0000670B0000}"/>
    <cellStyle name="Calculation 10 2 23 3 6" xfId="2951" xr:uid="{00000000-0005-0000-0000-0000680B0000}"/>
    <cellStyle name="Calculation 10 2 23 4" xfId="2952" xr:uid="{00000000-0005-0000-0000-0000690B0000}"/>
    <cellStyle name="Calculation 10 2 23 4 2" xfId="2953" xr:uid="{00000000-0005-0000-0000-00006A0B0000}"/>
    <cellStyle name="Calculation 10 2 23 4 3" xfId="2954" xr:uid="{00000000-0005-0000-0000-00006B0B0000}"/>
    <cellStyle name="Calculation 10 2 23 4 4" xfId="2955" xr:uid="{00000000-0005-0000-0000-00006C0B0000}"/>
    <cellStyle name="Calculation 10 2 23 4 5" xfId="2956" xr:uid="{00000000-0005-0000-0000-00006D0B0000}"/>
    <cellStyle name="Calculation 10 2 23 4 6" xfId="2957" xr:uid="{00000000-0005-0000-0000-00006E0B0000}"/>
    <cellStyle name="Calculation 10 2 23 5" xfId="2958" xr:uid="{00000000-0005-0000-0000-00006F0B0000}"/>
    <cellStyle name="Calculation 10 2 23 5 2" xfId="2959" xr:uid="{00000000-0005-0000-0000-0000700B0000}"/>
    <cellStyle name="Calculation 10 2 23 5 3" xfId="2960" xr:uid="{00000000-0005-0000-0000-0000710B0000}"/>
    <cellStyle name="Calculation 10 2 23 5 4" xfId="2961" xr:uid="{00000000-0005-0000-0000-0000720B0000}"/>
    <cellStyle name="Calculation 10 2 23 5 5" xfId="2962" xr:uid="{00000000-0005-0000-0000-0000730B0000}"/>
    <cellStyle name="Calculation 10 2 23 5 6" xfId="2963" xr:uid="{00000000-0005-0000-0000-0000740B0000}"/>
    <cellStyle name="Calculation 10 2 23 6" xfId="2964" xr:uid="{00000000-0005-0000-0000-0000750B0000}"/>
    <cellStyle name="Calculation 10 2 23 6 2" xfId="2965" xr:uid="{00000000-0005-0000-0000-0000760B0000}"/>
    <cellStyle name="Calculation 10 2 23 6 3" xfId="2966" xr:uid="{00000000-0005-0000-0000-0000770B0000}"/>
    <cellStyle name="Calculation 10 2 23 6 4" xfId="2967" xr:uid="{00000000-0005-0000-0000-0000780B0000}"/>
    <cellStyle name="Calculation 10 2 23 6 5" xfId="2968" xr:uid="{00000000-0005-0000-0000-0000790B0000}"/>
    <cellStyle name="Calculation 10 2 23 6 6" xfId="2969" xr:uid="{00000000-0005-0000-0000-00007A0B0000}"/>
    <cellStyle name="Calculation 10 2 23 7" xfId="2970" xr:uid="{00000000-0005-0000-0000-00007B0B0000}"/>
    <cellStyle name="Calculation 10 2 23 7 2" xfId="2971" xr:uid="{00000000-0005-0000-0000-00007C0B0000}"/>
    <cellStyle name="Calculation 10 2 23 7 3" xfId="2972" xr:uid="{00000000-0005-0000-0000-00007D0B0000}"/>
    <cellStyle name="Calculation 10 2 23 7 4" xfId="2973" xr:uid="{00000000-0005-0000-0000-00007E0B0000}"/>
    <cellStyle name="Calculation 10 2 23 7 5" xfId="2974" xr:uid="{00000000-0005-0000-0000-00007F0B0000}"/>
    <cellStyle name="Calculation 10 2 23 7 6" xfId="2975" xr:uid="{00000000-0005-0000-0000-0000800B0000}"/>
    <cellStyle name="Calculation 10 2 23 8" xfId="2976" xr:uid="{00000000-0005-0000-0000-0000810B0000}"/>
    <cellStyle name="Calculation 10 2 23 9" xfId="2977" xr:uid="{00000000-0005-0000-0000-0000820B0000}"/>
    <cellStyle name="Calculation 10 2 24" xfId="2978" xr:uid="{00000000-0005-0000-0000-0000830B0000}"/>
    <cellStyle name="Calculation 10 2 24 10" xfId="2979" xr:uid="{00000000-0005-0000-0000-0000840B0000}"/>
    <cellStyle name="Calculation 10 2 24 2" xfId="2980" xr:uid="{00000000-0005-0000-0000-0000850B0000}"/>
    <cellStyle name="Calculation 10 2 24 2 2" xfId="2981" xr:uid="{00000000-0005-0000-0000-0000860B0000}"/>
    <cellStyle name="Calculation 10 2 24 2 3" xfId="2982" xr:uid="{00000000-0005-0000-0000-0000870B0000}"/>
    <cellStyle name="Calculation 10 2 24 2 4" xfId="2983" xr:uid="{00000000-0005-0000-0000-0000880B0000}"/>
    <cellStyle name="Calculation 10 2 24 2 5" xfId="2984" xr:uid="{00000000-0005-0000-0000-0000890B0000}"/>
    <cellStyle name="Calculation 10 2 24 2 6" xfId="2985" xr:uid="{00000000-0005-0000-0000-00008A0B0000}"/>
    <cellStyle name="Calculation 10 2 24 3" xfId="2986" xr:uid="{00000000-0005-0000-0000-00008B0B0000}"/>
    <cellStyle name="Calculation 10 2 24 3 2" xfId="2987" xr:uid="{00000000-0005-0000-0000-00008C0B0000}"/>
    <cellStyle name="Calculation 10 2 24 3 3" xfId="2988" xr:uid="{00000000-0005-0000-0000-00008D0B0000}"/>
    <cellStyle name="Calculation 10 2 24 3 4" xfId="2989" xr:uid="{00000000-0005-0000-0000-00008E0B0000}"/>
    <cellStyle name="Calculation 10 2 24 3 5" xfId="2990" xr:uid="{00000000-0005-0000-0000-00008F0B0000}"/>
    <cellStyle name="Calculation 10 2 24 3 6" xfId="2991" xr:uid="{00000000-0005-0000-0000-0000900B0000}"/>
    <cellStyle name="Calculation 10 2 24 4" xfId="2992" xr:uid="{00000000-0005-0000-0000-0000910B0000}"/>
    <cellStyle name="Calculation 10 2 24 4 2" xfId="2993" xr:uid="{00000000-0005-0000-0000-0000920B0000}"/>
    <cellStyle name="Calculation 10 2 24 4 3" xfId="2994" xr:uid="{00000000-0005-0000-0000-0000930B0000}"/>
    <cellStyle name="Calculation 10 2 24 4 4" xfId="2995" xr:uid="{00000000-0005-0000-0000-0000940B0000}"/>
    <cellStyle name="Calculation 10 2 24 4 5" xfId="2996" xr:uid="{00000000-0005-0000-0000-0000950B0000}"/>
    <cellStyle name="Calculation 10 2 24 4 6" xfId="2997" xr:uid="{00000000-0005-0000-0000-0000960B0000}"/>
    <cellStyle name="Calculation 10 2 24 5" xfId="2998" xr:uid="{00000000-0005-0000-0000-0000970B0000}"/>
    <cellStyle name="Calculation 10 2 24 5 2" xfId="2999" xr:uid="{00000000-0005-0000-0000-0000980B0000}"/>
    <cellStyle name="Calculation 10 2 24 5 3" xfId="3000" xr:uid="{00000000-0005-0000-0000-0000990B0000}"/>
    <cellStyle name="Calculation 10 2 24 5 4" xfId="3001" xr:uid="{00000000-0005-0000-0000-00009A0B0000}"/>
    <cellStyle name="Calculation 10 2 24 5 5" xfId="3002" xr:uid="{00000000-0005-0000-0000-00009B0B0000}"/>
    <cellStyle name="Calculation 10 2 24 5 6" xfId="3003" xr:uid="{00000000-0005-0000-0000-00009C0B0000}"/>
    <cellStyle name="Calculation 10 2 24 6" xfId="3004" xr:uid="{00000000-0005-0000-0000-00009D0B0000}"/>
    <cellStyle name="Calculation 10 2 24 6 2" xfId="3005" xr:uid="{00000000-0005-0000-0000-00009E0B0000}"/>
    <cellStyle name="Calculation 10 2 24 6 3" xfId="3006" xr:uid="{00000000-0005-0000-0000-00009F0B0000}"/>
    <cellStyle name="Calculation 10 2 24 6 4" xfId="3007" xr:uid="{00000000-0005-0000-0000-0000A00B0000}"/>
    <cellStyle name="Calculation 10 2 24 6 5" xfId="3008" xr:uid="{00000000-0005-0000-0000-0000A10B0000}"/>
    <cellStyle name="Calculation 10 2 24 6 6" xfId="3009" xr:uid="{00000000-0005-0000-0000-0000A20B0000}"/>
    <cellStyle name="Calculation 10 2 24 7" xfId="3010" xr:uid="{00000000-0005-0000-0000-0000A30B0000}"/>
    <cellStyle name="Calculation 10 2 24 7 2" xfId="3011" xr:uid="{00000000-0005-0000-0000-0000A40B0000}"/>
    <cellStyle name="Calculation 10 2 24 7 3" xfId="3012" xr:uid="{00000000-0005-0000-0000-0000A50B0000}"/>
    <cellStyle name="Calculation 10 2 24 7 4" xfId="3013" xr:uid="{00000000-0005-0000-0000-0000A60B0000}"/>
    <cellStyle name="Calculation 10 2 24 7 5" xfId="3014" xr:uid="{00000000-0005-0000-0000-0000A70B0000}"/>
    <cellStyle name="Calculation 10 2 24 7 6" xfId="3015" xr:uid="{00000000-0005-0000-0000-0000A80B0000}"/>
    <cellStyle name="Calculation 10 2 24 8" xfId="3016" xr:uid="{00000000-0005-0000-0000-0000A90B0000}"/>
    <cellStyle name="Calculation 10 2 24 9" xfId="3017" xr:uid="{00000000-0005-0000-0000-0000AA0B0000}"/>
    <cellStyle name="Calculation 10 2 25" xfId="3018" xr:uid="{00000000-0005-0000-0000-0000AB0B0000}"/>
    <cellStyle name="Calculation 10 2 25 10" xfId="3019" xr:uid="{00000000-0005-0000-0000-0000AC0B0000}"/>
    <cellStyle name="Calculation 10 2 25 2" xfId="3020" xr:uid="{00000000-0005-0000-0000-0000AD0B0000}"/>
    <cellStyle name="Calculation 10 2 25 2 2" xfId="3021" xr:uid="{00000000-0005-0000-0000-0000AE0B0000}"/>
    <cellStyle name="Calculation 10 2 25 2 3" xfId="3022" xr:uid="{00000000-0005-0000-0000-0000AF0B0000}"/>
    <cellStyle name="Calculation 10 2 25 2 4" xfId="3023" xr:uid="{00000000-0005-0000-0000-0000B00B0000}"/>
    <cellStyle name="Calculation 10 2 25 2 5" xfId="3024" xr:uid="{00000000-0005-0000-0000-0000B10B0000}"/>
    <cellStyle name="Calculation 10 2 25 2 6" xfId="3025" xr:uid="{00000000-0005-0000-0000-0000B20B0000}"/>
    <cellStyle name="Calculation 10 2 25 3" xfId="3026" xr:uid="{00000000-0005-0000-0000-0000B30B0000}"/>
    <cellStyle name="Calculation 10 2 25 3 2" xfId="3027" xr:uid="{00000000-0005-0000-0000-0000B40B0000}"/>
    <cellStyle name="Calculation 10 2 25 3 3" xfId="3028" xr:uid="{00000000-0005-0000-0000-0000B50B0000}"/>
    <cellStyle name="Calculation 10 2 25 3 4" xfId="3029" xr:uid="{00000000-0005-0000-0000-0000B60B0000}"/>
    <cellStyle name="Calculation 10 2 25 3 5" xfId="3030" xr:uid="{00000000-0005-0000-0000-0000B70B0000}"/>
    <cellStyle name="Calculation 10 2 25 3 6" xfId="3031" xr:uid="{00000000-0005-0000-0000-0000B80B0000}"/>
    <cellStyle name="Calculation 10 2 25 4" xfId="3032" xr:uid="{00000000-0005-0000-0000-0000B90B0000}"/>
    <cellStyle name="Calculation 10 2 25 4 2" xfId="3033" xr:uid="{00000000-0005-0000-0000-0000BA0B0000}"/>
    <cellStyle name="Calculation 10 2 25 4 3" xfId="3034" xr:uid="{00000000-0005-0000-0000-0000BB0B0000}"/>
    <cellStyle name="Calculation 10 2 25 4 4" xfId="3035" xr:uid="{00000000-0005-0000-0000-0000BC0B0000}"/>
    <cellStyle name="Calculation 10 2 25 4 5" xfId="3036" xr:uid="{00000000-0005-0000-0000-0000BD0B0000}"/>
    <cellStyle name="Calculation 10 2 25 4 6" xfId="3037" xr:uid="{00000000-0005-0000-0000-0000BE0B0000}"/>
    <cellStyle name="Calculation 10 2 25 5" xfId="3038" xr:uid="{00000000-0005-0000-0000-0000BF0B0000}"/>
    <cellStyle name="Calculation 10 2 25 5 2" xfId="3039" xr:uid="{00000000-0005-0000-0000-0000C00B0000}"/>
    <cellStyle name="Calculation 10 2 25 5 3" xfId="3040" xr:uid="{00000000-0005-0000-0000-0000C10B0000}"/>
    <cellStyle name="Calculation 10 2 25 5 4" xfId="3041" xr:uid="{00000000-0005-0000-0000-0000C20B0000}"/>
    <cellStyle name="Calculation 10 2 25 5 5" xfId="3042" xr:uid="{00000000-0005-0000-0000-0000C30B0000}"/>
    <cellStyle name="Calculation 10 2 25 5 6" xfId="3043" xr:uid="{00000000-0005-0000-0000-0000C40B0000}"/>
    <cellStyle name="Calculation 10 2 25 6" xfId="3044" xr:uid="{00000000-0005-0000-0000-0000C50B0000}"/>
    <cellStyle name="Calculation 10 2 25 6 2" xfId="3045" xr:uid="{00000000-0005-0000-0000-0000C60B0000}"/>
    <cellStyle name="Calculation 10 2 25 6 3" xfId="3046" xr:uid="{00000000-0005-0000-0000-0000C70B0000}"/>
    <cellStyle name="Calculation 10 2 25 6 4" xfId="3047" xr:uid="{00000000-0005-0000-0000-0000C80B0000}"/>
    <cellStyle name="Calculation 10 2 25 6 5" xfId="3048" xr:uid="{00000000-0005-0000-0000-0000C90B0000}"/>
    <cellStyle name="Calculation 10 2 25 6 6" xfId="3049" xr:uid="{00000000-0005-0000-0000-0000CA0B0000}"/>
    <cellStyle name="Calculation 10 2 25 7" xfId="3050" xr:uid="{00000000-0005-0000-0000-0000CB0B0000}"/>
    <cellStyle name="Calculation 10 2 25 7 2" xfId="3051" xr:uid="{00000000-0005-0000-0000-0000CC0B0000}"/>
    <cellStyle name="Calculation 10 2 25 7 3" xfId="3052" xr:uid="{00000000-0005-0000-0000-0000CD0B0000}"/>
    <cellStyle name="Calculation 10 2 25 7 4" xfId="3053" xr:uid="{00000000-0005-0000-0000-0000CE0B0000}"/>
    <cellStyle name="Calculation 10 2 25 7 5" xfId="3054" xr:uid="{00000000-0005-0000-0000-0000CF0B0000}"/>
    <cellStyle name="Calculation 10 2 25 7 6" xfId="3055" xr:uid="{00000000-0005-0000-0000-0000D00B0000}"/>
    <cellStyle name="Calculation 10 2 25 8" xfId="3056" xr:uid="{00000000-0005-0000-0000-0000D10B0000}"/>
    <cellStyle name="Calculation 10 2 25 9" xfId="3057" xr:uid="{00000000-0005-0000-0000-0000D20B0000}"/>
    <cellStyle name="Calculation 10 2 26" xfId="3058" xr:uid="{00000000-0005-0000-0000-0000D30B0000}"/>
    <cellStyle name="Calculation 10 2 26 10" xfId="3059" xr:uid="{00000000-0005-0000-0000-0000D40B0000}"/>
    <cellStyle name="Calculation 10 2 26 2" xfId="3060" xr:uid="{00000000-0005-0000-0000-0000D50B0000}"/>
    <cellStyle name="Calculation 10 2 26 2 2" xfId="3061" xr:uid="{00000000-0005-0000-0000-0000D60B0000}"/>
    <cellStyle name="Calculation 10 2 26 2 3" xfId="3062" xr:uid="{00000000-0005-0000-0000-0000D70B0000}"/>
    <cellStyle name="Calculation 10 2 26 2 4" xfId="3063" xr:uid="{00000000-0005-0000-0000-0000D80B0000}"/>
    <cellStyle name="Calculation 10 2 26 2 5" xfId="3064" xr:uid="{00000000-0005-0000-0000-0000D90B0000}"/>
    <cellStyle name="Calculation 10 2 26 2 6" xfId="3065" xr:uid="{00000000-0005-0000-0000-0000DA0B0000}"/>
    <cellStyle name="Calculation 10 2 26 3" xfId="3066" xr:uid="{00000000-0005-0000-0000-0000DB0B0000}"/>
    <cellStyle name="Calculation 10 2 26 3 2" xfId="3067" xr:uid="{00000000-0005-0000-0000-0000DC0B0000}"/>
    <cellStyle name="Calculation 10 2 26 3 3" xfId="3068" xr:uid="{00000000-0005-0000-0000-0000DD0B0000}"/>
    <cellStyle name="Calculation 10 2 26 3 4" xfId="3069" xr:uid="{00000000-0005-0000-0000-0000DE0B0000}"/>
    <cellStyle name="Calculation 10 2 26 3 5" xfId="3070" xr:uid="{00000000-0005-0000-0000-0000DF0B0000}"/>
    <cellStyle name="Calculation 10 2 26 3 6" xfId="3071" xr:uid="{00000000-0005-0000-0000-0000E00B0000}"/>
    <cellStyle name="Calculation 10 2 26 4" xfId="3072" xr:uid="{00000000-0005-0000-0000-0000E10B0000}"/>
    <cellStyle name="Calculation 10 2 26 4 2" xfId="3073" xr:uid="{00000000-0005-0000-0000-0000E20B0000}"/>
    <cellStyle name="Calculation 10 2 26 4 3" xfId="3074" xr:uid="{00000000-0005-0000-0000-0000E30B0000}"/>
    <cellStyle name="Calculation 10 2 26 4 4" xfId="3075" xr:uid="{00000000-0005-0000-0000-0000E40B0000}"/>
    <cellStyle name="Calculation 10 2 26 4 5" xfId="3076" xr:uid="{00000000-0005-0000-0000-0000E50B0000}"/>
    <cellStyle name="Calculation 10 2 26 4 6" xfId="3077" xr:uid="{00000000-0005-0000-0000-0000E60B0000}"/>
    <cellStyle name="Calculation 10 2 26 5" xfId="3078" xr:uid="{00000000-0005-0000-0000-0000E70B0000}"/>
    <cellStyle name="Calculation 10 2 26 5 2" xfId="3079" xr:uid="{00000000-0005-0000-0000-0000E80B0000}"/>
    <cellStyle name="Calculation 10 2 26 5 3" xfId="3080" xr:uid="{00000000-0005-0000-0000-0000E90B0000}"/>
    <cellStyle name="Calculation 10 2 26 5 4" xfId="3081" xr:uid="{00000000-0005-0000-0000-0000EA0B0000}"/>
    <cellStyle name="Calculation 10 2 26 5 5" xfId="3082" xr:uid="{00000000-0005-0000-0000-0000EB0B0000}"/>
    <cellStyle name="Calculation 10 2 26 5 6" xfId="3083" xr:uid="{00000000-0005-0000-0000-0000EC0B0000}"/>
    <cellStyle name="Calculation 10 2 26 6" xfId="3084" xr:uid="{00000000-0005-0000-0000-0000ED0B0000}"/>
    <cellStyle name="Calculation 10 2 26 6 2" xfId="3085" xr:uid="{00000000-0005-0000-0000-0000EE0B0000}"/>
    <cellStyle name="Calculation 10 2 26 6 3" xfId="3086" xr:uid="{00000000-0005-0000-0000-0000EF0B0000}"/>
    <cellStyle name="Calculation 10 2 26 6 4" xfId="3087" xr:uid="{00000000-0005-0000-0000-0000F00B0000}"/>
    <cellStyle name="Calculation 10 2 26 6 5" xfId="3088" xr:uid="{00000000-0005-0000-0000-0000F10B0000}"/>
    <cellStyle name="Calculation 10 2 26 6 6" xfId="3089" xr:uid="{00000000-0005-0000-0000-0000F20B0000}"/>
    <cellStyle name="Calculation 10 2 26 7" xfId="3090" xr:uid="{00000000-0005-0000-0000-0000F30B0000}"/>
    <cellStyle name="Calculation 10 2 26 7 2" xfId="3091" xr:uid="{00000000-0005-0000-0000-0000F40B0000}"/>
    <cellStyle name="Calculation 10 2 26 7 3" xfId="3092" xr:uid="{00000000-0005-0000-0000-0000F50B0000}"/>
    <cellStyle name="Calculation 10 2 26 7 4" xfId="3093" xr:uid="{00000000-0005-0000-0000-0000F60B0000}"/>
    <cellStyle name="Calculation 10 2 26 7 5" xfId="3094" xr:uid="{00000000-0005-0000-0000-0000F70B0000}"/>
    <cellStyle name="Calculation 10 2 26 7 6" xfId="3095" xr:uid="{00000000-0005-0000-0000-0000F80B0000}"/>
    <cellStyle name="Calculation 10 2 26 8" xfId="3096" xr:uid="{00000000-0005-0000-0000-0000F90B0000}"/>
    <cellStyle name="Calculation 10 2 26 9" xfId="3097" xr:uid="{00000000-0005-0000-0000-0000FA0B0000}"/>
    <cellStyle name="Calculation 10 2 27" xfId="3098" xr:uid="{00000000-0005-0000-0000-0000FB0B0000}"/>
    <cellStyle name="Calculation 10 2 27 2" xfId="3099" xr:uid="{00000000-0005-0000-0000-0000FC0B0000}"/>
    <cellStyle name="Calculation 10 2 27 3" xfId="3100" xr:uid="{00000000-0005-0000-0000-0000FD0B0000}"/>
    <cellStyle name="Calculation 10 2 27 4" xfId="3101" xr:uid="{00000000-0005-0000-0000-0000FE0B0000}"/>
    <cellStyle name="Calculation 10 2 27 5" xfId="3102" xr:uid="{00000000-0005-0000-0000-0000FF0B0000}"/>
    <cellStyle name="Calculation 10 2 27 6" xfId="3103" xr:uid="{00000000-0005-0000-0000-0000000C0000}"/>
    <cellStyle name="Calculation 10 2 28" xfId="3104" xr:uid="{00000000-0005-0000-0000-0000010C0000}"/>
    <cellStyle name="Calculation 10 2 28 2" xfId="3105" xr:uid="{00000000-0005-0000-0000-0000020C0000}"/>
    <cellStyle name="Calculation 10 2 28 3" xfId="3106" xr:uid="{00000000-0005-0000-0000-0000030C0000}"/>
    <cellStyle name="Calculation 10 2 28 4" xfId="3107" xr:uid="{00000000-0005-0000-0000-0000040C0000}"/>
    <cellStyle name="Calculation 10 2 28 5" xfId="3108" xr:uid="{00000000-0005-0000-0000-0000050C0000}"/>
    <cellStyle name="Calculation 10 2 28 6" xfId="3109" xr:uid="{00000000-0005-0000-0000-0000060C0000}"/>
    <cellStyle name="Calculation 10 2 29" xfId="3110" xr:uid="{00000000-0005-0000-0000-0000070C0000}"/>
    <cellStyle name="Calculation 10 2 29 2" xfId="3111" xr:uid="{00000000-0005-0000-0000-0000080C0000}"/>
    <cellStyle name="Calculation 10 2 29 3" xfId="3112" xr:uid="{00000000-0005-0000-0000-0000090C0000}"/>
    <cellStyle name="Calculation 10 2 29 4" xfId="3113" xr:uid="{00000000-0005-0000-0000-00000A0C0000}"/>
    <cellStyle name="Calculation 10 2 29 5" xfId="3114" xr:uid="{00000000-0005-0000-0000-00000B0C0000}"/>
    <cellStyle name="Calculation 10 2 29 6" xfId="3115" xr:uid="{00000000-0005-0000-0000-00000C0C0000}"/>
    <cellStyle name="Calculation 10 2 3" xfId="3116" xr:uid="{00000000-0005-0000-0000-00000D0C0000}"/>
    <cellStyle name="Calculation 10 2 3 10" xfId="3117" xr:uid="{00000000-0005-0000-0000-00000E0C0000}"/>
    <cellStyle name="Calculation 10 2 3 2" xfId="3118" xr:uid="{00000000-0005-0000-0000-00000F0C0000}"/>
    <cellStyle name="Calculation 10 2 3 2 2" xfId="3119" xr:uid="{00000000-0005-0000-0000-0000100C0000}"/>
    <cellStyle name="Calculation 10 2 3 2 3" xfId="3120" xr:uid="{00000000-0005-0000-0000-0000110C0000}"/>
    <cellStyle name="Calculation 10 2 3 2 4" xfId="3121" xr:uid="{00000000-0005-0000-0000-0000120C0000}"/>
    <cellStyle name="Calculation 10 2 3 2 5" xfId="3122" xr:uid="{00000000-0005-0000-0000-0000130C0000}"/>
    <cellStyle name="Calculation 10 2 3 2 6" xfId="3123" xr:uid="{00000000-0005-0000-0000-0000140C0000}"/>
    <cellStyle name="Calculation 10 2 3 3" xfId="3124" xr:uid="{00000000-0005-0000-0000-0000150C0000}"/>
    <cellStyle name="Calculation 10 2 3 3 2" xfId="3125" xr:uid="{00000000-0005-0000-0000-0000160C0000}"/>
    <cellStyle name="Calculation 10 2 3 3 3" xfId="3126" xr:uid="{00000000-0005-0000-0000-0000170C0000}"/>
    <cellStyle name="Calculation 10 2 3 3 4" xfId="3127" xr:uid="{00000000-0005-0000-0000-0000180C0000}"/>
    <cellStyle name="Calculation 10 2 3 3 5" xfId="3128" xr:uid="{00000000-0005-0000-0000-0000190C0000}"/>
    <cellStyle name="Calculation 10 2 3 3 6" xfId="3129" xr:uid="{00000000-0005-0000-0000-00001A0C0000}"/>
    <cellStyle name="Calculation 10 2 3 4" xfId="3130" xr:uid="{00000000-0005-0000-0000-00001B0C0000}"/>
    <cellStyle name="Calculation 10 2 3 4 2" xfId="3131" xr:uid="{00000000-0005-0000-0000-00001C0C0000}"/>
    <cellStyle name="Calculation 10 2 3 4 3" xfId="3132" xr:uid="{00000000-0005-0000-0000-00001D0C0000}"/>
    <cellStyle name="Calculation 10 2 3 4 4" xfId="3133" xr:uid="{00000000-0005-0000-0000-00001E0C0000}"/>
    <cellStyle name="Calculation 10 2 3 4 5" xfId="3134" xr:uid="{00000000-0005-0000-0000-00001F0C0000}"/>
    <cellStyle name="Calculation 10 2 3 4 6" xfId="3135" xr:uid="{00000000-0005-0000-0000-0000200C0000}"/>
    <cellStyle name="Calculation 10 2 3 5" xfId="3136" xr:uid="{00000000-0005-0000-0000-0000210C0000}"/>
    <cellStyle name="Calculation 10 2 3 5 2" xfId="3137" xr:uid="{00000000-0005-0000-0000-0000220C0000}"/>
    <cellStyle name="Calculation 10 2 3 5 3" xfId="3138" xr:uid="{00000000-0005-0000-0000-0000230C0000}"/>
    <cellStyle name="Calculation 10 2 3 5 4" xfId="3139" xr:uid="{00000000-0005-0000-0000-0000240C0000}"/>
    <cellStyle name="Calculation 10 2 3 5 5" xfId="3140" xr:uid="{00000000-0005-0000-0000-0000250C0000}"/>
    <cellStyle name="Calculation 10 2 3 5 6" xfId="3141" xr:uid="{00000000-0005-0000-0000-0000260C0000}"/>
    <cellStyle name="Calculation 10 2 3 6" xfId="3142" xr:uid="{00000000-0005-0000-0000-0000270C0000}"/>
    <cellStyle name="Calculation 10 2 3 6 2" xfId="3143" xr:uid="{00000000-0005-0000-0000-0000280C0000}"/>
    <cellStyle name="Calculation 10 2 3 6 3" xfId="3144" xr:uid="{00000000-0005-0000-0000-0000290C0000}"/>
    <cellStyle name="Calculation 10 2 3 6 4" xfId="3145" xr:uid="{00000000-0005-0000-0000-00002A0C0000}"/>
    <cellStyle name="Calculation 10 2 3 6 5" xfId="3146" xr:uid="{00000000-0005-0000-0000-00002B0C0000}"/>
    <cellStyle name="Calculation 10 2 3 6 6" xfId="3147" xr:uid="{00000000-0005-0000-0000-00002C0C0000}"/>
    <cellStyle name="Calculation 10 2 3 7" xfId="3148" xr:uid="{00000000-0005-0000-0000-00002D0C0000}"/>
    <cellStyle name="Calculation 10 2 3 7 2" xfId="3149" xr:uid="{00000000-0005-0000-0000-00002E0C0000}"/>
    <cellStyle name="Calculation 10 2 3 7 3" xfId="3150" xr:uid="{00000000-0005-0000-0000-00002F0C0000}"/>
    <cellStyle name="Calculation 10 2 3 7 4" xfId="3151" xr:uid="{00000000-0005-0000-0000-0000300C0000}"/>
    <cellStyle name="Calculation 10 2 3 7 5" xfId="3152" xr:uid="{00000000-0005-0000-0000-0000310C0000}"/>
    <cellStyle name="Calculation 10 2 3 7 6" xfId="3153" xr:uid="{00000000-0005-0000-0000-0000320C0000}"/>
    <cellStyle name="Calculation 10 2 3 8" xfId="3154" xr:uid="{00000000-0005-0000-0000-0000330C0000}"/>
    <cellStyle name="Calculation 10 2 3 9" xfId="3155" xr:uid="{00000000-0005-0000-0000-0000340C0000}"/>
    <cellStyle name="Calculation 10 2 30" xfId="3156" xr:uid="{00000000-0005-0000-0000-0000350C0000}"/>
    <cellStyle name="Calculation 10 2 30 2" xfId="3157" xr:uid="{00000000-0005-0000-0000-0000360C0000}"/>
    <cellStyle name="Calculation 10 2 30 3" xfId="3158" xr:uid="{00000000-0005-0000-0000-0000370C0000}"/>
    <cellStyle name="Calculation 10 2 30 4" xfId="3159" xr:uid="{00000000-0005-0000-0000-0000380C0000}"/>
    <cellStyle name="Calculation 10 2 30 5" xfId="3160" xr:uid="{00000000-0005-0000-0000-0000390C0000}"/>
    <cellStyle name="Calculation 10 2 30 6" xfId="3161" xr:uid="{00000000-0005-0000-0000-00003A0C0000}"/>
    <cellStyle name="Calculation 10 2 31" xfId="3162" xr:uid="{00000000-0005-0000-0000-00003B0C0000}"/>
    <cellStyle name="Calculation 10 2 31 2" xfId="3163" xr:uid="{00000000-0005-0000-0000-00003C0C0000}"/>
    <cellStyle name="Calculation 10 2 31 3" xfId="3164" xr:uid="{00000000-0005-0000-0000-00003D0C0000}"/>
    <cellStyle name="Calculation 10 2 31 4" xfId="3165" xr:uid="{00000000-0005-0000-0000-00003E0C0000}"/>
    <cellStyle name="Calculation 10 2 31 5" xfId="3166" xr:uid="{00000000-0005-0000-0000-00003F0C0000}"/>
    <cellStyle name="Calculation 10 2 31 6" xfId="3167" xr:uid="{00000000-0005-0000-0000-0000400C0000}"/>
    <cellStyle name="Calculation 10 2 32" xfId="3168" xr:uid="{00000000-0005-0000-0000-0000410C0000}"/>
    <cellStyle name="Calculation 10 2 32 2" xfId="3169" xr:uid="{00000000-0005-0000-0000-0000420C0000}"/>
    <cellStyle name="Calculation 10 2 32 3" xfId="3170" xr:uid="{00000000-0005-0000-0000-0000430C0000}"/>
    <cellStyle name="Calculation 10 2 32 4" xfId="3171" xr:uid="{00000000-0005-0000-0000-0000440C0000}"/>
    <cellStyle name="Calculation 10 2 32 5" xfId="3172" xr:uid="{00000000-0005-0000-0000-0000450C0000}"/>
    <cellStyle name="Calculation 10 2 32 6" xfId="3173" xr:uid="{00000000-0005-0000-0000-0000460C0000}"/>
    <cellStyle name="Calculation 10 2 33" xfId="3174" xr:uid="{00000000-0005-0000-0000-0000470C0000}"/>
    <cellStyle name="Calculation 10 2 34" xfId="3175" xr:uid="{00000000-0005-0000-0000-0000480C0000}"/>
    <cellStyle name="Calculation 10 2 35" xfId="3176" xr:uid="{00000000-0005-0000-0000-0000490C0000}"/>
    <cellStyle name="Calculation 10 2 4" xfId="3177" xr:uid="{00000000-0005-0000-0000-00004A0C0000}"/>
    <cellStyle name="Calculation 10 2 4 10" xfId="3178" xr:uid="{00000000-0005-0000-0000-00004B0C0000}"/>
    <cellStyle name="Calculation 10 2 4 2" xfId="3179" xr:uid="{00000000-0005-0000-0000-00004C0C0000}"/>
    <cellStyle name="Calculation 10 2 4 2 2" xfId="3180" xr:uid="{00000000-0005-0000-0000-00004D0C0000}"/>
    <cellStyle name="Calculation 10 2 4 2 3" xfId="3181" xr:uid="{00000000-0005-0000-0000-00004E0C0000}"/>
    <cellStyle name="Calculation 10 2 4 2 4" xfId="3182" xr:uid="{00000000-0005-0000-0000-00004F0C0000}"/>
    <cellStyle name="Calculation 10 2 4 2 5" xfId="3183" xr:uid="{00000000-0005-0000-0000-0000500C0000}"/>
    <cellStyle name="Calculation 10 2 4 2 6" xfId="3184" xr:uid="{00000000-0005-0000-0000-0000510C0000}"/>
    <cellStyle name="Calculation 10 2 4 3" xfId="3185" xr:uid="{00000000-0005-0000-0000-0000520C0000}"/>
    <cellStyle name="Calculation 10 2 4 3 2" xfId="3186" xr:uid="{00000000-0005-0000-0000-0000530C0000}"/>
    <cellStyle name="Calculation 10 2 4 3 3" xfId="3187" xr:uid="{00000000-0005-0000-0000-0000540C0000}"/>
    <cellStyle name="Calculation 10 2 4 3 4" xfId="3188" xr:uid="{00000000-0005-0000-0000-0000550C0000}"/>
    <cellStyle name="Calculation 10 2 4 3 5" xfId="3189" xr:uid="{00000000-0005-0000-0000-0000560C0000}"/>
    <cellStyle name="Calculation 10 2 4 3 6" xfId="3190" xr:uid="{00000000-0005-0000-0000-0000570C0000}"/>
    <cellStyle name="Calculation 10 2 4 4" xfId="3191" xr:uid="{00000000-0005-0000-0000-0000580C0000}"/>
    <cellStyle name="Calculation 10 2 4 4 2" xfId="3192" xr:uid="{00000000-0005-0000-0000-0000590C0000}"/>
    <cellStyle name="Calculation 10 2 4 4 3" xfId="3193" xr:uid="{00000000-0005-0000-0000-00005A0C0000}"/>
    <cellStyle name="Calculation 10 2 4 4 4" xfId="3194" xr:uid="{00000000-0005-0000-0000-00005B0C0000}"/>
    <cellStyle name="Calculation 10 2 4 4 5" xfId="3195" xr:uid="{00000000-0005-0000-0000-00005C0C0000}"/>
    <cellStyle name="Calculation 10 2 4 4 6" xfId="3196" xr:uid="{00000000-0005-0000-0000-00005D0C0000}"/>
    <cellStyle name="Calculation 10 2 4 5" xfId="3197" xr:uid="{00000000-0005-0000-0000-00005E0C0000}"/>
    <cellStyle name="Calculation 10 2 4 5 2" xfId="3198" xr:uid="{00000000-0005-0000-0000-00005F0C0000}"/>
    <cellStyle name="Calculation 10 2 4 5 3" xfId="3199" xr:uid="{00000000-0005-0000-0000-0000600C0000}"/>
    <cellStyle name="Calculation 10 2 4 5 4" xfId="3200" xr:uid="{00000000-0005-0000-0000-0000610C0000}"/>
    <cellStyle name="Calculation 10 2 4 5 5" xfId="3201" xr:uid="{00000000-0005-0000-0000-0000620C0000}"/>
    <cellStyle name="Calculation 10 2 4 5 6" xfId="3202" xr:uid="{00000000-0005-0000-0000-0000630C0000}"/>
    <cellStyle name="Calculation 10 2 4 6" xfId="3203" xr:uid="{00000000-0005-0000-0000-0000640C0000}"/>
    <cellStyle name="Calculation 10 2 4 6 2" xfId="3204" xr:uid="{00000000-0005-0000-0000-0000650C0000}"/>
    <cellStyle name="Calculation 10 2 4 6 3" xfId="3205" xr:uid="{00000000-0005-0000-0000-0000660C0000}"/>
    <cellStyle name="Calculation 10 2 4 6 4" xfId="3206" xr:uid="{00000000-0005-0000-0000-0000670C0000}"/>
    <cellStyle name="Calculation 10 2 4 6 5" xfId="3207" xr:uid="{00000000-0005-0000-0000-0000680C0000}"/>
    <cellStyle name="Calculation 10 2 4 6 6" xfId="3208" xr:uid="{00000000-0005-0000-0000-0000690C0000}"/>
    <cellStyle name="Calculation 10 2 4 7" xfId="3209" xr:uid="{00000000-0005-0000-0000-00006A0C0000}"/>
    <cellStyle name="Calculation 10 2 4 7 2" xfId="3210" xr:uid="{00000000-0005-0000-0000-00006B0C0000}"/>
    <cellStyle name="Calculation 10 2 4 7 3" xfId="3211" xr:uid="{00000000-0005-0000-0000-00006C0C0000}"/>
    <cellStyle name="Calculation 10 2 4 7 4" xfId="3212" xr:uid="{00000000-0005-0000-0000-00006D0C0000}"/>
    <cellStyle name="Calculation 10 2 4 7 5" xfId="3213" xr:uid="{00000000-0005-0000-0000-00006E0C0000}"/>
    <cellStyle name="Calculation 10 2 4 7 6" xfId="3214" xr:uid="{00000000-0005-0000-0000-00006F0C0000}"/>
    <cellStyle name="Calculation 10 2 4 8" xfId="3215" xr:uid="{00000000-0005-0000-0000-0000700C0000}"/>
    <cellStyle name="Calculation 10 2 4 9" xfId="3216" xr:uid="{00000000-0005-0000-0000-0000710C0000}"/>
    <cellStyle name="Calculation 10 2 5" xfId="3217" xr:uid="{00000000-0005-0000-0000-0000720C0000}"/>
    <cellStyle name="Calculation 10 2 5 10" xfId="3218" xr:uid="{00000000-0005-0000-0000-0000730C0000}"/>
    <cellStyle name="Calculation 10 2 5 2" xfId="3219" xr:uid="{00000000-0005-0000-0000-0000740C0000}"/>
    <cellStyle name="Calculation 10 2 5 2 2" xfId="3220" xr:uid="{00000000-0005-0000-0000-0000750C0000}"/>
    <cellStyle name="Calculation 10 2 5 2 3" xfId="3221" xr:uid="{00000000-0005-0000-0000-0000760C0000}"/>
    <cellStyle name="Calculation 10 2 5 2 4" xfId="3222" xr:uid="{00000000-0005-0000-0000-0000770C0000}"/>
    <cellStyle name="Calculation 10 2 5 2 5" xfId="3223" xr:uid="{00000000-0005-0000-0000-0000780C0000}"/>
    <cellStyle name="Calculation 10 2 5 2 6" xfId="3224" xr:uid="{00000000-0005-0000-0000-0000790C0000}"/>
    <cellStyle name="Calculation 10 2 5 3" xfId="3225" xr:uid="{00000000-0005-0000-0000-00007A0C0000}"/>
    <cellStyle name="Calculation 10 2 5 3 2" xfId="3226" xr:uid="{00000000-0005-0000-0000-00007B0C0000}"/>
    <cellStyle name="Calculation 10 2 5 3 3" xfId="3227" xr:uid="{00000000-0005-0000-0000-00007C0C0000}"/>
    <cellStyle name="Calculation 10 2 5 3 4" xfId="3228" xr:uid="{00000000-0005-0000-0000-00007D0C0000}"/>
    <cellStyle name="Calculation 10 2 5 3 5" xfId="3229" xr:uid="{00000000-0005-0000-0000-00007E0C0000}"/>
    <cellStyle name="Calculation 10 2 5 3 6" xfId="3230" xr:uid="{00000000-0005-0000-0000-00007F0C0000}"/>
    <cellStyle name="Calculation 10 2 5 4" xfId="3231" xr:uid="{00000000-0005-0000-0000-0000800C0000}"/>
    <cellStyle name="Calculation 10 2 5 4 2" xfId="3232" xr:uid="{00000000-0005-0000-0000-0000810C0000}"/>
    <cellStyle name="Calculation 10 2 5 4 3" xfId="3233" xr:uid="{00000000-0005-0000-0000-0000820C0000}"/>
    <cellStyle name="Calculation 10 2 5 4 4" xfId="3234" xr:uid="{00000000-0005-0000-0000-0000830C0000}"/>
    <cellStyle name="Calculation 10 2 5 4 5" xfId="3235" xr:uid="{00000000-0005-0000-0000-0000840C0000}"/>
    <cellStyle name="Calculation 10 2 5 4 6" xfId="3236" xr:uid="{00000000-0005-0000-0000-0000850C0000}"/>
    <cellStyle name="Calculation 10 2 5 5" xfId="3237" xr:uid="{00000000-0005-0000-0000-0000860C0000}"/>
    <cellStyle name="Calculation 10 2 5 5 2" xfId="3238" xr:uid="{00000000-0005-0000-0000-0000870C0000}"/>
    <cellStyle name="Calculation 10 2 5 5 3" xfId="3239" xr:uid="{00000000-0005-0000-0000-0000880C0000}"/>
    <cellStyle name="Calculation 10 2 5 5 4" xfId="3240" xr:uid="{00000000-0005-0000-0000-0000890C0000}"/>
    <cellStyle name="Calculation 10 2 5 5 5" xfId="3241" xr:uid="{00000000-0005-0000-0000-00008A0C0000}"/>
    <cellStyle name="Calculation 10 2 5 5 6" xfId="3242" xr:uid="{00000000-0005-0000-0000-00008B0C0000}"/>
    <cellStyle name="Calculation 10 2 5 6" xfId="3243" xr:uid="{00000000-0005-0000-0000-00008C0C0000}"/>
    <cellStyle name="Calculation 10 2 5 6 2" xfId="3244" xr:uid="{00000000-0005-0000-0000-00008D0C0000}"/>
    <cellStyle name="Calculation 10 2 5 6 3" xfId="3245" xr:uid="{00000000-0005-0000-0000-00008E0C0000}"/>
    <cellStyle name="Calculation 10 2 5 6 4" xfId="3246" xr:uid="{00000000-0005-0000-0000-00008F0C0000}"/>
    <cellStyle name="Calculation 10 2 5 6 5" xfId="3247" xr:uid="{00000000-0005-0000-0000-0000900C0000}"/>
    <cellStyle name="Calculation 10 2 5 6 6" xfId="3248" xr:uid="{00000000-0005-0000-0000-0000910C0000}"/>
    <cellStyle name="Calculation 10 2 5 7" xfId="3249" xr:uid="{00000000-0005-0000-0000-0000920C0000}"/>
    <cellStyle name="Calculation 10 2 5 7 2" xfId="3250" xr:uid="{00000000-0005-0000-0000-0000930C0000}"/>
    <cellStyle name="Calculation 10 2 5 7 3" xfId="3251" xr:uid="{00000000-0005-0000-0000-0000940C0000}"/>
    <cellStyle name="Calculation 10 2 5 7 4" xfId="3252" xr:uid="{00000000-0005-0000-0000-0000950C0000}"/>
    <cellStyle name="Calculation 10 2 5 7 5" xfId="3253" xr:uid="{00000000-0005-0000-0000-0000960C0000}"/>
    <cellStyle name="Calculation 10 2 5 7 6" xfId="3254" xr:uid="{00000000-0005-0000-0000-0000970C0000}"/>
    <cellStyle name="Calculation 10 2 5 8" xfId="3255" xr:uid="{00000000-0005-0000-0000-0000980C0000}"/>
    <cellStyle name="Calculation 10 2 5 9" xfId="3256" xr:uid="{00000000-0005-0000-0000-0000990C0000}"/>
    <cellStyle name="Calculation 10 2 6" xfId="3257" xr:uid="{00000000-0005-0000-0000-00009A0C0000}"/>
    <cellStyle name="Calculation 10 2 6 10" xfId="3258" xr:uid="{00000000-0005-0000-0000-00009B0C0000}"/>
    <cellStyle name="Calculation 10 2 6 2" xfId="3259" xr:uid="{00000000-0005-0000-0000-00009C0C0000}"/>
    <cellStyle name="Calculation 10 2 6 2 2" xfId="3260" xr:uid="{00000000-0005-0000-0000-00009D0C0000}"/>
    <cellStyle name="Calculation 10 2 6 2 3" xfId="3261" xr:uid="{00000000-0005-0000-0000-00009E0C0000}"/>
    <cellStyle name="Calculation 10 2 6 2 4" xfId="3262" xr:uid="{00000000-0005-0000-0000-00009F0C0000}"/>
    <cellStyle name="Calculation 10 2 6 2 5" xfId="3263" xr:uid="{00000000-0005-0000-0000-0000A00C0000}"/>
    <cellStyle name="Calculation 10 2 6 2 6" xfId="3264" xr:uid="{00000000-0005-0000-0000-0000A10C0000}"/>
    <cellStyle name="Calculation 10 2 6 3" xfId="3265" xr:uid="{00000000-0005-0000-0000-0000A20C0000}"/>
    <cellStyle name="Calculation 10 2 6 3 2" xfId="3266" xr:uid="{00000000-0005-0000-0000-0000A30C0000}"/>
    <cellStyle name="Calculation 10 2 6 3 3" xfId="3267" xr:uid="{00000000-0005-0000-0000-0000A40C0000}"/>
    <cellStyle name="Calculation 10 2 6 3 4" xfId="3268" xr:uid="{00000000-0005-0000-0000-0000A50C0000}"/>
    <cellStyle name="Calculation 10 2 6 3 5" xfId="3269" xr:uid="{00000000-0005-0000-0000-0000A60C0000}"/>
    <cellStyle name="Calculation 10 2 6 3 6" xfId="3270" xr:uid="{00000000-0005-0000-0000-0000A70C0000}"/>
    <cellStyle name="Calculation 10 2 6 4" xfId="3271" xr:uid="{00000000-0005-0000-0000-0000A80C0000}"/>
    <cellStyle name="Calculation 10 2 6 4 2" xfId="3272" xr:uid="{00000000-0005-0000-0000-0000A90C0000}"/>
    <cellStyle name="Calculation 10 2 6 4 3" xfId="3273" xr:uid="{00000000-0005-0000-0000-0000AA0C0000}"/>
    <cellStyle name="Calculation 10 2 6 4 4" xfId="3274" xr:uid="{00000000-0005-0000-0000-0000AB0C0000}"/>
    <cellStyle name="Calculation 10 2 6 4 5" xfId="3275" xr:uid="{00000000-0005-0000-0000-0000AC0C0000}"/>
    <cellStyle name="Calculation 10 2 6 4 6" xfId="3276" xr:uid="{00000000-0005-0000-0000-0000AD0C0000}"/>
    <cellStyle name="Calculation 10 2 6 5" xfId="3277" xr:uid="{00000000-0005-0000-0000-0000AE0C0000}"/>
    <cellStyle name="Calculation 10 2 6 5 2" xfId="3278" xr:uid="{00000000-0005-0000-0000-0000AF0C0000}"/>
    <cellStyle name="Calculation 10 2 6 5 3" xfId="3279" xr:uid="{00000000-0005-0000-0000-0000B00C0000}"/>
    <cellStyle name="Calculation 10 2 6 5 4" xfId="3280" xr:uid="{00000000-0005-0000-0000-0000B10C0000}"/>
    <cellStyle name="Calculation 10 2 6 5 5" xfId="3281" xr:uid="{00000000-0005-0000-0000-0000B20C0000}"/>
    <cellStyle name="Calculation 10 2 6 5 6" xfId="3282" xr:uid="{00000000-0005-0000-0000-0000B30C0000}"/>
    <cellStyle name="Calculation 10 2 6 6" xfId="3283" xr:uid="{00000000-0005-0000-0000-0000B40C0000}"/>
    <cellStyle name="Calculation 10 2 6 6 2" xfId="3284" xr:uid="{00000000-0005-0000-0000-0000B50C0000}"/>
    <cellStyle name="Calculation 10 2 6 6 3" xfId="3285" xr:uid="{00000000-0005-0000-0000-0000B60C0000}"/>
    <cellStyle name="Calculation 10 2 6 6 4" xfId="3286" xr:uid="{00000000-0005-0000-0000-0000B70C0000}"/>
    <cellStyle name="Calculation 10 2 6 6 5" xfId="3287" xr:uid="{00000000-0005-0000-0000-0000B80C0000}"/>
    <cellStyle name="Calculation 10 2 6 6 6" xfId="3288" xr:uid="{00000000-0005-0000-0000-0000B90C0000}"/>
    <cellStyle name="Calculation 10 2 6 7" xfId="3289" xr:uid="{00000000-0005-0000-0000-0000BA0C0000}"/>
    <cellStyle name="Calculation 10 2 6 7 2" xfId="3290" xr:uid="{00000000-0005-0000-0000-0000BB0C0000}"/>
    <cellStyle name="Calculation 10 2 6 7 3" xfId="3291" xr:uid="{00000000-0005-0000-0000-0000BC0C0000}"/>
    <cellStyle name="Calculation 10 2 6 7 4" xfId="3292" xr:uid="{00000000-0005-0000-0000-0000BD0C0000}"/>
    <cellStyle name="Calculation 10 2 6 7 5" xfId="3293" xr:uid="{00000000-0005-0000-0000-0000BE0C0000}"/>
    <cellStyle name="Calculation 10 2 6 7 6" xfId="3294" xr:uid="{00000000-0005-0000-0000-0000BF0C0000}"/>
    <cellStyle name="Calculation 10 2 6 8" xfId="3295" xr:uid="{00000000-0005-0000-0000-0000C00C0000}"/>
    <cellStyle name="Calculation 10 2 6 9" xfId="3296" xr:uid="{00000000-0005-0000-0000-0000C10C0000}"/>
    <cellStyle name="Calculation 10 2 7" xfId="3297" xr:uid="{00000000-0005-0000-0000-0000C20C0000}"/>
    <cellStyle name="Calculation 10 2 7 10" xfId="3298" xr:uid="{00000000-0005-0000-0000-0000C30C0000}"/>
    <cellStyle name="Calculation 10 2 7 2" xfId="3299" xr:uid="{00000000-0005-0000-0000-0000C40C0000}"/>
    <cellStyle name="Calculation 10 2 7 2 2" xfId="3300" xr:uid="{00000000-0005-0000-0000-0000C50C0000}"/>
    <cellStyle name="Calculation 10 2 7 2 3" xfId="3301" xr:uid="{00000000-0005-0000-0000-0000C60C0000}"/>
    <cellStyle name="Calculation 10 2 7 2 4" xfId="3302" xr:uid="{00000000-0005-0000-0000-0000C70C0000}"/>
    <cellStyle name="Calculation 10 2 7 2 5" xfId="3303" xr:uid="{00000000-0005-0000-0000-0000C80C0000}"/>
    <cellStyle name="Calculation 10 2 7 2 6" xfId="3304" xr:uid="{00000000-0005-0000-0000-0000C90C0000}"/>
    <cellStyle name="Calculation 10 2 7 3" xfId="3305" xr:uid="{00000000-0005-0000-0000-0000CA0C0000}"/>
    <cellStyle name="Calculation 10 2 7 3 2" xfId="3306" xr:uid="{00000000-0005-0000-0000-0000CB0C0000}"/>
    <cellStyle name="Calculation 10 2 7 3 3" xfId="3307" xr:uid="{00000000-0005-0000-0000-0000CC0C0000}"/>
    <cellStyle name="Calculation 10 2 7 3 4" xfId="3308" xr:uid="{00000000-0005-0000-0000-0000CD0C0000}"/>
    <cellStyle name="Calculation 10 2 7 3 5" xfId="3309" xr:uid="{00000000-0005-0000-0000-0000CE0C0000}"/>
    <cellStyle name="Calculation 10 2 7 3 6" xfId="3310" xr:uid="{00000000-0005-0000-0000-0000CF0C0000}"/>
    <cellStyle name="Calculation 10 2 7 4" xfId="3311" xr:uid="{00000000-0005-0000-0000-0000D00C0000}"/>
    <cellStyle name="Calculation 10 2 7 4 2" xfId="3312" xr:uid="{00000000-0005-0000-0000-0000D10C0000}"/>
    <cellStyle name="Calculation 10 2 7 4 3" xfId="3313" xr:uid="{00000000-0005-0000-0000-0000D20C0000}"/>
    <cellStyle name="Calculation 10 2 7 4 4" xfId="3314" xr:uid="{00000000-0005-0000-0000-0000D30C0000}"/>
    <cellStyle name="Calculation 10 2 7 4 5" xfId="3315" xr:uid="{00000000-0005-0000-0000-0000D40C0000}"/>
    <cellStyle name="Calculation 10 2 7 4 6" xfId="3316" xr:uid="{00000000-0005-0000-0000-0000D50C0000}"/>
    <cellStyle name="Calculation 10 2 7 5" xfId="3317" xr:uid="{00000000-0005-0000-0000-0000D60C0000}"/>
    <cellStyle name="Calculation 10 2 7 5 2" xfId="3318" xr:uid="{00000000-0005-0000-0000-0000D70C0000}"/>
    <cellStyle name="Calculation 10 2 7 5 3" xfId="3319" xr:uid="{00000000-0005-0000-0000-0000D80C0000}"/>
    <cellStyle name="Calculation 10 2 7 5 4" xfId="3320" xr:uid="{00000000-0005-0000-0000-0000D90C0000}"/>
    <cellStyle name="Calculation 10 2 7 5 5" xfId="3321" xr:uid="{00000000-0005-0000-0000-0000DA0C0000}"/>
    <cellStyle name="Calculation 10 2 7 5 6" xfId="3322" xr:uid="{00000000-0005-0000-0000-0000DB0C0000}"/>
    <cellStyle name="Calculation 10 2 7 6" xfId="3323" xr:uid="{00000000-0005-0000-0000-0000DC0C0000}"/>
    <cellStyle name="Calculation 10 2 7 6 2" xfId="3324" xr:uid="{00000000-0005-0000-0000-0000DD0C0000}"/>
    <cellStyle name="Calculation 10 2 7 6 3" xfId="3325" xr:uid="{00000000-0005-0000-0000-0000DE0C0000}"/>
    <cellStyle name="Calculation 10 2 7 6 4" xfId="3326" xr:uid="{00000000-0005-0000-0000-0000DF0C0000}"/>
    <cellStyle name="Calculation 10 2 7 6 5" xfId="3327" xr:uid="{00000000-0005-0000-0000-0000E00C0000}"/>
    <cellStyle name="Calculation 10 2 7 6 6" xfId="3328" xr:uid="{00000000-0005-0000-0000-0000E10C0000}"/>
    <cellStyle name="Calculation 10 2 7 7" xfId="3329" xr:uid="{00000000-0005-0000-0000-0000E20C0000}"/>
    <cellStyle name="Calculation 10 2 7 7 2" xfId="3330" xr:uid="{00000000-0005-0000-0000-0000E30C0000}"/>
    <cellStyle name="Calculation 10 2 7 7 3" xfId="3331" xr:uid="{00000000-0005-0000-0000-0000E40C0000}"/>
    <cellStyle name="Calculation 10 2 7 7 4" xfId="3332" xr:uid="{00000000-0005-0000-0000-0000E50C0000}"/>
    <cellStyle name="Calculation 10 2 7 7 5" xfId="3333" xr:uid="{00000000-0005-0000-0000-0000E60C0000}"/>
    <cellStyle name="Calculation 10 2 7 7 6" xfId="3334" xr:uid="{00000000-0005-0000-0000-0000E70C0000}"/>
    <cellStyle name="Calculation 10 2 7 8" xfId="3335" xr:uid="{00000000-0005-0000-0000-0000E80C0000}"/>
    <cellStyle name="Calculation 10 2 7 9" xfId="3336" xr:uid="{00000000-0005-0000-0000-0000E90C0000}"/>
    <cellStyle name="Calculation 10 2 8" xfId="3337" xr:uid="{00000000-0005-0000-0000-0000EA0C0000}"/>
    <cellStyle name="Calculation 10 2 8 10" xfId="3338" xr:uid="{00000000-0005-0000-0000-0000EB0C0000}"/>
    <cellStyle name="Calculation 10 2 8 2" xfId="3339" xr:uid="{00000000-0005-0000-0000-0000EC0C0000}"/>
    <cellStyle name="Calculation 10 2 8 2 2" xfId="3340" xr:uid="{00000000-0005-0000-0000-0000ED0C0000}"/>
    <cellStyle name="Calculation 10 2 8 2 3" xfId="3341" xr:uid="{00000000-0005-0000-0000-0000EE0C0000}"/>
    <cellStyle name="Calculation 10 2 8 2 4" xfId="3342" xr:uid="{00000000-0005-0000-0000-0000EF0C0000}"/>
    <cellStyle name="Calculation 10 2 8 2 5" xfId="3343" xr:uid="{00000000-0005-0000-0000-0000F00C0000}"/>
    <cellStyle name="Calculation 10 2 8 2 6" xfId="3344" xr:uid="{00000000-0005-0000-0000-0000F10C0000}"/>
    <cellStyle name="Calculation 10 2 8 3" xfId="3345" xr:uid="{00000000-0005-0000-0000-0000F20C0000}"/>
    <cellStyle name="Calculation 10 2 8 3 2" xfId="3346" xr:uid="{00000000-0005-0000-0000-0000F30C0000}"/>
    <cellStyle name="Calculation 10 2 8 3 3" xfId="3347" xr:uid="{00000000-0005-0000-0000-0000F40C0000}"/>
    <cellStyle name="Calculation 10 2 8 3 4" xfId="3348" xr:uid="{00000000-0005-0000-0000-0000F50C0000}"/>
    <cellStyle name="Calculation 10 2 8 3 5" xfId="3349" xr:uid="{00000000-0005-0000-0000-0000F60C0000}"/>
    <cellStyle name="Calculation 10 2 8 3 6" xfId="3350" xr:uid="{00000000-0005-0000-0000-0000F70C0000}"/>
    <cellStyle name="Calculation 10 2 8 4" xfId="3351" xr:uid="{00000000-0005-0000-0000-0000F80C0000}"/>
    <cellStyle name="Calculation 10 2 8 4 2" xfId="3352" xr:uid="{00000000-0005-0000-0000-0000F90C0000}"/>
    <cellStyle name="Calculation 10 2 8 4 3" xfId="3353" xr:uid="{00000000-0005-0000-0000-0000FA0C0000}"/>
    <cellStyle name="Calculation 10 2 8 4 4" xfId="3354" xr:uid="{00000000-0005-0000-0000-0000FB0C0000}"/>
    <cellStyle name="Calculation 10 2 8 4 5" xfId="3355" xr:uid="{00000000-0005-0000-0000-0000FC0C0000}"/>
    <cellStyle name="Calculation 10 2 8 4 6" xfId="3356" xr:uid="{00000000-0005-0000-0000-0000FD0C0000}"/>
    <cellStyle name="Calculation 10 2 8 5" xfId="3357" xr:uid="{00000000-0005-0000-0000-0000FE0C0000}"/>
    <cellStyle name="Calculation 10 2 8 5 2" xfId="3358" xr:uid="{00000000-0005-0000-0000-0000FF0C0000}"/>
    <cellStyle name="Calculation 10 2 8 5 3" xfId="3359" xr:uid="{00000000-0005-0000-0000-0000000D0000}"/>
    <cellStyle name="Calculation 10 2 8 5 4" xfId="3360" xr:uid="{00000000-0005-0000-0000-0000010D0000}"/>
    <cellStyle name="Calculation 10 2 8 5 5" xfId="3361" xr:uid="{00000000-0005-0000-0000-0000020D0000}"/>
    <cellStyle name="Calculation 10 2 8 5 6" xfId="3362" xr:uid="{00000000-0005-0000-0000-0000030D0000}"/>
    <cellStyle name="Calculation 10 2 8 6" xfId="3363" xr:uid="{00000000-0005-0000-0000-0000040D0000}"/>
    <cellStyle name="Calculation 10 2 8 6 2" xfId="3364" xr:uid="{00000000-0005-0000-0000-0000050D0000}"/>
    <cellStyle name="Calculation 10 2 8 6 3" xfId="3365" xr:uid="{00000000-0005-0000-0000-0000060D0000}"/>
    <cellStyle name="Calculation 10 2 8 6 4" xfId="3366" xr:uid="{00000000-0005-0000-0000-0000070D0000}"/>
    <cellStyle name="Calculation 10 2 8 6 5" xfId="3367" xr:uid="{00000000-0005-0000-0000-0000080D0000}"/>
    <cellStyle name="Calculation 10 2 8 6 6" xfId="3368" xr:uid="{00000000-0005-0000-0000-0000090D0000}"/>
    <cellStyle name="Calculation 10 2 8 7" xfId="3369" xr:uid="{00000000-0005-0000-0000-00000A0D0000}"/>
    <cellStyle name="Calculation 10 2 8 7 2" xfId="3370" xr:uid="{00000000-0005-0000-0000-00000B0D0000}"/>
    <cellStyle name="Calculation 10 2 8 7 3" xfId="3371" xr:uid="{00000000-0005-0000-0000-00000C0D0000}"/>
    <cellStyle name="Calculation 10 2 8 7 4" xfId="3372" xr:uid="{00000000-0005-0000-0000-00000D0D0000}"/>
    <cellStyle name="Calculation 10 2 8 7 5" xfId="3373" xr:uid="{00000000-0005-0000-0000-00000E0D0000}"/>
    <cellStyle name="Calculation 10 2 8 7 6" xfId="3374" xr:uid="{00000000-0005-0000-0000-00000F0D0000}"/>
    <cellStyle name="Calculation 10 2 8 8" xfId="3375" xr:uid="{00000000-0005-0000-0000-0000100D0000}"/>
    <cellStyle name="Calculation 10 2 8 9" xfId="3376" xr:uid="{00000000-0005-0000-0000-0000110D0000}"/>
    <cellStyle name="Calculation 10 2 9" xfId="3377" xr:uid="{00000000-0005-0000-0000-0000120D0000}"/>
    <cellStyle name="Calculation 10 2 9 10" xfId="3378" xr:uid="{00000000-0005-0000-0000-0000130D0000}"/>
    <cellStyle name="Calculation 10 2 9 2" xfId="3379" xr:uid="{00000000-0005-0000-0000-0000140D0000}"/>
    <cellStyle name="Calculation 10 2 9 2 2" xfId="3380" xr:uid="{00000000-0005-0000-0000-0000150D0000}"/>
    <cellStyle name="Calculation 10 2 9 2 3" xfId="3381" xr:uid="{00000000-0005-0000-0000-0000160D0000}"/>
    <cellStyle name="Calculation 10 2 9 2 4" xfId="3382" xr:uid="{00000000-0005-0000-0000-0000170D0000}"/>
    <cellStyle name="Calculation 10 2 9 2 5" xfId="3383" xr:uid="{00000000-0005-0000-0000-0000180D0000}"/>
    <cellStyle name="Calculation 10 2 9 2 6" xfId="3384" xr:uid="{00000000-0005-0000-0000-0000190D0000}"/>
    <cellStyle name="Calculation 10 2 9 3" xfId="3385" xr:uid="{00000000-0005-0000-0000-00001A0D0000}"/>
    <cellStyle name="Calculation 10 2 9 3 2" xfId="3386" xr:uid="{00000000-0005-0000-0000-00001B0D0000}"/>
    <cellStyle name="Calculation 10 2 9 3 3" xfId="3387" xr:uid="{00000000-0005-0000-0000-00001C0D0000}"/>
    <cellStyle name="Calculation 10 2 9 3 4" xfId="3388" xr:uid="{00000000-0005-0000-0000-00001D0D0000}"/>
    <cellStyle name="Calculation 10 2 9 3 5" xfId="3389" xr:uid="{00000000-0005-0000-0000-00001E0D0000}"/>
    <cellStyle name="Calculation 10 2 9 3 6" xfId="3390" xr:uid="{00000000-0005-0000-0000-00001F0D0000}"/>
    <cellStyle name="Calculation 10 2 9 4" xfId="3391" xr:uid="{00000000-0005-0000-0000-0000200D0000}"/>
    <cellStyle name="Calculation 10 2 9 4 2" xfId="3392" xr:uid="{00000000-0005-0000-0000-0000210D0000}"/>
    <cellStyle name="Calculation 10 2 9 4 3" xfId="3393" xr:uid="{00000000-0005-0000-0000-0000220D0000}"/>
    <cellStyle name="Calculation 10 2 9 4 4" xfId="3394" xr:uid="{00000000-0005-0000-0000-0000230D0000}"/>
    <cellStyle name="Calculation 10 2 9 4 5" xfId="3395" xr:uid="{00000000-0005-0000-0000-0000240D0000}"/>
    <cellStyle name="Calculation 10 2 9 4 6" xfId="3396" xr:uid="{00000000-0005-0000-0000-0000250D0000}"/>
    <cellStyle name="Calculation 10 2 9 5" xfId="3397" xr:uid="{00000000-0005-0000-0000-0000260D0000}"/>
    <cellStyle name="Calculation 10 2 9 5 2" xfId="3398" xr:uid="{00000000-0005-0000-0000-0000270D0000}"/>
    <cellStyle name="Calculation 10 2 9 5 3" xfId="3399" xr:uid="{00000000-0005-0000-0000-0000280D0000}"/>
    <cellStyle name="Calculation 10 2 9 5 4" xfId="3400" xr:uid="{00000000-0005-0000-0000-0000290D0000}"/>
    <cellStyle name="Calculation 10 2 9 5 5" xfId="3401" xr:uid="{00000000-0005-0000-0000-00002A0D0000}"/>
    <cellStyle name="Calculation 10 2 9 5 6" xfId="3402" xr:uid="{00000000-0005-0000-0000-00002B0D0000}"/>
    <cellStyle name="Calculation 10 2 9 6" xfId="3403" xr:uid="{00000000-0005-0000-0000-00002C0D0000}"/>
    <cellStyle name="Calculation 10 2 9 6 2" xfId="3404" xr:uid="{00000000-0005-0000-0000-00002D0D0000}"/>
    <cellStyle name="Calculation 10 2 9 6 3" xfId="3405" xr:uid="{00000000-0005-0000-0000-00002E0D0000}"/>
    <cellStyle name="Calculation 10 2 9 6 4" xfId="3406" xr:uid="{00000000-0005-0000-0000-00002F0D0000}"/>
    <cellStyle name="Calculation 10 2 9 6 5" xfId="3407" xr:uid="{00000000-0005-0000-0000-0000300D0000}"/>
    <cellStyle name="Calculation 10 2 9 6 6" xfId="3408" xr:uid="{00000000-0005-0000-0000-0000310D0000}"/>
    <cellStyle name="Calculation 10 2 9 7" xfId="3409" xr:uid="{00000000-0005-0000-0000-0000320D0000}"/>
    <cellStyle name="Calculation 10 2 9 7 2" xfId="3410" xr:uid="{00000000-0005-0000-0000-0000330D0000}"/>
    <cellStyle name="Calculation 10 2 9 7 3" xfId="3411" xr:uid="{00000000-0005-0000-0000-0000340D0000}"/>
    <cellStyle name="Calculation 10 2 9 7 4" xfId="3412" xr:uid="{00000000-0005-0000-0000-0000350D0000}"/>
    <cellStyle name="Calculation 10 2 9 7 5" xfId="3413" xr:uid="{00000000-0005-0000-0000-0000360D0000}"/>
    <cellStyle name="Calculation 10 2 9 7 6" xfId="3414" xr:uid="{00000000-0005-0000-0000-0000370D0000}"/>
    <cellStyle name="Calculation 10 2 9 8" xfId="3415" xr:uid="{00000000-0005-0000-0000-0000380D0000}"/>
    <cellStyle name="Calculation 10 2 9 9" xfId="3416" xr:uid="{00000000-0005-0000-0000-0000390D0000}"/>
    <cellStyle name="Calculation 10 20" xfId="3417" xr:uid="{00000000-0005-0000-0000-00003A0D0000}"/>
    <cellStyle name="Calculation 10 20 10" xfId="3418" xr:uid="{00000000-0005-0000-0000-00003B0D0000}"/>
    <cellStyle name="Calculation 10 20 2" xfId="3419" xr:uid="{00000000-0005-0000-0000-00003C0D0000}"/>
    <cellStyle name="Calculation 10 20 2 2" xfId="3420" xr:uid="{00000000-0005-0000-0000-00003D0D0000}"/>
    <cellStyle name="Calculation 10 20 2 3" xfId="3421" xr:uid="{00000000-0005-0000-0000-00003E0D0000}"/>
    <cellStyle name="Calculation 10 20 2 4" xfId="3422" xr:uid="{00000000-0005-0000-0000-00003F0D0000}"/>
    <cellStyle name="Calculation 10 20 2 5" xfId="3423" xr:uid="{00000000-0005-0000-0000-0000400D0000}"/>
    <cellStyle name="Calculation 10 20 2 6" xfId="3424" xr:uid="{00000000-0005-0000-0000-0000410D0000}"/>
    <cellStyle name="Calculation 10 20 3" xfId="3425" xr:uid="{00000000-0005-0000-0000-0000420D0000}"/>
    <cellStyle name="Calculation 10 20 3 2" xfId="3426" xr:uid="{00000000-0005-0000-0000-0000430D0000}"/>
    <cellStyle name="Calculation 10 20 3 3" xfId="3427" xr:uid="{00000000-0005-0000-0000-0000440D0000}"/>
    <cellStyle name="Calculation 10 20 3 4" xfId="3428" xr:uid="{00000000-0005-0000-0000-0000450D0000}"/>
    <cellStyle name="Calculation 10 20 3 5" xfId="3429" xr:uid="{00000000-0005-0000-0000-0000460D0000}"/>
    <cellStyle name="Calculation 10 20 3 6" xfId="3430" xr:uid="{00000000-0005-0000-0000-0000470D0000}"/>
    <cellStyle name="Calculation 10 20 4" xfId="3431" xr:uid="{00000000-0005-0000-0000-0000480D0000}"/>
    <cellStyle name="Calculation 10 20 4 2" xfId="3432" xr:uid="{00000000-0005-0000-0000-0000490D0000}"/>
    <cellStyle name="Calculation 10 20 4 3" xfId="3433" xr:uid="{00000000-0005-0000-0000-00004A0D0000}"/>
    <cellStyle name="Calculation 10 20 4 4" xfId="3434" xr:uid="{00000000-0005-0000-0000-00004B0D0000}"/>
    <cellStyle name="Calculation 10 20 4 5" xfId="3435" xr:uid="{00000000-0005-0000-0000-00004C0D0000}"/>
    <cellStyle name="Calculation 10 20 4 6" xfId="3436" xr:uid="{00000000-0005-0000-0000-00004D0D0000}"/>
    <cellStyle name="Calculation 10 20 5" xfId="3437" xr:uid="{00000000-0005-0000-0000-00004E0D0000}"/>
    <cellStyle name="Calculation 10 20 5 2" xfId="3438" xr:uid="{00000000-0005-0000-0000-00004F0D0000}"/>
    <cellStyle name="Calculation 10 20 5 3" xfId="3439" xr:uid="{00000000-0005-0000-0000-0000500D0000}"/>
    <cellStyle name="Calculation 10 20 5 4" xfId="3440" xr:uid="{00000000-0005-0000-0000-0000510D0000}"/>
    <cellStyle name="Calculation 10 20 5 5" xfId="3441" xr:uid="{00000000-0005-0000-0000-0000520D0000}"/>
    <cellStyle name="Calculation 10 20 5 6" xfId="3442" xr:uid="{00000000-0005-0000-0000-0000530D0000}"/>
    <cellStyle name="Calculation 10 20 6" xfId="3443" xr:uid="{00000000-0005-0000-0000-0000540D0000}"/>
    <cellStyle name="Calculation 10 20 6 2" xfId="3444" xr:uid="{00000000-0005-0000-0000-0000550D0000}"/>
    <cellStyle name="Calculation 10 20 6 3" xfId="3445" xr:uid="{00000000-0005-0000-0000-0000560D0000}"/>
    <cellStyle name="Calculation 10 20 6 4" xfId="3446" xr:uid="{00000000-0005-0000-0000-0000570D0000}"/>
    <cellStyle name="Calculation 10 20 6 5" xfId="3447" xr:uid="{00000000-0005-0000-0000-0000580D0000}"/>
    <cellStyle name="Calculation 10 20 6 6" xfId="3448" xr:uid="{00000000-0005-0000-0000-0000590D0000}"/>
    <cellStyle name="Calculation 10 20 7" xfId="3449" xr:uid="{00000000-0005-0000-0000-00005A0D0000}"/>
    <cellStyle name="Calculation 10 20 7 2" xfId="3450" xr:uid="{00000000-0005-0000-0000-00005B0D0000}"/>
    <cellStyle name="Calculation 10 20 7 3" xfId="3451" xr:uid="{00000000-0005-0000-0000-00005C0D0000}"/>
    <cellStyle name="Calculation 10 20 7 4" xfId="3452" xr:uid="{00000000-0005-0000-0000-00005D0D0000}"/>
    <cellStyle name="Calculation 10 20 7 5" xfId="3453" xr:uid="{00000000-0005-0000-0000-00005E0D0000}"/>
    <cellStyle name="Calculation 10 20 7 6" xfId="3454" xr:uid="{00000000-0005-0000-0000-00005F0D0000}"/>
    <cellStyle name="Calculation 10 20 8" xfId="3455" xr:uid="{00000000-0005-0000-0000-0000600D0000}"/>
    <cellStyle name="Calculation 10 20 9" xfId="3456" xr:uid="{00000000-0005-0000-0000-0000610D0000}"/>
    <cellStyle name="Calculation 10 21" xfId="3457" xr:uid="{00000000-0005-0000-0000-0000620D0000}"/>
    <cellStyle name="Calculation 10 21 10" xfId="3458" xr:uid="{00000000-0005-0000-0000-0000630D0000}"/>
    <cellStyle name="Calculation 10 21 2" xfId="3459" xr:uid="{00000000-0005-0000-0000-0000640D0000}"/>
    <cellStyle name="Calculation 10 21 2 2" xfId="3460" xr:uid="{00000000-0005-0000-0000-0000650D0000}"/>
    <cellStyle name="Calculation 10 21 2 3" xfId="3461" xr:uid="{00000000-0005-0000-0000-0000660D0000}"/>
    <cellStyle name="Calculation 10 21 2 4" xfId="3462" xr:uid="{00000000-0005-0000-0000-0000670D0000}"/>
    <cellStyle name="Calculation 10 21 2 5" xfId="3463" xr:uid="{00000000-0005-0000-0000-0000680D0000}"/>
    <cellStyle name="Calculation 10 21 2 6" xfId="3464" xr:uid="{00000000-0005-0000-0000-0000690D0000}"/>
    <cellStyle name="Calculation 10 21 3" xfId="3465" xr:uid="{00000000-0005-0000-0000-00006A0D0000}"/>
    <cellStyle name="Calculation 10 21 3 2" xfId="3466" xr:uid="{00000000-0005-0000-0000-00006B0D0000}"/>
    <cellStyle name="Calculation 10 21 3 3" xfId="3467" xr:uid="{00000000-0005-0000-0000-00006C0D0000}"/>
    <cellStyle name="Calculation 10 21 3 4" xfId="3468" xr:uid="{00000000-0005-0000-0000-00006D0D0000}"/>
    <cellStyle name="Calculation 10 21 3 5" xfId="3469" xr:uid="{00000000-0005-0000-0000-00006E0D0000}"/>
    <cellStyle name="Calculation 10 21 3 6" xfId="3470" xr:uid="{00000000-0005-0000-0000-00006F0D0000}"/>
    <cellStyle name="Calculation 10 21 4" xfId="3471" xr:uid="{00000000-0005-0000-0000-0000700D0000}"/>
    <cellStyle name="Calculation 10 21 4 2" xfId="3472" xr:uid="{00000000-0005-0000-0000-0000710D0000}"/>
    <cellStyle name="Calculation 10 21 4 3" xfId="3473" xr:uid="{00000000-0005-0000-0000-0000720D0000}"/>
    <cellStyle name="Calculation 10 21 4 4" xfId="3474" xr:uid="{00000000-0005-0000-0000-0000730D0000}"/>
    <cellStyle name="Calculation 10 21 4 5" xfId="3475" xr:uid="{00000000-0005-0000-0000-0000740D0000}"/>
    <cellStyle name="Calculation 10 21 4 6" xfId="3476" xr:uid="{00000000-0005-0000-0000-0000750D0000}"/>
    <cellStyle name="Calculation 10 21 5" xfId="3477" xr:uid="{00000000-0005-0000-0000-0000760D0000}"/>
    <cellStyle name="Calculation 10 21 5 2" xfId="3478" xr:uid="{00000000-0005-0000-0000-0000770D0000}"/>
    <cellStyle name="Calculation 10 21 5 3" xfId="3479" xr:uid="{00000000-0005-0000-0000-0000780D0000}"/>
    <cellStyle name="Calculation 10 21 5 4" xfId="3480" xr:uid="{00000000-0005-0000-0000-0000790D0000}"/>
    <cellStyle name="Calculation 10 21 5 5" xfId="3481" xr:uid="{00000000-0005-0000-0000-00007A0D0000}"/>
    <cellStyle name="Calculation 10 21 5 6" xfId="3482" xr:uid="{00000000-0005-0000-0000-00007B0D0000}"/>
    <cellStyle name="Calculation 10 21 6" xfId="3483" xr:uid="{00000000-0005-0000-0000-00007C0D0000}"/>
    <cellStyle name="Calculation 10 21 6 2" xfId="3484" xr:uid="{00000000-0005-0000-0000-00007D0D0000}"/>
    <cellStyle name="Calculation 10 21 6 3" xfId="3485" xr:uid="{00000000-0005-0000-0000-00007E0D0000}"/>
    <cellStyle name="Calculation 10 21 6 4" xfId="3486" xr:uid="{00000000-0005-0000-0000-00007F0D0000}"/>
    <cellStyle name="Calculation 10 21 6 5" xfId="3487" xr:uid="{00000000-0005-0000-0000-0000800D0000}"/>
    <cellStyle name="Calculation 10 21 6 6" xfId="3488" xr:uid="{00000000-0005-0000-0000-0000810D0000}"/>
    <cellStyle name="Calculation 10 21 7" xfId="3489" xr:uid="{00000000-0005-0000-0000-0000820D0000}"/>
    <cellStyle name="Calculation 10 21 7 2" xfId="3490" xr:uid="{00000000-0005-0000-0000-0000830D0000}"/>
    <cellStyle name="Calculation 10 21 7 3" xfId="3491" xr:uid="{00000000-0005-0000-0000-0000840D0000}"/>
    <cellStyle name="Calculation 10 21 7 4" xfId="3492" xr:uid="{00000000-0005-0000-0000-0000850D0000}"/>
    <cellStyle name="Calculation 10 21 7 5" xfId="3493" xr:uid="{00000000-0005-0000-0000-0000860D0000}"/>
    <cellStyle name="Calculation 10 21 7 6" xfId="3494" xr:uid="{00000000-0005-0000-0000-0000870D0000}"/>
    <cellStyle name="Calculation 10 21 8" xfId="3495" xr:uid="{00000000-0005-0000-0000-0000880D0000}"/>
    <cellStyle name="Calculation 10 21 9" xfId="3496" xr:uid="{00000000-0005-0000-0000-0000890D0000}"/>
    <cellStyle name="Calculation 10 22" xfId="3497" xr:uid="{00000000-0005-0000-0000-00008A0D0000}"/>
    <cellStyle name="Calculation 10 22 10" xfId="3498" xr:uid="{00000000-0005-0000-0000-00008B0D0000}"/>
    <cellStyle name="Calculation 10 22 2" xfId="3499" xr:uid="{00000000-0005-0000-0000-00008C0D0000}"/>
    <cellStyle name="Calculation 10 22 2 2" xfId="3500" xr:uid="{00000000-0005-0000-0000-00008D0D0000}"/>
    <cellStyle name="Calculation 10 22 2 3" xfId="3501" xr:uid="{00000000-0005-0000-0000-00008E0D0000}"/>
    <cellStyle name="Calculation 10 22 2 4" xfId="3502" xr:uid="{00000000-0005-0000-0000-00008F0D0000}"/>
    <cellStyle name="Calculation 10 22 2 5" xfId="3503" xr:uid="{00000000-0005-0000-0000-0000900D0000}"/>
    <cellStyle name="Calculation 10 22 2 6" xfId="3504" xr:uid="{00000000-0005-0000-0000-0000910D0000}"/>
    <cellStyle name="Calculation 10 22 3" xfId="3505" xr:uid="{00000000-0005-0000-0000-0000920D0000}"/>
    <cellStyle name="Calculation 10 22 3 2" xfId="3506" xr:uid="{00000000-0005-0000-0000-0000930D0000}"/>
    <cellStyle name="Calculation 10 22 3 3" xfId="3507" xr:uid="{00000000-0005-0000-0000-0000940D0000}"/>
    <cellStyle name="Calculation 10 22 3 4" xfId="3508" xr:uid="{00000000-0005-0000-0000-0000950D0000}"/>
    <cellStyle name="Calculation 10 22 3 5" xfId="3509" xr:uid="{00000000-0005-0000-0000-0000960D0000}"/>
    <cellStyle name="Calculation 10 22 3 6" xfId="3510" xr:uid="{00000000-0005-0000-0000-0000970D0000}"/>
    <cellStyle name="Calculation 10 22 4" xfId="3511" xr:uid="{00000000-0005-0000-0000-0000980D0000}"/>
    <cellStyle name="Calculation 10 22 4 2" xfId="3512" xr:uid="{00000000-0005-0000-0000-0000990D0000}"/>
    <cellStyle name="Calculation 10 22 4 3" xfId="3513" xr:uid="{00000000-0005-0000-0000-00009A0D0000}"/>
    <cellStyle name="Calculation 10 22 4 4" xfId="3514" xr:uid="{00000000-0005-0000-0000-00009B0D0000}"/>
    <cellStyle name="Calculation 10 22 4 5" xfId="3515" xr:uid="{00000000-0005-0000-0000-00009C0D0000}"/>
    <cellStyle name="Calculation 10 22 4 6" xfId="3516" xr:uid="{00000000-0005-0000-0000-00009D0D0000}"/>
    <cellStyle name="Calculation 10 22 5" xfId="3517" xr:uid="{00000000-0005-0000-0000-00009E0D0000}"/>
    <cellStyle name="Calculation 10 22 5 2" xfId="3518" xr:uid="{00000000-0005-0000-0000-00009F0D0000}"/>
    <cellStyle name="Calculation 10 22 5 3" xfId="3519" xr:uid="{00000000-0005-0000-0000-0000A00D0000}"/>
    <cellStyle name="Calculation 10 22 5 4" xfId="3520" xr:uid="{00000000-0005-0000-0000-0000A10D0000}"/>
    <cellStyle name="Calculation 10 22 5 5" xfId="3521" xr:uid="{00000000-0005-0000-0000-0000A20D0000}"/>
    <cellStyle name="Calculation 10 22 5 6" xfId="3522" xr:uid="{00000000-0005-0000-0000-0000A30D0000}"/>
    <cellStyle name="Calculation 10 22 6" xfId="3523" xr:uid="{00000000-0005-0000-0000-0000A40D0000}"/>
    <cellStyle name="Calculation 10 22 6 2" xfId="3524" xr:uid="{00000000-0005-0000-0000-0000A50D0000}"/>
    <cellStyle name="Calculation 10 22 6 3" xfId="3525" xr:uid="{00000000-0005-0000-0000-0000A60D0000}"/>
    <cellStyle name="Calculation 10 22 6 4" xfId="3526" xr:uid="{00000000-0005-0000-0000-0000A70D0000}"/>
    <cellStyle name="Calculation 10 22 6 5" xfId="3527" xr:uid="{00000000-0005-0000-0000-0000A80D0000}"/>
    <cellStyle name="Calculation 10 22 6 6" xfId="3528" xr:uid="{00000000-0005-0000-0000-0000A90D0000}"/>
    <cellStyle name="Calculation 10 22 7" xfId="3529" xr:uid="{00000000-0005-0000-0000-0000AA0D0000}"/>
    <cellStyle name="Calculation 10 22 7 2" xfId="3530" xr:uid="{00000000-0005-0000-0000-0000AB0D0000}"/>
    <cellStyle name="Calculation 10 22 7 3" xfId="3531" xr:uid="{00000000-0005-0000-0000-0000AC0D0000}"/>
    <cellStyle name="Calculation 10 22 7 4" xfId="3532" xr:uid="{00000000-0005-0000-0000-0000AD0D0000}"/>
    <cellStyle name="Calculation 10 22 7 5" xfId="3533" xr:uid="{00000000-0005-0000-0000-0000AE0D0000}"/>
    <cellStyle name="Calculation 10 22 7 6" xfId="3534" xr:uid="{00000000-0005-0000-0000-0000AF0D0000}"/>
    <cellStyle name="Calculation 10 22 8" xfId="3535" xr:uid="{00000000-0005-0000-0000-0000B00D0000}"/>
    <cellStyle name="Calculation 10 22 9" xfId="3536" xr:uid="{00000000-0005-0000-0000-0000B10D0000}"/>
    <cellStyle name="Calculation 10 23" xfId="3537" xr:uid="{00000000-0005-0000-0000-0000B20D0000}"/>
    <cellStyle name="Calculation 10 23 10" xfId="3538" xr:uid="{00000000-0005-0000-0000-0000B30D0000}"/>
    <cellStyle name="Calculation 10 23 2" xfId="3539" xr:uid="{00000000-0005-0000-0000-0000B40D0000}"/>
    <cellStyle name="Calculation 10 23 2 2" xfId="3540" xr:uid="{00000000-0005-0000-0000-0000B50D0000}"/>
    <cellStyle name="Calculation 10 23 2 3" xfId="3541" xr:uid="{00000000-0005-0000-0000-0000B60D0000}"/>
    <cellStyle name="Calculation 10 23 2 4" xfId="3542" xr:uid="{00000000-0005-0000-0000-0000B70D0000}"/>
    <cellStyle name="Calculation 10 23 2 5" xfId="3543" xr:uid="{00000000-0005-0000-0000-0000B80D0000}"/>
    <cellStyle name="Calculation 10 23 2 6" xfId="3544" xr:uid="{00000000-0005-0000-0000-0000B90D0000}"/>
    <cellStyle name="Calculation 10 23 3" xfId="3545" xr:uid="{00000000-0005-0000-0000-0000BA0D0000}"/>
    <cellStyle name="Calculation 10 23 3 2" xfId="3546" xr:uid="{00000000-0005-0000-0000-0000BB0D0000}"/>
    <cellStyle name="Calculation 10 23 3 3" xfId="3547" xr:uid="{00000000-0005-0000-0000-0000BC0D0000}"/>
    <cellStyle name="Calculation 10 23 3 4" xfId="3548" xr:uid="{00000000-0005-0000-0000-0000BD0D0000}"/>
    <cellStyle name="Calculation 10 23 3 5" xfId="3549" xr:uid="{00000000-0005-0000-0000-0000BE0D0000}"/>
    <cellStyle name="Calculation 10 23 3 6" xfId="3550" xr:uid="{00000000-0005-0000-0000-0000BF0D0000}"/>
    <cellStyle name="Calculation 10 23 4" xfId="3551" xr:uid="{00000000-0005-0000-0000-0000C00D0000}"/>
    <cellStyle name="Calculation 10 23 4 2" xfId="3552" xr:uid="{00000000-0005-0000-0000-0000C10D0000}"/>
    <cellStyle name="Calculation 10 23 4 3" xfId="3553" xr:uid="{00000000-0005-0000-0000-0000C20D0000}"/>
    <cellStyle name="Calculation 10 23 4 4" xfId="3554" xr:uid="{00000000-0005-0000-0000-0000C30D0000}"/>
    <cellStyle name="Calculation 10 23 4 5" xfId="3555" xr:uid="{00000000-0005-0000-0000-0000C40D0000}"/>
    <cellStyle name="Calculation 10 23 4 6" xfId="3556" xr:uid="{00000000-0005-0000-0000-0000C50D0000}"/>
    <cellStyle name="Calculation 10 23 5" xfId="3557" xr:uid="{00000000-0005-0000-0000-0000C60D0000}"/>
    <cellStyle name="Calculation 10 23 5 2" xfId="3558" xr:uid="{00000000-0005-0000-0000-0000C70D0000}"/>
    <cellStyle name="Calculation 10 23 5 3" xfId="3559" xr:uid="{00000000-0005-0000-0000-0000C80D0000}"/>
    <cellStyle name="Calculation 10 23 5 4" xfId="3560" xr:uid="{00000000-0005-0000-0000-0000C90D0000}"/>
    <cellStyle name="Calculation 10 23 5 5" xfId="3561" xr:uid="{00000000-0005-0000-0000-0000CA0D0000}"/>
    <cellStyle name="Calculation 10 23 5 6" xfId="3562" xr:uid="{00000000-0005-0000-0000-0000CB0D0000}"/>
    <cellStyle name="Calculation 10 23 6" xfId="3563" xr:uid="{00000000-0005-0000-0000-0000CC0D0000}"/>
    <cellStyle name="Calculation 10 23 6 2" xfId="3564" xr:uid="{00000000-0005-0000-0000-0000CD0D0000}"/>
    <cellStyle name="Calculation 10 23 6 3" xfId="3565" xr:uid="{00000000-0005-0000-0000-0000CE0D0000}"/>
    <cellStyle name="Calculation 10 23 6 4" xfId="3566" xr:uid="{00000000-0005-0000-0000-0000CF0D0000}"/>
    <cellStyle name="Calculation 10 23 6 5" xfId="3567" xr:uid="{00000000-0005-0000-0000-0000D00D0000}"/>
    <cellStyle name="Calculation 10 23 6 6" xfId="3568" xr:uid="{00000000-0005-0000-0000-0000D10D0000}"/>
    <cellStyle name="Calculation 10 23 7" xfId="3569" xr:uid="{00000000-0005-0000-0000-0000D20D0000}"/>
    <cellStyle name="Calculation 10 23 7 2" xfId="3570" xr:uid="{00000000-0005-0000-0000-0000D30D0000}"/>
    <cellStyle name="Calculation 10 23 7 3" xfId="3571" xr:uid="{00000000-0005-0000-0000-0000D40D0000}"/>
    <cellStyle name="Calculation 10 23 7 4" xfId="3572" xr:uid="{00000000-0005-0000-0000-0000D50D0000}"/>
    <cellStyle name="Calculation 10 23 7 5" xfId="3573" xr:uid="{00000000-0005-0000-0000-0000D60D0000}"/>
    <cellStyle name="Calculation 10 23 7 6" xfId="3574" xr:uid="{00000000-0005-0000-0000-0000D70D0000}"/>
    <cellStyle name="Calculation 10 23 8" xfId="3575" xr:uid="{00000000-0005-0000-0000-0000D80D0000}"/>
    <cellStyle name="Calculation 10 23 9" xfId="3576" xr:uid="{00000000-0005-0000-0000-0000D90D0000}"/>
    <cellStyle name="Calculation 10 24" xfId="3577" xr:uid="{00000000-0005-0000-0000-0000DA0D0000}"/>
    <cellStyle name="Calculation 10 24 10" xfId="3578" xr:uid="{00000000-0005-0000-0000-0000DB0D0000}"/>
    <cellStyle name="Calculation 10 24 2" xfId="3579" xr:uid="{00000000-0005-0000-0000-0000DC0D0000}"/>
    <cellStyle name="Calculation 10 24 2 2" xfId="3580" xr:uid="{00000000-0005-0000-0000-0000DD0D0000}"/>
    <cellStyle name="Calculation 10 24 2 3" xfId="3581" xr:uid="{00000000-0005-0000-0000-0000DE0D0000}"/>
    <cellStyle name="Calculation 10 24 2 4" xfId="3582" xr:uid="{00000000-0005-0000-0000-0000DF0D0000}"/>
    <cellStyle name="Calculation 10 24 2 5" xfId="3583" xr:uid="{00000000-0005-0000-0000-0000E00D0000}"/>
    <cellStyle name="Calculation 10 24 2 6" xfId="3584" xr:uid="{00000000-0005-0000-0000-0000E10D0000}"/>
    <cellStyle name="Calculation 10 24 3" xfId="3585" xr:uid="{00000000-0005-0000-0000-0000E20D0000}"/>
    <cellStyle name="Calculation 10 24 3 2" xfId="3586" xr:uid="{00000000-0005-0000-0000-0000E30D0000}"/>
    <cellStyle name="Calculation 10 24 3 3" xfId="3587" xr:uid="{00000000-0005-0000-0000-0000E40D0000}"/>
    <cellStyle name="Calculation 10 24 3 4" xfId="3588" xr:uid="{00000000-0005-0000-0000-0000E50D0000}"/>
    <cellStyle name="Calculation 10 24 3 5" xfId="3589" xr:uid="{00000000-0005-0000-0000-0000E60D0000}"/>
    <cellStyle name="Calculation 10 24 3 6" xfId="3590" xr:uid="{00000000-0005-0000-0000-0000E70D0000}"/>
    <cellStyle name="Calculation 10 24 4" xfId="3591" xr:uid="{00000000-0005-0000-0000-0000E80D0000}"/>
    <cellStyle name="Calculation 10 24 4 2" xfId="3592" xr:uid="{00000000-0005-0000-0000-0000E90D0000}"/>
    <cellStyle name="Calculation 10 24 4 3" xfId="3593" xr:uid="{00000000-0005-0000-0000-0000EA0D0000}"/>
    <cellStyle name="Calculation 10 24 4 4" xfId="3594" xr:uid="{00000000-0005-0000-0000-0000EB0D0000}"/>
    <cellStyle name="Calculation 10 24 4 5" xfId="3595" xr:uid="{00000000-0005-0000-0000-0000EC0D0000}"/>
    <cellStyle name="Calculation 10 24 4 6" xfId="3596" xr:uid="{00000000-0005-0000-0000-0000ED0D0000}"/>
    <cellStyle name="Calculation 10 24 5" xfId="3597" xr:uid="{00000000-0005-0000-0000-0000EE0D0000}"/>
    <cellStyle name="Calculation 10 24 5 2" xfId="3598" xr:uid="{00000000-0005-0000-0000-0000EF0D0000}"/>
    <cellStyle name="Calculation 10 24 5 3" xfId="3599" xr:uid="{00000000-0005-0000-0000-0000F00D0000}"/>
    <cellStyle name="Calculation 10 24 5 4" xfId="3600" xr:uid="{00000000-0005-0000-0000-0000F10D0000}"/>
    <cellStyle name="Calculation 10 24 5 5" xfId="3601" xr:uid="{00000000-0005-0000-0000-0000F20D0000}"/>
    <cellStyle name="Calculation 10 24 5 6" xfId="3602" xr:uid="{00000000-0005-0000-0000-0000F30D0000}"/>
    <cellStyle name="Calculation 10 24 6" xfId="3603" xr:uid="{00000000-0005-0000-0000-0000F40D0000}"/>
    <cellStyle name="Calculation 10 24 6 2" xfId="3604" xr:uid="{00000000-0005-0000-0000-0000F50D0000}"/>
    <cellStyle name="Calculation 10 24 6 3" xfId="3605" xr:uid="{00000000-0005-0000-0000-0000F60D0000}"/>
    <cellStyle name="Calculation 10 24 6 4" xfId="3606" xr:uid="{00000000-0005-0000-0000-0000F70D0000}"/>
    <cellStyle name="Calculation 10 24 6 5" xfId="3607" xr:uid="{00000000-0005-0000-0000-0000F80D0000}"/>
    <cellStyle name="Calculation 10 24 6 6" xfId="3608" xr:uid="{00000000-0005-0000-0000-0000F90D0000}"/>
    <cellStyle name="Calculation 10 24 7" xfId="3609" xr:uid="{00000000-0005-0000-0000-0000FA0D0000}"/>
    <cellStyle name="Calculation 10 24 7 2" xfId="3610" xr:uid="{00000000-0005-0000-0000-0000FB0D0000}"/>
    <cellStyle name="Calculation 10 24 7 3" xfId="3611" xr:uid="{00000000-0005-0000-0000-0000FC0D0000}"/>
    <cellStyle name="Calculation 10 24 7 4" xfId="3612" xr:uid="{00000000-0005-0000-0000-0000FD0D0000}"/>
    <cellStyle name="Calculation 10 24 7 5" xfId="3613" xr:uid="{00000000-0005-0000-0000-0000FE0D0000}"/>
    <cellStyle name="Calculation 10 24 7 6" xfId="3614" xr:uid="{00000000-0005-0000-0000-0000FF0D0000}"/>
    <cellStyle name="Calculation 10 24 8" xfId="3615" xr:uid="{00000000-0005-0000-0000-0000000E0000}"/>
    <cellStyle name="Calculation 10 24 9" xfId="3616" xr:uid="{00000000-0005-0000-0000-0000010E0000}"/>
    <cellStyle name="Calculation 10 25" xfId="3617" xr:uid="{00000000-0005-0000-0000-0000020E0000}"/>
    <cellStyle name="Calculation 10 25 10" xfId="3618" xr:uid="{00000000-0005-0000-0000-0000030E0000}"/>
    <cellStyle name="Calculation 10 25 2" xfId="3619" xr:uid="{00000000-0005-0000-0000-0000040E0000}"/>
    <cellStyle name="Calculation 10 25 2 2" xfId="3620" xr:uid="{00000000-0005-0000-0000-0000050E0000}"/>
    <cellStyle name="Calculation 10 25 2 3" xfId="3621" xr:uid="{00000000-0005-0000-0000-0000060E0000}"/>
    <cellStyle name="Calculation 10 25 2 4" xfId="3622" xr:uid="{00000000-0005-0000-0000-0000070E0000}"/>
    <cellStyle name="Calculation 10 25 2 5" xfId="3623" xr:uid="{00000000-0005-0000-0000-0000080E0000}"/>
    <cellStyle name="Calculation 10 25 2 6" xfId="3624" xr:uid="{00000000-0005-0000-0000-0000090E0000}"/>
    <cellStyle name="Calculation 10 25 3" xfId="3625" xr:uid="{00000000-0005-0000-0000-00000A0E0000}"/>
    <cellStyle name="Calculation 10 25 3 2" xfId="3626" xr:uid="{00000000-0005-0000-0000-00000B0E0000}"/>
    <cellStyle name="Calculation 10 25 3 3" xfId="3627" xr:uid="{00000000-0005-0000-0000-00000C0E0000}"/>
    <cellStyle name="Calculation 10 25 3 4" xfId="3628" xr:uid="{00000000-0005-0000-0000-00000D0E0000}"/>
    <cellStyle name="Calculation 10 25 3 5" xfId="3629" xr:uid="{00000000-0005-0000-0000-00000E0E0000}"/>
    <cellStyle name="Calculation 10 25 3 6" xfId="3630" xr:uid="{00000000-0005-0000-0000-00000F0E0000}"/>
    <cellStyle name="Calculation 10 25 4" xfId="3631" xr:uid="{00000000-0005-0000-0000-0000100E0000}"/>
    <cellStyle name="Calculation 10 25 4 2" xfId="3632" xr:uid="{00000000-0005-0000-0000-0000110E0000}"/>
    <cellStyle name="Calculation 10 25 4 3" xfId="3633" xr:uid="{00000000-0005-0000-0000-0000120E0000}"/>
    <cellStyle name="Calculation 10 25 4 4" xfId="3634" xr:uid="{00000000-0005-0000-0000-0000130E0000}"/>
    <cellStyle name="Calculation 10 25 4 5" xfId="3635" xr:uid="{00000000-0005-0000-0000-0000140E0000}"/>
    <cellStyle name="Calculation 10 25 4 6" xfId="3636" xr:uid="{00000000-0005-0000-0000-0000150E0000}"/>
    <cellStyle name="Calculation 10 25 5" xfId="3637" xr:uid="{00000000-0005-0000-0000-0000160E0000}"/>
    <cellStyle name="Calculation 10 25 5 2" xfId="3638" xr:uid="{00000000-0005-0000-0000-0000170E0000}"/>
    <cellStyle name="Calculation 10 25 5 3" xfId="3639" xr:uid="{00000000-0005-0000-0000-0000180E0000}"/>
    <cellStyle name="Calculation 10 25 5 4" xfId="3640" xr:uid="{00000000-0005-0000-0000-0000190E0000}"/>
    <cellStyle name="Calculation 10 25 5 5" xfId="3641" xr:uid="{00000000-0005-0000-0000-00001A0E0000}"/>
    <cellStyle name="Calculation 10 25 5 6" xfId="3642" xr:uid="{00000000-0005-0000-0000-00001B0E0000}"/>
    <cellStyle name="Calculation 10 25 6" xfId="3643" xr:uid="{00000000-0005-0000-0000-00001C0E0000}"/>
    <cellStyle name="Calculation 10 25 6 2" xfId="3644" xr:uid="{00000000-0005-0000-0000-00001D0E0000}"/>
    <cellStyle name="Calculation 10 25 6 3" xfId="3645" xr:uid="{00000000-0005-0000-0000-00001E0E0000}"/>
    <cellStyle name="Calculation 10 25 6 4" xfId="3646" xr:uid="{00000000-0005-0000-0000-00001F0E0000}"/>
    <cellStyle name="Calculation 10 25 6 5" xfId="3647" xr:uid="{00000000-0005-0000-0000-0000200E0000}"/>
    <cellStyle name="Calculation 10 25 6 6" xfId="3648" xr:uid="{00000000-0005-0000-0000-0000210E0000}"/>
    <cellStyle name="Calculation 10 25 7" xfId="3649" xr:uid="{00000000-0005-0000-0000-0000220E0000}"/>
    <cellStyle name="Calculation 10 25 7 2" xfId="3650" xr:uid="{00000000-0005-0000-0000-0000230E0000}"/>
    <cellStyle name="Calculation 10 25 7 3" xfId="3651" xr:uid="{00000000-0005-0000-0000-0000240E0000}"/>
    <cellStyle name="Calculation 10 25 7 4" xfId="3652" xr:uid="{00000000-0005-0000-0000-0000250E0000}"/>
    <cellStyle name="Calculation 10 25 7 5" xfId="3653" xr:uid="{00000000-0005-0000-0000-0000260E0000}"/>
    <cellStyle name="Calculation 10 25 7 6" xfId="3654" xr:uid="{00000000-0005-0000-0000-0000270E0000}"/>
    <cellStyle name="Calculation 10 25 8" xfId="3655" xr:uid="{00000000-0005-0000-0000-0000280E0000}"/>
    <cellStyle name="Calculation 10 25 9" xfId="3656" xr:uid="{00000000-0005-0000-0000-0000290E0000}"/>
    <cellStyle name="Calculation 10 26" xfId="3657" xr:uid="{00000000-0005-0000-0000-00002A0E0000}"/>
    <cellStyle name="Calculation 10 26 2" xfId="3658" xr:uid="{00000000-0005-0000-0000-00002B0E0000}"/>
    <cellStyle name="Calculation 10 26 3" xfId="3659" xr:uid="{00000000-0005-0000-0000-00002C0E0000}"/>
    <cellStyle name="Calculation 10 26 4" xfId="3660" xr:uid="{00000000-0005-0000-0000-00002D0E0000}"/>
    <cellStyle name="Calculation 10 26 5" xfId="3661" xr:uid="{00000000-0005-0000-0000-00002E0E0000}"/>
    <cellStyle name="Calculation 10 26 6" xfId="3662" xr:uid="{00000000-0005-0000-0000-00002F0E0000}"/>
    <cellStyle name="Calculation 10 27" xfId="3663" xr:uid="{00000000-0005-0000-0000-0000300E0000}"/>
    <cellStyle name="Calculation 10 27 2" xfId="3664" xr:uid="{00000000-0005-0000-0000-0000310E0000}"/>
    <cellStyle name="Calculation 10 27 3" xfId="3665" xr:uid="{00000000-0005-0000-0000-0000320E0000}"/>
    <cellStyle name="Calculation 10 27 4" xfId="3666" xr:uid="{00000000-0005-0000-0000-0000330E0000}"/>
    <cellStyle name="Calculation 10 27 5" xfId="3667" xr:uid="{00000000-0005-0000-0000-0000340E0000}"/>
    <cellStyle name="Calculation 10 27 6" xfId="3668" xr:uid="{00000000-0005-0000-0000-0000350E0000}"/>
    <cellStyle name="Calculation 10 28" xfId="3669" xr:uid="{00000000-0005-0000-0000-0000360E0000}"/>
    <cellStyle name="Calculation 10 28 2" xfId="3670" xr:uid="{00000000-0005-0000-0000-0000370E0000}"/>
    <cellStyle name="Calculation 10 28 3" xfId="3671" xr:uid="{00000000-0005-0000-0000-0000380E0000}"/>
    <cellStyle name="Calculation 10 28 4" xfId="3672" xr:uid="{00000000-0005-0000-0000-0000390E0000}"/>
    <cellStyle name="Calculation 10 28 5" xfId="3673" xr:uid="{00000000-0005-0000-0000-00003A0E0000}"/>
    <cellStyle name="Calculation 10 28 6" xfId="3674" xr:uid="{00000000-0005-0000-0000-00003B0E0000}"/>
    <cellStyle name="Calculation 10 29" xfId="3675" xr:uid="{00000000-0005-0000-0000-00003C0E0000}"/>
    <cellStyle name="Calculation 10 29 2" xfId="3676" xr:uid="{00000000-0005-0000-0000-00003D0E0000}"/>
    <cellStyle name="Calculation 10 29 3" xfId="3677" xr:uid="{00000000-0005-0000-0000-00003E0E0000}"/>
    <cellStyle name="Calculation 10 29 4" xfId="3678" xr:uid="{00000000-0005-0000-0000-00003F0E0000}"/>
    <cellStyle name="Calculation 10 29 5" xfId="3679" xr:uid="{00000000-0005-0000-0000-0000400E0000}"/>
    <cellStyle name="Calculation 10 29 6" xfId="3680" xr:uid="{00000000-0005-0000-0000-0000410E0000}"/>
    <cellStyle name="Calculation 10 3" xfId="3681" xr:uid="{00000000-0005-0000-0000-0000420E0000}"/>
    <cellStyle name="Calculation 10 3 10" xfId="3682" xr:uid="{00000000-0005-0000-0000-0000430E0000}"/>
    <cellStyle name="Calculation 10 3 10 10" xfId="3683" xr:uid="{00000000-0005-0000-0000-0000440E0000}"/>
    <cellStyle name="Calculation 10 3 10 2" xfId="3684" xr:uid="{00000000-0005-0000-0000-0000450E0000}"/>
    <cellStyle name="Calculation 10 3 10 2 2" xfId="3685" xr:uid="{00000000-0005-0000-0000-0000460E0000}"/>
    <cellStyle name="Calculation 10 3 10 2 3" xfId="3686" xr:uid="{00000000-0005-0000-0000-0000470E0000}"/>
    <cellStyle name="Calculation 10 3 10 2 4" xfId="3687" xr:uid="{00000000-0005-0000-0000-0000480E0000}"/>
    <cellStyle name="Calculation 10 3 10 2 5" xfId="3688" xr:uid="{00000000-0005-0000-0000-0000490E0000}"/>
    <cellStyle name="Calculation 10 3 10 2 6" xfId="3689" xr:uid="{00000000-0005-0000-0000-00004A0E0000}"/>
    <cellStyle name="Calculation 10 3 10 3" xfId="3690" xr:uid="{00000000-0005-0000-0000-00004B0E0000}"/>
    <cellStyle name="Calculation 10 3 10 3 2" xfId="3691" xr:uid="{00000000-0005-0000-0000-00004C0E0000}"/>
    <cellStyle name="Calculation 10 3 10 3 3" xfId="3692" xr:uid="{00000000-0005-0000-0000-00004D0E0000}"/>
    <cellStyle name="Calculation 10 3 10 3 4" xfId="3693" xr:uid="{00000000-0005-0000-0000-00004E0E0000}"/>
    <cellStyle name="Calculation 10 3 10 3 5" xfId="3694" xr:uid="{00000000-0005-0000-0000-00004F0E0000}"/>
    <cellStyle name="Calculation 10 3 10 3 6" xfId="3695" xr:uid="{00000000-0005-0000-0000-0000500E0000}"/>
    <cellStyle name="Calculation 10 3 10 4" xfId="3696" xr:uid="{00000000-0005-0000-0000-0000510E0000}"/>
    <cellStyle name="Calculation 10 3 10 4 2" xfId="3697" xr:uid="{00000000-0005-0000-0000-0000520E0000}"/>
    <cellStyle name="Calculation 10 3 10 4 3" xfId="3698" xr:uid="{00000000-0005-0000-0000-0000530E0000}"/>
    <cellStyle name="Calculation 10 3 10 4 4" xfId="3699" xr:uid="{00000000-0005-0000-0000-0000540E0000}"/>
    <cellStyle name="Calculation 10 3 10 4 5" xfId="3700" xr:uid="{00000000-0005-0000-0000-0000550E0000}"/>
    <cellStyle name="Calculation 10 3 10 4 6" xfId="3701" xr:uid="{00000000-0005-0000-0000-0000560E0000}"/>
    <cellStyle name="Calculation 10 3 10 5" xfId="3702" xr:uid="{00000000-0005-0000-0000-0000570E0000}"/>
    <cellStyle name="Calculation 10 3 10 5 2" xfId="3703" xr:uid="{00000000-0005-0000-0000-0000580E0000}"/>
    <cellStyle name="Calculation 10 3 10 5 3" xfId="3704" xr:uid="{00000000-0005-0000-0000-0000590E0000}"/>
    <cellStyle name="Calculation 10 3 10 5 4" xfId="3705" xr:uid="{00000000-0005-0000-0000-00005A0E0000}"/>
    <cellStyle name="Calculation 10 3 10 5 5" xfId="3706" xr:uid="{00000000-0005-0000-0000-00005B0E0000}"/>
    <cellStyle name="Calculation 10 3 10 5 6" xfId="3707" xr:uid="{00000000-0005-0000-0000-00005C0E0000}"/>
    <cellStyle name="Calculation 10 3 10 6" xfId="3708" xr:uid="{00000000-0005-0000-0000-00005D0E0000}"/>
    <cellStyle name="Calculation 10 3 10 6 2" xfId="3709" xr:uid="{00000000-0005-0000-0000-00005E0E0000}"/>
    <cellStyle name="Calculation 10 3 10 6 3" xfId="3710" xr:uid="{00000000-0005-0000-0000-00005F0E0000}"/>
    <cellStyle name="Calculation 10 3 10 6 4" xfId="3711" xr:uid="{00000000-0005-0000-0000-0000600E0000}"/>
    <cellStyle name="Calculation 10 3 10 6 5" xfId="3712" xr:uid="{00000000-0005-0000-0000-0000610E0000}"/>
    <cellStyle name="Calculation 10 3 10 6 6" xfId="3713" xr:uid="{00000000-0005-0000-0000-0000620E0000}"/>
    <cellStyle name="Calculation 10 3 10 7" xfId="3714" xr:uid="{00000000-0005-0000-0000-0000630E0000}"/>
    <cellStyle name="Calculation 10 3 10 7 2" xfId="3715" xr:uid="{00000000-0005-0000-0000-0000640E0000}"/>
    <cellStyle name="Calculation 10 3 10 7 3" xfId="3716" xr:uid="{00000000-0005-0000-0000-0000650E0000}"/>
    <cellStyle name="Calculation 10 3 10 7 4" xfId="3717" xr:uid="{00000000-0005-0000-0000-0000660E0000}"/>
    <cellStyle name="Calculation 10 3 10 7 5" xfId="3718" xr:uid="{00000000-0005-0000-0000-0000670E0000}"/>
    <cellStyle name="Calculation 10 3 10 7 6" xfId="3719" xr:uid="{00000000-0005-0000-0000-0000680E0000}"/>
    <cellStyle name="Calculation 10 3 10 8" xfId="3720" xr:uid="{00000000-0005-0000-0000-0000690E0000}"/>
    <cellStyle name="Calculation 10 3 10 9" xfId="3721" xr:uid="{00000000-0005-0000-0000-00006A0E0000}"/>
    <cellStyle name="Calculation 10 3 11" xfId="3722" xr:uid="{00000000-0005-0000-0000-00006B0E0000}"/>
    <cellStyle name="Calculation 10 3 11 10" xfId="3723" xr:uid="{00000000-0005-0000-0000-00006C0E0000}"/>
    <cellStyle name="Calculation 10 3 11 2" xfId="3724" xr:uid="{00000000-0005-0000-0000-00006D0E0000}"/>
    <cellStyle name="Calculation 10 3 11 2 2" xfId="3725" xr:uid="{00000000-0005-0000-0000-00006E0E0000}"/>
    <cellStyle name="Calculation 10 3 11 2 3" xfId="3726" xr:uid="{00000000-0005-0000-0000-00006F0E0000}"/>
    <cellStyle name="Calculation 10 3 11 2 4" xfId="3727" xr:uid="{00000000-0005-0000-0000-0000700E0000}"/>
    <cellStyle name="Calculation 10 3 11 2 5" xfId="3728" xr:uid="{00000000-0005-0000-0000-0000710E0000}"/>
    <cellStyle name="Calculation 10 3 11 2 6" xfId="3729" xr:uid="{00000000-0005-0000-0000-0000720E0000}"/>
    <cellStyle name="Calculation 10 3 11 3" xfId="3730" xr:uid="{00000000-0005-0000-0000-0000730E0000}"/>
    <cellStyle name="Calculation 10 3 11 3 2" xfId="3731" xr:uid="{00000000-0005-0000-0000-0000740E0000}"/>
    <cellStyle name="Calculation 10 3 11 3 3" xfId="3732" xr:uid="{00000000-0005-0000-0000-0000750E0000}"/>
    <cellStyle name="Calculation 10 3 11 3 4" xfId="3733" xr:uid="{00000000-0005-0000-0000-0000760E0000}"/>
    <cellStyle name="Calculation 10 3 11 3 5" xfId="3734" xr:uid="{00000000-0005-0000-0000-0000770E0000}"/>
    <cellStyle name="Calculation 10 3 11 3 6" xfId="3735" xr:uid="{00000000-0005-0000-0000-0000780E0000}"/>
    <cellStyle name="Calculation 10 3 11 4" xfId="3736" xr:uid="{00000000-0005-0000-0000-0000790E0000}"/>
    <cellStyle name="Calculation 10 3 11 4 2" xfId="3737" xr:uid="{00000000-0005-0000-0000-00007A0E0000}"/>
    <cellStyle name="Calculation 10 3 11 4 3" xfId="3738" xr:uid="{00000000-0005-0000-0000-00007B0E0000}"/>
    <cellStyle name="Calculation 10 3 11 4 4" xfId="3739" xr:uid="{00000000-0005-0000-0000-00007C0E0000}"/>
    <cellStyle name="Calculation 10 3 11 4 5" xfId="3740" xr:uid="{00000000-0005-0000-0000-00007D0E0000}"/>
    <cellStyle name="Calculation 10 3 11 4 6" xfId="3741" xr:uid="{00000000-0005-0000-0000-00007E0E0000}"/>
    <cellStyle name="Calculation 10 3 11 5" xfId="3742" xr:uid="{00000000-0005-0000-0000-00007F0E0000}"/>
    <cellStyle name="Calculation 10 3 11 5 2" xfId="3743" xr:uid="{00000000-0005-0000-0000-0000800E0000}"/>
    <cellStyle name="Calculation 10 3 11 5 3" xfId="3744" xr:uid="{00000000-0005-0000-0000-0000810E0000}"/>
    <cellStyle name="Calculation 10 3 11 5 4" xfId="3745" xr:uid="{00000000-0005-0000-0000-0000820E0000}"/>
    <cellStyle name="Calculation 10 3 11 5 5" xfId="3746" xr:uid="{00000000-0005-0000-0000-0000830E0000}"/>
    <cellStyle name="Calculation 10 3 11 5 6" xfId="3747" xr:uid="{00000000-0005-0000-0000-0000840E0000}"/>
    <cellStyle name="Calculation 10 3 11 6" xfId="3748" xr:uid="{00000000-0005-0000-0000-0000850E0000}"/>
    <cellStyle name="Calculation 10 3 11 6 2" xfId="3749" xr:uid="{00000000-0005-0000-0000-0000860E0000}"/>
    <cellStyle name="Calculation 10 3 11 6 3" xfId="3750" xr:uid="{00000000-0005-0000-0000-0000870E0000}"/>
    <cellStyle name="Calculation 10 3 11 6 4" xfId="3751" xr:uid="{00000000-0005-0000-0000-0000880E0000}"/>
    <cellStyle name="Calculation 10 3 11 6 5" xfId="3752" xr:uid="{00000000-0005-0000-0000-0000890E0000}"/>
    <cellStyle name="Calculation 10 3 11 6 6" xfId="3753" xr:uid="{00000000-0005-0000-0000-00008A0E0000}"/>
    <cellStyle name="Calculation 10 3 11 7" xfId="3754" xr:uid="{00000000-0005-0000-0000-00008B0E0000}"/>
    <cellStyle name="Calculation 10 3 11 7 2" xfId="3755" xr:uid="{00000000-0005-0000-0000-00008C0E0000}"/>
    <cellStyle name="Calculation 10 3 11 7 3" xfId="3756" xr:uid="{00000000-0005-0000-0000-00008D0E0000}"/>
    <cellStyle name="Calculation 10 3 11 7 4" xfId="3757" xr:uid="{00000000-0005-0000-0000-00008E0E0000}"/>
    <cellStyle name="Calculation 10 3 11 7 5" xfId="3758" xr:uid="{00000000-0005-0000-0000-00008F0E0000}"/>
    <cellStyle name="Calculation 10 3 11 7 6" xfId="3759" xr:uid="{00000000-0005-0000-0000-0000900E0000}"/>
    <cellStyle name="Calculation 10 3 11 8" xfId="3760" xr:uid="{00000000-0005-0000-0000-0000910E0000}"/>
    <cellStyle name="Calculation 10 3 11 9" xfId="3761" xr:uid="{00000000-0005-0000-0000-0000920E0000}"/>
    <cellStyle name="Calculation 10 3 12" xfId="3762" xr:uid="{00000000-0005-0000-0000-0000930E0000}"/>
    <cellStyle name="Calculation 10 3 12 10" xfId="3763" xr:uid="{00000000-0005-0000-0000-0000940E0000}"/>
    <cellStyle name="Calculation 10 3 12 2" xfId="3764" xr:uid="{00000000-0005-0000-0000-0000950E0000}"/>
    <cellStyle name="Calculation 10 3 12 2 2" xfId="3765" xr:uid="{00000000-0005-0000-0000-0000960E0000}"/>
    <cellStyle name="Calculation 10 3 12 2 3" xfId="3766" xr:uid="{00000000-0005-0000-0000-0000970E0000}"/>
    <cellStyle name="Calculation 10 3 12 2 4" xfId="3767" xr:uid="{00000000-0005-0000-0000-0000980E0000}"/>
    <cellStyle name="Calculation 10 3 12 2 5" xfId="3768" xr:uid="{00000000-0005-0000-0000-0000990E0000}"/>
    <cellStyle name="Calculation 10 3 12 2 6" xfId="3769" xr:uid="{00000000-0005-0000-0000-00009A0E0000}"/>
    <cellStyle name="Calculation 10 3 12 3" xfId="3770" xr:uid="{00000000-0005-0000-0000-00009B0E0000}"/>
    <cellStyle name="Calculation 10 3 12 3 2" xfId="3771" xr:uid="{00000000-0005-0000-0000-00009C0E0000}"/>
    <cellStyle name="Calculation 10 3 12 3 3" xfId="3772" xr:uid="{00000000-0005-0000-0000-00009D0E0000}"/>
    <cellStyle name="Calculation 10 3 12 3 4" xfId="3773" xr:uid="{00000000-0005-0000-0000-00009E0E0000}"/>
    <cellStyle name="Calculation 10 3 12 3 5" xfId="3774" xr:uid="{00000000-0005-0000-0000-00009F0E0000}"/>
    <cellStyle name="Calculation 10 3 12 3 6" xfId="3775" xr:uid="{00000000-0005-0000-0000-0000A00E0000}"/>
    <cellStyle name="Calculation 10 3 12 4" xfId="3776" xr:uid="{00000000-0005-0000-0000-0000A10E0000}"/>
    <cellStyle name="Calculation 10 3 12 4 2" xfId="3777" xr:uid="{00000000-0005-0000-0000-0000A20E0000}"/>
    <cellStyle name="Calculation 10 3 12 4 3" xfId="3778" xr:uid="{00000000-0005-0000-0000-0000A30E0000}"/>
    <cellStyle name="Calculation 10 3 12 4 4" xfId="3779" xr:uid="{00000000-0005-0000-0000-0000A40E0000}"/>
    <cellStyle name="Calculation 10 3 12 4 5" xfId="3780" xr:uid="{00000000-0005-0000-0000-0000A50E0000}"/>
    <cellStyle name="Calculation 10 3 12 4 6" xfId="3781" xr:uid="{00000000-0005-0000-0000-0000A60E0000}"/>
    <cellStyle name="Calculation 10 3 12 5" xfId="3782" xr:uid="{00000000-0005-0000-0000-0000A70E0000}"/>
    <cellStyle name="Calculation 10 3 12 5 2" xfId="3783" xr:uid="{00000000-0005-0000-0000-0000A80E0000}"/>
    <cellStyle name="Calculation 10 3 12 5 3" xfId="3784" xr:uid="{00000000-0005-0000-0000-0000A90E0000}"/>
    <cellStyle name="Calculation 10 3 12 5 4" xfId="3785" xr:uid="{00000000-0005-0000-0000-0000AA0E0000}"/>
    <cellStyle name="Calculation 10 3 12 5 5" xfId="3786" xr:uid="{00000000-0005-0000-0000-0000AB0E0000}"/>
    <cellStyle name="Calculation 10 3 12 5 6" xfId="3787" xr:uid="{00000000-0005-0000-0000-0000AC0E0000}"/>
    <cellStyle name="Calculation 10 3 12 6" xfId="3788" xr:uid="{00000000-0005-0000-0000-0000AD0E0000}"/>
    <cellStyle name="Calculation 10 3 12 6 2" xfId="3789" xr:uid="{00000000-0005-0000-0000-0000AE0E0000}"/>
    <cellStyle name="Calculation 10 3 12 6 3" xfId="3790" xr:uid="{00000000-0005-0000-0000-0000AF0E0000}"/>
    <cellStyle name="Calculation 10 3 12 6 4" xfId="3791" xr:uid="{00000000-0005-0000-0000-0000B00E0000}"/>
    <cellStyle name="Calculation 10 3 12 6 5" xfId="3792" xr:uid="{00000000-0005-0000-0000-0000B10E0000}"/>
    <cellStyle name="Calculation 10 3 12 6 6" xfId="3793" xr:uid="{00000000-0005-0000-0000-0000B20E0000}"/>
    <cellStyle name="Calculation 10 3 12 7" xfId="3794" xr:uid="{00000000-0005-0000-0000-0000B30E0000}"/>
    <cellStyle name="Calculation 10 3 12 7 2" xfId="3795" xr:uid="{00000000-0005-0000-0000-0000B40E0000}"/>
    <cellStyle name="Calculation 10 3 12 7 3" xfId="3796" xr:uid="{00000000-0005-0000-0000-0000B50E0000}"/>
    <cellStyle name="Calculation 10 3 12 7 4" xfId="3797" xr:uid="{00000000-0005-0000-0000-0000B60E0000}"/>
    <cellStyle name="Calculation 10 3 12 7 5" xfId="3798" xr:uid="{00000000-0005-0000-0000-0000B70E0000}"/>
    <cellStyle name="Calculation 10 3 12 7 6" xfId="3799" xr:uid="{00000000-0005-0000-0000-0000B80E0000}"/>
    <cellStyle name="Calculation 10 3 12 8" xfId="3800" xr:uid="{00000000-0005-0000-0000-0000B90E0000}"/>
    <cellStyle name="Calculation 10 3 12 9" xfId="3801" xr:uid="{00000000-0005-0000-0000-0000BA0E0000}"/>
    <cellStyle name="Calculation 10 3 13" xfId="3802" xr:uid="{00000000-0005-0000-0000-0000BB0E0000}"/>
    <cellStyle name="Calculation 10 3 13 10" xfId="3803" xr:uid="{00000000-0005-0000-0000-0000BC0E0000}"/>
    <cellStyle name="Calculation 10 3 13 2" xfId="3804" xr:uid="{00000000-0005-0000-0000-0000BD0E0000}"/>
    <cellStyle name="Calculation 10 3 13 2 2" xfId="3805" xr:uid="{00000000-0005-0000-0000-0000BE0E0000}"/>
    <cellStyle name="Calculation 10 3 13 2 3" xfId="3806" xr:uid="{00000000-0005-0000-0000-0000BF0E0000}"/>
    <cellStyle name="Calculation 10 3 13 2 4" xfId="3807" xr:uid="{00000000-0005-0000-0000-0000C00E0000}"/>
    <cellStyle name="Calculation 10 3 13 2 5" xfId="3808" xr:uid="{00000000-0005-0000-0000-0000C10E0000}"/>
    <cellStyle name="Calculation 10 3 13 2 6" xfId="3809" xr:uid="{00000000-0005-0000-0000-0000C20E0000}"/>
    <cellStyle name="Calculation 10 3 13 3" xfId="3810" xr:uid="{00000000-0005-0000-0000-0000C30E0000}"/>
    <cellStyle name="Calculation 10 3 13 3 2" xfId="3811" xr:uid="{00000000-0005-0000-0000-0000C40E0000}"/>
    <cellStyle name="Calculation 10 3 13 3 3" xfId="3812" xr:uid="{00000000-0005-0000-0000-0000C50E0000}"/>
    <cellStyle name="Calculation 10 3 13 3 4" xfId="3813" xr:uid="{00000000-0005-0000-0000-0000C60E0000}"/>
    <cellStyle name="Calculation 10 3 13 3 5" xfId="3814" xr:uid="{00000000-0005-0000-0000-0000C70E0000}"/>
    <cellStyle name="Calculation 10 3 13 3 6" xfId="3815" xr:uid="{00000000-0005-0000-0000-0000C80E0000}"/>
    <cellStyle name="Calculation 10 3 13 4" xfId="3816" xr:uid="{00000000-0005-0000-0000-0000C90E0000}"/>
    <cellStyle name="Calculation 10 3 13 4 2" xfId="3817" xr:uid="{00000000-0005-0000-0000-0000CA0E0000}"/>
    <cellStyle name="Calculation 10 3 13 4 3" xfId="3818" xr:uid="{00000000-0005-0000-0000-0000CB0E0000}"/>
    <cellStyle name="Calculation 10 3 13 4 4" xfId="3819" xr:uid="{00000000-0005-0000-0000-0000CC0E0000}"/>
    <cellStyle name="Calculation 10 3 13 4 5" xfId="3820" xr:uid="{00000000-0005-0000-0000-0000CD0E0000}"/>
    <cellStyle name="Calculation 10 3 13 4 6" xfId="3821" xr:uid="{00000000-0005-0000-0000-0000CE0E0000}"/>
    <cellStyle name="Calculation 10 3 13 5" xfId="3822" xr:uid="{00000000-0005-0000-0000-0000CF0E0000}"/>
    <cellStyle name="Calculation 10 3 13 5 2" xfId="3823" xr:uid="{00000000-0005-0000-0000-0000D00E0000}"/>
    <cellStyle name="Calculation 10 3 13 5 3" xfId="3824" xr:uid="{00000000-0005-0000-0000-0000D10E0000}"/>
    <cellStyle name="Calculation 10 3 13 5 4" xfId="3825" xr:uid="{00000000-0005-0000-0000-0000D20E0000}"/>
    <cellStyle name="Calculation 10 3 13 5 5" xfId="3826" xr:uid="{00000000-0005-0000-0000-0000D30E0000}"/>
    <cellStyle name="Calculation 10 3 13 5 6" xfId="3827" xr:uid="{00000000-0005-0000-0000-0000D40E0000}"/>
    <cellStyle name="Calculation 10 3 13 6" xfId="3828" xr:uid="{00000000-0005-0000-0000-0000D50E0000}"/>
    <cellStyle name="Calculation 10 3 13 6 2" xfId="3829" xr:uid="{00000000-0005-0000-0000-0000D60E0000}"/>
    <cellStyle name="Calculation 10 3 13 6 3" xfId="3830" xr:uid="{00000000-0005-0000-0000-0000D70E0000}"/>
    <cellStyle name="Calculation 10 3 13 6 4" xfId="3831" xr:uid="{00000000-0005-0000-0000-0000D80E0000}"/>
    <cellStyle name="Calculation 10 3 13 6 5" xfId="3832" xr:uid="{00000000-0005-0000-0000-0000D90E0000}"/>
    <cellStyle name="Calculation 10 3 13 6 6" xfId="3833" xr:uid="{00000000-0005-0000-0000-0000DA0E0000}"/>
    <cellStyle name="Calculation 10 3 13 7" xfId="3834" xr:uid="{00000000-0005-0000-0000-0000DB0E0000}"/>
    <cellStyle name="Calculation 10 3 13 7 2" xfId="3835" xr:uid="{00000000-0005-0000-0000-0000DC0E0000}"/>
    <cellStyle name="Calculation 10 3 13 7 3" xfId="3836" xr:uid="{00000000-0005-0000-0000-0000DD0E0000}"/>
    <cellStyle name="Calculation 10 3 13 7 4" xfId="3837" xr:uid="{00000000-0005-0000-0000-0000DE0E0000}"/>
    <cellStyle name="Calculation 10 3 13 7 5" xfId="3838" xr:uid="{00000000-0005-0000-0000-0000DF0E0000}"/>
    <cellStyle name="Calculation 10 3 13 7 6" xfId="3839" xr:uid="{00000000-0005-0000-0000-0000E00E0000}"/>
    <cellStyle name="Calculation 10 3 13 8" xfId="3840" xr:uid="{00000000-0005-0000-0000-0000E10E0000}"/>
    <cellStyle name="Calculation 10 3 13 9" xfId="3841" xr:uid="{00000000-0005-0000-0000-0000E20E0000}"/>
    <cellStyle name="Calculation 10 3 14" xfId="3842" xr:uid="{00000000-0005-0000-0000-0000E30E0000}"/>
    <cellStyle name="Calculation 10 3 14 10" xfId="3843" xr:uid="{00000000-0005-0000-0000-0000E40E0000}"/>
    <cellStyle name="Calculation 10 3 14 2" xfId="3844" xr:uid="{00000000-0005-0000-0000-0000E50E0000}"/>
    <cellStyle name="Calculation 10 3 14 2 2" xfId="3845" xr:uid="{00000000-0005-0000-0000-0000E60E0000}"/>
    <cellStyle name="Calculation 10 3 14 2 3" xfId="3846" xr:uid="{00000000-0005-0000-0000-0000E70E0000}"/>
    <cellStyle name="Calculation 10 3 14 2 4" xfId="3847" xr:uid="{00000000-0005-0000-0000-0000E80E0000}"/>
    <cellStyle name="Calculation 10 3 14 2 5" xfId="3848" xr:uid="{00000000-0005-0000-0000-0000E90E0000}"/>
    <cellStyle name="Calculation 10 3 14 2 6" xfId="3849" xr:uid="{00000000-0005-0000-0000-0000EA0E0000}"/>
    <cellStyle name="Calculation 10 3 14 3" xfId="3850" xr:uid="{00000000-0005-0000-0000-0000EB0E0000}"/>
    <cellStyle name="Calculation 10 3 14 3 2" xfId="3851" xr:uid="{00000000-0005-0000-0000-0000EC0E0000}"/>
    <cellStyle name="Calculation 10 3 14 3 3" xfId="3852" xr:uid="{00000000-0005-0000-0000-0000ED0E0000}"/>
    <cellStyle name="Calculation 10 3 14 3 4" xfId="3853" xr:uid="{00000000-0005-0000-0000-0000EE0E0000}"/>
    <cellStyle name="Calculation 10 3 14 3 5" xfId="3854" xr:uid="{00000000-0005-0000-0000-0000EF0E0000}"/>
    <cellStyle name="Calculation 10 3 14 3 6" xfId="3855" xr:uid="{00000000-0005-0000-0000-0000F00E0000}"/>
    <cellStyle name="Calculation 10 3 14 4" xfId="3856" xr:uid="{00000000-0005-0000-0000-0000F10E0000}"/>
    <cellStyle name="Calculation 10 3 14 4 2" xfId="3857" xr:uid="{00000000-0005-0000-0000-0000F20E0000}"/>
    <cellStyle name="Calculation 10 3 14 4 3" xfId="3858" xr:uid="{00000000-0005-0000-0000-0000F30E0000}"/>
    <cellStyle name="Calculation 10 3 14 4 4" xfId="3859" xr:uid="{00000000-0005-0000-0000-0000F40E0000}"/>
    <cellStyle name="Calculation 10 3 14 4 5" xfId="3860" xr:uid="{00000000-0005-0000-0000-0000F50E0000}"/>
    <cellStyle name="Calculation 10 3 14 4 6" xfId="3861" xr:uid="{00000000-0005-0000-0000-0000F60E0000}"/>
    <cellStyle name="Calculation 10 3 14 5" xfId="3862" xr:uid="{00000000-0005-0000-0000-0000F70E0000}"/>
    <cellStyle name="Calculation 10 3 14 5 2" xfId="3863" xr:uid="{00000000-0005-0000-0000-0000F80E0000}"/>
    <cellStyle name="Calculation 10 3 14 5 3" xfId="3864" xr:uid="{00000000-0005-0000-0000-0000F90E0000}"/>
    <cellStyle name="Calculation 10 3 14 5 4" xfId="3865" xr:uid="{00000000-0005-0000-0000-0000FA0E0000}"/>
    <cellStyle name="Calculation 10 3 14 5 5" xfId="3866" xr:uid="{00000000-0005-0000-0000-0000FB0E0000}"/>
    <cellStyle name="Calculation 10 3 14 5 6" xfId="3867" xr:uid="{00000000-0005-0000-0000-0000FC0E0000}"/>
    <cellStyle name="Calculation 10 3 14 6" xfId="3868" xr:uid="{00000000-0005-0000-0000-0000FD0E0000}"/>
    <cellStyle name="Calculation 10 3 14 6 2" xfId="3869" xr:uid="{00000000-0005-0000-0000-0000FE0E0000}"/>
    <cellStyle name="Calculation 10 3 14 6 3" xfId="3870" xr:uid="{00000000-0005-0000-0000-0000FF0E0000}"/>
    <cellStyle name="Calculation 10 3 14 6 4" xfId="3871" xr:uid="{00000000-0005-0000-0000-0000000F0000}"/>
    <cellStyle name="Calculation 10 3 14 6 5" xfId="3872" xr:uid="{00000000-0005-0000-0000-0000010F0000}"/>
    <cellStyle name="Calculation 10 3 14 6 6" xfId="3873" xr:uid="{00000000-0005-0000-0000-0000020F0000}"/>
    <cellStyle name="Calculation 10 3 14 7" xfId="3874" xr:uid="{00000000-0005-0000-0000-0000030F0000}"/>
    <cellStyle name="Calculation 10 3 14 7 2" xfId="3875" xr:uid="{00000000-0005-0000-0000-0000040F0000}"/>
    <cellStyle name="Calculation 10 3 14 7 3" xfId="3876" xr:uid="{00000000-0005-0000-0000-0000050F0000}"/>
    <cellStyle name="Calculation 10 3 14 7 4" xfId="3877" xr:uid="{00000000-0005-0000-0000-0000060F0000}"/>
    <cellStyle name="Calculation 10 3 14 7 5" xfId="3878" xr:uid="{00000000-0005-0000-0000-0000070F0000}"/>
    <cellStyle name="Calculation 10 3 14 7 6" xfId="3879" xr:uid="{00000000-0005-0000-0000-0000080F0000}"/>
    <cellStyle name="Calculation 10 3 14 8" xfId="3880" xr:uid="{00000000-0005-0000-0000-0000090F0000}"/>
    <cellStyle name="Calculation 10 3 14 9" xfId="3881" xr:uid="{00000000-0005-0000-0000-00000A0F0000}"/>
    <cellStyle name="Calculation 10 3 15" xfId="3882" xr:uid="{00000000-0005-0000-0000-00000B0F0000}"/>
    <cellStyle name="Calculation 10 3 15 10" xfId="3883" xr:uid="{00000000-0005-0000-0000-00000C0F0000}"/>
    <cellStyle name="Calculation 10 3 15 2" xfId="3884" xr:uid="{00000000-0005-0000-0000-00000D0F0000}"/>
    <cellStyle name="Calculation 10 3 15 2 2" xfId="3885" xr:uid="{00000000-0005-0000-0000-00000E0F0000}"/>
    <cellStyle name="Calculation 10 3 15 2 3" xfId="3886" xr:uid="{00000000-0005-0000-0000-00000F0F0000}"/>
    <cellStyle name="Calculation 10 3 15 2 4" xfId="3887" xr:uid="{00000000-0005-0000-0000-0000100F0000}"/>
    <cellStyle name="Calculation 10 3 15 2 5" xfId="3888" xr:uid="{00000000-0005-0000-0000-0000110F0000}"/>
    <cellStyle name="Calculation 10 3 15 2 6" xfId="3889" xr:uid="{00000000-0005-0000-0000-0000120F0000}"/>
    <cellStyle name="Calculation 10 3 15 3" xfId="3890" xr:uid="{00000000-0005-0000-0000-0000130F0000}"/>
    <cellStyle name="Calculation 10 3 15 3 2" xfId="3891" xr:uid="{00000000-0005-0000-0000-0000140F0000}"/>
    <cellStyle name="Calculation 10 3 15 3 3" xfId="3892" xr:uid="{00000000-0005-0000-0000-0000150F0000}"/>
    <cellStyle name="Calculation 10 3 15 3 4" xfId="3893" xr:uid="{00000000-0005-0000-0000-0000160F0000}"/>
    <cellStyle name="Calculation 10 3 15 3 5" xfId="3894" xr:uid="{00000000-0005-0000-0000-0000170F0000}"/>
    <cellStyle name="Calculation 10 3 15 3 6" xfId="3895" xr:uid="{00000000-0005-0000-0000-0000180F0000}"/>
    <cellStyle name="Calculation 10 3 15 4" xfId="3896" xr:uid="{00000000-0005-0000-0000-0000190F0000}"/>
    <cellStyle name="Calculation 10 3 15 4 2" xfId="3897" xr:uid="{00000000-0005-0000-0000-00001A0F0000}"/>
    <cellStyle name="Calculation 10 3 15 4 3" xfId="3898" xr:uid="{00000000-0005-0000-0000-00001B0F0000}"/>
    <cellStyle name="Calculation 10 3 15 4 4" xfId="3899" xr:uid="{00000000-0005-0000-0000-00001C0F0000}"/>
    <cellStyle name="Calculation 10 3 15 4 5" xfId="3900" xr:uid="{00000000-0005-0000-0000-00001D0F0000}"/>
    <cellStyle name="Calculation 10 3 15 4 6" xfId="3901" xr:uid="{00000000-0005-0000-0000-00001E0F0000}"/>
    <cellStyle name="Calculation 10 3 15 5" xfId="3902" xr:uid="{00000000-0005-0000-0000-00001F0F0000}"/>
    <cellStyle name="Calculation 10 3 15 5 2" xfId="3903" xr:uid="{00000000-0005-0000-0000-0000200F0000}"/>
    <cellStyle name="Calculation 10 3 15 5 3" xfId="3904" xr:uid="{00000000-0005-0000-0000-0000210F0000}"/>
    <cellStyle name="Calculation 10 3 15 5 4" xfId="3905" xr:uid="{00000000-0005-0000-0000-0000220F0000}"/>
    <cellStyle name="Calculation 10 3 15 5 5" xfId="3906" xr:uid="{00000000-0005-0000-0000-0000230F0000}"/>
    <cellStyle name="Calculation 10 3 15 5 6" xfId="3907" xr:uid="{00000000-0005-0000-0000-0000240F0000}"/>
    <cellStyle name="Calculation 10 3 15 6" xfId="3908" xr:uid="{00000000-0005-0000-0000-0000250F0000}"/>
    <cellStyle name="Calculation 10 3 15 6 2" xfId="3909" xr:uid="{00000000-0005-0000-0000-0000260F0000}"/>
    <cellStyle name="Calculation 10 3 15 6 3" xfId="3910" xr:uid="{00000000-0005-0000-0000-0000270F0000}"/>
    <cellStyle name="Calculation 10 3 15 6 4" xfId="3911" xr:uid="{00000000-0005-0000-0000-0000280F0000}"/>
    <cellStyle name="Calculation 10 3 15 6 5" xfId="3912" xr:uid="{00000000-0005-0000-0000-0000290F0000}"/>
    <cellStyle name="Calculation 10 3 15 6 6" xfId="3913" xr:uid="{00000000-0005-0000-0000-00002A0F0000}"/>
    <cellStyle name="Calculation 10 3 15 7" xfId="3914" xr:uid="{00000000-0005-0000-0000-00002B0F0000}"/>
    <cellStyle name="Calculation 10 3 15 7 2" xfId="3915" xr:uid="{00000000-0005-0000-0000-00002C0F0000}"/>
    <cellStyle name="Calculation 10 3 15 7 3" xfId="3916" xr:uid="{00000000-0005-0000-0000-00002D0F0000}"/>
    <cellStyle name="Calculation 10 3 15 7 4" xfId="3917" xr:uid="{00000000-0005-0000-0000-00002E0F0000}"/>
    <cellStyle name="Calculation 10 3 15 7 5" xfId="3918" xr:uid="{00000000-0005-0000-0000-00002F0F0000}"/>
    <cellStyle name="Calculation 10 3 15 7 6" xfId="3919" xr:uid="{00000000-0005-0000-0000-0000300F0000}"/>
    <cellStyle name="Calculation 10 3 15 8" xfId="3920" xr:uid="{00000000-0005-0000-0000-0000310F0000}"/>
    <cellStyle name="Calculation 10 3 15 9" xfId="3921" xr:uid="{00000000-0005-0000-0000-0000320F0000}"/>
    <cellStyle name="Calculation 10 3 16" xfId="3922" xr:uid="{00000000-0005-0000-0000-0000330F0000}"/>
    <cellStyle name="Calculation 10 3 16 10" xfId="3923" xr:uid="{00000000-0005-0000-0000-0000340F0000}"/>
    <cellStyle name="Calculation 10 3 16 2" xfId="3924" xr:uid="{00000000-0005-0000-0000-0000350F0000}"/>
    <cellStyle name="Calculation 10 3 16 2 2" xfId="3925" xr:uid="{00000000-0005-0000-0000-0000360F0000}"/>
    <cellStyle name="Calculation 10 3 16 2 3" xfId="3926" xr:uid="{00000000-0005-0000-0000-0000370F0000}"/>
    <cellStyle name="Calculation 10 3 16 2 4" xfId="3927" xr:uid="{00000000-0005-0000-0000-0000380F0000}"/>
    <cellStyle name="Calculation 10 3 16 2 5" xfId="3928" xr:uid="{00000000-0005-0000-0000-0000390F0000}"/>
    <cellStyle name="Calculation 10 3 16 2 6" xfId="3929" xr:uid="{00000000-0005-0000-0000-00003A0F0000}"/>
    <cellStyle name="Calculation 10 3 16 3" xfId="3930" xr:uid="{00000000-0005-0000-0000-00003B0F0000}"/>
    <cellStyle name="Calculation 10 3 16 3 2" xfId="3931" xr:uid="{00000000-0005-0000-0000-00003C0F0000}"/>
    <cellStyle name="Calculation 10 3 16 3 3" xfId="3932" xr:uid="{00000000-0005-0000-0000-00003D0F0000}"/>
    <cellStyle name="Calculation 10 3 16 3 4" xfId="3933" xr:uid="{00000000-0005-0000-0000-00003E0F0000}"/>
    <cellStyle name="Calculation 10 3 16 3 5" xfId="3934" xr:uid="{00000000-0005-0000-0000-00003F0F0000}"/>
    <cellStyle name="Calculation 10 3 16 3 6" xfId="3935" xr:uid="{00000000-0005-0000-0000-0000400F0000}"/>
    <cellStyle name="Calculation 10 3 16 4" xfId="3936" xr:uid="{00000000-0005-0000-0000-0000410F0000}"/>
    <cellStyle name="Calculation 10 3 16 4 2" xfId="3937" xr:uid="{00000000-0005-0000-0000-0000420F0000}"/>
    <cellStyle name="Calculation 10 3 16 4 3" xfId="3938" xr:uid="{00000000-0005-0000-0000-0000430F0000}"/>
    <cellStyle name="Calculation 10 3 16 4 4" xfId="3939" xr:uid="{00000000-0005-0000-0000-0000440F0000}"/>
    <cellStyle name="Calculation 10 3 16 4 5" xfId="3940" xr:uid="{00000000-0005-0000-0000-0000450F0000}"/>
    <cellStyle name="Calculation 10 3 16 4 6" xfId="3941" xr:uid="{00000000-0005-0000-0000-0000460F0000}"/>
    <cellStyle name="Calculation 10 3 16 5" xfId="3942" xr:uid="{00000000-0005-0000-0000-0000470F0000}"/>
    <cellStyle name="Calculation 10 3 16 5 2" xfId="3943" xr:uid="{00000000-0005-0000-0000-0000480F0000}"/>
    <cellStyle name="Calculation 10 3 16 5 3" xfId="3944" xr:uid="{00000000-0005-0000-0000-0000490F0000}"/>
    <cellStyle name="Calculation 10 3 16 5 4" xfId="3945" xr:uid="{00000000-0005-0000-0000-00004A0F0000}"/>
    <cellStyle name="Calculation 10 3 16 5 5" xfId="3946" xr:uid="{00000000-0005-0000-0000-00004B0F0000}"/>
    <cellStyle name="Calculation 10 3 16 5 6" xfId="3947" xr:uid="{00000000-0005-0000-0000-00004C0F0000}"/>
    <cellStyle name="Calculation 10 3 16 6" xfId="3948" xr:uid="{00000000-0005-0000-0000-00004D0F0000}"/>
    <cellStyle name="Calculation 10 3 16 6 2" xfId="3949" xr:uid="{00000000-0005-0000-0000-00004E0F0000}"/>
    <cellStyle name="Calculation 10 3 16 6 3" xfId="3950" xr:uid="{00000000-0005-0000-0000-00004F0F0000}"/>
    <cellStyle name="Calculation 10 3 16 6 4" xfId="3951" xr:uid="{00000000-0005-0000-0000-0000500F0000}"/>
    <cellStyle name="Calculation 10 3 16 6 5" xfId="3952" xr:uid="{00000000-0005-0000-0000-0000510F0000}"/>
    <cellStyle name="Calculation 10 3 16 6 6" xfId="3953" xr:uid="{00000000-0005-0000-0000-0000520F0000}"/>
    <cellStyle name="Calculation 10 3 16 7" xfId="3954" xr:uid="{00000000-0005-0000-0000-0000530F0000}"/>
    <cellStyle name="Calculation 10 3 16 7 2" xfId="3955" xr:uid="{00000000-0005-0000-0000-0000540F0000}"/>
    <cellStyle name="Calculation 10 3 16 7 3" xfId="3956" xr:uid="{00000000-0005-0000-0000-0000550F0000}"/>
    <cellStyle name="Calculation 10 3 16 7 4" xfId="3957" xr:uid="{00000000-0005-0000-0000-0000560F0000}"/>
    <cellStyle name="Calculation 10 3 16 7 5" xfId="3958" xr:uid="{00000000-0005-0000-0000-0000570F0000}"/>
    <cellStyle name="Calculation 10 3 16 7 6" xfId="3959" xr:uid="{00000000-0005-0000-0000-0000580F0000}"/>
    <cellStyle name="Calculation 10 3 16 8" xfId="3960" xr:uid="{00000000-0005-0000-0000-0000590F0000}"/>
    <cellStyle name="Calculation 10 3 16 9" xfId="3961" xr:uid="{00000000-0005-0000-0000-00005A0F0000}"/>
    <cellStyle name="Calculation 10 3 17" xfId="3962" xr:uid="{00000000-0005-0000-0000-00005B0F0000}"/>
    <cellStyle name="Calculation 10 3 17 10" xfId="3963" xr:uid="{00000000-0005-0000-0000-00005C0F0000}"/>
    <cellStyle name="Calculation 10 3 17 2" xfId="3964" xr:uid="{00000000-0005-0000-0000-00005D0F0000}"/>
    <cellStyle name="Calculation 10 3 17 2 2" xfId="3965" xr:uid="{00000000-0005-0000-0000-00005E0F0000}"/>
    <cellStyle name="Calculation 10 3 17 2 3" xfId="3966" xr:uid="{00000000-0005-0000-0000-00005F0F0000}"/>
    <cellStyle name="Calculation 10 3 17 2 4" xfId="3967" xr:uid="{00000000-0005-0000-0000-0000600F0000}"/>
    <cellStyle name="Calculation 10 3 17 2 5" xfId="3968" xr:uid="{00000000-0005-0000-0000-0000610F0000}"/>
    <cellStyle name="Calculation 10 3 17 2 6" xfId="3969" xr:uid="{00000000-0005-0000-0000-0000620F0000}"/>
    <cellStyle name="Calculation 10 3 17 3" xfId="3970" xr:uid="{00000000-0005-0000-0000-0000630F0000}"/>
    <cellStyle name="Calculation 10 3 17 3 2" xfId="3971" xr:uid="{00000000-0005-0000-0000-0000640F0000}"/>
    <cellStyle name="Calculation 10 3 17 3 3" xfId="3972" xr:uid="{00000000-0005-0000-0000-0000650F0000}"/>
    <cellStyle name="Calculation 10 3 17 3 4" xfId="3973" xr:uid="{00000000-0005-0000-0000-0000660F0000}"/>
    <cellStyle name="Calculation 10 3 17 3 5" xfId="3974" xr:uid="{00000000-0005-0000-0000-0000670F0000}"/>
    <cellStyle name="Calculation 10 3 17 3 6" xfId="3975" xr:uid="{00000000-0005-0000-0000-0000680F0000}"/>
    <cellStyle name="Calculation 10 3 17 4" xfId="3976" xr:uid="{00000000-0005-0000-0000-0000690F0000}"/>
    <cellStyle name="Calculation 10 3 17 4 2" xfId="3977" xr:uid="{00000000-0005-0000-0000-00006A0F0000}"/>
    <cellStyle name="Calculation 10 3 17 4 3" xfId="3978" xr:uid="{00000000-0005-0000-0000-00006B0F0000}"/>
    <cellStyle name="Calculation 10 3 17 4 4" xfId="3979" xr:uid="{00000000-0005-0000-0000-00006C0F0000}"/>
    <cellStyle name="Calculation 10 3 17 4 5" xfId="3980" xr:uid="{00000000-0005-0000-0000-00006D0F0000}"/>
    <cellStyle name="Calculation 10 3 17 4 6" xfId="3981" xr:uid="{00000000-0005-0000-0000-00006E0F0000}"/>
    <cellStyle name="Calculation 10 3 17 5" xfId="3982" xr:uid="{00000000-0005-0000-0000-00006F0F0000}"/>
    <cellStyle name="Calculation 10 3 17 5 2" xfId="3983" xr:uid="{00000000-0005-0000-0000-0000700F0000}"/>
    <cellStyle name="Calculation 10 3 17 5 3" xfId="3984" xr:uid="{00000000-0005-0000-0000-0000710F0000}"/>
    <cellStyle name="Calculation 10 3 17 5 4" xfId="3985" xr:uid="{00000000-0005-0000-0000-0000720F0000}"/>
    <cellStyle name="Calculation 10 3 17 5 5" xfId="3986" xr:uid="{00000000-0005-0000-0000-0000730F0000}"/>
    <cellStyle name="Calculation 10 3 17 5 6" xfId="3987" xr:uid="{00000000-0005-0000-0000-0000740F0000}"/>
    <cellStyle name="Calculation 10 3 17 6" xfId="3988" xr:uid="{00000000-0005-0000-0000-0000750F0000}"/>
    <cellStyle name="Calculation 10 3 17 6 2" xfId="3989" xr:uid="{00000000-0005-0000-0000-0000760F0000}"/>
    <cellStyle name="Calculation 10 3 17 6 3" xfId="3990" xr:uid="{00000000-0005-0000-0000-0000770F0000}"/>
    <cellStyle name="Calculation 10 3 17 6 4" xfId="3991" xr:uid="{00000000-0005-0000-0000-0000780F0000}"/>
    <cellStyle name="Calculation 10 3 17 6 5" xfId="3992" xr:uid="{00000000-0005-0000-0000-0000790F0000}"/>
    <cellStyle name="Calculation 10 3 17 6 6" xfId="3993" xr:uid="{00000000-0005-0000-0000-00007A0F0000}"/>
    <cellStyle name="Calculation 10 3 17 7" xfId="3994" xr:uid="{00000000-0005-0000-0000-00007B0F0000}"/>
    <cellStyle name="Calculation 10 3 17 7 2" xfId="3995" xr:uid="{00000000-0005-0000-0000-00007C0F0000}"/>
    <cellStyle name="Calculation 10 3 17 7 3" xfId="3996" xr:uid="{00000000-0005-0000-0000-00007D0F0000}"/>
    <cellStyle name="Calculation 10 3 17 7 4" xfId="3997" xr:uid="{00000000-0005-0000-0000-00007E0F0000}"/>
    <cellStyle name="Calculation 10 3 17 7 5" xfId="3998" xr:uid="{00000000-0005-0000-0000-00007F0F0000}"/>
    <cellStyle name="Calculation 10 3 17 7 6" xfId="3999" xr:uid="{00000000-0005-0000-0000-0000800F0000}"/>
    <cellStyle name="Calculation 10 3 17 8" xfId="4000" xr:uid="{00000000-0005-0000-0000-0000810F0000}"/>
    <cellStyle name="Calculation 10 3 17 9" xfId="4001" xr:uid="{00000000-0005-0000-0000-0000820F0000}"/>
    <cellStyle name="Calculation 10 3 18" xfId="4002" xr:uid="{00000000-0005-0000-0000-0000830F0000}"/>
    <cellStyle name="Calculation 10 3 18 10" xfId="4003" xr:uid="{00000000-0005-0000-0000-0000840F0000}"/>
    <cellStyle name="Calculation 10 3 18 2" xfId="4004" xr:uid="{00000000-0005-0000-0000-0000850F0000}"/>
    <cellStyle name="Calculation 10 3 18 2 2" xfId="4005" xr:uid="{00000000-0005-0000-0000-0000860F0000}"/>
    <cellStyle name="Calculation 10 3 18 2 3" xfId="4006" xr:uid="{00000000-0005-0000-0000-0000870F0000}"/>
    <cellStyle name="Calculation 10 3 18 2 4" xfId="4007" xr:uid="{00000000-0005-0000-0000-0000880F0000}"/>
    <cellStyle name="Calculation 10 3 18 2 5" xfId="4008" xr:uid="{00000000-0005-0000-0000-0000890F0000}"/>
    <cellStyle name="Calculation 10 3 18 2 6" xfId="4009" xr:uid="{00000000-0005-0000-0000-00008A0F0000}"/>
    <cellStyle name="Calculation 10 3 18 3" xfId="4010" xr:uid="{00000000-0005-0000-0000-00008B0F0000}"/>
    <cellStyle name="Calculation 10 3 18 3 2" xfId="4011" xr:uid="{00000000-0005-0000-0000-00008C0F0000}"/>
    <cellStyle name="Calculation 10 3 18 3 3" xfId="4012" xr:uid="{00000000-0005-0000-0000-00008D0F0000}"/>
    <cellStyle name="Calculation 10 3 18 3 4" xfId="4013" xr:uid="{00000000-0005-0000-0000-00008E0F0000}"/>
    <cellStyle name="Calculation 10 3 18 3 5" xfId="4014" xr:uid="{00000000-0005-0000-0000-00008F0F0000}"/>
    <cellStyle name="Calculation 10 3 18 3 6" xfId="4015" xr:uid="{00000000-0005-0000-0000-0000900F0000}"/>
    <cellStyle name="Calculation 10 3 18 4" xfId="4016" xr:uid="{00000000-0005-0000-0000-0000910F0000}"/>
    <cellStyle name="Calculation 10 3 18 4 2" xfId="4017" xr:uid="{00000000-0005-0000-0000-0000920F0000}"/>
    <cellStyle name="Calculation 10 3 18 4 3" xfId="4018" xr:uid="{00000000-0005-0000-0000-0000930F0000}"/>
    <cellStyle name="Calculation 10 3 18 4 4" xfId="4019" xr:uid="{00000000-0005-0000-0000-0000940F0000}"/>
    <cellStyle name="Calculation 10 3 18 4 5" xfId="4020" xr:uid="{00000000-0005-0000-0000-0000950F0000}"/>
    <cellStyle name="Calculation 10 3 18 4 6" xfId="4021" xr:uid="{00000000-0005-0000-0000-0000960F0000}"/>
    <cellStyle name="Calculation 10 3 18 5" xfId="4022" xr:uid="{00000000-0005-0000-0000-0000970F0000}"/>
    <cellStyle name="Calculation 10 3 18 5 2" xfId="4023" xr:uid="{00000000-0005-0000-0000-0000980F0000}"/>
    <cellStyle name="Calculation 10 3 18 5 3" xfId="4024" xr:uid="{00000000-0005-0000-0000-0000990F0000}"/>
    <cellStyle name="Calculation 10 3 18 5 4" xfId="4025" xr:uid="{00000000-0005-0000-0000-00009A0F0000}"/>
    <cellStyle name="Calculation 10 3 18 5 5" xfId="4026" xr:uid="{00000000-0005-0000-0000-00009B0F0000}"/>
    <cellStyle name="Calculation 10 3 18 5 6" xfId="4027" xr:uid="{00000000-0005-0000-0000-00009C0F0000}"/>
    <cellStyle name="Calculation 10 3 18 6" xfId="4028" xr:uid="{00000000-0005-0000-0000-00009D0F0000}"/>
    <cellStyle name="Calculation 10 3 18 6 2" xfId="4029" xr:uid="{00000000-0005-0000-0000-00009E0F0000}"/>
    <cellStyle name="Calculation 10 3 18 6 3" xfId="4030" xr:uid="{00000000-0005-0000-0000-00009F0F0000}"/>
    <cellStyle name="Calculation 10 3 18 6 4" xfId="4031" xr:uid="{00000000-0005-0000-0000-0000A00F0000}"/>
    <cellStyle name="Calculation 10 3 18 6 5" xfId="4032" xr:uid="{00000000-0005-0000-0000-0000A10F0000}"/>
    <cellStyle name="Calculation 10 3 18 6 6" xfId="4033" xr:uid="{00000000-0005-0000-0000-0000A20F0000}"/>
    <cellStyle name="Calculation 10 3 18 7" xfId="4034" xr:uid="{00000000-0005-0000-0000-0000A30F0000}"/>
    <cellStyle name="Calculation 10 3 18 7 2" xfId="4035" xr:uid="{00000000-0005-0000-0000-0000A40F0000}"/>
    <cellStyle name="Calculation 10 3 18 7 3" xfId="4036" xr:uid="{00000000-0005-0000-0000-0000A50F0000}"/>
    <cellStyle name="Calculation 10 3 18 7 4" xfId="4037" xr:uid="{00000000-0005-0000-0000-0000A60F0000}"/>
    <cellStyle name="Calculation 10 3 18 7 5" xfId="4038" xr:uid="{00000000-0005-0000-0000-0000A70F0000}"/>
    <cellStyle name="Calculation 10 3 18 7 6" xfId="4039" xr:uid="{00000000-0005-0000-0000-0000A80F0000}"/>
    <cellStyle name="Calculation 10 3 18 8" xfId="4040" xr:uid="{00000000-0005-0000-0000-0000A90F0000}"/>
    <cellStyle name="Calculation 10 3 18 9" xfId="4041" xr:uid="{00000000-0005-0000-0000-0000AA0F0000}"/>
    <cellStyle name="Calculation 10 3 19" xfId="4042" xr:uid="{00000000-0005-0000-0000-0000AB0F0000}"/>
    <cellStyle name="Calculation 10 3 19 10" xfId="4043" xr:uid="{00000000-0005-0000-0000-0000AC0F0000}"/>
    <cellStyle name="Calculation 10 3 19 2" xfId="4044" xr:uid="{00000000-0005-0000-0000-0000AD0F0000}"/>
    <cellStyle name="Calculation 10 3 19 2 2" xfId="4045" xr:uid="{00000000-0005-0000-0000-0000AE0F0000}"/>
    <cellStyle name="Calculation 10 3 19 2 3" xfId="4046" xr:uid="{00000000-0005-0000-0000-0000AF0F0000}"/>
    <cellStyle name="Calculation 10 3 19 2 4" xfId="4047" xr:uid="{00000000-0005-0000-0000-0000B00F0000}"/>
    <cellStyle name="Calculation 10 3 19 2 5" xfId="4048" xr:uid="{00000000-0005-0000-0000-0000B10F0000}"/>
    <cellStyle name="Calculation 10 3 19 2 6" xfId="4049" xr:uid="{00000000-0005-0000-0000-0000B20F0000}"/>
    <cellStyle name="Calculation 10 3 19 3" xfId="4050" xr:uid="{00000000-0005-0000-0000-0000B30F0000}"/>
    <cellStyle name="Calculation 10 3 19 3 2" xfId="4051" xr:uid="{00000000-0005-0000-0000-0000B40F0000}"/>
    <cellStyle name="Calculation 10 3 19 3 3" xfId="4052" xr:uid="{00000000-0005-0000-0000-0000B50F0000}"/>
    <cellStyle name="Calculation 10 3 19 3 4" xfId="4053" xr:uid="{00000000-0005-0000-0000-0000B60F0000}"/>
    <cellStyle name="Calculation 10 3 19 3 5" xfId="4054" xr:uid="{00000000-0005-0000-0000-0000B70F0000}"/>
    <cellStyle name="Calculation 10 3 19 3 6" xfId="4055" xr:uid="{00000000-0005-0000-0000-0000B80F0000}"/>
    <cellStyle name="Calculation 10 3 19 4" xfId="4056" xr:uid="{00000000-0005-0000-0000-0000B90F0000}"/>
    <cellStyle name="Calculation 10 3 19 4 2" xfId="4057" xr:uid="{00000000-0005-0000-0000-0000BA0F0000}"/>
    <cellStyle name="Calculation 10 3 19 4 3" xfId="4058" xr:uid="{00000000-0005-0000-0000-0000BB0F0000}"/>
    <cellStyle name="Calculation 10 3 19 4 4" xfId="4059" xr:uid="{00000000-0005-0000-0000-0000BC0F0000}"/>
    <cellStyle name="Calculation 10 3 19 4 5" xfId="4060" xr:uid="{00000000-0005-0000-0000-0000BD0F0000}"/>
    <cellStyle name="Calculation 10 3 19 4 6" xfId="4061" xr:uid="{00000000-0005-0000-0000-0000BE0F0000}"/>
    <cellStyle name="Calculation 10 3 19 5" xfId="4062" xr:uid="{00000000-0005-0000-0000-0000BF0F0000}"/>
    <cellStyle name="Calculation 10 3 19 5 2" xfId="4063" xr:uid="{00000000-0005-0000-0000-0000C00F0000}"/>
    <cellStyle name="Calculation 10 3 19 5 3" xfId="4064" xr:uid="{00000000-0005-0000-0000-0000C10F0000}"/>
    <cellStyle name="Calculation 10 3 19 5 4" xfId="4065" xr:uid="{00000000-0005-0000-0000-0000C20F0000}"/>
    <cellStyle name="Calculation 10 3 19 5 5" xfId="4066" xr:uid="{00000000-0005-0000-0000-0000C30F0000}"/>
    <cellStyle name="Calculation 10 3 19 5 6" xfId="4067" xr:uid="{00000000-0005-0000-0000-0000C40F0000}"/>
    <cellStyle name="Calculation 10 3 19 6" xfId="4068" xr:uid="{00000000-0005-0000-0000-0000C50F0000}"/>
    <cellStyle name="Calculation 10 3 19 6 2" xfId="4069" xr:uid="{00000000-0005-0000-0000-0000C60F0000}"/>
    <cellStyle name="Calculation 10 3 19 6 3" xfId="4070" xr:uid="{00000000-0005-0000-0000-0000C70F0000}"/>
    <cellStyle name="Calculation 10 3 19 6 4" xfId="4071" xr:uid="{00000000-0005-0000-0000-0000C80F0000}"/>
    <cellStyle name="Calculation 10 3 19 6 5" xfId="4072" xr:uid="{00000000-0005-0000-0000-0000C90F0000}"/>
    <cellStyle name="Calculation 10 3 19 6 6" xfId="4073" xr:uid="{00000000-0005-0000-0000-0000CA0F0000}"/>
    <cellStyle name="Calculation 10 3 19 7" xfId="4074" xr:uid="{00000000-0005-0000-0000-0000CB0F0000}"/>
    <cellStyle name="Calculation 10 3 19 7 2" xfId="4075" xr:uid="{00000000-0005-0000-0000-0000CC0F0000}"/>
    <cellStyle name="Calculation 10 3 19 7 3" xfId="4076" xr:uid="{00000000-0005-0000-0000-0000CD0F0000}"/>
    <cellStyle name="Calculation 10 3 19 7 4" xfId="4077" xr:uid="{00000000-0005-0000-0000-0000CE0F0000}"/>
    <cellStyle name="Calculation 10 3 19 7 5" xfId="4078" xr:uid="{00000000-0005-0000-0000-0000CF0F0000}"/>
    <cellStyle name="Calculation 10 3 19 7 6" xfId="4079" xr:uid="{00000000-0005-0000-0000-0000D00F0000}"/>
    <cellStyle name="Calculation 10 3 19 8" xfId="4080" xr:uid="{00000000-0005-0000-0000-0000D10F0000}"/>
    <cellStyle name="Calculation 10 3 19 9" xfId="4081" xr:uid="{00000000-0005-0000-0000-0000D20F0000}"/>
    <cellStyle name="Calculation 10 3 2" xfId="4082" xr:uid="{00000000-0005-0000-0000-0000D30F0000}"/>
    <cellStyle name="Calculation 10 3 2 10" xfId="4083" xr:uid="{00000000-0005-0000-0000-0000D40F0000}"/>
    <cellStyle name="Calculation 10 3 2 2" xfId="4084" xr:uid="{00000000-0005-0000-0000-0000D50F0000}"/>
    <cellStyle name="Calculation 10 3 2 2 2" xfId="4085" xr:uid="{00000000-0005-0000-0000-0000D60F0000}"/>
    <cellStyle name="Calculation 10 3 2 2 3" xfId="4086" xr:uid="{00000000-0005-0000-0000-0000D70F0000}"/>
    <cellStyle name="Calculation 10 3 2 2 4" xfId="4087" xr:uid="{00000000-0005-0000-0000-0000D80F0000}"/>
    <cellStyle name="Calculation 10 3 2 2 5" xfId="4088" xr:uid="{00000000-0005-0000-0000-0000D90F0000}"/>
    <cellStyle name="Calculation 10 3 2 2 6" xfId="4089" xr:uid="{00000000-0005-0000-0000-0000DA0F0000}"/>
    <cellStyle name="Calculation 10 3 2 3" xfId="4090" xr:uid="{00000000-0005-0000-0000-0000DB0F0000}"/>
    <cellStyle name="Calculation 10 3 2 3 2" xfId="4091" xr:uid="{00000000-0005-0000-0000-0000DC0F0000}"/>
    <cellStyle name="Calculation 10 3 2 3 3" xfId="4092" xr:uid="{00000000-0005-0000-0000-0000DD0F0000}"/>
    <cellStyle name="Calculation 10 3 2 3 4" xfId="4093" xr:uid="{00000000-0005-0000-0000-0000DE0F0000}"/>
    <cellStyle name="Calculation 10 3 2 3 5" xfId="4094" xr:uid="{00000000-0005-0000-0000-0000DF0F0000}"/>
    <cellStyle name="Calculation 10 3 2 3 6" xfId="4095" xr:uid="{00000000-0005-0000-0000-0000E00F0000}"/>
    <cellStyle name="Calculation 10 3 2 4" xfId="4096" xr:uid="{00000000-0005-0000-0000-0000E10F0000}"/>
    <cellStyle name="Calculation 10 3 2 4 2" xfId="4097" xr:uid="{00000000-0005-0000-0000-0000E20F0000}"/>
    <cellStyle name="Calculation 10 3 2 4 3" xfId="4098" xr:uid="{00000000-0005-0000-0000-0000E30F0000}"/>
    <cellStyle name="Calculation 10 3 2 4 4" xfId="4099" xr:uid="{00000000-0005-0000-0000-0000E40F0000}"/>
    <cellStyle name="Calculation 10 3 2 4 5" xfId="4100" xr:uid="{00000000-0005-0000-0000-0000E50F0000}"/>
    <cellStyle name="Calculation 10 3 2 4 6" xfId="4101" xr:uid="{00000000-0005-0000-0000-0000E60F0000}"/>
    <cellStyle name="Calculation 10 3 2 5" xfId="4102" xr:uid="{00000000-0005-0000-0000-0000E70F0000}"/>
    <cellStyle name="Calculation 10 3 2 5 2" xfId="4103" xr:uid="{00000000-0005-0000-0000-0000E80F0000}"/>
    <cellStyle name="Calculation 10 3 2 5 3" xfId="4104" xr:uid="{00000000-0005-0000-0000-0000E90F0000}"/>
    <cellStyle name="Calculation 10 3 2 5 4" xfId="4105" xr:uid="{00000000-0005-0000-0000-0000EA0F0000}"/>
    <cellStyle name="Calculation 10 3 2 5 5" xfId="4106" xr:uid="{00000000-0005-0000-0000-0000EB0F0000}"/>
    <cellStyle name="Calculation 10 3 2 5 6" xfId="4107" xr:uid="{00000000-0005-0000-0000-0000EC0F0000}"/>
    <cellStyle name="Calculation 10 3 2 6" xfId="4108" xr:uid="{00000000-0005-0000-0000-0000ED0F0000}"/>
    <cellStyle name="Calculation 10 3 2 6 2" xfId="4109" xr:uid="{00000000-0005-0000-0000-0000EE0F0000}"/>
    <cellStyle name="Calculation 10 3 2 6 3" xfId="4110" xr:uid="{00000000-0005-0000-0000-0000EF0F0000}"/>
    <cellStyle name="Calculation 10 3 2 6 4" xfId="4111" xr:uid="{00000000-0005-0000-0000-0000F00F0000}"/>
    <cellStyle name="Calculation 10 3 2 6 5" xfId="4112" xr:uid="{00000000-0005-0000-0000-0000F10F0000}"/>
    <cellStyle name="Calculation 10 3 2 6 6" xfId="4113" xr:uid="{00000000-0005-0000-0000-0000F20F0000}"/>
    <cellStyle name="Calculation 10 3 2 7" xfId="4114" xr:uid="{00000000-0005-0000-0000-0000F30F0000}"/>
    <cellStyle name="Calculation 10 3 2 7 2" xfId="4115" xr:uid="{00000000-0005-0000-0000-0000F40F0000}"/>
    <cellStyle name="Calculation 10 3 2 7 3" xfId="4116" xr:uid="{00000000-0005-0000-0000-0000F50F0000}"/>
    <cellStyle name="Calculation 10 3 2 7 4" xfId="4117" xr:uid="{00000000-0005-0000-0000-0000F60F0000}"/>
    <cellStyle name="Calculation 10 3 2 7 5" xfId="4118" xr:uid="{00000000-0005-0000-0000-0000F70F0000}"/>
    <cellStyle name="Calculation 10 3 2 7 6" xfId="4119" xr:uid="{00000000-0005-0000-0000-0000F80F0000}"/>
    <cellStyle name="Calculation 10 3 2 8" xfId="4120" xr:uid="{00000000-0005-0000-0000-0000F90F0000}"/>
    <cellStyle name="Calculation 10 3 2 9" xfId="4121" xr:uid="{00000000-0005-0000-0000-0000FA0F0000}"/>
    <cellStyle name="Calculation 10 3 20" xfId="4122" xr:uid="{00000000-0005-0000-0000-0000FB0F0000}"/>
    <cellStyle name="Calculation 10 3 20 10" xfId="4123" xr:uid="{00000000-0005-0000-0000-0000FC0F0000}"/>
    <cellStyle name="Calculation 10 3 20 2" xfId="4124" xr:uid="{00000000-0005-0000-0000-0000FD0F0000}"/>
    <cellStyle name="Calculation 10 3 20 2 2" xfId="4125" xr:uid="{00000000-0005-0000-0000-0000FE0F0000}"/>
    <cellStyle name="Calculation 10 3 20 2 3" xfId="4126" xr:uid="{00000000-0005-0000-0000-0000FF0F0000}"/>
    <cellStyle name="Calculation 10 3 20 2 4" xfId="4127" xr:uid="{00000000-0005-0000-0000-000000100000}"/>
    <cellStyle name="Calculation 10 3 20 2 5" xfId="4128" xr:uid="{00000000-0005-0000-0000-000001100000}"/>
    <cellStyle name="Calculation 10 3 20 2 6" xfId="4129" xr:uid="{00000000-0005-0000-0000-000002100000}"/>
    <cellStyle name="Calculation 10 3 20 3" xfId="4130" xr:uid="{00000000-0005-0000-0000-000003100000}"/>
    <cellStyle name="Calculation 10 3 20 3 2" xfId="4131" xr:uid="{00000000-0005-0000-0000-000004100000}"/>
    <cellStyle name="Calculation 10 3 20 3 3" xfId="4132" xr:uid="{00000000-0005-0000-0000-000005100000}"/>
    <cellStyle name="Calculation 10 3 20 3 4" xfId="4133" xr:uid="{00000000-0005-0000-0000-000006100000}"/>
    <cellStyle name="Calculation 10 3 20 3 5" xfId="4134" xr:uid="{00000000-0005-0000-0000-000007100000}"/>
    <cellStyle name="Calculation 10 3 20 3 6" xfId="4135" xr:uid="{00000000-0005-0000-0000-000008100000}"/>
    <cellStyle name="Calculation 10 3 20 4" xfId="4136" xr:uid="{00000000-0005-0000-0000-000009100000}"/>
    <cellStyle name="Calculation 10 3 20 4 2" xfId="4137" xr:uid="{00000000-0005-0000-0000-00000A100000}"/>
    <cellStyle name="Calculation 10 3 20 4 3" xfId="4138" xr:uid="{00000000-0005-0000-0000-00000B100000}"/>
    <cellStyle name="Calculation 10 3 20 4 4" xfId="4139" xr:uid="{00000000-0005-0000-0000-00000C100000}"/>
    <cellStyle name="Calculation 10 3 20 4 5" xfId="4140" xr:uid="{00000000-0005-0000-0000-00000D100000}"/>
    <cellStyle name="Calculation 10 3 20 4 6" xfId="4141" xr:uid="{00000000-0005-0000-0000-00000E100000}"/>
    <cellStyle name="Calculation 10 3 20 5" xfId="4142" xr:uid="{00000000-0005-0000-0000-00000F100000}"/>
    <cellStyle name="Calculation 10 3 20 5 2" xfId="4143" xr:uid="{00000000-0005-0000-0000-000010100000}"/>
    <cellStyle name="Calculation 10 3 20 5 3" xfId="4144" xr:uid="{00000000-0005-0000-0000-000011100000}"/>
    <cellStyle name="Calculation 10 3 20 5 4" xfId="4145" xr:uid="{00000000-0005-0000-0000-000012100000}"/>
    <cellStyle name="Calculation 10 3 20 5 5" xfId="4146" xr:uid="{00000000-0005-0000-0000-000013100000}"/>
    <cellStyle name="Calculation 10 3 20 5 6" xfId="4147" xr:uid="{00000000-0005-0000-0000-000014100000}"/>
    <cellStyle name="Calculation 10 3 20 6" xfId="4148" xr:uid="{00000000-0005-0000-0000-000015100000}"/>
    <cellStyle name="Calculation 10 3 20 6 2" xfId="4149" xr:uid="{00000000-0005-0000-0000-000016100000}"/>
    <cellStyle name="Calculation 10 3 20 6 3" xfId="4150" xr:uid="{00000000-0005-0000-0000-000017100000}"/>
    <cellStyle name="Calculation 10 3 20 6 4" xfId="4151" xr:uid="{00000000-0005-0000-0000-000018100000}"/>
    <cellStyle name="Calculation 10 3 20 6 5" xfId="4152" xr:uid="{00000000-0005-0000-0000-000019100000}"/>
    <cellStyle name="Calculation 10 3 20 6 6" xfId="4153" xr:uid="{00000000-0005-0000-0000-00001A100000}"/>
    <cellStyle name="Calculation 10 3 20 7" xfId="4154" xr:uid="{00000000-0005-0000-0000-00001B100000}"/>
    <cellStyle name="Calculation 10 3 20 7 2" xfId="4155" xr:uid="{00000000-0005-0000-0000-00001C100000}"/>
    <cellStyle name="Calculation 10 3 20 7 3" xfId="4156" xr:uid="{00000000-0005-0000-0000-00001D100000}"/>
    <cellStyle name="Calculation 10 3 20 7 4" xfId="4157" xr:uid="{00000000-0005-0000-0000-00001E100000}"/>
    <cellStyle name="Calculation 10 3 20 7 5" xfId="4158" xr:uid="{00000000-0005-0000-0000-00001F100000}"/>
    <cellStyle name="Calculation 10 3 20 7 6" xfId="4159" xr:uid="{00000000-0005-0000-0000-000020100000}"/>
    <cellStyle name="Calculation 10 3 20 8" xfId="4160" xr:uid="{00000000-0005-0000-0000-000021100000}"/>
    <cellStyle name="Calculation 10 3 20 9" xfId="4161" xr:uid="{00000000-0005-0000-0000-000022100000}"/>
    <cellStyle name="Calculation 10 3 21" xfId="4162" xr:uid="{00000000-0005-0000-0000-000023100000}"/>
    <cellStyle name="Calculation 10 3 21 10" xfId="4163" xr:uid="{00000000-0005-0000-0000-000024100000}"/>
    <cellStyle name="Calculation 10 3 21 2" xfId="4164" xr:uid="{00000000-0005-0000-0000-000025100000}"/>
    <cellStyle name="Calculation 10 3 21 2 2" xfId="4165" xr:uid="{00000000-0005-0000-0000-000026100000}"/>
    <cellStyle name="Calculation 10 3 21 2 3" xfId="4166" xr:uid="{00000000-0005-0000-0000-000027100000}"/>
    <cellStyle name="Calculation 10 3 21 2 4" xfId="4167" xr:uid="{00000000-0005-0000-0000-000028100000}"/>
    <cellStyle name="Calculation 10 3 21 2 5" xfId="4168" xr:uid="{00000000-0005-0000-0000-000029100000}"/>
    <cellStyle name="Calculation 10 3 21 2 6" xfId="4169" xr:uid="{00000000-0005-0000-0000-00002A100000}"/>
    <cellStyle name="Calculation 10 3 21 3" xfId="4170" xr:uid="{00000000-0005-0000-0000-00002B100000}"/>
    <cellStyle name="Calculation 10 3 21 3 2" xfId="4171" xr:uid="{00000000-0005-0000-0000-00002C100000}"/>
    <cellStyle name="Calculation 10 3 21 3 3" xfId="4172" xr:uid="{00000000-0005-0000-0000-00002D100000}"/>
    <cellStyle name="Calculation 10 3 21 3 4" xfId="4173" xr:uid="{00000000-0005-0000-0000-00002E100000}"/>
    <cellStyle name="Calculation 10 3 21 3 5" xfId="4174" xr:uid="{00000000-0005-0000-0000-00002F100000}"/>
    <cellStyle name="Calculation 10 3 21 3 6" xfId="4175" xr:uid="{00000000-0005-0000-0000-000030100000}"/>
    <cellStyle name="Calculation 10 3 21 4" xfId="4176" xr:uid="{00000000-0005-0000-0000-000031100000}"/>
    <cellStyle name="Calculation 10 3 21 4 2" xfId="4177" xr:uid="{00000000-0005-0000-0000-000032100000}"/>
    <cellStyle name="Calculation 10 3 21 4 3" xfId="4178" xr:uid="{00000000-0005-0000-0000-000033100000}"/>
    <cellStyle name="Calculation 10 3 21 4 4" xfId="4179" xr:uid="{00000000-0005-0000-0000-000034100000}"/>
    <cellStyle name="Calculation 10 3 21 4 5" xfId="4180" xr:uid="{00000000-0005-0000-0000-000035100000}"/>
    <cellStyle name="Calculation 10 3 21 4 6" xfId="4181" xr:uid="{00000000-0005-0000-0000-000036100000}"/>
    <cellStyle name="Calculation 10 3 21 5" xfId="4182" xr:uid="{00000000-0005-0000-0000-000037100000}"/>
    <cellStyle name="Calculation 10 3 21 5 2" xfId="4183" xr:uid="{00000000-0005-0000-0000-000038100000}"/>
    <cellStyle name="Calculation 10 3 21 5 3" xfId="4184" xr:uid="{00000000-0005-0000-0000-000039100000}"/>
    <cellStyle name="Calculation 10 3 21 5 4" xfId="4185" xr:uid="{00000000-0005-0000-0000-00003A100000}"/>
    <cellStyle name="Calculation 10 3 21 5 5" xfId="4186" xr:uid="{00000000-0005-0000-0000-00003B100000}"/>
    <cellStyle name="Calculation 10 3 21 5 6" xfId="4187" xr:uid="{00000000-0005-0000-0000-00003C100000}"/>
    <cellStyle name="Calculation 10 3 21 6" xfId="4188" xr:uid="{00000000-0005-0000-0000-00003D100000}"/>
    <cellStyle name="Calculation 10 3 21 6 2" xfId="4189" xr:uid="{00000000-0005-0000-0000-00003E100000}"/>
    <cellStyle name="Calculation 10 3 21 6 3" xfId="4190" xr:uid="{00000000-0005-0000-0000-00003F100000}"/>
    <cellStyle name="Calculation 10 3 21 6 4" xfId="4191" xr:uid="{00000000-0005-0000-0000-000040100000}"/>
    <cellStyle name="Calculation 10 3 21 6 5" xfId="4192" xr:uid="{00000000-0005-0000-0000-000041100000}"/>
    <cellStyle name="Calculation 10 3 21 6 6" xfId="4193" xr:uid="{00000000-0005-0000-0000-000042100000}"/>
    <cellStyle name="Calculation 10 3 21 7" xfId="4194" xr:uid="{00000000-0005-0000-0000-000043100000}"/>
    <cellStyle name="Calculation 10 3 21 7 2" xfId="4195" xr:uid="{00000000-0005-0000-0000-000044100000}"/>
    <cellStyle name="Calculation 10 3 21 7 3" xfId="4196" xr:uid="{00000000-0005-0000-0000-000045100000}"/>
    <cellStyle name="Calculation 10 3 21 7 4" xfId="4197" xr:uid="{00000000-0005-0000-0000-000046100000}"/>
    <cellStyle name="Calculation 10 3 21 7 5" xfId="4198" xr:uid="{00000000-0005-0000-0000-000047100000}"/>
    <cellStyle name="Calculation 10 3 21 7 6" xfId="4199" xr:uid="{00000000-0005-0000-0000-000048100000}"/>
    <cellStyle name="Calculation 10 3 21 8" xfId="4200" xr:uid="{00000000-0005-0000-0000-000049100000}"/>
    <cellStyle name="Calculation 10 3 21 9" xfId="4201" xr:uid="{00000000-0005-0000-0000-00004A100000}"/>
    <cellStyle name="Calculation 10 3 22" xfId="4202" xr:uid="{00000000-0005-0000-0000-00004B100000}"/>
    <cellStyle name="Calculation 10 3 22 10" xfId="4203" xr:uid="{00000000-0005-0000-0000-00004C100000}"/>
    <cellStyle name="Calculation 10 3 22 2" xfId="4204" xr:uid="{00000000-0005-0000-0000-00004D100000}"/>
    <cellStyle name="Calculation 10 3 22 2 2" xfId="4205" xr:uid="{00000000-0005-0000-0000-00004E100000}"/>
    <cellStyle name="Calculation 10 3 22 2 3" xfId="4206" xr:uid="{00000000-0005-0000-0000-00004F100000}"/>
    <cellStyle name="Calculation 10 3 22 2 4" xfId="4207" xr:uid="{00000000-0005-0000-0000-000050100000}"/>
    <cellStyle name="Calculation 10 3 22 2 5" xfId="4208" xr:uid="{00000000-0005-0000-0000-000051100000}"/>
    <cellStyle name="Calculation 10 3 22 2 6" xfId="4209" xr:uid="{00000000-0005-0000-0000-000052100000}"/>
    <cellStyle name="Calculation 10 3 22 3" xfId="4210" xr:uid="{00000000-0005-0000-0000-000053100000}"/>
    <cellStyle name="Calculation 10 3 22 3 2" xfId="4211" xr:uid="{00000000-0005-0000-0000-000054100000}"/>
    <cellStyle name="Calculation 10 3 22 3 3" xfId="4212" xr:uid="{00000000-0005-0000-0000-000055100000}"/>
    <cellStyle name="Calculation 10 3 22 3 4" xfId="4213" xr:uid="{00000000-0005-0000-0000-000056100000}"/>
    <cellStyle name="Calculation 10 3 22 3 5" xfId="4214" xr:uid="{00000000-0005-0000-0000-000057100000}"/>
    <cellStyle name="Calculation 10 3 22 3 6" xfId="4215" xr:uid="{00000000-0005-0000-0000-000058100000}"/>
    <cellStyle name="Calculation 10 3 22 4" xfId="4216" xr:uid="{00000000-0005-0000-0000-000059100000}"/>
    <cellStyle name="Calculation 10 3 22 4 2" xfId="4217" xr:uid="{00000000-0005-0000-0000-00005A100000}"/>
    <cellStyle name="Calculation 10 3 22 4 3" xfId="4218" xr:uid="{00000000-0005-0000-0000-00005B100000}"/>
    <cellStyle name="Calculation 10 3 22 4 4" xfId="4219" xr:uid="{00000000-0005-0000-0000-00005C100000}"/>
    <cellStyle name="Calculation 10 3 22 4 5" xfId="4220" xr:uid="{00000000-0005-0000-0000-00005D100000}"/>
    <cellStyle name="Calculation 10 3 22 4 6" xfId="4221" xr:uid="{00000000-0005-0000-0000-00005E100000}"/>
    <cellStyle name="Calculation 10 3 22 5" xfId="4222" xr:uid="{00000000-0005-0000-0000-00005F100000}"/>
    <cellStyle name="Calculation 10 3 22 5 2" xfId="4223" xr:uid="{00000000-0005-0000-0000-000060100000}"/>
    <cellStyle name="Calculation 10 3 22 5 3" xfId="4224" xr:uid="{00000000-0005-0000-0000-000061100000}"/>
    <cellStyle name="Calculation 10 3 22 5 4" xfId="4225" xr:uid="{00000000-0005-0000-0000-000062100000}"/>
    <cellStyle name="Calculation 10 3 22 5 5" xfId="4226" xr:uid="{00000000-0005-0000-0000-000063100000}"/>
    <cellStyle name="Calculation 10 3 22 5 6" xfId="4227" xr:uid="{00000000-0005-0000-0000-000064100000}"/>
    <cellStyle name="Calculation 10 3 22 6" xfId="4228" xr:uid="{00000000-0005-0000-0000-000065100000}"/>
    <cellStyle name="Calculation 10 3 22 6 2" xfId="4229" xr:uid="{00000000-0005-0000-0000-000066100000}"/>
    <cellStyle name="Calculation 10 3 22 6 3" xfId="4230" xr:uid="{00000000-0005-0000-0000-000067100000}"/>
    <cellStyle name="Calculation 10 3 22 6 4" xfId="4231" xr:uid="{00000000-0005-0000-0000-000068100000}"/>
    <cellStyle name="Calculation 10 3 22 6 5" xfId="4232" xr:uid="{00000000-0005-0000-0000-000069100000}"/>
    <cellStyle name="Calculation 10 3 22 6 6" xfId="4233" xr:uid="{00000000-0005-0000-0000-00006A100000}"/>
    <cellStyle name="Calculation 10 3 22 7" xfId="4234" xr:uid="{00000000-0005-0000-0000-00006B100000}"/>
    <cellStyle name="Calculation 10 3 22 7 2" xfId="4235" xr:uid="{00000000-0005-0000-0000-00006C100000}"/>
    <cellStyle name="Calculation 10 3 22 7 3" xfId="4236" xr:uid="{00000000-0005-0000-0000-00006D100000}"/>
    <cellStyle name="Calculation 10 3 22 7 4" xfId="4237" xr:uid="{00000000-0005-0000-0000-00006E100000}"/>
    <cellStyle name="Calculation 10 3 22 7 5" xfId="4238" xr:uid="{00000000-0005-0000-0000-00006F100000}"/>
    <cellStyle name="Calculation 10 3 22 7 6" xfId="4239" xr:uid="{00000000-0005-0000-0000-000070100000}"/>
    <cellStyle name="Calculation 10 3 22 8" xfId="4240" xr:uid="{00000000-0005-0000-0000-000071100000}"/>
    <cellStyle name="Calculation 10 3 22 9" xfId="4241" xr:uid="{00000000-0005-0000-0000-000072100000}"/>
    <cellStyle name="Calculation 10 3 23" xfId="4242" xr:uid="{00000000-0005-0000-0000-000073100000}"/>
    <cellStyle name="Calculation 10 3 23 10" xfId="4243" xr:uid="{00000000-0005-0000-0000-000074100000}"/>
    <cellStyle name="Calculation 10 3 23 2" xfId="4244" xr:uid="{00000000-0005-0000-0000-000075100000}"/>
    <cellStyle name="Calculation 10 3 23 2 2" xfId="4245" xr:uid="{00000000-0005-0000-0000-000076100000}"/>
    <cellStyle name="Calculation 10 3 23 2 3" xfId="4246" xr:uid="{00000000-0005-0000-0000-000077100000}"/>
    <cellStyle name="Calculation 10 3 23 2 4" xfId="4247" xr:uid="{00000000-0005-0000-0000-000078100000}"/>
    <cellStyle name="Calculation 10 3 23 2 5" xfId="4248" xr:uid="{00000000-0005-0000-0000-000079100000}"/>
    <cellStyle name="Calculation 10 3 23 2 6" xfId="4249" xr:uid="{00000000-0005-0000-0000-00007A100000}"/>
    <cellStyle name="Calculation 10 3 23 3" xfId="4250" xr:uid="{00000000-0005-0000-0000-00007B100000}"/>
    <cellStyle name="Calculation 10 3 23 3 2" xfId="4251" xr:uid="{00000000-0005-0000-0000-00007C100000}"/>
    <cellStyle name="Calculation 10 3 23 3 3" xfId="4252" xr:uid="{00000000-0005-0000-0000-00007D100000}"/>
    <cellStyle name="Calculation 10 3 23 3 4" xfId="4253" xr:uid="{00000000-0005-0000-0000-00007E100000}"/>
    <cellStyle name="Calculation 10 3 23 3 5" xfId="4254" xr:uid="{00000000-0005-0000-0000-00007F100000}"/>
    <cellStyle name="Calculation 10 3 23 3 6" xfId="4255" xr:uid="{00000000-0005-0000-0000-000080100000}"/>
    <cellStyle name="Calculation 10 3 23 4" xfId="4256" xr:uid="{00000000-0005-0000-0000-000081100000}"/>
    <cellStyle name="Calculation 10 3 23 4 2" xfId="4257" xr:uid="{00000000-0005-0000-0000-000082100000}"/>
    <cellStyle name="Calculation 10 3 23 4 3" xfId="4258" xr:uid="{00000000-0005-0000-0000-000083100000}"/>
    <cellStyle name="Calculation 10 3 23 4 4" xfId="4259" xr:uid="{00000000-0005-0000-0000-000084100000}"/>
    <cellStyle name="Calculation 10 3 23 4 5" xfId="4260" xr:uid="{00000000-0005-0000-0000-000085100000}"/>
    <cellStyle name="Calculation 10 3 23 4 6" xfId="4261" xr:uid="{00000000-0005-0000-0000-000086100000}"/>
    <cellStyle name="Calculation 10 3 23 5" xfId="4262" xr:uid="{00000000-0005-0000-0000-000087100000}"/>
    <cellStyle name="Calculation 10 3 23 5 2" xfId="4263" xr:uid="{00000000-0005-0000-0000-000088100000}"/>
    <cellStyle name="Calculation 10 3 23 5 3" xfId="4264" xr:uid="{00000000-0005-0000-0000-000089100000}"/>
    <cellStyle name="Calculation 10 3 23 5 4" xfId="4265" xr:uid="{00000000-0005-0000-0000-00008A100000}"/>
    <cellStyle name="Calculation 10 3 23 5 5" xfId="4266" xr:uid="{00000000-0005-0000-0000-00008B100000}"/>
    <cellStyle name="Calculation 10 3 23 5 6" xfId="4267" xr:uid="{00000000-0005-0000-0000-00008C100000}"/>
    <cellStyle name="Calculation 10 3 23 6" xfId="4268" xr:uid="{00000000-0005-0000-0000-00008D100000}"/>
    <cellStyle name="Calculation 10 3 23 6 2" xfId="4269" xr:uid="{00000000-0005-0000-0000-00008E100000}"/>
    <cellStyle name="Calculation 10 3 23 6 3" xfId="4270" xr:uid="{00000000-0005-0000-0000-00008F100000}"/>
    <cellStyle name="Calculation 10 3 23 6 4" xfId="4271" xr:uid="{00000000-0005-0000-0000-000090100000}"/>
    <cellStyle name="Calculation 10 3 23 6 5" xfId="4272" xr:uid="{00000000-0005-0000-0000-000091100000}"/>
    <cellStyle name="Calculation 10 3 23 6 6" xfId="4273" xr:uid="{00000000-0005-0000-0000-000092100000}"/>
    <cellStyle name="Calculation 10 3 23 7" xfId="4274" xr:uid="{00000000-0005-0000-0000-000093100000}"/>
    <cellStyle name="Calculation 10 3 23 7 2" xfId="4275" xr:uid="{00000000-0005-0000-0000-000094100000}"/>
    <cellStyle name="Calculation 10 3 23 7 3" xfId="4276" xr:uid="{00000000-0005-0000-0000-000095100000}"/>
    <cellStyle name="Calculation 10 3 23 7 4" xfId="4277" xr:uid="{00000000-0005-0000-0000-000096100000}"/>
    <cellStyle name="Calculation 10 3 23 7 5" xfId="4278" xr:uid="{00000000-0005-0000-0000-000097100000}"/>
    <cellStyle name="Calculation 10 3 23 7 6" xfId="4279" xr:uid="{00000000-0005-0000-0000-000098100000}"/>
    <cellStyle name="Calculation 10 3 23 8" xfId="4280" xr:uid="{00000000-0005-0000-0000-000099100000}"/>
    <cellStyle name="Calculation 10 3 23 9" xfId="4281" xr:uid="{00000000-0005-0000-0000-00009A100000}"/>
    <cellStyle name="Calculation 10 3 24" xfId="4282" xr:uid="{00000000-0005-0000-0000-00009B100000}"/>
    <cellStyle name="Calculation 10 3 24 10" xfId="4283" xr:uid="{00000000-0005-0000-0000-00009C100000}"/>
    <cellStyle name="Calculation 10 3 24 2" xfId="4284" xr:uid="{00000000-0005-0000-0000-00009D100000}"/>
    <cellStyle name="Calculation 10 3 24 2 2" xfId="4285" xr:uid="{00000000-0005-0000-0000-00009E100000}"/>
    <cellStyle name="Calculation 10 3 24 2 3" xfId="4286" xr:uid="{00000000-0005-0000-0000-00009F100000}"/>
    <cellStyle name="Calculation 10 3 24 2 4" xfId="4287" xr:uid="{00000000-0005-0000-0000-0000A0100000}"/>
    <cellStyle name="Calculation 10 3 24 2 5" xfId="4288" xr:uid="{00000000-0005-0000-0000-0000A1100000}"/>
    <cellStyle name="Calculation 10 3 24 2 6" xfId="4289" xr:uid="{00000000-0005-0000-0000-0000A2100000}"/>
    <cellStyle name="Calculation 10 3 24 3" xfId="4290" xr:uid="{00000000-0005-0000-0000-0000A3100000}"/>
    <cellStyle name="Calculation 10 3 24 3 2" xfId="4291" xr:uid="{00000000-0005-0000-0000-0000A4100000}"/>
    <cellStyle name="Calculation 10 3 24 3 3" xfId="4292" xr:uid="{00000000-0005-0000-0000-0000A5100000}"/>
    <cellStyle name="Calculation 10 3 24 3 4" xfId="4293" xr:uid="{00000000-0005-0000-0000-0000A6100000}"/>
    <cellStyle name="Calculation 10 3 24 3 5" xfId="4294" xr:uid="{00000000-0005-0000-0000-0000A7100000}"/>
    <cellStyle name="Calculation 10 3 24 3 6" xfId="4295" xr:uid="{00000000-0005-0000-0000-0000A8100000}"/>
    <cellStyle name="Calculation 10 3 24 4" xfId="4296" xr:uid="{00000000-0005-0000-0000-0000A9100000}"/>
    <cellStyle name="Calculation 10 3 24 4 2" xfId="4297" xr:uid="{00000000-0005-0000-0000-0000AA100000}"/>
    <cellStyle name="Calculation 10 3 24 4 3" xfId="4298" xr:uid="{00000000-0005-0000-0000-0000AB100000}"/>
    <cellStyle name="Calculation 10 3 24 4 4" xfId="4299" xr:uid="{00000000-0005-0000-0000-0000AC100000}"/>
    <cellStyle name="Calculation 10 3 24 4 5" xfId="4300" xr:uid="{00000000-0005-0000-0000-0000AD100000}"/>
    <cellStyle name="Calculation 10 3 24 4 6" xfId="4301" xr:uid="{00000000-0005-0000-0000-0000AE100000}"/>
    <cellStyle name="Calculation 10 3 24 5" xfId="4302" xr:uid="{00000000-0005-0000-0000-0000AF100000}"/>
    <cellStyle name="Calculation 10 3 24 5 2" xfId="4303" xr:uid="{00000000-0005-0000-0000-0000B0100000}"/>
    <cellStyle name="Calculation 10 3 24 5 3" xfId="4304" xr:uid="{00000000-0005-0000-0000-0000B1100000}"/>
    <cellStyle name="Calculation 10 3 24 5 4" xfId="4305" xr:uid="{00000000-0005-0000-0000-0000B2100000}"/>
    <cellStyle name="Calculation 10 3 24 5 5" xfId="4306" xr:uid="{00000000-0005-0000-0000-0000B3100000}"/>
    <cellStyle name="Calculation 10 3 24 5 6" xfId="4307" xr:uid="{00000000-0005-0000-0000-0000B4100000}"/>
    <cellStyle name="Calculation 10 3 24 6" xfId="4308" xr:uid="{00000000-0005-0000-0000-0000B5100000}"/>
    <cellStyle name="Calculation 10 3 24 6 2" xfId="4309" xr:uid="{00000000-0005-0000-0000-0000B6100000}"/>
    <cellStyle name="Calculation 10 3 24 6 3" xfId="4310" xr:uid="{00000000-0005-0000-0000-0000B7100000}"/>
    <cellStyle name="Calculation 10 3 24 6 4" xfId="4311" xr:uid="{00000000-0005-0000-0000-0000B8100000}"/>
    <cellStyle name="Calculation 10 3 24 6 5" xfId="4312" xr:uid="{00000000-0005-0000-0000-0000B9100000}"/>
    <cellStyle name="Calculation 10 3 24 6 6" xfId="4313" xr:uid="{00000000-0005-0000-0000-0000BA100000}"/>
    <cellStyle name="Calculation 10 3 24 7" xfId="4314" xr:uid="{00000000-0005-0000-0000-0000BB100000}"/>
    <cellStyle name="Calculation 10 3 24 7 2" xfId="4315" xr:uid="{00000000-0005-0000-0000-0000BC100000}"/>
    <cellStyle name="Calculation 10 3 24 7 3" xfId="4316" xr:uid="{00000000-0005-0000-0000-0000BD100000}"/>
    <cellStyle name="Calculation 10 3 24 7 4" xfId="4317" xr:uid="{00000000-0005-0000-0000-0000BE100000}"/>
    <cellStyle name="Calculation 10 3 24 7 5" xfId="4318" xr:uid="{00000000-0005-0000-0000-0000BF100000}"/>
    <cellStyle name="Calculation 10 3 24 7 6" xfId="4319" xr:uid="{00000000-0005-0000-0000-0000C0100000}"/>
    <cellStyle name="Calculation 10 3 24 8" xfId="4320" xr:uid="{00000000-0005-0000-0000-0000C1100000}"/>
    <cellStyle name="Calculation 10 3 24 9" xfId="4321" xr:uid="{00000000-0005-0000-0000-0000C2100000}"/>
    <cellStyle name="Calculation 10 3 25" xfId="4322" xr:uid="{00000000-0005-0000-0000-0000C3100000}"/>
    <cellStyle name="Calculation 10 3 25 10" xfId="4323" xr:uid="{00000000-0005-0000-0000-0000C4100000}"/>
    <cellStyle name="Calculation 10 3 25 2" xfId="4324" xr:uid="{00000000-0005-0000-0000-0000C5100000}"/>
    <cellStyle name="Calculation 10 3 25 2 2" xfId="4325" xr:uid="{00000000-0005-0000-0000-0000C6100000}"/>
    <cellStyle name="Calculation 10 3 25 2 3" xfId="4326" xr:uid="{00000000-0005-0000-0000-0000C7100000}"/>
    <cellStyle name="Calculation 10 3 25 2 4" xfId="4327" xr:uid="{00000000-0005-0000-0000-0000C8100000}"/>
    <cellStyle name="Calculation 10 3 25 2 5" xfId="4328" xr:uid="{00000000-0005-0000-0000-0000C9100000}"/>
    <cellStyle name="Calculation 10 3 25 2 6" xfId="4329" xr:uid="{00000000-0005-0000-0000-0000CA100000}"/>
    <cellStyle name="Calculation 10 3 25 3" xfId="4330" xr:uid="{00000000-0005-0000-0000-0000CB100000}"/>
    <cellStyle name="Calculation 10 3 25 3 2" xfId="4331" xr:uid="{00000000-0005-0000-0000-0000CC100000}"/>
    <cellStyle name="Calculation 10 3 25 3 3" xfId="4332" xr:uid="{00000000-0005-0000-0000-0000CD100000}"/>
    <cellStyle name="Calculation 10 3 25 3 4" xfId="4333" xr:uid="{00000000-0005-0000-0000-0000CE100000}"/>
    <cellStyle name="Calculation 10 3 25 3 5" xfId="4334" xr:uid="{00000000-0005-0000-0000-0000CF100000}"/>
    <cellStyle name="Calculation 10 3 25 3 6" xfId="4335" xr:uid="{00000000-0005-0000-0000-0000D0100000}"/>
    <cellStyle name="Calculation 10 3 25 4" xfId="4336" xr:uid="{00000000-0005-0000-0000-0000D1100000}"/>
    <cellStyle name="Calculation 10 3 25 4 2" xfId="4337" xr:uid="{00000000-0005-0000-0000-0000D2100000}"/>
    <cellStyle name="Calculation 10 3 25 4 3" xfId="4338" xr:uid="{00000000-0005-0000-0000-0000D3100000}"/>
    <cellStyle name="Calculation 10 3 25 4 4" xfId="4339" xr:uid="{00000000-0005-0000-0000-0000D4100000}"/>
    <cellStyle name="Calculation 10 3 25 4 5" xfId="4340" xr:uid="{00000000-0005-0000-0000-0000D5100000}"/>
    <cellStyle name="Calculation 10 3 25 4 6" xfId="4341" xr:uid="{00000000-0005-0000-0000-0000D6100000}"/>
    <cellStyle name="Calculation 10 3 25 5" xfId="4342" xr:uid="{00000000-0005-0000-0000-0000D7100000}"/>
    <cellStyle name="Calculation 10 3 25 5 2" xfId="4343" xr:uid="{00000000-0005-0000-0000-0000D8100000}"/>
    <cellStyle name="Calculation 10 3 25 5 3" xfId="4344" xr:uid="{00000000-0005-0000-0000-0000D9100000}"/>
    <cellStyle name="Calculation 10 3 25 5 4" xfId="4345" xr:uid="{00000000-0005-0000-0000-0000DA100000}"/>
    <cellStyle name="Calculation 10 3 25 5 5" xfId="4346" xr:uid="{00000000-0005-0000-0000-0000DB100000}"/>
    <cellStyle name="Calculation 10 3 25 5 6" xfId="4347" xr:uid="{00000000-0005-0000-0000-0000DC100000}"/>
    <cellStyle name="Calculation 10 3 25 6" xfId="4348" xr:uid="{00000000-0005-0000-0000-0000DD100000}"/>
    <cellStyle name="Calculation 10 3 25 6 2" xfId="4349" xr:uid="{00000000-0005-0000-0000-0000DE100000}"/>
    <cellStyle name="Calculation 10 3 25 6 3" xfId="4350" xr:uid="{00000000-0005-0000-0000-0000DF100000}"/>
    <cellStyle name="Calculation 10 3 25 6 4" xfId="4351" xr:uid="{00000000-0005-0000-0000-0000E0100000}"/>
    <cellStyle name="Calculation 10 3 25 6 5" xfId="4352" xr:uid="{00000000-0005-0000-0000-0000E1100000}"/>
    <cellStyle name="Calculation 10 3 25 6 6" xfId="4353" xr:uid="{00000000-0005-0000-0000-0000E2100000}"/>
    <cellStyle name="Calculation 10 3 25 7" xfId="4354" xr:uid="{00000000-0005-0000-0000-0000E3100000}"/>
    <cellStyle name="Calculation 10 3 25 7 2" xfId="4355" xr:uid="{00000000-0005-0000-0000-0000E4100000}"/>
    <cellStyle name="Calculation 10 3 25 7 3" xfId="4356" xr:uid="{00000000-0005-0000-0000-0000E5100000}"/>
    <cellStyle name="Calculation 10 3 25 7 4" xfId="4357" xr:uid="{00000000-0005-0000-0000-0000E6100000}"/>
    <cellStyle name="Calculation 10 3 25 7 5" xfId="4358" xr:uid="{00000000-0005-0000-0000-0000E7100000}"/>
    <cellStyle name="Calculation 10 3 25 7 6" xfId="4359" xr:uid="{00000000-0005-0000-0000-0000E8100000}"/>
    <cellStyle name="Calculation 10 3 25 8" xfId="4360" xr:uid="{00000000-0005-0000-0000-0000E9100000}"/>
    <cellStyle name="Calculation 10 3 25 9" xfId="4361" xr:uid="{00000000-0005-0000-0000-0000EA100000}"/>
    <cellStyle name="Calculation 10 3 26" xfId="4362" xr:uid="{00000000-0005-0000-0000-0000EB100000}"/>
    <cellStyle name="Calculation 10 3 26 10" xfId="4363" xr:uid="{00000000-0005-0000-0000-0000EC100000}"/>
    <cellStyle name="Calculation 10 3 26 2" xfId="4364" xr:uid="{00000000-0005-0000-0000-0000ED100000}"/>
    <cellStyle name="Calculation 10 3 26 2 2" xfId="4365" xr:uid="{00000000-0005-0000-0000-0000EE100000}"/>
    <cellStyle name="Calculation 10 3 26 2 3" xfId="4366" xr:uid="{00000000-0005-0000-0000-0000EF100000}"/>
    <cellStyle name="Calculation 10 3 26 2 4" xfId="4367" xr:uid="{00000000-0005-0000-0000-0000F0100000}"/>
    <cellStyle name="Calculation 10 3 26 2 5" xfId="4368" xr:uid="{00000000-0005-0000-0000-0000F1100000}"/>
    <cellStyle name="Calculation 10 3 26 2 6" xfId="4369" xr:uid="{00000000-0005-0000-0000-0000F2100000}"/>
    <cellStyle name="Calculation 10 3 26 3" xfId="4370" xr:uid="{00000000-0005-0000-0000-0000F3100000}"/>
    <cellStyle name="Calculation 10 3 26 3 2" xfId="4371" xr:uid="{00000000-0005-0000-0000-0000F4100000}"/>
    <cellStyle name="Calculation 10 3 26 3 3" xfId="4372" xr:uid="{00000000-0005-0000-0000-0000F5100000}"/>
    <cellStyle name="Calculation 10 3 26 3 4" xfId="4373" xr:uid="{00000000-0005-0000-0000-0000F6100000}"/>
    <cellStyle name="Calculation 10 3 26 3 5" xfId="4374" xr:uid="{00000000-0005-0000-0000-0000F7100000}"/>
    <cellStyle name="Calculation 10 3 26 3 6" xfId="4375" xr:uid="{00000000-0005-0000-0000-0000F8100000}"/>
    <cellStyle name="Calculation 10 3 26 4" xfId="4376" xr:uid="{00000000-0005-0000-0000-0000F9100000}"/>
    <cellStyle name="Calculation 10 3 26 4 2" xfId="4377" xr:uid="{00000000-0005-0000-0000-0000FA100000}"/>
    <cellStyle name="Calculation 10 3 26 4 3" xfId="4378" xr:uid="{00000000-0005-0000-0000-0000FB100000}"/>
    <cellStyle name="Calculation 10 3 26 4 4" xfId="4379" xr:uid="{00000000-0005-0000-0000-0000FC100000}"/>
    <cellStyle name="Calculation 10 3 26 4 5" xfId="4380" xr:uid="{00000000-0005-0000-0000-0000FD100000}"/>
    <cellStyle name="Calculation 10 3 26 4 6" xfId="4381" xr:uid="{00000000-0005-0000-0000-0000FE100000}"/>
    <cellStyle name="Calculation 10 3 26 5" xfId="4382" xr:uid="{00000000-0005-0000-0000-0000FF100000}"/>
    <cellStyle name="Calculation 10 3 26 5 2" xfId="4383" xr:uid="{00000000-0005-0000-0000-000000110000}"/>
    <cellStyle name="Calculation 10 3 26 5 3" xfId="4384" xr:uid="{00000000-0005-0000-0000-000001110000}"/>
    <cellStyle name="Calculation 10 3 26 5 4" xfId="4385" xr:uid="{00000000-0005-0000-0000-000002110000}"/>
    <cellStyle name="Calculation 10 3 26 5 5" xfId="4386" xr:uid="{00000000-0005-0000-0000-000003110000}"/>
    <cellStyle name="Calculation 10 3 26 5 6" xfId="4387" xr:uid="{00000000-0005-0000-0000-000004110000}"/>
    <cellStyle name="Calculation 10 3 26 6" xfId="4388" xr:uid="{00000000-0005-0000-0000-000005110000}"/>
    <cellStyle name="Calculation 10 3 26 6 2" xfId="4389" xr:uid="{00000000-0005-0000-0000-000006110000}"/>
    <cellStyle name="Calculation 10 3 26 6 3" xfId="4390" xr:uid="{00000000-0005-0000-0000-000007110000}"/>
    <cellStyle name="Calculation 10 3 26 6 4" xfId="4391" xr:uid="{00000000-0005-0000-0000-000008110000}"/>
    <cellStyle name="Calculation 10 3 26 6 5" xfId="4392" xr:uid="{00000000-0005-0000-0000-000009110000}"/>
    <cellStyle name="Calculation 10 3 26 6 6" xfId="4393" xr:uid="{00000000-0005-0000-0000-00000A110000}"/>
    <cellStyle name="Calculation 10 3 26 7" xfId="4394" xr:uid="{00000000-0005-0000-0000-00000B110000}"/>
    <cellStyle name="Calculation 10 3 26 7 2" xfId="4395" xr:uid="{00000000-0005-0000-0000-00000C110000}"/>
    <cellStyle name="Calculation 10 3 26 7 3" xfId="4396" xr:uid="{00000000-0005-0000-0000-00000D110000}"/>
    <cellStyle name="Calculation 10 3 26 7 4" xfId="4397" xr:uid="{00000000-0005-0000-0000-00000E110000}"/>
    <cellStyle name="Calculation 10 3 26 7 5" xfId="4398" xr:uid="{00000000-0005-0000-0000-00000F110000}"/>
    <cellStyle name="Calculation 10 3 26 7 6" xfId="4399" xr:uid="{00000000-0005-0000-0000-000010110000}"/>
    <cellStyle name="Calculation 10 3 26 8" xfId="4400" xr:uid="{00000000-0005-0000-0000-000011110000}"/>
    <cellStyle name="Calculation 10 3 26 9" xfId="4401" xr:uid="{00000000-0005-0000-0000-000012110000}"/>
    <cellStyle name="Calculation 10 3 27" xfId="4402" xr:uid="{00000000-0005-0000-0000-000013110000}"/>
    <cellStyle name="Calculation 10 3 27 2" xfId="4403" xr:uid="{00000000-0005-0000-0000-000014110000}"/>
    <cellStyle name="Calculation 10 3 27 3" xfId="4404" xr:uid="{00000000-0005-0000-0000-000015110000}"/>
    <cellStyle name="Calculation 10 3 27 4" xfId="4405" xr:uid="{00000000-0005-0000-0000-000016110000}"/>
    <cellStyle name="Calculation 10 3 27 5" xfId="4406" xr:uid="{00000000-0005-0000-0000-000017110000}"/>
    <cellStyle name="Calculation 10 3 27 6" xfId="4407" xr:uid="{00000000-0005-0000-0000-000018110000}"/>
    <cellStyle name="Calculation 10 3 28" xfId="4408" xr:uid="{00000000-0005-0000-0000-000019110000}"/>
    <cellStyle name="Calculation 10 3 28 2" xfId="4409" xr:uid="{00000000-0005-0000-0000-00001A110000}"/>
    <cellStyle name="Calculation 10 3 28 3" xfId="4410" xr:uid="{00000000-0005-0000-0000-00001B110000}"/>
    <cellStyle name="Calculation 10 3 28 4" xfId="4411" xr:uid="{00000000-0005-0000-0000-00001C110000}"/>
    <cellStyle name="Calculation 10 3 28 5" xfId="4412" xr:uid="{00000000-0005-0000-0000-00001D110000}"/>
    <cellStyle name="Calculation 10 3 28 6" xfId="4413" xr:uid="{00000000-0005-0000-0000-00001E110000}"/>
    <cellStyle name="Calculation 10 3 29" xfId="4414" xr:uid="{00000000-0005-0000-0000-00001F110000}"/>
    <cellStyle name="Calculation 10 3 29 2" xfId="4415" xr:uid="{00000000-0005-0000-0000-000020110000}"/>
    <cellStyle name="Calculation 10 3 29 3" xfId="4416" xr:uid="{00000000-0005-0000-0000-000021110000}"/>
    <cellStyle name="Calculation 10 3 29 4" xfId="4417" xr:uid="{00000000-0005-0000-0000-000022110000}"/>
    <cellStyle name="Calculation 10 3 29 5" xfId="4418" xr:uid="{00000000-0005-0000-0000-000023110000}"/>
    <cellStyle name="Calculation 10 3 29 6" xfId="4419" xr:uid="{00000000-0005-0000-0000-000024110000}"/>
    <cellStyle name="Calculation 10 3 3" xfId="4420" xr:uid="{00000000-0005-0000-0000-000025110000}"/>
    <cellStyle name="Calculation 10 3 3 10" xfId="4421" xr:uid="{00000000-0005-0000-0000-000026110000}"/>
    <cellStyle name="Calculation 10 3 3 2" xfId="4422" xr:uid="{00000000-0005-0000-0000-000027110000}"/>
    <cellStyle name="Calculation 10 3 3 2 2" xfId="4423" xr:uid="{00000000-0005-0000-0000-000028110000}"/>
    <cellStyle name="Calculation 10 3 3 2 3" xfId="4424" xr:uid="{00000000-0005-0000-0000-000029110000}"/>
    <cellStyle name="Calculation 10 3 3 2 4" xfId="4425" xr:uid="{00000000-0005-0000-0000-00002A110000}"/>
    <cellStyle name="Calculation 10 3 3 2 5" xfId="4426" xr:uid="{00000000-0005-0000-0000-00002B110000}"/>
    <cellStyle name="Calculation 10 3 3 2 6" xfId="4427" xr:uid="{00000000-0005-0000-0000-00002C110000}"/>
    <cellStyle name="Calculation 10 3 3 3" xfId="4428" xr:uid="{00000000-0005-0000-0000-00002D110000}"/>
    <cellStyle name="Calculation 10 3 3 3 2" xfId="4429" xr:uid="{00000000-0005-0000-0000-00002E110000}"/>
    <cellStyle name="Calculation 10 3 3 3 3" xfId="4430" xr:uid="{00000000-0005-0000-0000-00002F110000}"/>
    <cellStyle name="Calculation 10 3 3 3 4" xfId="4431" xr:uid="{00000000-0005-0000-0000-000030110000}"/>
    <cellStyle name="Calculation 10 3 3 3 5" xfId="4432" xr:uid="{00000000-0005-0000-0000-000031110000}"/>
    <cellStyle name="Calculation 10 3 3 3 6" xfId="4433" xr:uid="{00000000-0005-0000-0000-000032110000}"/>
    <cellStyle name="Calculation 10 3 3 4" xfId="4434" xr:uid="{00000000-0005-0000-0000-000033110000}"/>
    <cellStyle name="Calculation 10 3 3 4 2" xfId="4435" xr:uid="{00000000-0005-0000-0000-000034110000}"/>
    <cellStyle name="Calculation 10 3 3 4 3" xfId="4436" xr:uid="{00000000-0005-0000-0000-000035110000}"/>
    <cellStyle name="Calculation 10 3 3 4 4" xfId="4437" xr:uid="{00000000-0005-0000-0000-000036110000}"/>
    <cellStyle name="Calculation 10 3 3 4 5" xfId="4438" xr:uid="{00000000-0005-0000-0000-000037110000}"/>
    <cellStyle name="Calculation 10 3 3 4 6" xfId="4439" xr:uid="{00000000-0005-0000-0000-000038110000}"/>
    <cellStyle name="Calculation 10 3 3 5" xfId="4440" xr:uid="{00000000-0005-0000-0000-000039110000}"/>
    <cellStyle name="Calculation 10 3 3 5 2" xfId="4441" xr:uid="{00000000-0005-0000-0000-00003A110000}"/>
    <cellStyle name="Calculation 10 3 3 5 3" xfId="4442" xr:uid="{00000000-0005-0000-0000-00003B110000}"/>
    <cellStyle name="Calculation 10 3 3 5 4" xfId="4443" xr:uid="{00000000-0005-0000-0000-00003C110000}"/>
    <cellStyle name="Calculation 10 3 3 5 5" xfId="4444" xr:uid="{00000000-0005-0000-0000-00003D110000}"/>
    <cellStyle name="Calculation 10 3 3 5 6" xfId="4445" xr:uid="{00000000-0005-0000-0000-00003E110000}"/>
    <cellStyle name="Calculation 10 3 3 6" xfId="4446" xr:uid="{00000000-0005-0000-0000-00003F110000}"/>
    <cellStyle name="Calculation 10 3 3 6 2" xfId="4447" xr:uid="{00000000-0005-0000-0000-000040110000}"/>
    <cellStyle name="Calculation 10 3 3 6 3" xfId="4448" xr:uid="{00000000-0005-0000-0000-000041110000}"/>
    <cellStyle name="Calculation 10 3 3 6 4" xfId="4449" xr:uid="{00000000-0005-0000-0000-000042110000}"/>
    <cellStyle name="Calculation 10 3 3 6 5" xfId="4450" xr:uid="{00000000-0005-0000-0000-000043110000}"/>
    <cellStyle name="Calculation 10 3 3 6 6" xfId="4451" xr:uid="{00000000-0005-0000-0000-000044110000}"/>
    <cellStyle name="Calculation 10 3 3 7" xfId="4452" xr:uid="{00000000-0005-0000-0000-000045110000}"/>
    <cellStyle name="Calculation 10 3 3 7 2" xfId="4453" xr:uid="{00000000-0005-0000-0000-000046110000}"/>
    <cellStyle name="Calculation 10 3 3 7 3" xfId="4454" xr:uid="{00000000-0005-0000-0000-000047110000}"/>
    <cellStyle name="Calculation 10 3 3 7 4" xfId="4455" xr:uid="{00000000-0005-0000-0000-000048110000}"/>
    <cellStyle name="Calculation 10 3 3 7 5" xfId="4456" xr:uid="{00000000-0005-0000-0000-000049110000}"/>
    <cellStyle name="Calculation 10 3 3 7 6" xfId="4457" xr:uid="{00000000-0005-0000-0000-00004A110000}"/>
    <cellStyle name="Calculation 10 3 3 8" xfId="4458" xr:uid="{00000000-0005-0000-0000-00004B110000}"/>
    <cellStyle name="Calculation 10 3 3 9" xfId="4459" xr:uid="{00000000-0005-0000-0000-00004C110000}"/>
    <cellStyle name="Calculation 10 3 30" xfId="4460" xr:uid="{00000000-0005-0000-0000-00004D110000}"/>
    <cellStyle name="Calculation 10 3 30 2" xfId="4461" xr:uid="{00000000-0005-0000-0000-00004E110000}"/>
    <cellStyle name="Calculation 10 3 30 3" xfId="4462" xr:uid="{00000000-0005-0000-0000-00004F110000}"/>
    <cellStyle name="Calculation 10 3 30 4" xfId="4463" xr:uid="{00000000-0005-0000-0000-000050110000}"/>
    <cellStyle name="Calculation 10 3 30 5" xfId="4464" xr:uid="{00000000-0005-0000-0000-000051110000}"/>
    <cellStyle name="Calculation 10 3 30 6" xfId="4465" xr:uid="{00000000-0005-0000-0000-000052110000}"/>
    <cellStyle name="Calculation 10 3 31" xfId="4466" xr:uid="{00000000-0005-0000-0000-000053110000}"/>
    <cellStyle name="Calculation 10 3 31 2" xfId="4467" xr:uid="{00000000-0005-0000-0000-000054110000}"/>
    <cellStyle name="Calculation 10 3 31 3" xfId="4468" xr:uid="{00000000-0005-0000-0000-000055110000}"/>
    <cellStyle name="Calculation 10 3 31 4" xfId="4469" xr:uid="{00000000-0005-0000-0000-000056110000}"/>
    <cellStyle name="Calculation 10 3 31 5" xfId="4470" xr:uid="{00000000-0005-0000-0000-000057110000}"/>
    <cellStyle name="Calculation 10 3 31 6" xfId="4471" xr:uid="{00000000-0005-0000-0000-000058110000}"/>
    <cellStyle name="Calculation 10 3 32" xfId="4472" xr:uid="{00000000-0005-0000-0000-000059110000}"/>
    <cellStyle name="Calculation 10 3 32 2" xfId="4473" xr:uid="{00000000-0005-0000-0000-00005A110000}"/>
    <cellStyle name="Calculation 10 3 32 3" xfId="4474" xr:uid="{00000000-0005-0000-0000-00005B110000}"/>
    <cellStyle name="Calculation 10 3 32 4" xfId="4475" xr:uid="{00000000-0005-0000-0000-00005C110000}"/>
    <cellStyle name="Calculation 10 3 32 5" xfId="4476" xr:uid="{00000000-0005-0000-0000-00005D110000}"/>
    <cellStyle name="Calculation 10 3 32 6" xfId="4477" xr:uid="{00000000-0005-0000-0000-00005E110000}"/>
    <cellStyle name="Calculation 10 3 33" xfId="4478" xr:uid="{00000000-0005-0000-0000-00005F110000}"/>
    <cellStyle name="Calculation 10 3 34" xfId="4479" xr:uid="{00000000-0005-0000-0000-000060110000}"/>
    <cellStyle name="Calculation 10 3 35" xfId="4480" xr:uid="{00000000-0005-0000-0000-000061110000}"/>
    <cellStyle name="Calculation 10 3 4" xfId="4481" xr:uid="{00000000-0005-0000-0000-000062110000}"/>
    <cellStyle name="Calculation 10 3 4 10" xfId="4482" xr:uid="{00000000-0005-0000-0000-000063110000}"/>
    <cellStyle name="Calculation 10 3 4 2" xfId="4483" xr:uid="{00000000-0005-0000-0000-000064110000}"/>
    <cellStyle name="Calculation 10 3 4 2 2" xfId="4484" xr:uid="{00000000-0005-0000-0000-000065110000}"/>
    <cellStyle name="Calculation 10 3 4 2 3" xfId="4485" xr:uid="{00000000-0005-0000-0000-000066110000}"/>
    <cellStyle name="Calculation 10 3 4 2 4" xfId="4486" xr:uid="{00000000-0005-0000-0000-000067110000}"/>
    <cellStyle name="Calculation 10 3 4 2 5" xfId="4487" xr:uid="{00000000-0005-0000-0000-000068110000}"/>
    <cellStyle name="Calculation 10 3 4 2 6" xfId="4488" xr:uid="{00000000-0005-0000-0000-000069110000}"/>
    <cellStyle name="Calculation 10 3 4 3" xfId="4489" xr:uid="{00000000-0005-0000-0000-00006A110000}"/>
    <cellStyle name="Calculation 10 3 4 3 2" xfId="4490" xr:uid="{00000000-0005-0000-0000-00006B110000}"/>
    <cellStyle name="Calculation 10 3 4 3 3" xfId="4491" xr:uid="{00000000-0005-0000-0000-00006C110000}"/>
    <cellStyle name="Calculation 10 3 4 3 4" xfId="4492" xr:uid="{00000000-0005-0000-0000-00006D110000}"/>
    <cellStyle name="Calculation 10 3 4 3 5" xfId="4493" xr:uid="{00000000-0005-0000-0000-00006E110000}"/>
    <cellStyle name="Calculation 10 3 4 3 6" xfId="4494" xr:uid="{00000000-0005-0000-0000-00006F110000}"/>
    <cellStyle name="Calculation 10 3 4 4" xfId="4495" xr:uid="{00000000-0005-0000-0000-000070110000}"/>
    <cellStyle name="Calculation 10 3 4 4 2" xfId="4496" xr:uid="{00000000-0005-0000-0000-000071110000}"/>
    <cellStyle name="Calculation 10 3 4 4 3" xfId="4497" xr:uid="{00000000-0005-0000-0000-000072110000}"/>
    <cellStyle name="Calculation 10 3 4 4 4" xfId="4498" xr:uid="{00000000-0005-0000-0000-000073110000}"/>
    <cellStyle name="Calculation 10 3 4 4 5" xfId="4499" xr:uid="{00000000-0005-0000-0000-000074110000}"/>
    <cellStyle name="Calculation 10 3 4 4 6" xfId="4500" xr:uid="{00000000-0005-0000-0000-000075110000}"/>
    <cellStyle name="Calculation 10 3 4 5" xfId="4501" xr:uid="{00000000-0005-0000-0000-000076110000}"/>
    <cellStyle name="Calculation 10 3 4 5 2" xfId="4502" xr:uid="{00000000-0005-0000-0000-000077110000}"/>
    <cellStyle name="Calculation 10 3 4 5 3" xfId="4503" xr:uid="{00000000-0005-0000-0000-000078110000}"/>
    <cellStyle name="Calculation 10 3 4 5 4" xfId="4504" xr:uid="{00000000-0005-0000-0000-000079110000}"/>
    <cellStyle name="Calculation 10 3 4 5 5" xfId="4505" xr:uid="{00000000-0005-0000-0000-00007A110000}"/>
    <cellStyle name="Calculation 10 3 4 5 6" xfId="4506" xr:uid="{00000000-0005-0000-0000-00007B110000}"/>
    <cellStyle name="Calculation 10 3 4 6" xfId="4507" xr:uid="{00000000-0005-0000-0000-00007C110000}"/>
    <cellStyle name="Calculation 10 3 4 6 2" xfId="4508" xr:uid="{00000000-0005-0000-0000-00007D110000}"/>
    <cellStyle name="Calculation 10 3 4 6 3" xfId="4509" xr:uid="{00000000-0005-0000-0000-00007E110000}"/>
    <cellStyle name="Calculation 10 3 4 6 4" xfId="4510" xr:uid="{00000000-0005-0000-0000-00007F110000}"/>
    <cellStyle name="Calculation 10 3 4 6 5" xfId="4511" xr:uid="{00000000-0005-0000-0000-000080110000}"/>
    <cellStyle name="Calculation 10 3 4 6 6" xfId="4512" xr:uid="{00000000-0005-0000-0000-000081110000}"/>
    <cellStyle name="Calculation 10 3 4 7" xfId="4513" xr:uid="{00000000-0005-0000-0000-000082110000}"/>
    <cellStyle name="Calculation 10 3 4 7 2" xfId="4514" xr:uid="{00000000-0005-0000-0000-000083110000}"/>
    <cellStyle name="Calculation 10 3 4 7 3" xfId="4515" xr:uid="{00000000-0005-0000-0000-000084110000}"/>
    <cellStyle name="Calculation 10 3 4 7 4" xfId="4516" xr:uid="{00000000-0005-0000-0000-000085110000}"/>
    <cellStyle name="Calculation 10 3 4 7 5" xfId="4517" xr:uid="{00000000-0005-0000-0000-000086110000}"/>
    <cellStyle name="Calculation 10 3 4 7 6" xfId="4518" xr:uid="{00000000-0005-0000-0000-000087110000}"/>
    <cellStyle name="Calculation 10 3 4 8" xfId="4519" xr:uid="{00000000-0005-0000-0000-000088110000}"/>
    <cellStyle name="Calculation 10 3 4 9" xfId="4520" xr:uid="{00000000-0005-0000-0000-000089110000}"/>
    <cellStyle name="Calculation 10 3 5" xfId="4521" xr:uid="{00000000-0005-0000-0000-00008A110000}"/>
    <cellStyle name="Calculation 10 3 5 10" xfId="4522" xr:uid="{00000000-0005-0000-0000-00008B110000}"/>
    <cellStyle name="Calculation 10 3 5 2" xfId="4523" xr:uid="{00000000-0005-0000-0000-00008C110000}"/>
    <cellStyle name="Calculation 10 3 5 2 2" xfId="4524" xr:uid="{00000000-0005-0000-0000-00008D110000}"/>
    <cellStyle name="Calculation 10 3 5 2 3" xfId="4525" xr:uid="{00000000-0005-0000-0000-00008E110000}"/>
    <cellStyle name="Calculation 10 3 5 2 4" xfId="4526" xr:uid="{00000000-0005-0000-0000-00008F110000}"/>
    <cellStyle name="Calculation 10 3 5 2 5" xfId="4527" xr:uid="{00000000-0005-0000-0000-000090110000}"/>
    <cellStyle name="Calculation 10 3 5 2 6" xfId="4528" xr:uid="{00000000-0005-0000-0000-000091110000}"/>
    <cellStyle name="Calculation 10 3 5 3" xfId="4529" xr:uid="{00000000-0005-0000-0000-000092110000}"/>
    <cellStyle name="Calculation 10 3 5 3 2" xfId="4530" xr:uid="{00000000-0005-0000-0000-000093110000}"/>
    <cellStyle name="Calculation 10 3 5 3 3" xfId="4531" xr:uid="{00000000-0005-0000-0000-000094110000}"/>
    <cellStyle name="Calculation 10 3 5 3 4" xfId="4532" xr:uid="{00000000-0005-0000-0000-000095110000}"/>
    <cellStyle name="Calculation 10 3 5 3 5" xfId="4533" xr:uid="{00000000-0005-0000-0000-000096110000}"/>
    <cellStyle name="Calculation 10 3 5 3 6" xfId="4534" xr:uid="{00000000-0005-0000-0000-000097110000}"/>
    <cellStyle name="Calculation 10 3 5 4" xfId="4535" xr:uid="{00000000-0005-0000-0000-000098110000}"/>
    <cellStyle name="Calculation 10 3 5 4 2" xfId="4536" xr:uid="{00000000-0005-0000-0000-000099110000}"/>
    <cellStyle name="Calculation 10 3 5 4 3" xfId="4537" xr:uid="{00000000-0005-0000-0000-00009A110000}"/>
    <cellStyle name="Calculation 10 3 5 4 4" xfId="4538" xr:uid="{00000000-0005-0000-0000-00009B110000}"/>
    <cellStyle name="Calculation 10 3 5 4 5" xfId="4539" xr:uid="{00000000-0005-0000-0000-00009C110000}"/>
    <cellStyle name="Calculation 10 3 5 4 6" xfId="4540" xr:uid="{00000000-0005-0000-0000-00009D110000}"/>
    <cellStyle name="Calculation 10 3 5 5" xfId="4541" xr:uid="{00000000-0005-0000-0000-00009E110000}"/>
    <cellStyle name="Calculation 10 3 5 5 2" xfId="4542" xr:uid="{00000000-0005-0000-0000-00009F110000}"/>
    <cellStyle name="Calculation 10 3 5 5 3" xfId="4543" xr:uid="{00000000-0005-0000-0000-0000A0110000}"/>
    <cellStyle name="Calculation 10 3 5 5 4" xfId="4544" xr:uid="{00000000-0005-0000-0000-0000A1110000}"/>
    <cellStyle name="Calculation 10 3 5 5 5" xfId="4545" xr:uid="{00000000-0005-0000-0000-0000A2110000}"/>
    <cellStyle name="Calculation 10 3 5 5 6" xfId="4546" xr:uid="{00000000-0005-0000-0000-0000A3110000}"/>
    <cellStyle name="Calculation 10 3 5 6" xfId="4547" xr:uid="{00000000-0005-0000-0000-0000A4110000}"/>
    <cellStyle name="Calculation 10 3 5 6 2" xfId="4548" xr:uid="{00000000-0005-0000-0000-0000A5110000}"/>
    <cellStyle name="Calculation 10 3 5 6 3" xfId="4549" xr:uid="{00000000-0005-0000-0000-0000A6110000}"/>
    <cellStyle name="Calculation 10 3 5 6 4" xfId="4550" xr:uid="{00000000-0005-0000-0000-0000A7110000}"/>
    <cellStyle name="Calculation 10 3 5 6 5" xfId="4551" xr:uid="{00000000-0005-0000-0000-0000A8110000}"/>
    <cellStyle name="Calculation 10 3 5 6 6" xfId="4552" xr:uid="{00000000-0005-0000-0000-0000A9110000}"/>
    <cellStyle name="Calculation 10 3 5 7" xfId="4553" xr:uid="{00000000-0005-0000-0000-0000AA110000}"/>
    <cellStyle name="Calculation 10 3 5 7 2" xfId="4554" xr:uid="{00000000-0005-0000-0000-0000AB110000}"/>
    <cellStyle name="Calculation 10 3 5 7 3" xfId="4555" xr:uid="{00000000-0005-0000-0000-0000AC110000}"/>
    <cellStyle name="Calculation 10 3 5 7 4" xfId="4556" xr:uid="{00000000-0005-0000-0000-0000AD110000}"/>
    <cellStyle name="Calculation 10 3 5 7 5" xfId="4557" xr:uid="{00000000-0005-0000-0000-0000AE110000}"/>
    <cellStyle name="Calculation 10 3 5 7 6" xfId="4558" xr:uid="{00000000-0005-0000-0000-0000AF110000}"/>
    <cellStyle name="Calculation 10 3 5 8" xfId="4559" xr:uid="{00000000-0005-0000-0000-0000B0110000}"/>
    <cellStyle name="Calculation 10 3 5 9" xfId="4560" xr:uid="{00000000-0005-0000-0000-0000B1110000}"/>
    <cellStyle name="Calculation 10 3 6" xfId="4561" xr:uid="{00000000-0005-0000-0000-0000B2110000}"/>
    <cellStyle name="Calculation 10 3 6 10" xfId="4562" xr:uid="{00000000-0005-0000-0000-0000B3110000}"/>
    <cellStyle name="Calculation 10 3 6 2" xfId="4563" xr:uid="{00000000-0005-0000-0000-0000B4110000}"/>
    <cellStyle name="Calculation 10 3 6 2 2" xfId="4564" xr:uid="{00000000-0005-0000-0000-0000B5110000}"/>
    <cellStyle name="Calculation 10 3 6 2 3" xfId="4565" xr:uid="{00000000-0005-0000-0000-0000B6110000}"/>
    <cellStyle name="Calculation 10 3 6 2 4" xfId="4566" xr:uid="{00000000-0005-0000-0000-0000B7110000}"/>
    <cellStyle name="Calculation 10 3 6 2 5" xfId="4567" xr:uid="{00000000-0005-0000-0000-0000B8110000}"/>
    <cellStyle name="Calculation 10 3 6 2 6" xfId="4568" xr:uid="{00000000-0005-0000-0000-0000B9110000}"/>
    <cellStyle name="Calculation 10 3 6 3" xfId="4569" xr:uid="{00000000-0005-0000-0000-0000BA110000}"/>
    <cellStyle name="Calculation 10 3 6 3 2" xfId="4570" xr:uid="{00000000-0005-0000-0000-0000BB110000}"/>
    <cellStyle name="Calculation 10 3 6 3 3" xfId="4571" xr:uid="{00000000-0005-0000-0000-0000BC110000}"/>
    <cellStyle name="Calculation 10 3 6 3 4" xfId="4572" xr:uid="{00000000-0005-0000-0000-0000BD110000}"/>
    <cellStyle name="Calculation 10 3 6 3 5" xfId="4573" xr:uid="{00000000-0005-0000-0000-0000BE110000}"/>
    <cellStyle name="Calculation 10 3 6 3 6" xfId="4574" xr:uid="{00000000-0005-0000-0000-0000BF110000}"/>
    <cellStyle name="Calculation 10 3 6 4" xfId="4575" xr:uid="{00000000-0005-0000-0000-0000C0110000}"/>
    <cellStyle name="Calculation 10 3 6 4 2" xfId="4576" xr:uid="{00000000-0005-0000-0000-0000C1110000}"/>
    <cellStyle name="Calculation 10 3 6 4 3" xfId="4577" xr:uid="{00000000-0005-0000-0000-0000C2110000}"/>
    <cellStyle name="Calculation 10 3 6 4 4" xfId="4578" xr:uid="{00000000-0005-0000-0000-0000C3110000}"/>
    <cellStyle name="Calculation 10 3 6 4 5" xfId="4579" xr:uid="{00000000-0005-0000-0000-0000C4110000}"/>
    <cellStyle name="Calculation 10 3 6 4 6" xfId="4580" xr:uid="{00000000-0005-0000-0000-0000C5110000}"/>
    <cellStyle name="Calculation 10 3 6 5" xfId="4581" xr:uid="{00000000-0005-0000-0000-0000C6110000}"/>
    <cellStyle name="Calculation 10 3 6 5 2" xfId="4582" xr:uid="{00000000-0005-0000-0000-0000C7110000}"/>
    <cellStyle name="Calculation 10 3 6 5 3" xfId="4583" xr:uid="{00000000-0005-0000-0000-0000C8110000}"/>
    <cellStyle name="Calculation 10 3 6 5 4" xfId="4584" xr:uid="{00000000-0005-0000-0000-0000C9110000}"/>
    <cellStyle name="Calculation 10 3 6 5 5" xfId="4585" xr:uid="{00000000-0005-0000-0000-0000CA110000}"/>
    <cellStyle name="Calculation 10 3 6 5 6" xfId="4586" xr:uid="{00000000-0005-0000-0000-0000CB110000}"/>
    <cellStyle name="Calculation 10 3 6 6" xfId="4587" xr:uid="{00000000-0005-0000-0000-0000CC110000}"/>
    <cellStyle name="Calculation 10 3 6 6 2" xfId="4588" xr:uid="{00000000-0005-0000-0000-0000CD110000}"/>
    <cellStyle name="Calculation 10 3 6 6 3" xfId="4589" xr:uid="{00000000-0005-0000-0000-0000CE110000}"/>
    <cellStyle name="Calculation 10 3 6 6 4" xfId="4590" xr:uid="{00000000-0005-0000-0000-0000CF110000}"/>
    <cellStyle name="Calculation 10 3 6 6 5" xfId="4591" xr:uid="{00000000-0005-0000-0000-0000D0110000}"/>
    <cellStyle name="Calculation 10 3 6 6 6" xfId="4592" xr:uid="{00000000-0005-0000-0000-0000D1110000}"/>
    <cellStyle name="Calculation 10 3 6 7" xfId="4593" xr:uid="{00000000-0005-0000-0000-0000D2110000}"/>
    <cellStyle name="Calculation 10 3 6 7 2" xfId="4594" xr:uid="{00000000-0005-0000-0000-0000D3110000}"/>
    <cellStyle name="Calculation 10 3 6 7 3" xfId="4595" xr:uid="{00000000-0005-0000-0000-0000D4110000}"/>
    <cellStyle name="Calculation 10 3 6 7 4" xfId="4596" xr:uid="{00000000-0005-0000-0000-0000D5110000}"/>
    <cellStyle name="Calculation 10 3 6 7 5" xfId="4597" xr:uid="{00000000-0005-0000-0000-0000D6110000}"/>
    <cellStyle name="Calculation 10 3 6 7 6" xfId="4598" xr:uid="{00000000-0005-0000-0000-0000D7110000}"/>
    <cellStyle name="Calculation 10 3 6 8" xfId="4599" xr:uid="{00000000-0005-0000-0000-0000D8110000}"/>
    <cellStyle name="Calculation 10 3 6 9" xfId="4600" xr:uid="{00000000-0005-0000-0000-0000D9110000}"/>
    <cellStyle name="Calculation 10 3 7" xfId="4601" xr:uid="{00000000-0005-0000-0000-0000DA110000}"/>
    <cellStyle name="Calculation 10 3 7 10" xfId="4602" xr:uid="{00000000-0005-0000-0000-0000DB110000}"/>
    <cellStyle name="Calculation 10 3 7 2" xfId="4603" xr:uid="{00000000-0005-0000-0000-0000DC110000}"/>
    <cellStyle name="Calculation 10 3 7 2 2" xfId="4604" xr:uid="{00000000-0005-0000-0000-0000DD110000}"/>
    <cellStyle name="Calculation 10 3 7 2 3" xfId="4605" xr:uid="{00000000-0005-0000-0000-0000DE110000}"/>
    <cellStyle name="Calculation 10 3 7 2 4" xfId="4606" xr:uid="{00000000-0005-0000-0000-0000DF110000}"/>
    <cellStyle name="Calculation 10 3 7 2 5" xfId="4607" xr:uid="{00000000-0005-0000-0000-0000E0110000}"/>
    <cellStyle name="Calculation 10 3 7 2 6" xfId="4608" xr:uid="{00000000-0005-0000-0000-0000E1110000}"/>
    <cellStyle name="Calculation 10 3 7 3" xfId="4609" xr:uid="{00000000-0005-0000-0000-0000E2110000}"/>
    <cellStyle name="Calculation 10 3 7 3 2" xfId="4610" xr:uid="{00000000-0005-0000-0000-0000E3110000}"/>
    <cellStyle name="Calculation 10 3 7 3 3" xfId="4611" xr:uid="{00000000-0005-0000-0000-0000E4110000}"/>
    <cellStyle name="Calculation 10 3 7 3 4" xfId="4612" xr:uid="{00000000-0005-0000-0000-0000E5110000}"/>
    <cellStyle name="Calculation 10 3 7 3 5" xfId="4613" xr:uid="{00000000-0005-0000-0000-0000E6110000}"/>
    <cellStyle name="Calculation 10 3 7 3 6" xfId="4614" xr:uid="{00000000-0005-0000-0000-0000E7110000}"/>
    <cellStyle name="Calculation 10 3 7 4" xfId="4615" xr:uid="{00000000-0005-0000-0000-0000E8110000}"/>
    <cellStyle name="Calculation 10 3 7 4 2" xfId="4616" xr:uid="{00000000-0005-0000-0000-0000E9110000}"/>
    <cellStyle name="Calculation 10 3 7 4 3" xfId="4617" xr:uid="{00000000-0005-0000-0000-0000EA110000}"/>
    <cellStyle name="Calculation 10 3 7 4 4" xfId="4618" xr:uid="{00000000-0005-0000-0000-0000EB110000}"/>
    <cellStyle name="Calculation 10 3 7 4 5" xfId="4619" xr:uid="{00000000-0005-0000-0000-0000EC110000}"/>
    <cellStyle name="Calculation 10 3 7 4 6" xfId="4620" xr:uid="{00000000-0005-0000-0000-0000ED110000}"/>
    <cellStyle name="Calculation 10 3 7 5" xfId="4621" xr:uid="{00000000-0005-0000-0000-0000EE110000}"/>
    <cellStyle name="Calculation 10 3 7 5 2" xfId="4622" xr:uid="{00000000-0005-0000-0000-0000EF110000}"/>
    <cellStyle name="Calculation 10 3 7 5 3" xfId="4623" xr:uid="{00000000-0005-0000-0000-0000F0110000}"/>
    <cellStyle name="Calculation 10 3 7 5 4" xfId="4624" xr:uid="{00000000-0005-0000-0000-0000F1110000}"/>
    <cellStyle name="Calculation 10 3 7 5 5" xfId="4625" xr:uid="{00000000-0005-0000-0000-0000F2110000}"/>
    <cellStyle name="Calculation 10 3 7 5 6" xfId="4626" xr:uid="{00000000-0005-0000-0000-0000F3110000}"/>
    <cellStyle name="Calculation 10 3 7 6" xfId="4627" xr:uid="{00000000-0005-0000-0000-0000F4110000}"/>
    <cellStyle name="Calculation 10 3 7 6 2" xfId="4628" xr:uid="{00000000-0005-0000-0000-0000F5110000}"/>
    <cellStyle name="Calculation 10 3 7 6 3" xfId="4629" xr:uid="{00000000-0005-0000-0000-0000F6110000}"/>
    <cellStyle name="Calculation 10 3 7 6 4" xfId="4630" xr:uid="{00000000-0005-0000-0000-0000F7110000}"/>
    <cellStyle name="Calculation 10 3 7 6 5" xfId="4631" xr:uid="{00000000-0005-0000-0000-0000F8110000}"/>
    <cellStyle name="Calculation 10 3 7 6 6" xfId="4632" xr:uid="{00000000-0005-0000-0000-0000F9110000}"/>
    <cellStyle name="Calculation 10 3 7 7" xfId="4633" xr:uid="{00000000-0005-0000-0000-0000FA110000}"/>
    <cellStyle name="Calculation 10 3 7 7 2" xfId="4634" xr:uid="{00000000-0005-0000-0000-0000FB110000}"/>
    <cellStyle name="Calculation 10 3 7 7 3" xfId="4635" xr:uid="{00000000-0005-0000-0000-0000FC110000}"/>
    <cellStyle name="Calculation 10 3 7 7 4" xfId="4636" xr:uid="{00000000-0005-0000-0000-0000FD110000}"/>
    <cellStyle name="Calculation 10 3 7 7 5" xfId="4637" xr:uid="{00000000-0005-0000-0000-0000FE110000}"/>
    <cellStyle name="Calculation 10 3 7 7 6" xfId="4638" xr:uid="{00000000-0005-0000-0000-0000FF110000}"/>
    <cellStyle name="Calculation 10 3 7 8" xfId="4639" xr:uid="{00000000-0005-0000-0000-000000120000}"/>
    <cellStyle name="Calculation 10 3 7 9" xfId="4640" xr:uid="{00000000-0005-0000-0000-000001120000}"/>
    <cellStyle name="Calculation 10 3 8" xfId="4641" xr:uid="{00000000-0005-0000-0000-000002120000}"/>
    <cellStyle name="Calculation 10 3 8 10" xfId="4642" xr:uid="{00000000-0005-0000-0000-000003120000}"/>
    <cellStyle name="Calculation 10 3 8 2" xfId="4643" xr:uid="{00000000-0005-0000-0000-000004120000}"/>
    <cellStyle name="Calculation 10 3 8 2 2" xfId="4644" xr:uid="{00000000-0005-0000-0000-000005120000}"/>
    <cellStyle name="Calculation 10 3 8 2 3" xfId="4645" xr:uid="{00000000-0005-0000-0000-000006120000}"/>
    <cellStyle name="Calculation 10 3 8 2 4" xfId="4646" xr:uid="{00000000-0005-0000-0000-000007120000}"/>
    <cellStyle name="Calculation 10 3 8 2 5" xfId="4647" xr:uid="{00000000-0005-0000-0000-000008120000}"/>
    <cellStyle name="Calculation 10 3 8 2 6" xfId="4648" xr:uid="{00000000-0005-0000-0000-000009120000}"/>
    <cellStyle name="Calculation 10 3 8 3" xfId="4649" xr:uid="{00000000-0005-0000-0000-00000A120000}"/>
    <cellStyle name="Calculation 10 3 8 3 2" xfId="4650" xr:uid="{00000000-0005-0000-0000-00000B120000}"/>
    <cellStyle name="Calculation 10 3 8 3 3" xfId="4651" xr:uid="{00000000-0005-0000-0000-00000C120000}"/>
    <cellStyle name="Calculation 10 3 8 3 4" xfId="4652" xr:uid="{00000000-0005-0000-0000-00000D120000}"/>
    <cellStyle name="Calculation 10 3 8 3 5" xfId="4653" xr:uid="{00000000-0005-0000-0000-00000E120000}"/>
    <cellStyle name="Calculation 10 3 8 3 6" xfId="4654" xr:uid="{00000000-0005-0000-0000-00000F120000}"/>
    <cellStyle name="Calculation 10 3 8 4" xfId="4655" xr:uid="{00000000-0005-0000-0000-000010120000}"/>
    <cellStyle name="Calculation 10 3 8 4 2" xfId="4656" xr:uid="{00000000-0005-0000-0000-000011120000}"/>
    <cellStyle name="Calculation 10 3 8 4 3" xfId="4657" xr:uid="{00000000-0005-0000-0000-000012120000}"/>
    <cellStyle name="Calculation 10 3 8 4 4" xfId="4658" xr:uid="{00000000-0005-0000-0000-000013120000}"/>
    <cellStyle name="Calculation 10 3 8 4 5" xfId="4659" xr:uid="{00000000-0005-0000-0000-000014120000}"/>
    <cellStyle name="Calculation 10 3 8 4 6" xfId="4660" xr:uid="{00000000-0005-0000-0000-000015120000}"/>
    <cellStyle name="Calculation 10 3 8 5" xfId="4661" xr:uid="{00000000-0005-0000-0000-000016120000}"/>
    <cellStyle name="Calculation 10 3 8 5 2" xfId="4662" xr:uid="{00000000-0005-0000-0000-000017120000}"/>
    <cellStyle name="Calculation 10 3 8 5 3" xfId="4663" xr:uid="{00000000-0005-0000-0000-000018120000}"/>
    <cellStyle name="Calculation 10 3 8 5 4" xfId="4664" xr:uid="{00000000-0005-0000-0000-000019120000}"/>
    <cellStyle name="Calculation 10 3 8 5 5" xfId="4665" xr:uid="{00000000-0005-0000-0000-00001A120000}"/>
    <cellStyle name="Calculation 10 3 8 5 6" xfId="4666" xr:uid="{00000000-0005-0000-0000-00001B120000}"/>
    <cellStyle name="Calculation 10 3 8 6" xfId="4667" xr:uid="{00000000-0005-0000-0000-00001C120000}"/>
    <cellStyle name="Calculation 10 3 8 6 2" xfId="4668" xr:uid="{00000000-0005-0000-0000-00001D120000}"/>
    <cellStyle name="Calculation 10 3 8 6 3" xfId="4669" xr:uid="{00000000-0005-0000-0000-00001E120000}"/>
    <cellStyle name="Calculation 10 3 8 6 4" xfId="4670" xr:uid="{00000000-0005-0000-0000-00001F120000}"/>
    <cellStyle name="Calculation 10 3 8 6 5" xfId="4671" xr:uid="{00000000-0005-0000-0000-000020120000}"/>
    <cellStyle name="Calculation 10 3 8 6 6" xfId="4672" xr:uid="{00000000-0005-0000-0000-000021120000}"/>
    <cellStyle name="Calculation 10 3 8 7" xfId="4673" xr:uid="{00000000-0005-0000-0000-000022120000}"/>
    <cellStyle name="Calculation 10 3 8 7 2" xfId="4674" xr:uid="{00000000-0005-0000-0000-000023120000}"/>
    <cellStyle name="Calculation 10 3 8 7 3" xfId="4675" xr:uid="{00000000-0005-0000-0000-000024120000}"/>
    <cellStyle name="Calculation 10 3 8 7 4" xfId="4676" xr:uid="{00000000-0005-0000-0000-000025120000}"/>
    <cellStyle name="Calculation 10 3 8 7 5" xfId="4677" xr:uid="{00000000-0005-0000-0000-000026120000}"/>
    <cellStyle name="Calculation 10 3 8 7 6" xfId="4678" xr:uid="{00000000-0005-0000-0000-000027120000}"/>
    <cellStyle name="Calculation 10 3 8 8" xfId="4679" xr:uid="{00000000-0005-0000-0000-000028120000}"/>
    <cellStyle name="Calculation 10 3 8 9" xfId="4680" xr:uid="{00000000-0005-0000-0000-000029120000}"/>
    <cellStyle name="Calculation 10 3 9" xfId="4681" xr:uid="{00000000-0005-0000-0000-00002A120000}"/>
    <cellStyle name="Calculation 10 3 9 10" xfId="4682" xr:uid="{00000000-0005-0000-0000-00002B120000}"/>
    <cellStyle name="Calculation 10 3 9 2" xfId="4683" xr:uid="{00000000-0005-0000-0000-00002C120000}"/>
    <cellStyle name="Calculation 10 3 9 2 2" xfId="4684" xr:uid="{00000000-0005-0000-0000-00002D120000}"/>
    <cellStyle name="Calculation 10 3 9 2 3" xfId="4685" xr:uid="{00000000-0005-0000-0000-00002E120000}"/>
    <cellStyle name="Calculation 10 3 9 2 4" xfId="4686" xr:uid="{00000000-0005-0000-0000-00002F120000}"/>
    <cellStyle name="Calculation 10 3 9 2 5" xfId="4687" xr:uid="{00000000-0005-0000-0000-000030120000}"/>
    <cellStyle name="Calculation 10 3 9 2 6" xfId="4688" xr:uid="{00000000-0005-0000-0000-000031120000}"/>
    <cellStyle name="Calculation 10 3 9 3" xfId="4689" xr:uid="{00000000-0005-0000-0000-000032120000}"/>
    <cellStyle name="Calculation 10 3 9 3 2" xfId="4690" xr:uid="{00000000-0005-0000-0000-000033120000}"/>
    <cellStyle name="Calculation 10 3 9 3 3" xfId="4691" xr:uid="{00000000-0005-0000-0000-000034120000}"/>
    <cellStyle name="Calculation 10 3 9 3 4" xfId="4692" xr:uid="{00000000-0005-0000-0000-000035120000}"/>
    <cellStyle name="Calculation 10 3 9 3 5" xfId="4693" xr:uid="{00000000-0005-0000-0000-000036120000}"/>
    <cellStyle name="Calculation 10 3 9 3 6" xfId="4694" xr:uid="{00000000-0005-0000-0000-000037120000}"/>
    <cellStyle name="Calculation 10 3 9 4" xfId="4695" xr:uid="{00000000-0005-0000-0000-000038120000}"/>
    <cellStyle name="Calculation 10 3 9 4 2" xfId="4696" xr:uid="{00000000-0005-0000-0000-000039120000}"/>
    <cellStyle name="Calculation 10 3 9 4 3" xfId="4697" xr:uid="{00000000-0005-0000-0000-00003A120000}"/>
    <cellStyle name="Calculation 10 3 9 4 4" xfId="4698" xr:uid="{00000000-0005-0000-0000-00003B120000}"/>
    <cellStyle name="Calculation 10 3 9 4 5" xfId="4699" xr:uid="{00000000-0005-0000-0000-00003C120000}"/>
    <cellStyle name="Calculation 10 3 9 4 6" xfId="4700" xr:uid="{00000000-0005-0000-0000-00003D120000}"/>
    <cellStyle name="Calculation 10 3 9 5" xfId="4701" xr:uid="{00000000-0005-0000-0000-00003E120000}"/>
    <cellStyle name="Calculation 10 3 9 5 2" xfId="4702" xr:uid="{00000000-0005-0000-0000-00003F120000}"/>
    <cellStyle name="Calculation 10 3 9 5 3" xfId="4703" xr:uid="{00000000-0005-0000-0000-000040120000}"/>
    <cellStyle name="Calculation 10 3 9 5 4" xfId="4704" xr:uid="{00000000-0005-0000-0000-000041120000}"/>
    <cellStyle name="Calculation 10 3 9 5 5" xfId="4705" xr:uid="{00000000-0005-0000-0000-000042120000}"/>
    <cellStyle name="Calculation 10 3 9 5 6" xfId="4706" xr:uid="{00000000-0005-0000-0000-000043120000}"/>
    <cellStyle name="Calculation 10 3 9 6" xfId="4707" xr:uid="{00000000-0005-0000-0000-000044120000}"/>
    <cellStyle name="Calculation 10 3 9 6 2" xfId="4708" xr:uid="{00000000-0005-0000-0000-000045120000}"/>
    <cellStyle name="Calculation 10 3 9 6 3" xfId="4709" xr:uid="{00000000-0005-0000-0000-000046120000}"/>
    <cellStyle name="Calculation 10 3 9 6 4" xfId="4710" xr:uid="{00000000-0005-0000-0000-000047120000}"/>
    <cellStyle name="Calculation 10 3 9 6 5" xfId="4711" xr:uid="{00000000-0005-0000-0000-000048120000}"/>
    <cellStyle name="Calculation 10 3 9 6 6" xfId="4712" xr:uid="{00000000-0005-0000-0000-000049120000}"/>
    <cellStyle name="Calculation 10 3 9 7" xfId="4713" xr:uid="{00000000-0005-0000-0000-00004A120000}"/>
    <cellStyle name="Calculation 10 3 9 7 2" xfId="4714" xr:uid="{00000000-0005-0000-0000-00004B120000}"/>
    <cellStyle name="Calculation 10 3 9 7 3" xfId="4715" xr:uid="{00000000-0005-0000-0000-00004C120000}"/>
    <cellStyle name="Calculation 10 3 9 7 4" xfId="4716" xr:uid="{00000000-0005-0000-0000-00004D120000}"/>
    <cellStyle name="Calculation 10 3 9 7 5" xfId="4717" xr:uid="{00000000-0005-0000-0000-00004E120000}"/>
    <cellStyle name="Calculation 10 3 9 7 6" xfId="4718" xr:uid="{00000000-0005-0000-0000-00004F120000}"/>
    <cellStyle name="Calculation 10 3 9 8" xfId="4719" xr:uid="{00000000-0005-0000-0000-000050120000}"/>
    <cellStyle name="Calculation 10 3 9 9" xfId="4720" xr:uid="{00000000-0005-0000-0000-000051120000}"/>
    <cellStyle name="Calculation 10 30" xfId="4721" xr:uid="{00000000-0005-0000-0000-000052120000}"/>
    <cellStyle name="Calculation 10 30 2" xfId="4722" xr:uid="{00000000-0005-0000-0000-000053120000}"/>
    <cellStyle name="Calculation 10 30 3" xfId="4723" xr:uid="{00000000-0005-0000-0000-000054120000}"/>
    <cellStyle name="Calculation 10 30 4" xfId="4724" xr:uid="{00000000-0005-0000-0000-000055120000}"/>
    <cellStyle name="Calculation 10 30 5" xfId="4725" xr:uid="{00000000-0005-0000-0000-000056120000}"/>
    <cellStyle name="Calculation 10 30 6" xfId="4726" xr:uid="{00000000-0005-0000-0000-000057120000}"/>
    <cellStyle name="Calculation 10 31" xfId="4727" xr:uid="{00000000-0005-0000-0000-000058120000}"/>
    <cellStyle name="Calculation 10 31 2" xfId="4728" xr:uid="{00000000-0005-0000-0000-000059120000}"/>
    <cellStyle name="Calculation 10 31 3" xfId="4729" xr:uid="{00000000-0005-0000-0000-00005A120000}"/>
    <cellStyle name="Calculation 10 31 4" xfId="4730" xr:uid="{00000000-0005-0000-0000-00005B120000}"/>
    <cellStyle name="Calculation 10 31 5" xfId="4731" xr:uid="{00000000-0005-0000-0000-00005C120000}"/>
    <cellStyle name="Calculation 10 31 6" xfId="4732" xr:uid="{00000000-0005-0000-0000-00005D120000}"/>
    <cellStyle name="Calculation 10 32" xfId="4733" xr:uid="{00000000-0005-0000-0000-00005E120000}"/>
    <cellStyle name="Calculation 10 33" xfId="4734" xr:uid="{00000000-0005-0000-0000-00005F120000}"/>
    <cellStyle name="Calculation 10 34" xfId="4735" xr:uid="{00000000-0005-0000-0000-000060120000}"/>
    <cellStyle name="Calculation 10 4" xfId="4736" xr:uid="{00000000-0005-0000-0000-000061120000}"/>
    <cellStyle name="Calculation 10 4 10" xfId="4737" xr:uid="{00000000-0005-0000-0000-000062120000}"/>
    <cellStyle name="Calculation 10 4 2" xfId="4738" xr:uid="{00000000-0005-0000-0000-000063120000}"/>
    <cellStyle name="Calculation 10 4 2 2" xfId="4739" xr:uid="{00000000-0005-0000-0000-000064120000}"/>
    <cellStyle name="Calculation 10 4 2 3" xfId="4740" xr:uid="{00000000-0005-0000-0000-000065120000}"/>
    <cellStyle name="Calculation 10 4 2 4" xfId="4741" xr:uid="{00000000-0005-0000-0000-000066120000}"/>
    <cellStyle name="Calculation 10 4 2 5" xfId="4742" xr:uid="{00000000-0005-0000-0000-000067120000}"/>
    <cellStyle name="Calculation 10 4 2 6" xfId="4743" xr:uid="{00000000-0005-0000-0000-000068120000}"/>
    <cellStyle name="Calculation 10 4 3" xfId="4744" xr:uid="{00000000-0005-0000-0000-000069120000}"/>
    <cellStyle name="Calculation 10 4 3 2" xfId="4745" xr:uid="{00000000-0005-0000-0000-00006A120000}"/>
    <cellStyle name="Calculation 10 4 3 3" xfId="4746" xr:uid="{00000000-0005-0000-0000-00006B120000}"/>
    <cellStyle name="Calculation 10 4 3 4" xfId="4747" xr:uid="{00000000-0005-0000-0000-00006C120000}"/>
    <cellStyle name="Calculation 10 4 3 5" xfId="4748" xr:uid="{00000000-0005-0000-0000-00006D120000}"/>
    <cellStyle name="Calculation 10 4 3 6" xfId="4749" xr:uid="{00000000-0005-0000-0000-00006E120000}"/>
    <cellStyle name="Calculation 10 4 4" xfId="4750" xr:uid="{00000000-0005-0000-0000-00006F120000}"/>
    <cellStyle name="Calculation 10 4 4 2" xfId="4751" xr:uid="{00000000-0005-0000-0000-000070120000}"/>
    <cellStyle name="Calculation 10 4 4 3" xfId="4752" xr:uid="{00000000-0005-0000-0000-000071120000}"/>
    <cellStyle name="Calculation 10 4 4 4" xfId="4753" xr:uid="{00000000-0005-0000-0000-000072120000}"/>
    <cellStyle name="Calculation 10 4 4 5" xfId="4754" xr:uid="{00000000-0005-0000-0000-000073120000}"/>
    <cellStyle name="Calculation 10 4 4 6" xfId="4755" xr:uid="{00000000-0005-0000-0000-000074120000}"/>
    <cellStyle name="Calculation 10 4 5" xfId="4756" xr:uid="{00000000-0005-0000-0000-000075120000}"/>
    <cellStyle name="Calculation 10 4 5 2" xfId="4757" xr:uid="{00000000-0005-0000-0000-000076120000}"/>
    <cellStyle name="Calculation 10 4 5 3" xfId="4758" xr:uid="{00000000-0005-0000-0000-000077120000}"/>
    <cellStyle name="Calculation 10 4 5 4" xfId="4759" xr:uid="{00000000-0005-0000-0000-000078120000}"/>
    <cellStyle name="Calculation 10 4 5 5" xfId="4760" xr:uid="{00000000-0005-0000-0000-000079120000}"/>
    <cellStyle name="Calculation 10 4 5 6" xfId="4761" xr:uid="{00000000-0005-0000-0000-00007A120000}"/>
    <cellStyle name="Calculation 10 4 6" xfId="4762" xr:uid="{00000000-0005-0000-0000-00007B120000}"/>
    <cellStyle name="Calculation 10 4 6 2" xfId="4763" xr:uid="{00000000-0005-0000-0000-00007C120000}"/>
    <cellStyle name="Calculation 10 4 6 3" xfId="4764" xr:uid="{00000000-0005-0000-0000-00007D120000}"/>
    <cellStyle name="Calculation 10 4 6 4" xfId="4765" xr:uid="{00000000-0005-0000-0000-00007E120000}"/>
    <cellStyle name="Calculation 10 4 6 5" xfId="4766" xr:uid="{00000000-0005-0000-0000-00007F120000}"/>
    <cellStyle name="Calculation 10 4 6 6" xfId="4767" xr:uid="{00000000-0005-0000-0000-000080120000}"/>
    <cellStyle name="Calculation 10 4 7" xfId="4768" xr:uid="{00000000-0005-0000-0000-000081120000}"/>
    <cellStyle name="Calculation 10 4 7 2" xfId="4769" xr:uid="{00000000-0005-0000-0000-000082120000}"/>
    <cellStyle name="Calculation 10 4 7 3" xfId="4770" xr:uid="{00000000-0005-0000-0000-000083120000}"/>
    <cellStyle name="Calculation 10 4 7 4" xfId="4771" xr:uid="{00000000-0005-0000-0000-000084120000}"/>
    <cellStyle name="Calculation 10 4 7 5" xfId="4772" xr:uid="{00000000-0005-0000-0000-000085120000}"/>
    <cellStyle name="Calculation 10 4 7 6" xfId="4773" xr:uid="{00000000-0005-0000-0000-000086120000}"/>
    <cellStyle name="Calculation 10 4 8" xfId="4774" xr:uid="{00000000-0005-0000-0000-000087120000}"/>
    <cellStyle name="Calculation 10 4 9" xfId="4775" xr:uid="{00000000-0005-0000-0000-000088120000}"/>
    <cellStyle name="Calculation 10 5" xfId="4776" xr:uid="{00000000-0005-0000-0000-000089120000}"/>
    <cellStyle name="Calculation 10 5 10" xfId="4777" xr:uid="{00000000-0005-0000-0000-00008A120000}"/>
    <cellStyle name="Calculation 10 5 2" xfId="4778" xr:uid="{00000000-0005-0000-0000-00008B120000}"/>
    <cellStyle name="Calculation 10 5 2 2" xfId="4779" xr:uid="{00000000-0005-0000-0000-00008C120000}"/>
    <cellStyle name="Calculation 10 5 2 3" xfId="4780" xr:uid="{00000000-0005-0000-0000-00008D120000}"/>
    <cellStyle name="Calculation 10 5 2 4" xfId="4781" xr:uid="{00000000-0005-0000-0000-00008E120000}"/>
    <cellStyle name="Calculation 10 5 2 5" xfId="4782" xr:uid="{00000000-0005-0000-0000-00008F120000}"/>
    <cellStyle name="Calculation 10 5 2 6" xfId="4783" xr:uid="{00000000-0005-0000-0000-000090120000}"/>
    <cellStyle name="Calculation 10 5 3" xfId="4784" xr:uid="{00000000-0005-0000-0000-000091120000}"/>
    <cellStyle name="Calculation 10 5 3 2" xfId="4785" xr:uid="{00000000-0005-0000-0000-000092120000}"/>
    <cellStyle name="Calculation 10 5 3 3" xfId="4786" xr:uid="{00000000-0005-0000-0000-000093120000}"/>
    <cellStyle name="Calculation 10 5 3 4" xfId="4787" xr:uid="{00000000-0005-0000-0000-000094120000}"/>
    <cellStyle name="Calculation 10 5 3 5" xfId="4788" xr:uid="{00000000-0005-0000-0000-000095120000}"/>
    <cellStyle name="Calculation 10 5 3 6" xfId="4789" xr:uid="{00000000-0005-0000-0000-000096120000}"/>
    <cellStyle name="Calculation 10 5 4" xfId="4790" xr:uid="{00000000-0005-0000-0000-000097120000}"/>
    <cellStyle name="Calculation 10 5 4 2" xfId="4791" xr:uid="{00000000-0005-0000-0000-000098120000}"/>
    <cellStyle name="Calculation 10 5 4 3" xfId="4792" xr:uid="{00000000-0005-0000-0000-000099120000}"/>
    <cellStyle name="Calculation 10 5 4 4" xfId="4793" xr:uid="{00000000-0005-0000-0000-00009A120000}"/>
    <cellStyle name="Calculation 10 5 4 5" xfId="4794" xr:uid="{00000000-0005-0000-0000-00009B120000}"/>
    <cellStyle name="Calculation 10 5 4 6" xfId="4795" xr:uid="{00000000-0005-0000-0000-00009C120000}"/>
    <cellStyle name="Calculation 10 5 5" xfId="4796" xr:uid="{00000000-0005-0000-0000-00009D120000}"/>
    <cellStyle name="Calculation 10 5 5 2" xfId="4797" xr:uid="{00000000-0005-0000-0000-00009E120000}"/>
    <cellStyle name="Calculation 10 5 5 3" xfId="4798" xr:uid="{00000000-0005-0000-0000-00009F120000}"/>
    <cellStyle name="Calculation 10 5 5 4" xfId="4799" xr:uid="{00000000-0005-0000-0000-0000A0120000}"/>
    <cellStyle name="Calculation 10 5 5 5" xfId="4800" xr:uid="{00000000-0005-0000-0000-0000A1120000}"/>
    <cellStyle name="Calculation 10 5 5 6" xfId="4801" xr:uid="{00000000-0005-0000-0000-0000A2120000}"/>
    <cellStyle name="Calculation 10 5 6" xfId="4802" xr:uid="{00000000-0005-0000-0000-0000A3120000}"/>
    <cellStyle name="Calculation 10 5 6 2" xfId="4803" xr:uid="{00000000-0005-0000-0000-0000A4120000}"/>
    <cellStyle name="Calculation 10 5 6 3" xfId="4804" xr:uid="{00000000-0005-0000-0000-0000A5120000}"/>
    <cellStyle name="Calculation 10 5 6 4" xfId="4805" xr:uid="{00000000-0005-0000-0000-0000A6120000}"/>
    <cellStyle name="Calculation 10 5 6 5" xfId="4806" xr:uid="{00000000-0005-0000-0000-0000A7120000}"/>
    <cellStyle name="Calculation 10 5 6 6" xfId="4807" xr:uid="{00000000-0005-0000-0000-0000A8120000}"/>
    <cellStyle name="Calculation 10 5 7" xfId="4808" xr:uid="{00000000-0005-0000-0000-0000A9120000}"/>
    <cellStyle name="Calculation 10 5 7 2" xfId="4809" xr:uid="{00000000-0005-0000-0000-0000AA120000}"/>
    <cellStyle name="Calculation 10 5 7 3" xfId="4810" xr:uid="{00000000-0005-0000-0000-0000AB120000}"/>
    <cellStyle name="Calculation 10 5 7 4" xfId="4811" xr:uid="{00000000-0005-0000-0000-0000AC120000}"/>
    <cellStyle name="Calculation 10 5 7 5" xfId="4812" xr:uid="{00000000-0005-0000-0000-0000AD120000}"/>
    <cellStyle name="Calculation 10 5 7 6" xfId="4813" xr:uid="{00000000-0005-0000-0000-0000AE120000}"/>
    <cellStyle name="Calculation 10 5 8" xfId="4814" xr:uid="{00000000-0005-0000-0000-0000AF120000}"/>
    <cellStyle name="Calculation 10 5 9" xfId="4815" xr:uid="{00000000-0005-0000-0000-0000B0120000}"/>
    <cellStyle name="Calculation 10 6" xfId="4816" xr:uid="{00000000-0005-0000-0000-0000B1120000}"/>
    <cellStyle name="Calculation 10 6 10" xfId="4817" xr:uid="{00000000-0005-0000-0000-0000B2120000}"/>
    <cellStyle name="Calculation 10 6 2" xfId="4818" xr:uid="{00000000-0005-0000-0000-0000B3120000}"/>
    <cellStyle name="Calculation 10 6 2 2" xfId="4819" xr:uid="{00000000-0005-0000-0000-0000B4120000}"/>
    <cellStyle name="Calculation 10 6 2 3" xfId="4820" xr:uid="{00000000-0005-0000-0000-0000B5120000}"/>
    <cellStyle name="Calculation 10 6 2 4" xfId="4821" xr:uid="{00000000-0005-0000-0000-0000B6120000}"/>
    <cellStyle name="Calculation 10 6 2 5" xfId="4822" xr:uid="{00000000-0005-0000-0000-0000B7120000}"/>
    <cellStyle name="Calculation 10 6 2 6" xfId="4823" xr:uid="{00000000-0005-0000-0000-0000B8120000}"/>
    <cellStyle name="Calculation 10 6 3" xfId="4824" xr:uid="{00000000-0005-0000-0000-0000B9120000}"/>
    <cellStyle name="Calculation 10 6 3 2" xfId="4825" xr:uid="{00000000-0005-0000-0000-0000BA120000}"/>
    <cellStyle name="Calculation 10 6 3 3" xfId="4826" xr:uid="{00000000-0005-0000-0000-0000BB120000}"/>
    <cellStyle name="Calculation 10 6 3 4" xfId="4827" xr:uid="{00000000-0005-0000-0000-0000BC120000}"/>
    <cellStyle name="Calculation 10 6 3 5" xfId="4828" xr:uid="{00000000-0005-0000-0000-0000BD120000}"/>
    <cellStyle name="Calculation 10 6 3 6" xfId="4829" xr:uid="{00000000-0005-0000-0000-0000BE120000}"/>
    <cellStyle name="Calculation 10 6 4" xfId="4830" xr:uid="{00000000-0005-0000-0000-0000BF120000}"/>
    <cellStyle name="Calculation 10 6 4 2" xfId="4831" xr:uid="{00000000-0005-0000-0000-0000C0120000}"/>
    <cellStyle name="Calculation 10 6 4 3" xfId="4832" xr:uid="{00000000-0005-0000-0000-0000C1120000}"/>
    <cellStyle name="Calculation 10 6 4 4" xfId="4833" xr:uid="{00000000-0005-0000-0000-0000C2120000}"/>
    <cellStyle name="Calculation 10 6 4 5" xfId="4834" xr:uid="{00000000-0005-0000-0000-0000C3120000}"/>
    <cellStyle name="Calculation 10 6 4 6" xfId="4835" xr:uid="{00000000-0005-0000-0000-0000C4120000}"/>
    <cellStyle name="Calculation 10 6 5" xfId="4836" xr:uid="{00000000-0005-0000-0000-0000C5120000}"/>
    <cellStyle name="Calculation 10 6 5 2" xfId="4837" xr:uid="{00000000-0005-0000-0000-0000C6120000}"/>
    <cellStyle name="Calculation 10 6 5 3" xfId="4838" xr:uid="{00000000-0005-0000-0000-0000C7120000}"/>
    <cellStyle name="Calculation 10 6 5 4" xfId="4839" xr:uid="{00000000-0005-0000-0000-0000C8120000}"/>
    <cellStyle name="Calculation 10 6 5 5" xfId="4840" xr:uid="{00000000-0005-0000-0000-0000C9120000}"/>
    <cellStyle name="Calculation 10 6 5 6" xfId="4841" xr:uid="{00000000-0005-0000-0000-0000CA120000}"/>
    <cellStyle name="Calculation 10 6 6" xfId="4842" xr:uid="{00000000-0005-0000-0000-0000CB120000}"/>
    <cellStyle name="Calculation 10 6 6 2" xfId="4843" xr:uid="{00000000-0005-0000-0000-0000CC120000}"/>
    <cellStyle name="Calculation 10 6 6 3" xfId="4844" xr:uid="{00000000-0005-0000-0000-0000CD120000}"/>
    <cellStyle name="Calculation 10 6 6 4" xfId="4845" xr:uid="{00000000-0005-0000-0000-0000CE120000}"/>
    <cellStyle name="Calculation 10 6 6 5" xfId="4846" xr:uid="{00000000-0005-0000-0000-0000CF120000}"/>
    <cellStyle name="Calculation 10 6 6 6" xfId="4847" xr:uid="{00000000-0005-0000-0000-0000D0120000}"/>
    <cellStyle name="Calculation 10 6 7" xfId="4848" xr:uid="{00000000-0005-0000-0000-0000D1120000}"/>
    <cellStyle name="Calculation 10 6 7 2" xfId="4849" xr:uid="{00000000-0005-0000-0000-0000D2120000}"/>
    <cellStyle name="Calculation 10 6 7 3" xfId="4850" xr:uid="{00000000-0005-0000-0000-0000D3120000}"/>
    <cellStyle name="Calculation 10 6 7 4" xfId="4851" xr:uid="{00000000-0005-0000-0000-0000D4120000}"/>
    <cellStyle name="Calculation 10 6 7 5" xfId="4852" xr:uid="{00000000-0005-0000-0000-0000D5120000}"/>
    <cellStyle name="Calculation 10 6 7 6" xfId="4853" xr:uid="{00000000-0005-0000-0000-0000D6120000}"/>
    <cellStyle name="Calculation 10 6 8" xfId="4854" xr:uid="{00000000-0005-0000-0000-0000D7120000}"/>
    <cellStyle name="Calculation 10 6 9" xfId="4855" xr:uid="{00000000-0005-0000-0000-0000D8120000}"/>
    <cellStyle name="Calculation 10 7" xfId="4856" xr:uid="{00000000-0005-0000-0000-0000D9120000}"/>
    <cellStyle name="Calculation 10 7 10" xfId="4857" xr:uid="{00000000-0005-0000-0000-0000DA120000}"/>
    <cellStyle name="Calculation 10 7 2" xfId="4858" xr:uid="{00000000-0005-0000-0000-0000DB120000}"/>
    <cellStyle name="Calculation 10 7 2 2" xfId="4859" xr:uid="{00000000-0005-0000-0000-0000DC120000}"/>
    <cellStyle name="Calculation 10 7 2 3" xfId="4860" xr:uid="{00000000-0005-0000-0000-0000DD120000}"/>
    <cellStyle name="Calculation 10 7 2 4" xfId="4861" xr:uid="{00000000-0005-0000-0000-0000DE120000}"/>
    <cellStyle name="Calculation 10 7 2 5" xfId="4862" xr:uid="{00000000-0005-0000-0000-0000DF120000}"/>
    <cellStyle name="Calculation 10 7 2 6" xfId="4863" xr:uid="{00000000-0005-0000-0000-0000E0120000}"/>
    <cellStyle name="Calculation 10 7 3" xfId="4864" xr:uid="{00000000-0005-0000-0000-0000E1120000}"/>
    <cellStyle name="Calculation 10 7 3 2" xfId="4865" xr:uid="{00000000-0005-0000-0000-0000E2120000}"/>
    <cellStyle name="Calculation 10 7 3 3" xfId="4866" xr:uid="{00000000-0005-0000-0000-0000E3120000}"/>
    <cellStyle name="Calculation 10 7 3 4" xfId="4867" xr:uid="{00000000-0005-0000-0000-0000E4120000}"/>
    <cellStyle name="Calculation 10 7 3 5" xfId="4868" xr:uid="{00000000-0005-0000-0000-0000E5120000}"/>
    <cellStyle name="Calculation 10 7 3 6" xfId="4869" xr:uid="{00000000-0005-0000-0000-0000E6120000}"/>
    <cellStyle name="Calculation 10 7 4" xfId="4870" xr:uid="{00000000-0005-0000-0000-0000E7120000}"/>
    <cellStyle name="Calculation 10 7 4 2" xfId="4871" xr:uid="{00000000-0005-0000-0000-0000E8120000}"/>
    <cellStyle name="Calculation 10 7 4 3" xfId="4872" xr:uid="{00000000-0005-0000-0000-0000E9120000}"/>
    <cellStyle name="Calculation 10 7 4 4" xfId="4873" xr:uid="{00000000-0005-0000-0000-0000EA120000}"/>
    <cellStyle name="Calculation 10 7 4 5" xfId="4874" xr:uid="{00000000-0005-0000-0000-0000EB120000}"/>
    <cellStyle name="Calculation 10 7 4 6" xfId="4875" xr:uid="{00000000-0005-0000-0000-0000EC120000}"/>
    <cellStyle name="Calculation 10 7 5" xfId="4876" xr:uid="{00000000-0005-0000-0000-0000ED120000}"/>
    <cellStyle name="Calculation 10 7 5 2" xfId="4877" xr:uid="{00000000-0005-0000-0000-0000EE120000}"/>
    <cellStyle name="Calculation 10 7 5 3" xfId="4878" xr:uid="{00000000-0005-0000-0000-0000EF120000}"/>
    <cellStyle name="Calculation 10 7 5 4" xfId="4879" xr:uid="{00000000-0005-0000-0000-0000F0120000}"/>
    <cellStyle name="Calculation 10 7 5 5" xfId="4880" xr:uid="{00000000-0005-0000-0000-0000F1120000}"/>
    <cellStyle name="Calculation 10 7 5 6" xfId="4881" xr:uid="{00000000-0005-0000-0000-0000F2120000}"/>
    <cellStyle name="Calculation 10 7 6" xfId="4882" xr:uid="{00000000-0005-0000-0000-0000F3120000}"/>
    <cellStyle name="Calculation 10 7 6 2" xfId="4883" xr:uid="{00000000-0005-0000-0000-0000F4120000}"/>
    <cellStyle name="Calculation 10 7 6 3" xfId="4884" xr:uid="{00000000-0005-0000-0000-0000F5120000}"/>
    <cellStyle name="Calculation 10 7 6 4" xfId="4885" xr:uid="{00000000-0005-0000-0000-0000F6120000}"/>
    <cellStyle name="Calculation 10 7 6 5" xfId="4886" xr:uid="{00000000-0005-0000-0000-0000F7120000}"/>
    <cellStyle name="Calculation 10 7 6 6" xfId="4887" xr:uid="{00000000-0005-0000-0000-0000F8120000}"/>
    <cellStyle name="Calculation 10 7 7" xfId="4888" xr:uid="{00000000-0005-0000-0000-0000F9120000}"/>
    <cellStyle name="Calculation 10 7 7 2" xfId="4889" xr:uid="{00000000-0005-0000-0000-0000FA120000}"/>
    <cellStyle name="Calculation 10 7 7 3" xfId="4890" xr:uid="{00000000-0005-0000-0000-0000FB120000}"/>
    <cellStyle name="Calculation 10 7 7 4" xfId="4891" xr:uid="{00000000-0005-0000-0000-0000FC120000}"/>
    <cellStyle name="Calculation 10 7 7 5" xfId="4892" xr:uid="{00000000-0005-0000-0000-0000FD120000}"/>
    <cellStyle name="Calculation 10 7 7 6" xfId="4893" xr:uid="{00000000-0005-0000-0000-0000FE120000}"/>
    <cellStyle name="Calculation 10 7 8" xfId="4894" xr:uid="{00000000-0005-0000-0000-0000FF120000}"/>
    <cellStyle name="Calculation 10 7 9" xfId="4895" xr:uid="{00000000-0005-0000-0000-000000130000}"/>
    <cellStyle name="Calculation 10 8" xfId="4896" xr:uid="{00000000-0005-0000-0000-000001130000}"/>
    <cellStyle name="Calculation 10 8 10" xfId="4897" xr:uid="{00000000-0005-0000-0000-000002130000}"/>
    <cellStyle name="Calculation 10 8 2" xfId="4898" xr:uid="{00000000-0005-0000-0000-000003130000}"/>
    <cellStyle name="Calculation 10 8 2 2" xfId="4899" xr:uid="{00000000-0005-0000-0000-000004130000}"/>
    <cellStyle name="Calculation 10 8 2 3" xfId="4900" xr:uid="{00000000-0005-0000-0000-000005130000}"/>
    <cellStyle name="Calculation 10 8 2 4" xfId="4901" xr:uid="{00000000-0005-0000-0000-000006130000}"/>
    <cellStyle name="Calculation 10 8 2 5" xfId="4902" xr:uid="{00000000-0005-0000-0000-000007130000}"/>
    <cellStyle name="Calculation 10 8 2 6" xfId="4903" xr:uid="{00000000-0005-0000-0000-000008130000}"/>
    <cellStyle name="Calculation 10 8 3" xfId="4904" xr:uid="{00000000-0005-0000-0000-000009130000}"/>
    <cellStyle name="Calculation 10 8 3 2" xfId="4905" xr:uid="{00000000-0005-0000-0000-00000A130000}"/>
    <cellStyle name="Calculation 10 8 3 3" xfId="4906" xr:uid="{00000000-0005-0000-0000-00000B130000}"/>
    <cellStyle name="Calculation 10 8 3 4" xfId="4907" xr:uid="{00000000-0005-0000-0000-00000C130000}"/>
    <cellStyle name="Calculation 10 8 3 5" xfId="4908" xr:uid="{00000000-0005-0000-0000-00000D130000}"/>
    <cellStyle name="Calculation 10 8 3 6" xfId="4909" xr:uid="{00000000-0005-0000-0000-00000E130000}"/>
    <cellStyle name="Calculation 10 8 4" xfId="4910" xr:uid="{00000000-0005-0000-0000-00000F130000}"/>
    <cellStyle name="Calculation 10 8 4 2" xfId="4911" xr:uid="{00000000-0005-0000-0000-000010130000}"/>
    <cellStyle name="Calculation 10 8 4 3" xfId="4912" xr:uid="{00000000-0005-0000-0000-000011130000}"/>
    <cellStyle name="Calculation 10 8 4 4" xfId="4913" xr:uid="{00000000-0005-0000-0000-000012130000}"/>
    <cellStyle name="Calculation 10 8 4 5" xfId="4914" xr:uid="{00000000-0005-0000-0000-000013130000}"/>
    <cellStyle name="Calculation 10 8 4 6" xfId="4915" xr:uid="{00000000-0005-0000-0000-000014130000}"/>
    <cellStyle name="Calculation 10 8 5" xfId="4916" xr:uid="{00000000-0005-0000-0000-000015130000}"/>
    <cellStyle name="Calculation 10 8 5 2" xfId="4917" xr:uid="{00000000-0005-0000-0000-000016130000}"/>
    <cellStyle name="Calculation 10 8 5 3" xfId="4918" xr:uid="{00000000-0005-0000-0000-000017130000}"/>
    <cellStyle name="Calculation 10 8 5 4" xfId="4919" xr:uid="{00000000-0005-0000-0000-000018130000}"/>
    <cellStyle name="Calculation 10 8 5 5" xfId="4920" xr:uid="{00000000-0005-0000-0000-000019130000}"/>
    <cellStyle name="Calculation 10 8 5 6" xfId="4921" xr:uid="{00000000-0005-0000-0000-00001A130000}"/>
    <cellStyle name="Calculation 10 8 6" xfId="4922" xr:uid="{00000000-0005-0000-0000-00001B130000}"/>
    <cellStyle name="Calculation 10 8 6 2" xfId="4923" xr:uid="{00000000-0005-0000-0000-00001C130000}"/>
    <cellStyle name="Calculation 10 8 6 3" xfId="4924" xr:uid="{00000000-0005-0000-0000-00001D130000}"/>
    <cellStyle name="Calculation 10 8 6 4" xfId="4925" xr:uid="{00000000-0005-0000-0000-00001E130000}"/>
    <cellStyle name="Calculation 10 8 6 5" xfId="4926" xr:uid="{00000000-0005-0000-0000-00001F130000}"/>
    <cellStyle name="Calculation 10 8 6 6" xfId="4927" xr:uid="{00000000-0005-0000-0000-000020130000}"/>
    <cellStyle name="Calculation 10 8 7" xfId="4928" xr:uid="{00000000-0005-0000-0000-000021130000}"/>
    <cellStyle name="Calculation 10 8 7 2" xfId="4929" xr:uid="{00000000-0005-0000-0000-000022130000}"/>
    <cellStyle name="Calculation 10 8 7 3" xfId="4930" xr:uid="{00000000-0005-0000-0000-000023130000}"/>
    <cellStyle name="Calculation 10 8 7 4" xfId="4931" xr:uid="{00000000-0005-0000-0000-000024130000}"/>
    <cellStyle name="Calculation 10 8 7 5" xfId="4932" xr:uid="{00000000-0005-0000-0000-000025130000}"/>
    <cellStyle name="Calculation 10 8 7 6" xfId="4933" xr:uid="{00000000-0005-0000-0000-000026130000}"/>
    <cellStyle name="Calculation 10 8 8" xfId="4934" xr:uid="{00000000-0005-0000-0000-000027130000}"/>
    <cellStyle name="Calculation 10 8 9" xfId="4935" xr:uid="{00000000-0005-0000-0000-000028130000}"/>
    <cellStyle name="Calculation 10 9" xfId="4936" xr:uid="{00000000-0005-0000-0000-000029130000}"/>
    <cellStyle name="Calculation 10 9 10" xfId="4937" xr:uid="{00000000-0005-0000-0000-00002A130000}"/>
    <cellStyle name="Calculation 10 9 2" xfId="4938" xr:uid="{00000000-0005-0000-0000-00002B130000}"/>
    <cellStyle name="Calculation 10 9 2 2" xfId="4939" xr:uid="{00000000-0005-0000-0000-00002C130000}"/>
    <cellStyle name="Calculation 10 9 2 3" xfId="4940" xr:uid="{00000000-0005-0000-0000-00002D130000}"/>
    <cellStyle name="Calculation 10 9 2 4" xfId="4941" xr:uid="{00000000-0005-0000-0000-00002E130000}"/>
    <cellStyle name="Calculation 10 9 2 5" xfId="4942" xr:uid="{00000000-0005-0000-0000-00002F130000}"/>
    <cellStyle name="Calculation 10 9 2 6" xfId="4943" xr:uid="{00000000-0005-0000-0000-000030130000}"/>
    <cellStyle name="Calculation 10 9 3" xfId="4944" xr:uid="{00000000-0005-0000-0000-000031130000}"/>
    <cellStyle name="Calculation 10 9 3 2" xfId="4945" xr:uid="{00000000-0005-0000-0000-000032130000}"/>
    <cellStyle name="Calculation 10 9 3 3" xfId="4946" xr:uid="{00000000-0005-0000-0000-000033130000}"/>
    <cellStyle name="Calculation 10 9 3 4" xfId="4947" xr:uid="{00000000-0005-0000-0000-000034130000}"/>
    <cellStyle name="Calculation 10 9 3 5" xfId="4948" xr:uid="{00000000-0005-0000-0000-000035130000}"/>
    <cellStyle name="Calculation 10 9 3 6" xfId="4949" xr:uid="{00000000-0005-0000-0000-000036130000}"/>
    <cellStyle name="Calculation 10 9 4" xfId="4950" xr:uid="{00000000-0005-0000-0000-000037130000}"/>
    <cellStyle name="Calculation 10 9 4 2" xfId="4951" xr:uid="{00000000-0005-0000-0000-000038130000}"/>
    <cellStyle name="Calculation 10 9 4 3" xfId="4952" xr:uid="{00000000-0005-0000-0000-000039130000}"/>
    <cellStyle name="Calculation 10 9 4 4" xfId="4953" xr:uid="{00000000-0005-0000-0000-00003A130000}"/>
    <cellStyle name="Calculation 10 9 4 5" xfId="4954" xr:uid="{00000000-0005-0000-0000-00003B130000}"/>
    <cellStyle name="Calculation 10 9 4 6" xfId="4955" xr:uid="{00000000-0005-0000-0000-00003C130000}"/>
    <cellStyle name="Calculation 10 9 5" xfId="4956" xr:uid="{00000000-0005-0000-0000-00003D130000}"/>
    <cellStyle name="Calculation 10 9 5 2" xfId="4957" xr:uid="{00000000-0005-0000-0000-00003E130000}"/>
    <cellStyle name="Calculation 10 9 5 3" xfId="4958" xr:uid="{00000000-0005-0000-0000-00003F130000}"/>
    <cellStyle name="Calculation 10 9 5 4" xfId="4959" xr:uid="{00000000-0005-0000-0000-000040130000}"/>
    <cellStyle name="Calculation 10 9 5 5" xfId="4960" xr:uid="{00000000-0005-0000-0000-000041130000}"/>
    <cellStyle name="Calculation 10 9 5 6" xfId="4961" xr:uid="{00000000-0005-0000-0000-000042130000}"/>
    <cellStyle name="Calculation 10 9 6" xfId="4962" xr:uid="{00000000-0005-0000-0000-000043130000}"/>
    <cellStyle name="Calculation 10 9 6 2" xfId="4963" xr:uid="{00000000-0005-0000-0000-000044130000}"/>
    <cellStyle name="Calculation 10 9 6 3" xfId="4964" xr:uid="{00000000-0005-0000-0000-000045130000}"/>
    <cellStyle name="Calculation 10 9 6 4" xfId="4965" xr:uid="{00000000-0005-0000-0000-000046130000}"/>
    <cellStyle name="Calculation 10 9 6 5" xfId="4966" xr:uid="{00000000-0005-0000-0000-000047130000}"/>
    <cellStyle name="Calculation 10 9 6 6" xfId="4967" xr:uid="{00000000-0005-0000-0000-000048130000}"/>
    <cellStyle name="Calculation 10 9 7" xfId="4968" xr:uid="{00000000-0005-0000-0000-000049130000}"/>
    <cellStyle name="Calculation 10 9 7 2" xfId="4969" xr:uid="{00000000-0005-0000-0000-00004A130000}"/>
    <cellStyle name="Calculation 10 9 7 3" xfId="4970" xr:uid="{00000000-0005-0000-0000-00004B130000}"/>
    <cellStyle name="Calculation 10 9 7 4" xfId="4971" xr:uid="{00000000-0005-0000-0000-00004C130000}"/>
    <cellStyle name="Calculation 10 9 7 5" xfId="4972" xr:uid="{00000000-0005-0000-0000-00004D130000}"/>
    <cellStyle name="Calculation 10 9 7 6" xfId="4973" xr:uid="{00000000-0005-0000-0000-00004E130000}"/>
    <cellStyle name="Calculation 10 9 8" xfId="4974" xr:uid="{00000000-0005-0000-0000-00004F130000}"/>
    <cellStyle name="Calculation 10 9 9" xfId="4975" xr:uid="{00000000-0005-0000-0000-000050130000}"/>
    <cellStyle name="Calculation 11" xfId="4976" xr:uid="{00000000-0005-0000-0000-000051130000}"/>
    <cellStyle name="Calculation 11 10" xfId="4977" xr:uid="{00000000-0005-0000-0000-000052130000}"/>
    <cellStyle name="Calculation 11 10 10" xfId="4978" xr:uid="{00000000-0005-0000-0000-000053130000}"/>
    <cellStyle name="Calculation 11 10 2" xfId="4979" xr:uid="{00000000-0005-0000-0000-000054130000}"/>
    <cellStyle name="Calculation 11 10 2 2" xfId="4980" xr:uid="{00000000-0005-0000-0000-000055130000}"/>
    <cellStyle name="Calculation 11 10 2 3" xfId="4981" xr:uid="{00000000-0005-0000-0000-000056130000}"/>
    <cellStyle name="Calculation 11 10 2 4" xfId="4982" xr:uid="{00000000-0005-0000-0000-000057130000}"/>
    <cellStyle name="Calculation 11 10 2 5" xfId="4983" xr:uid="{00000000-0005-0000-0000-000058130000}"/>
    <cellStyle name="Calculation 11 10 2 6" xfId="4984" xr:uid="{00000000-0005-0000-0000-000059130000}"/>
    <cellStyle name="Calculation 11 10 3" xfId="4985" xr:uid="{00000000-0005-0000-0000-00005A130000}"/>
    <cellStyle name="Calculation 11 10 3 2" xfId="4986" xr:uid="{00000000-0005-0000-0000-00005B130000}"/>
    <cellStyle name="Calculation 11 10 3 3" xfId="4987" xr:uid="{00000000-0005-0000-0000-00005C130000}"/>
    <cellStyle name="Calculation 11 10 3 4" xfId="4988" xr:uid="{00000000-0005-0000-0000-00005D130000}"/>
    <cellStyle name="Calculation 11 10 3 5" xfId="4989" xr:uid="{00000000-0005-0000-0000-00005E130000}"/>
    <cellStyle name="Calculation 11 10 3 6" xfId="4990" xr:uid="{00000000-0005-0000-0000-00005F130000}"/>
    <cellStyle name="Calculation 11 10 4" xfId="4991" xr:uid="{00000000-0005-0000-0000-000060130000}"/>
    <cellStyle name="Calculation 11 10 4 2" xfId="4992" xr:uid="{00000000-0005-0000-0000-000061130000}"/>
    <cellStyle name="Calculation 11 10 4 3" xfId="4993" xr:uid="{00000000-0005-0000-0000-000062130000}"/>
    <cellStyle name="Calculation 11 10 4 4" xfId="4994" xr:uid="{00000000-0005-0000-0000-000063130000}"/>
    <cellStyle name="Calculation 11 10 4 5" xfId="4995" xr:uid="{00000000-0005-0000-0000-000064130000}"/>
    <cellStyle name="Calculation 11 10 4 6" xfId="4996" xr:uid="{00000000-0005-0000-0000-000065130000}"/>
    <cellStyle name="Calculation 11 10 5" xfId="4997" xr:uid="{00000000-0005-0000-0000-000066130000}"/>
    <cellStyle name="Calculation 11 10 5 2" xfId="4998" xr:uid="{00000000-0005-0000-0000-000067130000}"/>
    <cellStyle name="Calculation 11 10 5 3" xfId="4999" xr:uid="{00000000-0005-0000-0000-000068130000}"/>
    <cellStyle name="Calculation 11 10 5 4" xfId="5000" xr:uid="{00000000-0005-0000-0000-000069130000}"/>
    <cellStyle name="Calculation 11 10 5 5" xfId="5001" xr:uid="{00000000-0005-0000-0000-00006A130000}"/>
    <cellStyle name="Calculation 11 10 5 6" xfId="5002" xr:uid="{00000000-0005-0000-0000-00006B130000}"/>
    <cellStyle name="Calculation 11 10 6" xfId="5003" xr:uid="{00000000-0005-0000-0000-00006C130000}"/>
    <cellStyle name="Calculation 11 10 6 2" xfId="5004" xr:uid="{00000000-0005-0000-0000-00006D130000}"/>
    <cellStyle name="Calculation 11 10 6 3" xfId="5005" xr:uid="{00000000-0005-0000-0000-00006E130000}"/>
    <cellStyle name="Calculation 11 10 6 4" xfId="5006" xr:uid="{00000000-0005-0000-0000-00006F130000}"/>
    <cellStyle name="Calculation 11 10 6 5" xfId="5007" xr:uid="{00000000-0005-0000-0000-000070130000}"/>
    <cellStyle name="Calculation 11 10 6 6" xfId="5008" xr:uid="{00000000-0005-0000-0000-000071130000}"/>
    <cellStyle name="Calculation 11 10 7" xfId="5009" xr:uid="{00000000-0005-0000-0000-000072130000}"/>
    <cellStyle name="Calculation 11 10 7 2" xfId="5010" xr:uid="{00000000-0005-0000-0000-000073130000}"/>
    <cellStyle name="Calculation 11 10 7 3" xfId="5011" xr:uid="{00000000-0005-0000-0000-000074130000}"/>
    <cellStyle name="Calculation 11 10 7 4" xfId="5012" xr:uid="{00000000-0005-0000-0000-000075130000}"/>
    <cellStyle name="Calculation 11 10 7 5" xfId="5013" xr:uid="{00000000-0005-0000-0000-000076130000}"/>
    <cellStyle name="Calculation 11 10 7 6" xfId="5014" xr:uid="{00000000-0005-0000-0000-000077130000}"/>
    <cellStyle name="Calculation 11 10 8" xfId="5015" xr:uid="{00000000-0005-0000-0000-000078130000}"/>
    <cellStyle name="Calculation 11 10 9" xfId="5016" xr:uid="{00000000-0005-0000-0000-000079130000}"/>
    <cellStyle name="Calculation 11 11" xfId="5017" xr:uid="{00000000-0005-0000-0000-00007A130000}"/>
    <cellStyle name="Calculation 11 11 10" xfId="5018" xr:uid="{00000000-0005-0000-0000-00007B130000}"/>
    <cellStyle name="Calculation 11 11 2" xfId="5019" xr:uid="{00000000-0005-0000-0000-00007C130000}"/>
    <cellStyle name="Calculation 11 11 2 2" xfId="5020" xr:uid="{00000000-0005-0000-0000-00007D130000}"/>
    <cellStyle name="Calculation 11 11 2 3" xfId="5021" xr:uid="{00000000-0005-0000-0000-00007E130000}"/>
    <cellStyle name="Calculation 11 11 2 4" xfId="5022" xr:uid="{00000000-0005-0000-0000-00007F130000}"/>
    <cellStyle name="Calculation 11 11 2 5" xfId="5023" xr:uid="{00000000-0005-0000-0000-000080130000}"/>
    <cellStyle name="Calculation 11 11 2 6" xfId="5024" xr:uid="{00000000-0005-0000-0000-000081130000}"/>
    <cellStyle name="Calculation 11 11 3" xfId="5025" xr:uid="{00000000-0005-0000-0000-000082130000}"/>
    <cellStyle name="Calculation 11 11 3 2" xfId="5026" xr:uid="{00000000-0005-0000-0000-000083130000}"/>
    <cellStyle name="Calculation 11 11 3 3" xfId="5027" xr:uid="{00000000-0005-0000-0000-000084130000}"/>
    <cellStyle name="Calculation 11 11 3 4" xfId="5028" xr:uid="{00000000-0005-0000-0000-000085130000}"/>
    <cellStyle name="Calculation 11 11 3 5" xfId="5029" xr:uid="{00000000-0005-0000-0000-000086130000}"/>
    <cellStyle name="Calculation 11 11 3 6" xfId="5030" xr:uid="{00000000-0005-0000-0000-000087130000}"/>
    <cellStyle name="Calculation 11 11 4" xfId="5031" xr:uid="{00000000-0005-0000-0000-000088130000}"/>
    <cellStyle name="Calculation 11 11 4 2" xfId="5032" xr:uid="{00000000-0005-0000-0000-000089130000}"/>
    <cellStyle name="Calculation 11 11 4 3" xfId="5033" xr:uid="{00000000-0005-0000-0000-00008A130000}"/>
    <cellStyle name="Calculation 11 11 4 4" xfId="5034" xr:uid="{00000000-0005-0000-0000-00008B130000}"/>
    <cellStyle name="Calculation 11 11 4 5" xfId="5035" xr:uid="{00000000-0005-0000-0000-00008C130000}"/>
    <cellStyle name="Calculation 11 11 4 6" xfId="5036" xr:uid="{00000000-0005-0000-0000-00008D130000}"/>
    <cellStyle name="Calculation 11 11 5" xfId="5037" xr:uid="{00000000-0005-0000-0000-00008E130000}"/>
    <cellStyle name="Calculation 11 11 5 2" xfId="5038" xr:uid="{00000000-0005-0000-0000-00008F130000}"/>
    <cellStyle name="Calculation 11 11 5 3" xfId="5039" xr:uid="{00000000-0005-0000-0000-000090130000}"/>
    <cellStyle name="Calculation 11 11 5 4" xfId="5040" xr:uid="{00000000-0005-0000-0000-000091130000}"/>
    <cellStyle name="Calculation 11 11 5 5" xfId="5041" xr:uid="{00000000-0005-0000-0000-000092130000}"/>
    <cellStyle name="Calculation 11 11 5 6" xfId="5042" xr:uid="{00000000-0005-0000-0000-000093130000}"/>
    <cellStyle name="Calculation 11 11 6" xfId="5043" xr:uid="{00000000-0005-0000-0000-000094130000}"/>
    <cellStyle name="Calculation 11 11 6 2" xfId="5044" xr:uid="{00000000-0005-0000-0000-000095130000}"/>
    <cellStyle name="Calculation 11 11 6 3" xfId="5045" xr:uid="{00000000-0005-0000-0000-000096130000}"/>
    <cellStyle name="Calculation 11 11 6 4" xfId="5046" xr:uid="{00000000-0005-0000-0000-000097130000}"/>
    <cellStyle name="Calculation 11 11 6 5" xfId="5047" xr:uid="{00000000-0005-0000-0000-000098130000}"/>
    <cellStyle name="Calculation 11 11 6 6" xfId="5048" xr:uid="{00000000-0005-0000-0000-000099130000}"/>
    <cellStyle name="Calculation 11 11 7" xfId="5049" xr:uid="{00000000-0005-0000-0000-00009A130000}"/>
    <cellStyle name="Calculation 11 11 7 2" xfId="5050" xr:uid="{00000000-0005-0000-0000-00009B130000}"/>
    <cellStyle name="Calculation 11 11 7 3" xfId="5051" xr:uid="{00000000-0005-0000-0000-00009C130000}"/>
    <cellStyle name="Calculation 11 11 7 4" xfId="5052" xr:uid="{00000000-0005-0000-0000-00009D130000}"/>
    <cellStyle name="Calculation 11 11 7 5" xfId="5053" xr:uid="{00000000-0005-0000-0000-00009E130000}"/>
    <cellStyle name="Calculation 11 11 7 6" xfId="5054" xr:uid="{00000000-0005-0000-0000-00009F130000}"/>
    <cellStyle name="Calculation 11 11 8" xfId="5055" xr:uid="{00000000-0005-0000-0000-0000A0130000}"/>
    <cellStyle name="Calculation 11 11 9" xfId="5056" xr:uid="{00000000-0005-0000-0000-0000A1130000}"/>
    <cellStyle name="Calculation 11 12" xfId="5057" xr:uid="{00000000-0005-0000-0000-0000A2130000}"/>
    <cellStyle name="Calculation 11 12 10" xfId="5058" xr:uid="{00000000-0005-0000-0000-0000A3130000}"/>
    <cellStyle name="Calculation 11 12 2" xfId="5059" xr:uid="{00000000-0005-0000-0000-0000A4130000}"/>
    <cellStyle name="Calculation 11 12 2 2" xfId="5060" xr:uid="{00000000-0005-0000-0000-0000A5130000}"/>
    <cellStyle name="Calculation 11 12 2 3" xfId="5061" xr:uid="{00000000-0005-0000-0000-0000A6130000}"/>
    <cellStyle name="Calculation 11 12 2 4" xfId="5062" xr:uid="{00000000-0005-0000-0000-0000A7130000}"/>
    <cellStyle name="Calculation 11 12 2 5" xfId="5063" xr:uid="{00000000-0005-0000-0000-0000A8130000}"/>
    <cellStyle name="Calculation 11 12 2 6" xfId="5064" xr:uid="{00000000-0005-0000-0000-0000A9130000}"/>
    <cellStyle name="Calculation 11 12 3" xfId="5065" xr:uid="{00000000-0005-0000-0000-0000AA130000}"/>
    <cellStyle name="Calculation 11 12 3 2" xfId="5066" xr:uid="{00000000-0005-0000-0000-0000AB130000}"/>
    <cellStyle name="Calculation 11 12 3 3" xfId="5067" xr:uid="{00000000-0005-0000-0000-0000AC130000}"/>
    <cellStyle name="Calculation 11 12 3 4" xfId="5068" xr:uid="{00000000-0005-0000-0000-0000AD130000}"/>
    <cellStyle name="Calculation 11 12 3 5" xfId="5069" xr:uid="{00000000-0005-0000-0000-0000AE130000}"/>
    <cellStyle name="Calculation 11 12 3 6" xfId="5070" xr:uid="{00000000-0005-0000-0000-0000AF130000}"/>
    <cellStyle name="Calculation 11 12 4" xfId="5071" xr:uid="{00000000-0005-0000-0000-0000B0130000}"/>
    <cellStyle name="Calculation 11 12 4 2" xfId="5072" xr:uid="{00000000-0005-0000-0000-0000B1130000}"/>
    <cellStyle name="Calculation 11 12 4 3" xfId="5073" xr:uid="{00000000-0005-0000-0000-0000B2130000}"/>
    <cellStyle name="Calculation 11 12 4 4" xfId="5074" xr:uid="{00000000-0005-0000-0000-0000B3130000}"/>
    <cellStyle name="Calculation 11 12 4 5" xfId="5075" xr:uid="{00000000-0005-0000-0000-0000B4130000}"/>
    <cellStyle name="Calculation 11 12 4 6" xfId="5076" xr:uid="{00000000-0005-0000-0000-0000B5130000}"/>
    <cellStyle name="Calculation 11 12 5" xfId="5077" xr:uid="{00000000-0005-0000-0000-0000B6130000}"/>
    <cellStyle name="Calculation 11 12 5 2" xfId="5078" xr:uid="{00000000-0005-0000-0000-0000B7130000}"/>
    <cellStyle name="Calculation 11 12 5 3" xfId="5079" xr:uid="{00000000-0005-0000-0000-0000B8130000}"/>
    <cellStyle name="Calculation 11 12 5 4" xfId="5080" xr:uid="{00000000-0005-0000-0000-0000B9130000}"/>
    <cellStyle name="Calculation 11 12 5 5" xfId="5081" xr:uid="{00000000-0005-0000-0000-0000BA130000}"/>
    <cellStyle name="Calculation 11 12 5 6" xfId="5082" xr:uid="{00000000-0005-0000-0000-0000BB130000}"/>
    <cellStyle name="Calculation 11 12 6" xfId="5083" xr:uid="{00000000-0005-0000-0000-0000BC130000}"/>
    <cellStyle name="Calculation 11 12 6 2" xfId="5084" xr:uid="{00000000-0005-0000-0000-0000BD130000}"/>
    <cellStyle name="Calculation 11 12 6 3" xfId="5085" xr:uid="{00000000-0005-0000-0000-0000BE130000}"/>
    <cellStyle name="Calculation 11 12 6 4" xfId="5086" xr:uid="{00000000-0005-0000-0000-0000BF130000}"/>
    <cellStyle name="Calculation 11 12 6 5" xfId="5087" xr:uid="{00000000-0005-0000-0000-0000C0130000}"/>
    <cellStyle name="Calculation 11 12 6 6" xfId="5088" xr:uid="{00000000-0005-0000-0000-0000C1130000}"/>
    <cellStyle name="Calculation 11 12 7" xfId="5089" xr:uid="{00000000-0005-0000-0000-0000C2130000}"/>
    <cellStyle name="Calculation 11 12 7 2" xfId="5090" xr:uid="{00000000-0005-0000-0000-0000C3130000}"/>
    <cellStyle name="Calculation 11 12 7 3" xfId="5091" xr:uid="{00000000-0005-0000-0000-0000C4130000}"/>
    <cellStyle name="Calculation 11 12 7 4" xfId="5092" xr:uid="{00000000-0005-0000-0000-0000C5130000}"/>
    <cellStyle name="Calculation 11 12 7 5" xfId="5093" xr:uid="{00000000-0005-0000-0000-0000C6130000}"/>
    <cellStyle name="Calculation 11 12 7 6" xfId="5094" xr:uid="{00000000-0005-0000-0000-0000C7130000}"/>
    <cellStyle name="Calculation 11 12 8" xfId="5095" xr:uid="{00000000-0005-0000-0000-0000C8130000}"/>
    <cellStyle name="Calculation 11 12 9" xfId="5096" xr:uid="{00000000-0005-0000-0000-0000C9130000}"/>
    <cellStyle name="Calculation 11 13" xfId="5097" xr:uid="{00000000-0005-0000-0000-0000CA130000}"/>
    <cellStyle name="Calculation 11 13 10" xfId="5098" xr:uid="{00000000-0005-0000-0000-0000CB130000}"/>
    <cellStyle name="Calculation 11 13 2" xfId="5099" xr:uid="{00000000-0005-0000-0000-0000CC130000}"/>
    <cellStyle name="Calculation 11 13 2 2" xfId="5100" xr:uid="{00000000-0005-0000-0000-0000CD130000}"/>
    <cellStyle name="Calculation 11 13 2 3" xfId="5101" xr:uid="{00000000-0005-0000-0000-0000CE130000}"/>
    <cellStyle name="Calculation 11 13 2 4" xfId="5102" xr:uid="{00000000-0005-0000-0000-0000CF130000}"/>
    <cellStyle name="Calculation 11 13 2 5" xfId="5103" xr:uid="{00000000-0005-0000-0000-0000D0130000}"/>
    <cellStyle name="Calculation 11 13 2 6" xfId="5104" xr:uid="{00000000-0005-0000-0000-0000D1130000}"/>
    <cellStyle name="Calculation 11 13 3" xfId="5105" xr:uid="{00000000-0005-0000-0000-0000D2130000}"/>
    <cellStyle name="Calculation 11 13 3 2" xfId="5106" xr:uid="{00000000-0005-0000-0000-0000D3130000}"/>
    <cellStyle name="Calculation 11 13 3 3" xfId="5107" xr:uid="{00000000-0005-0000-0000-0000D4130000}"/>
    <cellStyle name="Calculation 11 13 3 4" xfId="5108" xr:uid="{00000000-0005-0000-0000-0000D5130000}"/>
    <cellStyle name="Calculation 11 13 3 5" xfId="5109" xr:uid="{00000000-0005-0000-0000-0000D6130000}"/>
    <cellStyle name="Calculation 11 13 3 6" xfId="5110" xr:uid="{00000000-0005-0000-0000-0000D7130000}"/>
    <cellStyle name="Calculation 11 13 4" xfId="5111" xr:uid="{00000000-0005-0000-0000-0000D8130000}"/>
    <cellStyle name="Calculation 11 13 4 2" xfId="5112" xr:uid="{00000000-0005-0000-0000-0000D9130000}"/>
    <cellStyle name="Calculation 11 13 4 3" xfId="5113" xr:uid="{00000000-0005-0000-0000-0000DA130000}"/>
    <cellStyle name="Calculation 11 13 4 4" xfId="5114" xr:uid="{00000000-0005-0000-0000-0000DB130000}"/>
    <cellStyle name="Calculation 11 13 4 5" xfId="5115" xr:uid="{00000000-0005-0000-0000-0000DC130000}"/>
    <cellStyle name="Calculation 11 13 4 6" xfId="5116" xr:uid="{00000000-0005-0000-0000-0000DD130000}"/>
    <cellStyle name="Calculation 11 13 5" xfId="5117" xr:uid="{00000000-0005-0000-0000-0000DE130000}"/>
    <cellStyle name="Calculation 11 13 5 2" xfId="5118" xr:uid="{00000000-0005-0000-0000-0000DF130000}"/>
    <cellStyle name="Calculation 11 13 5 3" xfId="5119" xr:uid="{00000000-0005-0000-0000-0000E0130000}"/>
    <cellStyle name="Calculation 11 13 5 4" xfId="5120" xr:uid="{00000000-0005-0000-0000-0000E1130000}"/>
    <cellStyle name="Calculation 11 13 5 5" xfId="5121" xr:uid="{00000000-0005-0000-0000-0000E2130000}"/>
    <cellStyle name="Calculation 11 13 5 6" xfId="5122" xr:uid="{00000000-0005-0000-0000-0000E3130000}"/>
    <cellStyle name="Calculation 11 13 6" xfId="5123" xr:uid="{00000000-0005-0000-0000-0000E4130000}"/>
    <cellStyle name="Calculation 11 13 6 2" xfId="5124" xr:uid="{00000000-0005-0000-0000-0000E5130000}"/>
    <cellStyle name="Calculation 11 13 6 3" xfId="5125" xr:uid="{00000000-0005-0000-0000-0000E6130000}"/>
    <cellStyle name="Calculation 11 13 6 4" xfId="5126" xr:uid="{00000000-0005-0000-0000-0000E7130000}"/>
    <cellStyle name="Calculation 11 13 6 5" xfId="5127" xr:uid="{00000000-0005-0000-0000-0000E8130000}"/>
    <cellStyle name="Calculation 11 13 6 6" xfId="5128" xr:uid="{00000000-0005-0000-0000-0000E9130000}"/>
    <cellStyle name="Calculation 11 13 7" xfId="5129" xr:uid="{00000000-0005-0000-0000-0000EA130000}"/>
    <cellStyle name="Calculation 11 13 7 2" xfId="5130" xr:uid="{00000000-0005-0000-0000-0000EB130000}"/>
    <cellStyle name="Calculation 11 13 7 3" xfId="5131" xr:uid="{00000000-0005-0000-0000-0000EC130000}"/>
    <cellStyle name="Calculation 11 13 7 4" xfId="5132" xr:uid="{00000000-0005-0000-0000-0000ED130000}"/>
    <cellStyle name="Calculation 11 13 7 5" xfId="5133" xr:uid="{00000000-0005-0000-0000-0000EE130000}"/>
    <cellStyle name="Calculation 11 13 7 6" xfId="5134" xr:uid="{00000000-0005-0000-0000-0000EF130000}"/>
    <cellStyle name="Calculation 11 13 8" xfId="5135" xr:uid="{00000000-0005-0000-0000-0000F0130000}"/>
    <cellStyle name="Calculation 11 13 9" xfId="5136" xr:uid="{00000000-0005-0000-0000-0000F1130000}"/>
    <cellStyle name="Calculation 11 14" xfId="5137" xr:uid="{00000000-0005-0000-0000-0000F2130000}"/>
    <cellStyle name="Calculation 11 14 10" xfId="5138" xr:uid="{00000000-0005-0000-0000-0000F3130000}"/>
    <cellStyle name="Calculation 11 14 2" xfId="5139" xr:uid="{00000000-0005-0000-0000-0000F4130000}"/>
    <cellStyle name="Calculation 11 14 2 2" xfId="5140" xr:uid="{00000000-0005-0000-0000-0000F5130000}"/>
    <cellStyle name="Calculation 11 14 2 3" xfId="5141" xr:uid="{00000000-0005-0000-0000-0000F6130000}"/>
    <cellStyle name="Calculation 11 14 2 4" xfId="5142" xr:uid="{00000000-0005-0000-0000-0000F7130000}"/>
    <cellStyle name="Calculation 11 14 2 5" xfId="5143" xr:uid="{00000000-0005-0000-0000-0000F8130000}"/>
    <cellStyle name="Calculation 11 14 2 6" xfId="5144" xr:uid="{00000000-0005-0000-0000-0000F9130000}"/>
    <cellStyle name="Calculation 11 14 3" xfId="5145" xr:uid="{00000000-0005-0000-0000-0000FA130000}"/>
    <cellStyle name="Calculation 11 14 3 2" xfId="5146" xr:uid="{00000000-0005-0000-0000-0000FB130000}"/>
    <cellStyle name="Calculation 11 14 3 3" xfId="5147" xr:uid="{00000000-0005-0000-0000-0000FC130000}"/>
    <cellStyle name="Calculation 11 14 3 4" xfId="5148" xr:uid="{00000000-0005-0000-0000-0000FD130000}"/>
    <cellStyle name="Calculation 11 14 3 5" xfId="5149" xr:uid="{00000000-0005-0000-0000-0000FE130000}"/>
    <cellStyle name="Calculation 11 14 3 6" xfId="5150" xr:uid="{00000000-0005-0000-0000-0000FF130000}"/>
    <cellStyle name="Calculation 11 14 4" xfId="5151" xr:uid="{00000000-0005-0000-0000-000000140000}"/>
    <cellStyle name="Calculation 11 14 4 2" xfId="5152" xr:uid="{00000000-0005-0000-0000-000001140000}"/>
    <cellStyle name="Calculation 11 14 4 3" xfId="5153" xr:uid="{00000000-0005-0000-0000-000002140000}"/>
    <cellStyle name="Calculation 11 14 4 4" xfId="5154" xr:uid="{00000000-0005-0000-0000-000003140000}"/>
    <cellStyle name="Calculation 11 14 4 5" xfId="5155" xr:uid="{00000000-0005-0000-0000-000004140000}"/>
    <cellStyle name="Calculation 11 14 4 6" xfId="5156" xr:uid="{00000000-0005-0000-0000-000005140000}"/>
    <cellStyle name="Calculation 11 14 5" xfId="5157" xr:uid="{00000000-0005-0000-0000-000006140000}"/>
    <cellStyle name="Calculation 11 14 5 2" xfId="5158" xr:uid="{00000000-0005-0000-0000-000007140000}"/>
    <cellStyle name="Calculation 11 14 5 3" xfId="5159" xr:uid="{00000000-0005-0000-0000-000008140000}"/>
    <cellStyle name="Calculation 11 14 5 4" xfId="5160" xr:uid="{00000000-0005-0000-0000-000009140000}"/>
    <cellStyle name="Calculation 11 14 5 5" xfId="5161" xr:uid="{00000000-0005-0000-0000-00000A140000}"/>
    <cellStyle name="Calculation 11 14 5 6" xfId="5162" xr:uid="{00000000-0005-0000-0000-00000B140000}"/>
    <cellStyle name="Calculation 11 14 6" xfId="5163" xr:uid="{00000000-0005-0000-0000-00000C140000}"/>
    <cellStyle name="Calculation 11 14 6 2" xfId="5164" xr:uid="{00000000-0005-0000-0000-00000D140000}"/>
    <cellStyle name="Calculation 11 14 6 3" xfId="5165" xr:uid="{00000000-0005-0000-0000-00000E140000}"/>
    <cellStyle name="Calculation 11 14 6 4" xfId="5166" xr:uid="{00000000-0005-0000-0000-00000F140000}"/>
    <cellStyle name="Calculation 11 14 6 5" xfId="5167" xr:uid="{00000000-0005-0000-0000-000010140000}"/>
    <cellStyle name="Calculation 11 14 6 6" xfId="5168" xr:uid="{00000000-0005-0000-0000-000011140000}"/>
    <cellStyle name="Calculation 11 14 7" xfId="5169" xr:uid="{00000000-0005-0000-0000-000012140000}"/>
    <cellStyle name="Calculation 11 14 7 2" xfId="5170" xr:uid="{00000000-0005-0000-0000-000013140000}"/>
    <cellStyle name="Calculation 11 14 7 3" xfId="5171" xr:uid="{00000000-0005-0000-0000-000014140000}"/>
    <cellStyle name="Calculation 11 14 7 4" xfId="5172" xr:uid="{00000000-0005-0000-0000-000015140000}"/>
    <cellStyle name="Calculation 11 14 7 5" xfId="5173" xr:uid="{00000000-0005-0000-0000-000016140000}"/>
    <cellStyle name="Calculation 11 14 7 6" xfId="5174" xr:uid="{00000000-0005-0000-0000-000017140000}"/>
    <cellStyle name="Calculation 11 14 8" xfId="5175" xr:uid="{00000000-0005-0000-0000-000018140000}"/>
    <cellStyle name="Calculation 11 14 9" xfId="5176" xr:uid="{00000000-0005-0000-0000-000019140000}"/>
    <cellStyle name="Calculation 11 15" xfId="5177" xr:uid="{00000000-0005-0000-0000-00001A140000}"/>
    <cellStyle name="Calculation 11 15 10" xfId="5178" xr:uid="{00000000-0005-0000-0000-00001B140000}"/>
    <cellStyle name="Calculation 11 15 2" xfId="5179" xr:uid="{00000000-0005-0000-0000-00001C140000}"/>
    <cellStyle name="Calculation 11 15 2 2" xfId="5180" xr:uid="{00000000-0005-0000-0000-00001D140000}"/>
    <cellStyle name="Calculation 11 15 2 3" xfId="5181" xr:uid="{00000000-0005-0000-0000-00001E140000}"/>
    <cellStyle name="Calculation 11 15 2 4" xfId="5182" xr:uid="{00000000-0005-0000-0000-00001F140000}"/>
    <cellStyle name="Calculation 11 15 2 5" xfId="5183" xr:uid="{00000000-0005-0000-0000-000020140000}"/>
    <cellStyle name="Calculation 11 15 2 6" xfId="5184" xr:uid="{00000000-0005-0000-0000-000021140000}"/>
    <cellStyle name="Calculation 11 15 3" xfId="5185" xr:uid="{00000000-0005-0000-0000-000022140000}"/>
    <cellStyle name="Calculation 11 15 3 2" xfId="5186" xr:uid="{00000000-0005-0000-0000-000023140000}"/>
    <cellStyle name="Calculation 11 15 3 3" xfId="5187" xr:uid="{00000000-0005-0000-0000-000024140000}"/>
    <cellStyle name="Calculation 11 15 3 4" xfId="5188" xr:uid="{00000000-0005-0000-0000-000025140000}"/>
    <cellStyle name="Calculation 11 15 3 5" xfId="5189" xr:uid="{00000000-0005-0000-0000-000026140000}"/>
    <cellStyle name="Calculation 11 15 3 6" xfId="5190" xr:uid="{00000000-0005-0000-0000-000027140000}"/>
    <cellStyle name="Calculation 11 15 4" xfId="5191" xr:uid="{00000000-0005-0000-0000-000028140000}"/>
    <cellStyle name="Calculation 11 15 4 2" xfId="5192" xr:uid="{00000000-0005-0000-0000-000029140000}"/>
    <cellStyle name="Calculation 11 15 4 3" xfId="5193" xr:uid="{00000000-0005-0000-0000-00002A140000}"/>
    <cellStyle name="Calculation 11 15 4 4" xfId="5194" xr:uid="{00000000-0005-0000-0000-00002B140000}"/>
    <cellStyle name="Calculation 11 15 4 5" xfId="5195" xr:uid="{00000000-0005-0000-0000-00002C140000}"/>
    <cellStyle name="Calculation 11 15 4 6" xfId="5196" xr:uid="{00000000-0005-0000-0000-00002D140000}"/>
    <cellStyle name="Calculation 11 15 5" xfId="5197" xr:uid="{00000000-0005-0000-0000-00002E140000}"/>
    <cellStyle name="Calculation 11 15 5 2" xfId="5198" xr:uid="{00000000-0005-0000-0000-00002F140000}"/>
    <cellStyle name="Calculation 11 15 5 3" xfId="5199" xr:uid="{00000000-0005-0000-0000-000030140000}"/>
    <cellStyle name="Calculation 11 15 5 4" xfId="5200" xr:uid="{00000000-0005-0000-0000-000031140000}"/>
    <cellStyle name="Calculation 11 15 5 5" xfId="5201" xr:uid="{00000000-0005-0000-0000-000032140000}"/>
    <cellStyle name="Calculation 11 15 5 6" xfId="5202" xr:uid="{00000000-0005-0000-0000-000033140000}"/>
    <cellStyle name="Calculation 11 15 6" xfId="5203" xr:uid="{00000000-0005-0000-0000-000034140000}"/>
    <cellStyle name="Calculation 11 15 6 2" xfId="5204" xr:uid="{00000000-0005-0000-0000-000035140000}"/>
    <cellStyle name="Calculation 11 15 6 3" xfId="5205" xr:uid="{00000000-0005-0000-0000-000036140000}"/>
    <cellStyle name="Calculation 11 15 6 4" xfId="5206" xr:uid="{00000000-0005-0000-0000-000037140000}"/>
    <cellStyle name="Calculation 11 15 6 5" xfId="5207" xr:uid="{00000000-0005-0000-0000-000038140000}"/>
    <cellStyle name="Calculation 11 15 6 6" xfId="5208" xr:uid="{00000000-0005-0000-0000-000039140000}"/>
    <cellStyle name="Calculation 11 15 7" xfId="5209" xr:uid="{00000000-0005-0000-0000-00003A140000}"/>
    <cellStyle name="Calculation 11 15 7 2" xfId="5210" xr:uid="{00000000-0005-0000-0000-00003B140000}"/>
    <cellStyle name="Calculation 11 15 7 3" xfId="5211" xr:uid="{00000000-0005-0000-0000-00003C140000}"/>
    <cellStyle name="Calculation 11 15 7 4" xfId="5212" xr:uid="{00000000-0005-0000-0000-00003D140000}"/>
    <cellStyle name="Calculation 11 15 7 5" xfId="5213" xr:uid="{00000000-0005-0000-0000-00003E140000}"/>
    <cellStyle name="Calculation 11 15 7 6" xfId="5214" xr:uid="{00000000-0005-0000-0000-00003F140000}"/>
    <cellStyle name="Calculation 11 15 8" xfId="5215" xr:uid="{00000000-0005-0000-0000-000040140000}"/>
    <cellStyle name="Calculation 11 15 9" xfId="5216" xr:uid="{00000000-0005-0000-0000-000041140000}"/>
    <cellStyle name="Calculation 11 16" xfId="5217" xr:uid="{00000000-0005-0000-0000-000042140000}"/>
    <cellStyle name="Calculation 11 16 10" xfId="5218" xr:uid="{00000000-0005-0000-0000-000043140000}"/>
    <cellStyle name="Calculation 11 16 2" xfId="5219" xr:uid="{00000000-0005-0000-0000-000044140000}"/>
    <cellStyle name="Calculation 11 16 2 2" xfId="5220" xr:uid="{00000000-0005-0000-0000-000045140000}"/>
    <cellStyle name="Calculation 11 16 2 3" xfId="5221" xr:uid="{00000000-0005-0000-0000-000046140000}"/>
    <cellStyle name="Calculation 11 16 2 4" xfId="5222" xr:uid="{00000000-0005-0000-0000-000047140000}"/>
    <cellStyle name="Calculation 11 16 2 5" xfId="5223" xr:uid="{00000000-0005-0000-0000-000048140000}"/>
    <cellStyle name="Calculation 11 16 2 6" xfId="5224" xr:uid="{00000000-0005-0000-0000-000049140000}"/>
    <cellStyle name="Calculation 11 16 3" xfId="5225" xr:uid="{00000000-0005-0000-0000-00004A140000}"/>
    <cellStyle name="Calculation 11 16 3 2" xfId="5226" xr:uid="{00000000-0005-0000-0000-00004B140000}"/>
    <cellStyle name="Calculation 11 16 3 3" xfId="5227" xr:uid="{00000000-0005-0000-0000-00004C140000}"/>
    <cellStyle name="Calculation 11 16 3 4" xfId="5228" xr:uid="{00000000-0005-0000-0000-00004D140000}"/>
    <cellStyle name="Calculation 11 16 3 5" xfId="5229" xr:uid="{00000000-0005-0000-0000-00004E140000}"/>
    <cellStyle name="Calculation 11 16 3 6" xfId="5230" xr:uid="{00000000-0005-0000-0000-00004F140000}"/>
    <cellStyle name="Calculation 11 16 4" xfId="5231" xr:uid="{00000000-0005-0000-0000-000050140000}"/>
    <cellStyle name="Calculation 11 16 4 2" xfId="5232" xr:uid="{00000000-0005-0000-0000-000051140000}"/>
    <cellStyle name="Calculation 11 16 4 3" xfId="5233" xr:uid="{00000000-0005-0000-0000-000052140000}"/>
    <cellStyle name="Calculation 11 16 4 4" xfId="5234" xr:uid="{00000000-0005-0000-0000-000053140000}"/>
    <cellStyle name="Calculation 11 16 4 5" xfId="5235" xr:uid="{00000000-0005-0000-0000-000054140000}"/>
    <cellStyle name="Calculation 11 16 4 6" xfId="5236" xr:uid="{00000000-0005-0000-0000-000055140000}"/>
    <cellStyle name="Calculation 11 16 5" xfId="5237" xr:uid="{00000000-0005-0000-0000-000056140000}"/>
    <cellStyle name="Calculation 11 16 5 2" xfId="5238" xr:uid="{00000000-0005-0000-0000-000057140000}"/>
    <cellStyle name="Calculation 11 16 5 3" xfId="5239" xr:uid="{00000000-0005-0000-0000-000058140000}"/>
    <cellStyle name="Calculation 11 16 5 4" xfId="5240" xr:uid="{00000000-0005-0000-0000-000059140000}"/>
    <cellStyle name="Calculation 11 16 5 5" xfId="5241" xr:uid="{00000000-0005-0000-0000-00005A140000}"/>
    <cellStyle name="Calculation 11 16 5 6" xfId="5242" xr:uid="{00000000-0005-0000-0000-00005B140000}"/>
    <cellStyle name="Calculation 11 16 6" xfId="5243" xr:uid="{00000000-0005-0000-0000-00005C140000}"/>
    <cellStyle name="Calculation 11 16 6 2" xfId="5244" xr:uid="{00000000-0005-0000-0000-00005D140000}"/>
    <cellStyle name="Calculation 11 16 6 3" xfId="5245" xr:uid="{00000000-0005-0000-0000-00005E140000}"/>
    <cellStyle name="Calculation 11 16 6 4" xfId="5246" xr:uid="{00000000-0005-0000-0000-00005F140000}"/>
    <cellStyle name="Calculation 11 16 6 5" xfId="5247" xr:uid="{00000000-0005-0000-0000-000060140000}"/>
    <cellStyle name="Calculation 11 16 6 6" xfId="5248" xr:uid="{00000000-0005-0000-0000-000061140000}"/>
    <cellStyle name="Calculation 11 16 7" xfId="5249" xr:uid="{00000000-0005-0000-0000-000062140000}"/>
    <cellStyle name="Calculation 11 16 7 2" xfId="5250" xr:uid="{00000000-0005-0000-0000-000063140000}"/>
    <cellStyle name="Calculation 11 16 7 3" xfId="5251" xr:uid="{00000000-0005-0000-0000-000064140000}"/>
    <cellStyle name="Calculation 11 16 7 4" xfId="5252" xr:uid="{00000000-0005-0000-0000-000065140000}"/>
    <cellStyle name="Calculation 11 16 7 5" xfId="5253" xr:uid="{00000000-0005-0000-0000-000066140000}"/>
    <cellStyle name="Calculation 11 16 7 6" xfId="5254" xr:uid="{00000000-0005-0000-0000-000067140000}"/>
    <cellStyle name="Calculation 11 16 8" xfId="5255" xr:uid="{00000000-0005-0000-0000-000068140000}"/>
    <cellStyle name="Calculation 11 16 9" xfId="5256" xr:uid="{00000000-0005-0000-0000-000069140000}"/>
    <cellStyle name="Calculation 11 17" xfId="5257" xr:uid="{00000000-0005-0000-0000-00006A140000}"/>
    <cellStyle name="Calculation 11 17 10" xfId="5258" xr:uid="{00000000-0005-0000-0000-00006B140000}"/>
    <cellStyle name="Calculation 11 17 2" xfId="5259" xr:uid="{00000000-0005-0000-0000-00006C140000}"/>
    <cellStyle name="Calculation 11 17 2 2" xfId="5260" xr:uid="{00000000-0005-0000-0000-00006D140000}"/>
    <cellStyle name="Calculation 11 17 2 3" xfId="5261" xr:uid="{00000000-0005-0000-0000-00006E140000}"/>
    <cellStyle name="Calculation 11 17 2 4" xfId="5262" xr:uid="{00000000-0005-0000-0000-00006F140000}"/>
    <cellStyle name="Calculation 11 17 2 5" xfId="5263" xr:uid="{00000000-0005-0000-0000-000070140000}"/>
    <cellStyle name="Calculation 11 17 2 6" xfId="5264" xr:uid="{00000000-0005-0000-0000-000071140000}"/>
    <cellStyle name="Calculation 11 17 3" xfId="5265" xr:uid="{00000000-0005-0000-0000-000072140000}"/>
    <cellStyle name="Calculation 11 17 3 2" xfId="5266" xr:uid="{00000000-0005-0000-0000-000073140000}"/>
    <cellStyle name="Calculation 11 17 3 3" xfId="5267" xr:uid="{00000000-0005-0000-0000-000074140000}"/>
    <cellStyle name="Calculation 11 17 3 4" xfId="5268" xr:uid="{00000000-0005-0000-0000-000075140000}"/>
    <cellStyle name="Calculation 11 17 3 5" xfId="5269" xr:uid="{00000000-0005-0000-0000-000076140000}"/>
    <cellStyle name="Calculation 11 17 3 6" xfId="5270" xr:uid="{00000000-0005-0000-0000-000077140000}"/>
    <cellStyle name="Calculation 11 17 4" xfId="5271" xr:uid="{00000000-0005-0000-0000-000078140000}"/>
    <cellStyle name="Calculation 11 17 4 2" xfId="5272" xr:uid="{00000000-0005-0000-0000-000079140000}"/>
    <cellStyle name="Calculation 11 17 4 3" xfId="5273" xr:uid="{00000000-0005-0000-0000-00007A140000}"/>
    <cellStyle name="Calculation 11 17 4 4" xfId="5274" xr:uid="{00000000-0005-0000-0000-00007B140000}"/>
    <cellStyle name="Calculation 11 17 4 5" xfId="5275" xr:uid="{00000000-0005-0000-0000-00007C140000}"/>
    <cellStyle name="Calculation 11 17 4 6" xfId="5276" xr:uid="{00000000-0005-0000-0000-00007D140000}"/>
    <cellStyle name="Calculation 11 17 5" xfId="5277" xr:uid="{00000000-0005-0000-0000-00007E140000}"/>
    <cellStyle name="Calculation 11 17 5 2" xfId="5278" xr:uid="{00000000-0005-0000-0000-00007F140000}"/>
    <cellStyle name="Calculation 11 17 5 3" xfId="5279" xr:uid="{00000000-0005-0000-0000-000080140000}"/>
    <cellStyle name="Calculation 11 17 5 4" xfId="5280" xr:uid="{00000000-0005-0000-0000-000081140000}"/>
    <cellStyle name="Calculation 11 17 5 5" xfId="5281" xr:uid="{00000000-0005-0000-0000-000082140000}"/>
    <cellStyle name="Calculation 11 17 5 6" xfId="5282" xr:uid="{00000000-0005-0000-0000-000083140000}"/>
    <cellStyle name="Calculation 11 17 6" xfId="5283" xr:uid="{00000000-0005-0000-0000-000084140000}"/>
    <cellStyle name="Calculation 11 17 6 2" xfId="5284" xr:uid="{00000000-0005-0000-0000-000085140000}"/>
    <cellStyle name="Calculation 11 17 6 3" xfId="5285" xr:uid="{00000000-0005-0000-0000-000086140000}"/>
    <cellStyle name="Calculation 11 17 6 4" xfId="5286" xr:uid="{00000000-0005-0000-0000-000087140000}"/>
    <cellStyle name="Calculation 11 17 6 5" xfId="5287" xr:uid="{00000000-0005-0000-0000-000088140000}"/>
    <cellStyle name="Calculation 11 17 6 6" xfId="5288" xr:uid="{00000000-0005-0000-0000-000089140000}"/>
    <cellStyle name="Calculation 11 17 7" xfId="5289" xr:uid="{00000000-0005-0000-0000-00008A140000}"/>
    <cellStyle name="Calculation 11 17 7 2" xfId="5290" xr:uid="{00000000-0005-0000-0000-00008B140000}"/>
    <cellStyle name="Calculation 11 17 7 3" xfId="5291" xr:uid="{00000000-0005-0000-0000-00008C140000}"/>
    <cellStyle name="Calculation 11 17 7 4" xfId="5292" xr:uid="{00000000-0005-0000-0000-00008D140000}"/>
    <cellStyle name="Calculation 11 17 7 5" xfId="5293" xr:uid="{00000000-0005-0000-0000-00008E140000}"/>
    <cellStyle name="Calculation 11 17 7 6" xfId="5294" xr:uid="{00000000-0005-0000-0000-00008F140000}"/>
    <cellStyle name="Calculation 11 17 8" xfId="5295" xr:uid="{00000000-0005-0000-0000-000090140000}"/>
    <cellStyle name="Calculation 11 17 9" xfId="5296" xr:uid="{00000000-0005-0000-0000-000091140000}"/>
    <cellStyle name="Calculation 11 18" xfId="5297" xr:uid="{00000000-0005-0000-0000-000092140000}"/>
    <cellStyle name="Calculation 11 18 10" xfId="5298" xr:uid="{00000000-0005-0000-0000-000093140000}"/>
    <cellStyle name="Calculation 11 18 2" xfId="5299" xr:uid="{00000000-0005-0000-0000-000094140000}"/>
    <cellStyle name="Calculation 11 18 2 2" xfId="5300" xr:uid="{00000000-0005-0000-0000-000095140000}"/>
    <cellStyle name="Calculation 11 18 2 3" xfId="5301" xr:uid="{00000000-0005-0000-0000-000096140000}"/>
    <cellStyle name="Calculation 11 18 2 4" xfId="5302" xr:uid="{00000000-0005-0000-0000-000097140000}"/>
    <cellStyle name="Calculation 11 18 2 5" xfId="5303" xr:uid="{00000000-0005-0000-0000-000098140000}"/>
    <cellStyle name="Calculation 11 18 2 6" xfId="5304" xr:uid="{00000000-0005-0000-0000-000099140000}"/>
    <cellStyle name="Calculation 11 18 3" xfId="5305" xr:uid="{00000000-0005-0000-0000-00009A140000}"/>
    <cellStyle name="Calculation 11 18 3 2" xfId="5306" xr:uid="{00000000-0005-0000-0000-00009B140000}"/>
    <cellStyle name="Calculation 11 18 3 3" xfId="5307" xr:uid="{00000000-0005-0000-0000-00009C140000}"/>
    <cellStyle name="Calculation 11 18 3 4" xfId="5308" xr:uid="{00000000-0005-0000-0000-00009D140000}"/>
    <cellStyle name="Calculation 11 18 3 5" xfId="5309" xr:uid="{00000000-0005-0000-0000-00009E140000}"/>
    <cellStyle name="Calculation 11 18 3 6" xfId="5310" xr:uid="{00000000-0005-0000-0000-00009F140000}"/>
    <cellStyle name="Calculation 11 18 4" xfId="5311" xr:uid="{00000000-0005-0000-0000-0000A0140000}"/>
    <cellStyle name="Calculation 11 18 4 2" xfId="5312" xr:uid="{00000000-0005-0000-0000-0000A1140000}"/>
    <cellStyle name="Calculation 11 18 4 3" xfId="5313" xr:uid="{00000000-0005-0000-0000-0000A2140000}"/>
    <cellStyle name="Calculation 11 18 4 4" xfId="5314" xr:uid="{00000000-0005-0000-0000-0000A3140000}"/>
    <cellStyle name="Calculation 11 18 4 5" xfId="5315" xr:uid="{00000000-0005-0000-0000-0000A4140000}"/>
    <cellStyle name="Calculation 11 18 4 6" xfId="5316" xr:uid="{00000000-0005-0000-0000-0000A5140000}"/>
    <cellStyle name="Calculation 11 18 5" xfId="5317" xr:uid="{00000000-0005-0000-0000-0000A6140000}"/>
    <cellStyle name="Calculation 11 18 5 2" xfId="5318" xr:uid="{00000000-0005-0000-0000-0000A7140000}"/>
    <cellStyle name="Calculation 11 18 5 3" xfId="5319" xr:uid="{00000000-0005-0000-0000-0000A8140000}"/>
    <cellStyle name="Calculation 11 18 5 4" xfId="5320" xr:uid="{00000000-0005-0000-0000-0000A9140000}"/>
    <cellStyle name="Calculation 11 18 5 5" xfId="5321" xr:uid="{00000000-0005-0000-0000-0000AA140000}"/>
    <cellStyle name="Calculation 11 18 5 6" xfId="5322" xr:uid="{00000000-0005-0000-0000-0000AB140000}"/>
    <cellStyle name="Calculation 11 18 6" xfId="5323" xr:uid="{00000000-0005-0000-0000-0000AC140000}"/>
    <cellStyle name="Calculation 11 18 6 2" xfId="5324" xr:uid="{00000000-0005-0000-0000-0000AD140000}"/>
    <cellStyle name="Calculation 11 18 6 3" xfId="5325" xr:uid="{00000000-0005-0000-0000-0000AE140000}"/>
    <cellStyle name="Calculation 11 18 6 4" xfId="5326" xr:uid="{00000000-0005-0000-0000-0000AF140000}"/>
    <cellStyle name="Calculation 11 18 6 5" xfId="5327" xr:uid="{00000000-0005-0000-0000-0000B0140000}"/>
    <cellStyle name="Calculation 11 18 6 6" xfId="5328" xr:uid="{00000000-0005-0000-0000-0000B1140000}"/>
    <cellStyle name="Calculation 11 18 7" xfId="5329" xr:uid="{00000000-0005-0000-0000-0000B2140000}"/>
    <cellStyle name="Calculation 11 18 7 2" xfId="5330" xr:uid="{00000000-0005-0000-0000-0000B3140000}"/>
    <cellStyle name="Calculation 11 18 7 3" xfId="5331" xr:uid="{00000000-0005-0000-0000-0000B4140000}"/>
    <cellStyle name="Calculation 11 18 7 4" xfId="5332" xr:uid="{00000000-0005-0000-0000-0000B5140000}"/>
    <cellStyle name="Calculation 11 18 7 5" xfId="5333" xr:uid="{00000000-0005-0000-0000-0000B6140000}"/>
    <cellStyle name="Calculation 11 18 7 6" xfId="5334" xr:uid="{00000000-0005-0000-0000-0000B7140000}"/>
    <cellStyle name="Calculation 11 18 8" xfId="5335" xr:uid="{00000000-0005-0000-0000-0000B8140000}"/>
    <cellStyle name="Calculation 11 18 9" xfId="5336" xr:uid="{00000000-0005-0000-0000-0000B9140000}"/>
    <cellStyle name="Calculation 11 19" xfId="5337" xr:uid="{00000000-0005-0000-0000-0000BA140000}"/>
    <cellStyle name="Calculation 11 19 10" xfId="5338" xr:uid="{00000000-0005-0000-0000-0000BB140000}"/>
    <cellStyle name="Calculation 11 19 2" xfId="5339" xr:uid="{00000000-0005-0000-0000-0000BC140000}"/>
    <cellStyle name="Calculation 11 19 2 2" xfId="5340" xr:uid="{00000000-0005-0000-0000-0000BD140000}"/>
    <cellStyle name="Calculation 11 19 2 3" xfId="5341" xr:uid="{00000000-0005-0000-0000-0000BE140000}"/>
    <cellStyle name="Calculation 11 19 2 4" xfId="5342" xr:uid="{00000000-0005-0000-0000-0000BF140000}"/>
    <cellStyle name="Calculation 11 19 2 5" xfId="5343" xr:uid="{00000000-0005-0000-0000-0000C0140000}"/>
    <cellStyle name="Calculation 11 19 2 6" xfId="5344" xr:uid="{00000000-0005-0000-0000-0000C1140000}"/>
    <cellStyle name="Calculation 11 19 3" xfId="5345" xr:uid="{00000000-0005-0000-0000-0000C2140000}"/>
    <cellStyle name="Calculation 11 19 3 2" xfId="5346" xr:uid="{00000000-0005-0000-0000-0000C3140000}"/>
    <cellStyle name="Calculation 11 19 3 3" xfId="5347" xr:uid="{00000000-0005-0000-0000-0000C4140000}"/>
    <cellStyle name="Calculation 11 19 3 4" xfId="5348" xr:uid="{00000000-0005-0000-0000-0000C5140000}"/>
    <cellStyle name="Calculation 11 19 3 5" xfId="5349" xr:uid="{00000000-0005-0000-0000-0000C6140000}"/>
    <cellStyle name="Calculation 11 19 3 6" xfId="5350" xr:uid="{00000000-0005-0000-0000-0000C7140000}"/>
    <cellStyle name="Calculation 11 19 4" xfId="5351" xr:uid="{00000000-0005-0000-0000-0000C8140000}"/>
    <cellStyle name="Calculation 11 19 4 2" xfId="5352" xr:uid="{00000000-0005-0000-0000-0000C9140000}"/>
    <cellStyle name="Calculation 11 19 4 3" xfId="5353" xr:uid="{00000000-0005-0000-0000-0000CA140000}"/>
    <cellStyle name="Calculation 11 19 4 4" xfId="5354" xr:uid="{00000000-0005-0000-0000-0000CB140000}"/>
    <cellStyle name="Calculation 11 19 4 5" xfId="5355" xr:uid="{00000000-0005-0000-0000-0000CC140000}"/>
    <cellStyle name="Calculation 11 19 4 6" xfId="5356" xr:uid="{00000000-0005-0000-0000-0000CD140000}"/>
    <cellStyle name="Calculation 11 19 5" xfId="5357" xr:uid="{00000000-0005-0000-0000-0000CE140000}"/>
    <cellStyle name="Calculation 11 19 5 2" xfId="5358" xr:uid="{00000000-0005-0000-0000-0000CF140000}"/>
    <cellStyle name="Calculation 11 19 5 3" xfId="5359" xr:uid="{00000000-0005-0000-0000-0000D0140000}"/>
    <cellStyle name="Calculation 11 19 5 4" xfId="5360" xr:uid="{00000000-0005-0000-0000-0000D1140000}"/>
    <cellStyle name="Calculation 11 19 5 5" xfId="5361" xr:uid="{00000000-0005-0000-0000-0000D2140000}"/>
    <cellStyle name="Calculation 11 19 5 6" xfId="5362" xr:uid="{00000000-0005-0000-0000-0000D3140000}"/>
    <cellStyle name="Calculation 11 19 6" xfId="5363" xr:uid="{00000000-0005-0000-0000-0000D4140000}"/>
    <cellStyle name="Calculation 11 19 6 2" xfId="5364" xr:uid="{00000000-0005-0000-0000-0000D5140000}"/>
    <cellStyle name="Calculation 11 19 6 3" xfId="5365" xr:uid="{00000000-0005-0000-0000-0000D6140000}"/>
    <cellStyle name="Calculation 11 19 6 4" xfId="5366" xr:uid="{00000000-0005-0000-0000-0000D7140000}"/>
    <cellStyle name="Calculation 11 19 6 5" xfId="5367" xr:uid="{00000000-0005-0000-0000-0000D8140000}"/>
    <cellStyle name="Calculation 11 19 6 6" xfId="5368" xr:uid="{00000000-0005-0000-0000-0000D9140000}"/>
    <cellStyle name="Calculation 11 19 7" xfId="5369" xr:uid="{00000000-0005-0000-0000-0000DA140000}"/>
    <cellStyle name="Calculation 11 19 7 2" xfId="5370" xr:uid="{00000000-0005-0000-0000-0000DB140000}"/>
    <cellStyle name="Calculation 11 19 7 3" xfId="5371" xr:uid="{00000000-0005-0000-0000-0000DC140000}"/>
    <cellStyle name="Calculation 11 19 7 4" xfId="5372" xr:uid="{00000000-0005-0000-0000-0000DD140000}"/>
    <cellStyle name="Calculation 11 19 7 5" xfId="5373" xr:uid="{00000000-0005-0000-0000-0000DE140000}"/>
    <cellStyle name="Calculation 11 19 7 6" xfId="5374" xr:uid="{00000000-0005-0000-0000-0000DF140000}"/>
    <cellStyle name="Calculation 11 19 8" xfId="5375" xr:uid="{00000000-0005-0000-0000-0000E0140000}"/>
    <cellStyle name="Calculation 11 19 9" xfId="5376" xr:uid="{00000000-0005-0000-0000-0000E1140000}"/>
    <cellStyle name="Calculation 11 2" xfId="5377" xr:uid="{00000000-0005-0000-0000-0000E2140000}"/>
    <cellStyle name="Calculation 11 2 10" xfId="5378" xr:uid="{00000000-0005-0000-0000-0000E3140000}"/>
    <cellStyle name="Calculation 11 2 10 10" xfId="5379" xr:uid="{00000000-0005-0000-0000-0000E4140000}"/>
    <cellStyle name="Calculation 11 2 10 2" xfId="5380" xr:uid="{00000000-0005-0000-0000-0000E5140000}"/>
    <cellStyle name="Calculation 11 2 10 2 2" xfId="5381" xr:uid="{00000000-0005-0000-0000-0000E6140000}"/>
    <cellStyle name="Calculation 11 2 10 2 3" xfId="5382" xr:uid="{00000000-0005-0000-0000-0000E7140000}"/>
    <cellStyle name="Calculation 11 2 10 2 4" xfId="5383" xr:uid="{00000000-0005-0000-0000-0000E8140000}"/>
    <cellStyle name="Calculation 11 2 10 2 5" xfId="5384" xr:uid="{00000000-0005-0000-0000-0000E9140000}"/>
    <cellStyle name="Calculation 11 2 10 2 6" xfId="5385" xr:uid="{00000000-0005-0000-0000-0000EA140000}"/>
    <cellStyle name="Calculation 11 2 10 3" xfId="5386" xr:uid="{00000000-0005-0000-0000-0000EB140000}"/>
    <cellStyle name="Calculation 11 2 10 3 2" xfId="5387" xr:uid="{00000000-0005-0000-0000-0000EC140000}"/>
    <cellStyle name="Calculation 11 2 10 3 3" xfId="5388" xr:uid="{00000000-0005-0000-0000-0000ED140000}"/>
    <cellStyle name="Calculation 11 2 10 3 4" xfId="5389" xr:uid="{00000000-0005-0000-0000-0000EE140000}"/>
    <cellStyle name="Calculation 11 2 10 3 5" xfId="5390" xr:uid="{00000000-0005-0000-0000-0000EF140000}"/>
    <cellStyle name="Calculation 11 2 10 3 6" xfId="5391" xr:uid="{00000000-0005-0000-0000-0000F0140000}"/>
    <cellStyle name="Calculation 11 2 10 4" xfId="5392" xr:uid="{00000000-0005-0000-0000-0000F1140000}"/>
    <cellStyle name="Calculation 11 2 10 4 2" xfId="5393" xr:uid="{00000000-0005-0000-0000-0000F2140000}"/>
    <cellStyle name="Calculation 11 2 10 4 3" xfId="5394" xr:uid="{00000000-0005-0000-0000-0000F3140000}"/>
    <cellStyle name="Calculation 11 2 10 4 4" xfId="5395" xr:uid="{00000000-0005-0000-0000-0000F4140000}"/>
    <cellStyle name="Calculation 11 2 10 4 5" xfId="5396" xr:uid="{00000000-0005-0000-0000-0000F5140000}"/>
    <cellStyle name="Calculation 11 2 10 4 6" xfId="5397" xr:uid="{00000000-0005-0000-0000-0000F6140000}"/>
    <cellStyle name="Calculation 11 2 10 5" xfId="5398" xr:uid="{00000000-0005-0000-0000-0000F7140000}"/>
    <cellStyle name="Calculation 11 2 10 5 2" xfId="5399" xr:uid="{00000000-0005-0000-0000-0000F8140000}"/>
    <cellStyle name="Calculation 11 2 10 5 3" xfId="5400" xr:uid="{00000000-0005-0000-0000-0000F9140000}"/>
    <cellStyle name="Calculation 11 2 10 5 4" xfId="5401" xr:uid="{00000000-0005-0000-0000-0000FA140000}"/>
    <cellStyle name="Calculation 11 2 10 5 5" xfId="5402" xr:uid="{00000000-0005-0000-0000-0000FB140000}"/>
    <cellStyle name="Calculation 11 2 10 5 6" xfId="5403" xr:uid="{00000000-0005-0000-0000-0000FC140000}"/>
    <cellStyle name="Calculation 11 2 10 6" xfId="5404" xr:uid="{00000000-0005-0000-0000-0000FD140000}"/>
    <cellStyle name="Calculation 11 2 10 6 2" xfId="5405" xr:uid="{00000000-0005-0000-0000-0000FE140000}"/>
    <cellStyle name="Calculation 11 2 10 6 3" xfId="5406" xr:uid="{00000000-0005-0000-0000-0000FF140000}"/>
    <cellStyle name="Calculation 11 2 10 6 4" xfId="5407" xr:uid="{00000000-0005-0000-0000-000000150000}"/>
    <cellStyle name="Calculation 11 2 10 6 5" xfId="5408" xr:uid="{00000000-0005-0000-0000-000001150000}"/>
    <cellStyle name="Calculation 11 2 10 6 6" xfId="5409" xr:uid="{00000000-0005-0000-0000-000002150000}"/>
    <cellStyle name="Calculation 11 2 10 7" xfId="5410" xr:uid="{00000000-0005-0000-0000-000003150000}"/>
    <cellStyle name="Calculation 11 2 10 7 2" xfId="5411" xr:uid="{00000000-0005-0000-0000-000004150000}"/>
    <cellStyle name="Calculation 11 2 10 7 3" xfId="5412" xr:uid="{00000000-0005-0000-0000-000005150000}"/>
    <cellStyle name="Calculation 11 2 10 7 4" xfId="5413" xr:uid="{00000000-0005-0000-0000-000006150000}"/>
    <cellStyle name="Calculation 11 2 10 7 5" xfId="5414" xr:uid="{00000000-0005-0000-0000-000007150000}"/>
    <cellStyle name="Calculation 11 2 10 7 6" xfId="5415" xr:uid="{00000000-0005-0000-0000-000008150000}"/>
    <cellStyle name="Calculation 11 2 10 8" xfId="5416" xr:uid="{00000000-0005-0000-0000-000009150000}"/>
    <cellStyle name="Calculation 11 2 10 9" xfId="5417" xr:uid="{00000000-0005-0000-0000-00000A150000}"/>
    <cellStyle name="Calculation 11 2 11" xfId="5418" xr:uid="{00000000-0005-0000-0000-00000B150000}"/>
    <cellStyle name="Calculation 11 2 11 10" xfId="5419" xr:uid="{00000000-0005-0000-0000-00000C150000}"/>
    <cellStyle name="Calculation 11 2 11 2" xfId="5420" xr:uid="{00000000-0005-0000-0000-00000D150000}"/>
    <cellStyle name="Calculation 11 2 11 2 2" xfId="5421" xr:uid="{00000000-0005-0000-0000-00000E150000}"/>
    <cellStyle name="Calculation 11 2 11 2 3" xfId="5422" xr:uid="{00000000-0005-0000-0000-00000F150000}"/>
    <cellStyle name="Calculation 11 2 11 2 4" xfId="5423" xr:uid="{00000000-0005-0000-0000-000010150000}"/>
    <cellStyle name="Calculation 11 2 11 2 5" xfId="5424" xr:uid="{00000000-0005-0000-0000-000011150000}"/>
    <cellStyle name="Calculation 11 2 11 2 6" xfId="5425" xr:uid="{00000000-0005-0000-0000-000012150000}"/>
    <cellStyle name="Calculation 11 2 11 3" xfId="5426" xr:uid="{00000000-0005-0000-0000-000013150000}"/>
    <cellStyle name="Calculation 11 2 11 3 2" xfId="5427" xr:uid="{00000000-0005-0000-0000-000014150000}"/>
    <cellStyle name="Calculation 11 2 11 3 3" xfId="5428" xr:uid="{00000000-0005-0000-0000-000015150000}"/>
    <cellStyle name="Calculation 11 2 11 3 4" xfId="5429" xr:uid="{00000000-0005-0000-0000-000016150000}"/>
    <cellStyle name="Calculation 11 2 11 3 5" xfId="5430" xr:uid="{00000000-0005-0000-0000-000017150000}"/>
    <cellStyle name="Calculation 11 2 11 3 6" xfId="5431" xr:uid="{00000000-0005-0000-0000-000018150000}"/>
    <cellStyle name="Calculation 11 2 11 4" xfId="5432" xr:uid="{00000000-0005-0000-0000-000019150000}"/>
    <cellStyle name="Calculation 11 2 11 4 2" xfId="5433" xr:uid="{00000000-0005-0000-0000-00001A150000}"/>
    <cellStyle name="Calculation 11 2 11 4 3" xfId="5434" xr:uid="{00000000-0005-0000-0000-00001B150000}"/>
    <cellStyle name="Calculation 11 2 11 4 4" xfId="5435" xr:uid="{00000000-0005-0000-0000-00001C150000}"/>
    <cellStyle name="Calculation 11 2 11 4 5" xfId="5436" xr:uid="{00000000-0005-0000-0000-00001D150000}"/>
    <cellStyle name="Calculation 11 2 11 4 6" xfId="5437" xr:uid="{00000000-0005-0000-0000-00001E150000}"/>
    <cellStyle name="Calculation 11 2 11 5" xfId="5438" xr:uid="{00000000-0005-0000-0000-00001F150000}"/>
    <cellStyle name="Calculation 11 2 11 5 2" xfId="5439" xr:uid="{00000000-0005-0000-0000-000020150000}"/>
    <cellStyle name="Calculation 11 2 11 5 3" xfId="5440" xr:uid="{00000000-0005-0000-0000-000021150000}"/>
    <cellStyle name="Calculation 11 2 11 5 4" xfId="5441" xr:uid="{00000000-0005-0000-0000-000022150000}"/>
    <cellStyle name="Calculation 11 2 11 5 5" xfId="5442" xr:uid="{00000000-0005-0000-0000-000023150000}"/>
    <cellStyle name="Calculation 11 2 11 5 6" xfId="5443" xr:uid="{00000000-0005-0000-0000-000024150000}"/>
    <cellStyle name="Calculation 11 2 11 6" xfId="5444" xr:uid="{00000000-0005-0000-0000-000025150000}"/>
    <cellStyle name="Calculation 11 2 11 6 2" xfId="5445" xr:uid="{00000000-0005-0000-0000-000026150000}"/>
    <cellStyle name="Calculation 11 2 11 6 3" xfId="5446" xr:uid="{00000000-0005-0000-0000-000027150000}"/>
    <cellStyle name="Calculation 11 2 11 6 4" xfId="5447" xr:uid="{00000000-0005-0000-0000-000028150000}"/>
    <cellStyle name="Calculation 11 2 11 6 5" xfId="5448" xr:uid="{00000000-0005-0000-0000-000029150000}"/>
    <cellStyle name="Calculation 11 2 11 6 6" xfId="5449" xr:uid="{00000000-0005-0000-0000-00002A150000}"/>
    <cellStyle name="Calculation 11 2 11 7" xfId="5450" xr:uid="{00000000-0005-0000-0000-00002B150000}"/>
    <cellStyle name="Calculation 11 2 11 7 2" xfId="5451" xr:uid="{00000000-0005-0000-0000-00002C150000}"/>
    <cellStyle name="Calculation 11 2 11 7 3" xfId="5452" xr:uid="{00000000-0005-0000-0000-00002D150000}"/>
    <cellStyle name="Calculation 11 2 11 7 4" xfId="5453" xr:uid="{00000000-0005-0000-0000-00002E150000}"/>
    <cellStyle name="Calculation 11 2 11 7 5" xfId="5454" xr:uid="{00000000-0005-0000-0000-00002F150000}"/>
    <cellStyle name="Calculation 11 2 11 7 6" xfId="5455" xr:uid="{00000000-0005-0000-0000-000030150000}"/>
    <cellStyle name="Calculation 11 2 11 8" xfId="5456" xr:uid="{00000000-0005-0000-0000-000031150000}"/>
    <cellStyle name="Calculation 11 2 11 9" xfId="5457" xr:uid="{00000000-0005-0000-0000-000032150000}"/>
    <cellStyle name="Calculation 11 2 12" xfId="5458" xr:uid="{00000000-0005-0000-0000-000033150000}"/>
    <cellStyle name="Calculation 11 2 12 10" xfId="5459" xr:uid="{00000000-0005-0000-0000-000034150000}"/>
    <cellStyle name="Calculation 11 2 12 2" xfId="5460" xr:uid="{00000000-0005-0000-0000-000035150000}"/>
    <cellStyle name="Calculation 11 2 12 2 2" xfId="5461" xr:uid="{00000000-0005-0000-0000-000036150000}"/>
    <cellStyle name="Calculation 11 2 12 2 3" xfId="5462" xr:uid="{00000000-0005-0000-0000-000037150000}"/>
    <cellStyle name="Calculation 11 2 12 2 4" xfId="5463" xr:uid="{00000000-0005-0000-0000-000038150000}"/>
    <cellStyle name="Calculation 11 2 12 2 5" xfId="5464" xr:uid="{00000000-0005-0000-0000-000039150000}"/>
    <cellStyle name="Calculation 11 2 12 2 6" xfId="5465" xr:uid="{00000000-0005-0000-0000-00003A150000}"/>
    <cellStyle name="Calculation 11 2 12 3" xfId="5466" xr:uid="{00000000-0005-0000-0000-00003B150000}"/>
    <cellStyle name="Calculation 11 2 12 3 2" xfId="5467" xr:uid="{00000000-0005-0000-0000-00003C150000}"/>
    <cellStyle name="Calculation 11 2 12 3 3" xfId="5468" xr:uid="{00000000-0005-0000-0000-00003D150000}"/>
    <cellStyle name="Calculation 11 2 12 3 4" xfId="5469" xr:uid="{00000000-0005-0000-0000-00003E150000}"/>
    <cellStyle name="Calculation 11 2 12 3 5" xfId="5470" xr:uid="{00000000-0005-0000-0000-00003F150000}"/>
    <cellStyle name="Calculation 11 2 12 3 6" xfId="5471" xr:uid="{00000000-0005-0000-0000-000040150000}"/>
    <cellStyle name="Calculation 11 2 12 4" xfId="5472" xr:uid="{00000000-0005-0000-0000-000041150000}"/>
    <cellStyle name="Calculation 11 2 12 4 2" xfId="5473" xr:uid="{00000000-0005-0000-0000-000042150000}"/>
    <cellStyle name="Calculation 11 2 12 4 3" xfId="5474" xr:uid="{00000000-0005-0000-0000-000043150000}"/>
    <cellStyle name="Calculation 11 2 12 4 4" xfId="5475" xr:uid="{00000000-0005-0000-0000-000044150000}"/>
    <cellStyle name="Calculation 11 2 12 4 5" xfId="5476" xr:uid="{00000000-0005-0000-0000-000045150000}"/>
    <cellStyle name="Calculation 11 2 12 4 6" xfId="5477" xr:uid="{00000000-0005-0000-0000-000046150000}"/>
    <cellStyle name="Calculation 11 2 12 5" xfId="5478" xr:uid="{00000000-0005-0000-0000-000047150000}"/>
    <cellStyle name="Calculation 11 2 12 5 2" xfId="5479" xr:uid="{00000000-0005-0000-0000-000048150000}"/>
    <cellStyle name="Calculation 11 2 12 5 3" xfId="5480" xr:uid="{00000000-0005-0000-0000-000049150000}"/>
    <cellStyle name="Calculation 11 2 12 5 4" xfId="5481" xr:uid="{00000000-0005-0000-0000-00004A150000}"/>
    <cellStyle name="Calculation 11 2 12 5 5" xfId="5482" xr:uid="{00000000-0005-0000-0000-00004B150000}"/>
    <cellStyle name="Calculation 11 2 12 5 6" xfId="5483" xr:uid="{00000000-0005-0000-0000-00004C150000}"/>
    <cellStyle name="Calculation 11 2 12 6" xfId="5484" xr:uid="{00000000-0005-0000-0000-00004D150000}"/>
    <cellStyle name="Calculation 11 2 12 6 2" xfId="5485" xr:uid="{00000000-0005-0000-0000-00004E150000}"/>
    <cellStyle name="Calculation 11 2 12 6 3" xfId="5486" xr:uid="{00000000-0005-0000-0000-00004F150000}"/>
    <cellStyle name="Calculation 11 2 12 6 4" xfId="5487" xr:uid="{00000000-0005-0000-0000-000050150000}"/>
    <cellStyle name="Calculation 11 2 12 6 5" xfId="5488" xr:uid="{00000000-0005-0000-0000-000051150000}"/>
    <cellStyle name="Calculation 11 2 12 6 6" xfId="5489" xr:uid="{00000000-0005-0000-0000-000052150000}"/>
    <cellStyle name="Calculation 11 2 12 7" xfId="5490" xr:uid="{00000000-0005-0000-0000-000053150000}"/>
    <cellStyle name="Calculation 11 2 12 7 2" xfId="5491" xr:uid="{00000000-0005-0000-0000-000054150000}"/>
    <cellStyle name="Calculation 11 2 12 7 3" xfId="5492" xr:uid="{00000000-0005-0000-0000-000055150000}"/>
    <cellStyle name="Calculation 11 2 12 7 4" xfId="5493" xr:uid="{00000000-0005-0000-0000-000056150000}"/>
    <cellStyle name="Calculation 11 2 12 7 5" xfId="5494" xr:uid="{00000000-0005-0000-0000-000057150000}"/>
    <cellStyle name="Calculation 11 2 12 7 6" xfId="5495" xr:uid="{00000000-0005-0000-0000-000058150000}"/>
    <cellStyle name="Calculation 11 2 12 8" xfId="5496" xr:uid="{00000000-0005-0000-0000-000059150000}"/>
    <cellStyle name="Calculation 11 2 12 9" xfId="5497" xr:uid="{00000000-0005-0000-0000-00005A150000}"/>
    <cellStyle name="Calculation 11 2 13" xfId="5498" xr:uid="{00000000-0005-0000-0000-00005B150000}"/>
    <cellStyle name="Calculation 11 2 13 10" xfId="5499" xr:uid="{00000000-0005-0000-0000-00005C150000}"/>
    <cellStyle name="Calculation 11 2 13 2" xfId="5500" xr:uid="{00000000-0005-0000-0000-00005D150000}"/>
    <cellStyle name="Calculation 11 2 13 2 2" xfId="5501" xr:uid="{00000000-0005-0000-0000-00005E150000}"/>
    <cellStyle name="Calculation 11 2 13 2 3" xfId="5502" xr:uid="{00000000-0005-0000-0000-00005F150000}"/>
    <cellStyle name="Calculation 11 2 13 2 4" xfId="5503" xr:uid="{00000000-0005-0000-0000-000060150000}"/>
    <cellStyle name="Calculation 11 2 13 2 5" xfId="5504" xr:uid="{00000000-0005-0000-0000-000061150000}"/>
    <cellStyle name="Calculation 11 2 13 2 6" xfId="5505" xr:uid="{00000000-0005-0000-0000-000062150000}"/>
    <cellStyle name="Calculation 11 2 13 3" xfId="5506" xr:uid="{00000000-0005-0000-0000-000063150000}"/>
    <cellStyle name="Calculation 11 2 13 3 2" xfId="5507" xr:uid="{00000000-0005-0000-0000-000064150000}"/>
    <cellStyle name="Calculation 11 2 13 3 3" xfId="5508" xr:uid="{00000000-0005-0000-0000-000065150000}"/>
    <cellStyle name="Calculation 11 2 13 3 4" xfId="5509" xr:uid="{00000000-0005-0000-0000-000066150000}"/>
    <cellStyle name="Calculation 11 2 13 3 5" xfId="5510" xr:uid="{00000000-0005-0000-0000-000067150000}"/>
    <cellStyle name="Calculation 11 2 13 3 6" xfId="5511" xr:uid="{00000000-0005-0000-0000-000068150000}"/>
    <cellStyle name="Calculation 11 2 13 4" xfId="5512" xr:uid="{00000000-0005-0000-0000-000069150000}"/>
    <cellStyle name="Calculation 11 2 13 4 2" xfId="5513" xr:uid="{00000000-0005-0000-0000-00006A150000}"/>
    <cellStyle name="Calculation 11 2 13 4 3" xfId="5514" xr:uid="{00000000-0005-0000-0000-00006B150000}"/>
    <cellStyle name="Calculation 11 2 13 4 4" xfId="5515" xr:uid="{00000000-0005-0000-0000-00006C150000}"/>
    <cellStyle name="Calculation 11 2 13 4 5" xfId="5516" xr:uid="{00000000-0005-0000-0000-00006D150000}"/>
    <cellStyle name="Calculation 11 2 13 4 6" xfId="5517" xr:uid="{00000000-0005-0000-0000-00006E150000}"/>
    <cellStyle name="Calculation 11 2 13 5" xfId="5518" xr:uid="{00000000-0005-0000-0000-00006F150000}"/>
    <cellStyle name="Calculation 11 2 13 5 2" xfId="5519" xr:uid="{00000000-0005-0000-0000-000070150000}"/>
    <cellStyle name="Calculation 11 2 13 5 3" xfId="5520" xr:uid="{00000000-0005-0000-0000-000071150000}"/>
    <cellStyle name="Calculation 11 2 13 5 4" xfId="5521" xr:uid="{00000000-0005-0000-0000-000072150000}"/>
    <cellStyle name="Calculation 11 2 13 5 5" xfId="5522" xr:uid="{00000000-0005-0000-0000-000073150000}"/>
    <cellStyle name="Calculation 11 2 13 5 6" xfId="5523" xr:uid="{00000000-0005-0000-0000-000074150000}"/>
    <cellStyle name="Calculation 11 2 13 6" xfId="5524" xr:uid="{00000000-0005-0000-0000-000075150000}"/>
    <cellStyle name="Calculation 11 2 13 6 2" xfId="5525" xr:uid="{00000000-0005-0000-0000-000076150000}"/>
    <cellStyle name="Calculation 11 2 13 6 3" xfId="5526" xr:uid="{00000000-0005-0000-0000-000077150000}"/>
    <cellStyle name="Calculation 11 2 13 6 4" xfId="5527" xr:uid="{00000000-0005-0000-0000-000078150000}"/>
    <cellStyle name="Calculation 11 2 13 6 5" xfId="5528" xr:uid="{00000000-0005-0000-0000-000079150000}"/>
    <cellStyle name="Calculation 11 2 13 6 6" xfId="5529" xr:uid="{00000000-0005-0000-0000-00007A150000}"/>
    <cellStyle name="Calculation 11 2 13 7" xfId="5530" xr:uid="{00000000-0005-0000-0000-00007B150000}"/>
    <cellStyle name="Calculation 11 2 13 7 2" xfId="5531" xr:uid="{00000000-0005-0000-0000-00007C150000}"/>
    <cellStyle name="Calculation 11 2 13 7 3" xfId="5532" xr:uid="{00000000-0005-0000-0000-00007D150000}"/>
    <cellStyle name="Calculation 11 2 13 7 4" xfId="5533" xr:uid="{00000000-0005-0000-0000-00007E150000}"/>
    <cellStyle name="Calculation 11 2 13 7 5" xfId="5534" xr:uid="{00000000-0005-0000-0000-00007F150000}"/>
    <cellStyle name="Calculation 11 2 13 7 6" xfId="5535" xr:uid="{00000000-0005-0000-0000-000080150000}"/>
    <cellStyle name="Calculation 11 2 13 8" xfId="5536" xr:uid="{00000000-0005-0000-0000-000081150000}"/>
    <cellStyle name="Calculation 11 2 13 9" xfId="5537" xr:uid="{00000000-0005-0000-0000-000082150000}"/>
    <cellStyle name="Calculation 11 2 14" xfId="5538" xr:uid="{00000000-0005-0000-0000-000083150000}"/>
    <cellStyle name="Calculation 11 2 14 10" xfId="5539" xr:uid="{00000000-0005-0000-0000-000084150000}"/>
    <cellStyle name="Calculation 11 2 14 2" xfId="5540" xr:uid="{00000000-0005-0000-0000-000085150000}"/>
    <cellStyle name="Calculation 11 2 14 2 2" xfId="5541" xr:uid="{00000000-0005-0000-0000-000086150000}"/>
    <cellStyle name="Calculation 11 2 14 2 3" xfId="5542" xr:uid="{00000000-0005-0000-0000-000087150000}"/>
    <cellStyle name="Calculation 11 2 14 2 4" xfId="5543" xr:uid="{00000000-0005-0000-0000-000088150000}"/>
    <cellStyle name="Calculation 11 2 14 2 5" xfId="5544" xr:uid="{00000000-0005-0000-0000-000089150000}"/>
    <cellStyle name="Calculation 11 2 14 2 6" xfId="5545" xr:uid="{00000000-0005-0000-0000-00008A150000}"/>
    <cellStyle name="Calculation 11 2 14 3" xfId="5546" xr:uid="{00000000-0005-0000-0000-00008B150000}"/>
    <cellStyle name="Calculation 11 2 14 3 2" xfId="5547" xr:uid="{00000000-0005-0000-0000-00008C150000}"/>
    <cellStyle name="Calculation 11 2 14 3 3" xfId="5548" xr:uid="{00000000-0005-0000-0000-00008D150000}"/>
    <cellStyle name="Calculation 11 2 14 3 4" xfId="5549" xr:uid="{00000000-0005-0000-0000-00008E150000}"/>
    <cellStyle name="Calculation 11 2 14 3 5" xfId="5550" xr:uid="{00000000-0005-0000-0000-00008F150000}"/>
    <cellStyle name="Calculation 11 2 14 3 6" xfId="5551" xr:uid="{00000000-0005-0000-0000-000090150000}"/>
    <cellStyle name="Calculation 11 2 14 4" xfId="5552" xr:uid="{00000000-0005-0000-0000-000091150000}"/>
    <cellStyle name="Calculation 11 2 14 4 2" xfId="5553" xr:uid="{00000000-0005-0000-0000-000092150000}"/>
    <cellStyle name="Calculation 11 2 14 4 3" xfId="5554" xr:uid="{00000000-0005-0000-0000-000093150000}"/>
    <cellStyle name="Calculation 11 2 14 4 4" xfId="5555" xr:uid="{00000000-0005-0000-0000-000094150000}"/>
    <cellStyle name="Calculation 11 2 14 4 5" xfId="5556" xr:uid="{00000000-0005-0000-0000-000095150000}"/>
    <cellStyle name="Calculation 11 2 14 4 6" xfId="5557" xr:uid="{00000000-0005-0000-0000-000096150000}"/>
    <cellStyle name="Calculation 11 2 14 5" xfId="5558" xr:uid="{00000000-0005-0000-0000-000097150000}"/>
    <cellStyle name="Calculation 11 2 14 5 2" xfId="5559" xr:uid="{00000000-0005-0000-0000-000098150000}"/>
    <cellStyle name="Calculation 11 2 14 5 3" xfId="5560" xr:uid="{00000000-0005-0000-0000-000099150000}"/>
    <cellStyle name="Calculation 11 2 14 5 4" xfId="5561" xr:uid="{00000000-0005-0000-0000-00009A150000}"/>
    <cellStyle name="Calculation 11 2 14 5 5" xfId="5562" xr:uid="{00000000-0005-0000-0000-00009B150000}"/>
    <cellStyle name="Calculation 11 2 14 5 6" xfId="5563" xr:uid="{00000000-0005-0000-0000-00009C150000}"/>
    <cellStyle name="Calculation 11 2 14 6" xfId="5564" xr:uid="{00000000-0005-0000-0000-00009D150000}"/>
    <cellStyle name="Calculation 11 2 14 6 2" xfId="5565" xr:uid="{00000000-0005-0000-0000-00009E150000}"/>
    <cellStyle name="Calculation 11 2 14 6 3" xfId="5566" xr:uid="{00000000-0005-0000-0000-00009F150000}"/>
    <cellStyle name="Calculation 11 2 14 6 4" xfId="5567" xr:uid="{00000000-0005-0000-0000-0000A0150000}"/>
    <cellStyle name="Calculation 11 2 14 6 5" xfId="5568" xr:uid="{00000000-0005-0000-0000-0000A1150000}"/>
    <cellStyle name="Calculation 11 2 14 6 6" xfId="5569" xr:uid="{00000000-0005-0000-0000-0000A2150000}"/>
    <cellStyle name="Calculation 11 2 14 7" xfId="5570" xr:uid="{00000000-0005-0000-0000-0000A3150000}"/>
    <cellStyle name="Calculation 11 2 14 7 2" xfId="5571" xr:uid="{00000000-0005-0000-0000-0000A4150000}"/>
    <cellStyle name="Calculation 11 2 14 7 3" xfId="5572" xr:uid="{00000000-0005-0000-0000-0000A5150000}"/>
    <cellStyle name="Calculation 11 2 14 7 4" xfId="5573" xr:uid="{00000000-0005-0000-0000-0000A6150000}"/>
    <cellStyle name="Calculation 11 2 14 7 5" xfId="5574" xr:uid="{00000000-0005-0000-0000-0000A7150000}"/>
    <cellStyle name="Calculation 11 2 14 7 6" xfId="5575" xr:uid="{00000000-0005-0000-0000-0000A8150000}"/>
    <cellStyle name="Calculation 11 2 14 8" xfId="5576" xr:uid="{00000000-0005-0000-0000-0000A9150000}"/>
    <cellStyle name="Calculation 11 2 14 9" xfId="5577" xr:uid="{00000000-0005-0000-0000-0000AA150000}"/>
    <cellStyle name="Calculation 11 2 15" xfId="5578" xr:uid="{00000000-0005-0000-0000-0000AB150000}"/>
    <cellStyle name="Calculation 11 2 15 10" xfId="5579" xr:uid="{00000000-0005-0000-0000-0000AC150000}"/>
    <cellStyle name="Calculation 11 2 15 2" xfId="5580" xr:uid="{00000000-0005-0000-0000-0000AD150000}"/>
    <cellStyle name="Calculation 11 2 15 2 2" xfId="5581" xr:uid="{00000000-0005-0000-0000-0000AE150000}"/>
    <cellStyle name="Calculation 11 2 15 2 3" xfId="5582" xr:uid="{00000000-0005-0000-0000-0000AF150000}"/>
    <cellStyle name="Calculation 11 2 15 2 4" xfId="5583" xr:uid="{00000000-0005-0000-0000-0000B0150000}"/>
    <cellStyle name="Calculation 11 2 15 2 5" xfId="5584" xr:uid="{00000000-0005-0000-0000-0000B1150000}"/>
    <cellStyle name="Calculation 11 2 15 2 6" xfId="5585" xr:uid="{00000000-0005-0000-0000-0000B2150000}"/>
    <cellStyle name="Calculation 11 2 15 3" xfId="5586" xr:uid="{00000000-0005-0000-0000-0000B3150000}"/>
    <cellStyle name="Calculation 11 2 15 3 2" xfId="5587" xr:uid="{00000000-0005-0000-0000-0000B4150000}"/>
    <cellStyle name="Calculation 11 2 15 3 3" xfId="5588" xr:uid="{00000000-0005-0000-0000-0000B5150000}"/>
    <cellStyle name="Calculation 11 2 15 3 4" xfId="5589" xr:uid="{00000000-0005-0000-0000-0000B6150000}"/>
    <cellStyle name="Calculation 11 2 15 3 5" xfId="5590" xr:uid="{00000000-0005-0000-0000-0000B7150000}"/>
    <cellStyle name="Calculation 11 2 15 3 6" xfId="5591" xr:uid="{00000000-0005-0000-0000-0000B8150000}"/>
    <cellStyle name="Calculation 11 2 15 4" xfId="5592" xr:uid="{00000000-0005-0000-0000-0000B9150000}"/>
    <cellStyle name="Calculation 11 2 15 4 2" xfId="5593" xr:uid="{00000000-0005-0000-0000-0000BA150000}"/>
    <cellStyle name="Calculation 11 2 15 4 3" xfId="5594" xr:uid="{00000000-0005-0000-0000-0000BB150000}"/>
    <cellStyle name="Calculation 11 2 15 4 4" xfId="5595" xr:uid="{00000000-0005-0000-0000-0000BC150000}"/>
    <cellStyle name="Calculation 11 2 15 4 5" xfId="5596" xr:uid="{00000000-0005-0000-0000-0000BD150000}"/>
    <cellStyle name="Calculation 11 2 15 4 6" xfId="5597" xr:uid="{00000000-0005-0000-0000-0000BE150000}"/>
    <cellStyle name="Calculation 11 2 15 5" xfId="5598" xr:uid="{00000000-0005-0000-0000-0000BF150000}"/>
    <cellStyle name="Calculation 11 2 15 5 2" xfId="5599" xr:uid="{00000000-0005-0000-0000-0000C0150000}"/>
    <cellStyle name="Calculation 11 2 15 5 3" xfId="5600" xr:uid="{00000000-0005-0000-0000-0000C1150000}"/>
    <cellStyle name="Calculation 11 2 15 5 4" xfId="5601" xr:uid="{00000000-0005-0000-0000-0000C2150000}"/>
    <cellStyle name="Calculation 11 2 15 5 5" xfId="5602" xr:uid="{00000000-0005-0000-0000-0000C3150000}"/>
    <cellStyle name="Calculation 11 2 15 5 6" xfId="5603" xr:uid="{00000000-0005-0000-0000-0000C4150000}"/>
    <cellStyle name="Calculation 11 2 15 6" xfId="5604" xr:uid="{00000000-0005-0000-0000-0000C5150000}"/>
    <cellStyle name="Calculation 11 2 15 6 2" xfId="5605" xr:uid="{00000000-0005-0000-0000-0000C6150000}"/>
    <cellStyle name="Calculation 11 2 15 6 3" xfId="5606" xr:uid="{00000000-0005-0000-0000-0000C7150000}"/>
    <cellStyle name="Calculation 11 2 15 6 4" xfId="5607" xr:uid="{00000000-0005-0000-0000-0000C8150000}"/>
    <cellStyle name="Calculation 11 2 15 6 5" xfId="5608" xr:uid="{00000000-0005-0000-0000-0000C9150000}"/>
    <cellStyle name="Calculation 11 2 15 6 6" xfId="5609" xr:uid="{00000000-0005-0000-0000-0000CA150000}"/>
    <cellStyle name="Calculation 11 2 15 7" xfId="5610" xr:uid="{00000000-0005-0000-0000-0000CB150000}"/>
    <cellStyle name="Calculation 11 2 15 7 2" xfId="5611" xr:uid="{00000000-0005-0000-0000-0000CC150000}"/>
    <cellStyle name="Calculation 11 2 15 7 3" xfId="5612" xr:uid="{00000000-0005-0000-0000-0000CD150000}"/>
    <cellStyle name="Calculation 11 2 15 7 4" xfId="5613" xr:uid="{00000000-0005-0000-0000-0000CE150000}"/>
    <cellStyle name="Calculation 11 2 15 7 5" xfId="5614" xr:uid="{00000000-0005-0000-0000-0000CF150000}"/>
    <cellStyle name="Calculation 11 2 15 7 6" xfId="5615" xr:uid="{00000000-0005-0000-0000-0000D0150000}"/>
    <cellStyle name="Calculation 11 2 15 8" xfId="5616" xr:uid="{00000000-0005-0000-0000-0000D1150000}"/>
    <cellStyle name="Calculation 11 2 15 9" xfId="5617" xr:uid="{00000000-0005-0000-0000-0000D2150000}"/>
    <cellStyle name="Calculation 11 2 16" xfId="5618" xr:uid="{00000000-0005-0000-0000-0000D3150000}"/>
    <cellStyle name="Calculation 11 2 16 10" xfId="5619" xr:uid="{00000000-0005-0000-0000-0000D4150000}"/>
    <cellStyle name="Calculation 11 2 16 2" xfId="5620" xr:uid="{00000000-0005-0000-0000-0000D5150000}"/>
    <cellStyle name="Calculation 11 2 16 2 2" xfId="5621" xr:uid="{00000000-0005-0000-0000-0000D6150000}"/>
    <cellStyle name="Calculation 11 2 16 2 3" xfId="5622" xr:uid="{00000000-0005-0000-0000-0000D7150000}"/>
    <cellStyle name="Calculation 11 2 16 2 4" xfId="5623" xr:uid="{00000000-0005-0000-0000-0000D8150000}"/>
    <cellStyle name="Calculation 11 2 16 2 5" xfId="5624" xr:uid="{00000000-0005-0000-0000-0000D9150000}"/>
    <cellStyle name="Calculation 11 2 16 2 6" xfId="5625" xr:uid="{00000000-0005-0000-0000-0000DA150000}"/>
    <cellStyle name="Calculation 11 2 16 3" xfId="5626" xr:uid="{00000000-0005-0000-0000-0000DB150000}"/>
    <cellStyle name="Calculation 11 2 16 3 2" xfId="5627" xr:uid="{00000000-0005-0000-0000-0000DC150000}"/>
    <cellStyle name="Calculation 11 2 16 3 3" xfId="5628" xr:uid="{00000000-0005-0000-0000-0000DD150000}"/>
    <cellStyle name="Calculation 11 2 16 3 4" xfId="5629" xr:uid="{00000000-0005-0000-0000-0000DE150000}"/>
    <cellStyle name="Calculation 11 2 16 3 5" xfId="5630" xr:uid="{00000000-0005-0000-0000-0000DF150000}"/>
    <cellStyle name="Calculation 11 2 16 3 6" xfId="5631" xr:uid="{00000000-0005-0000-0000-0000E0150000}"/>
    <cellStyle name="Calculation 11 2 16 4" xfId="5632" xr:uid="{00000000-0005-0000-0000-0000E1150000}"/>
    <cellStyle name="Calculation 11 2 16 4 2" xfId="5633" xr:uid="{00000000-0005-0000-0000-0000E2150000}"/>
    <cellStyle name="Calculation 11 2 16 4 3" xfId="5634" xr:uid="{00000000-0005-0000-0000-0000E3150000}"/>
    <cellStyle name="Calculation 11 2 16 4 4" xfId="5635" xr:uid="{00000000-0005-0000-0000-0000E4150000}"/>
    <cellStyle name="Calculation 11 2 16 4 5" xfId="5636" xr:uid="{00000000-0005-0000-0000-0000E5150000}"/>
    <cellStyle name="Calculation 11 2 16 4 6" xfId="5637" xr:uid="{00000000-0005-0000-0000-0000E6150000}"/>
    <cellStyle name="Calculation 11 2 16 5" xfId="5638" xr:uid="{00000000-0005-0000-0000-0000E7150000}"/>
    <cellStyle name="Calculation 11 2 16 5 2" xfId="5639" xr:uid="{00000000-0005-0000-0000-0000E8150000}"/>
    <cellStyle name="Calculation 11 2 16 5 3" xfId="5640" xr:uid="{00000000-0005-0000-0000-0000E9150000}"/>
    <cellStyle name="Calculation 11 2 16 5 4" xfId="5641" xr:uid="{00000000-0005-0000-0000-0000EA150000}"/>
    <cellStyle name="Calculation 11 2 16 5 5" xfId="5642" xr:uid="{00000000-0005-0000-0000-0000EB150000}"/>
    <cellStyle name="Calculation 11 2 16 5 6" xfId="5643" xr:uid="{00000000-0005-0000-0000-0000EC150000}"/>
    <cellStyle name="Calculation 11 2 16 6" xfId="5644" xr:uid="{00000000-0005-0000-0000-0000ED150000}"/>
    <cellStyle name="Calculation 11 2 16 6 2" xfId="5645" xr:uid="{00000000-0005-0000-0000-0000EE150000}"/>
    <cellStyle name="Calculation 11 2 16 6 3" xfId="5646" xr:uid="{00000000-0005-0000-0000-0000EF150000}"/>
    <cellStyle name="Calculation 11 2 16 6 4" xfId="5647" xr:uid="{00000000-0005-0000-0000-0000F0150000}"/>
    <cellStyle name="Calculation 11 2 16 6 5" xfId="5648" xr:uid="{00000000-0005-0000-0000-0000F1150000}"/>
    <cellStyle name="Calculation 11 2 16 6 6" xfId="5649" xr:uid="{00000000-0005-0000-0000-0000F2150000}"/>
    <cellStyle name="Calculation 11 2 16 7" xfId="5650" xr:uid="{00000000-0005-0000-0000-0000F3150000}"/>
    <cellStyle name="Calculation 11 2 16 7 2" xfId="5651" xr:uid="{00000000-0005-0000-0000-0000F4150000}"/>
    <cellStyle name="Calculation 11 2 16 7 3" xfId="5652" xr:uid="{00000000-0005-0000-0000-0000F5150000}"/>
    <cellStyle name="Calculation 11 2 16 7 4" xfId="5653" xr:uid="{00000000-0005-0000-0000-0000F6150000}"/>
    <cellStyle name="Calculation 11 2 16 7 5" xfId="5654" xr:uid="{00000000-0005-0000-0000-0000F7150000}"/>
    <cellStyle name="Calculation 11 2 16 7 6" xfId="5655" xr:uid="{00000000-0005-0000-0000-0000F8150000}"/>
    <cellStyle name="Calculation 11 2 16 8" xfId="5656" xr:uid="{00000000-0005-0000-0000-0000F9150000}"/>
    <cellStyle name="Calculation 11 2 16 9" xfId="5657" xr:uid="{00000000-0005-0000-0000-0000FA150000}"/>
    <cellStyle name="Calculation 11 2 17" xfId="5658" xr:uid="{00000000-0005-0000-0000-0000FB150000}"/>
    <cellStyle name="Calculation 11 2 17 10" xfId="5659" xr:uid="{00000000-0005-0000-0000-0000FC150000}"/>
    <cellStyle name="Calculation 11 2 17 2" xfId="5660" xr:uid="{00000000-0005-0000-0000-0000FD150000}"/>
    <cellStyle name="Calculation 11 2 17 2 2" xfId="5661" xr:uid="{00000000-0005-0000-0000-0000FE150000}"/>
    <cellStyle name="Calculation 11 2 17 2 3" xfId="5662" xr:uid="{00000000-0005-0000-0000-0000FF150000}"/>
    <cellStyle name="Calculation 11 2 17 2 4" xfId="5663" xr:uid="{00000000-0005-0000-0000-000000160000}"/>
    <cellStyle name="Calculation 11 2 17 2 5" xfId="5664" xr:uid="{00000000-0005-0000-0000-000001160000}"/>
    <cellStyle name="Calculation 11 2 17 2 6" xfId="5665" xr:uid="{00000000-0005-0000-0000-000002160000}"/>
    <cellStyle name="Calculation 11 2 17 3" xfId="5666" xr:uid="{00000000-0005-0000-0000-000003160000}"/>
    <cellStyle name="Calculation 11 2 17 3 2" xfId="5667" xr:uid="{00000000-0005-0000-0000-000004160000}"/>
    <cellStyle name="Calculation 11 2 17 3 3" xfId="5668" xr:uid="{00000000-0005-0000-0000-000005160000}"/>
    <cellStyle name="Calculation 11 2 17 3 4" xfId="5669" xr:uid="{00000000-0005-0000-0000-000006160000}"/>
    <cellStyle name="Calculation 11 2 17 3 5" xfId="5670" xr:uid="{00000000-0005-0000-0000-000007160000}"/>
    <cellStyle name="Calculation 11 2 17 3 6" xfId="5671" xr:uid="{00000000-0005-0000-0000-000008160000}"/>
    <cellStyle name="Calculation 11 2 17 4" xfId="5672" xr:uid="{00000000-0005-0000-0000-000009160000}"/>
    <cellStyle name="Calculation 11 2 17 4 2" xfId="5673" xr:uid="{00000000-0005-0000-0000-00000A160000}"/>
    <cellStyle name="Calculation 11 2 17 4 3" xfId="5674" xr:uid="{00000000-0005-0000-0000-00000B160000}"/>
    <cellStyle name="Calculation 11 2 17 4 4" xfId="5675" xr:uid="{00000000-0005-0000-0000-00000C160000}"/>
    <cellStyle name="Calculation 11 2 17 4 5" xfId="5676" xr:uid="{00000000-0005-0000-0000-00000D160000}"/>
    <cellStyle name="Calculation 11 2 17 4 6" xfId="5677" xr:uid="{00000000-0005-0000-0000-00000E160000}"/>
    <cellStyle name="Calculation 11 2 17 5" xfId="5678" xr:uid="{00000000-0005-0000-0000-00000F160000}"/>
    <cellStyle name="Calculation 11 2 17 5 2" xfId="5679" xr:uid="{00000000-0005-0000-0000-000010160000}"/>
    <cellStyle name="Calculation 11 2 17 5 3" xfId="5680" xr:uid="{00000000-0005-0000-0000-000011160000}"/>
    <cellStyle name="Calculation 11 2 17 5 4" xfId="5681" xr:uid="{00000000-0005-0000-0000-000012160000}"/>
    <cellStyle name="Calculation 11 2 17 5 5" xfId="5682" xr:uid="{00000000-0005-0000-0000-000013160000}"/>
    <cellStyle name="Calculation 11 2 17 5 6" xfId="5683" xr:uid="{00000000-0005-0000-0000-000014160000}"/>
    <cellStyle name="Calculation 11 2 17 6" xfId="5684" xr:uid="{00000000-0005-0000-0000-000015160000}"/>
    <cellStyle name="Calculation 11 2 17 6 2" xfId="5685" xr:uid="{00000000-0005-0000-0000-000016160000}"/>
    <cellStyle name="Calculation 11 2 17 6 3" xfId="5686" xr:uid="{00000000-0005-0000-0000-000017160000}"/>
    <cellStyle name="Calculation 11 2 17 6 4" xfId="5687" xr:uid="{00000000-0005-0000-0000-000018160000}"/>
    <cellStyle name="Calculation 11 2 17 6 5" xfId="5688" xr:uid="{00000000-0005-0000-0000-000019160000}"/>
    <cellStyle name="Calculation 11 2 17 6 6" xfId="5689" xr:uid="{00000000-0005-0000-0000-00001A160000}"/>
    <cellStyle name="Calculation 11 2 17 7" xfId="5690" xr:uid="{00000000-0005-0000-0000-00001B160000}"/>
    <cellStyle name="Calculation 11 2 17 7 2" xfId="5691" xr:uid="{00000000-0005-0000-0000-00001C160000}"/>
    <cellStyle name="Calculation 11 2 17 7 3" xfId="5692" xr:uid="{00000000-0005-0000-0000-00001D160000}"/>
    <cellStyle name="Calculation 11 2 17 7 4" xfId="5693" xr:uid="{00000000-0005-0000-0000-00001E160000}"/>
    <cellStyle name="Calculation 11 2 17 7 5" xfId="5694" xr:uid="{00000000-0005-0000-0000-00001F160000}"/>
    <cellStyle name="Calculation 11 2 17 7 6" xfId="5695" xr:uid="{00000000-0005-0000-0000-000020160000}"/>
    <cellStyle name="Calculation 11 2 17 8" xfId="5696" xr:uid="{00000000-0005-0000-0000-000021160000}"/>
    <cellStyle name="Calculation 11 2 17 9" xfId="5697" xr:uid="{00000000-0005-0000-0000-000022160000}"/>
    <cellStyle name="Calculation 11 2 18" xfId="5698" xr:uid="{00000000-0005-0000-0000-000023160000}"/>
    <cellStyle name="Calculation 11 2 18 10" xfId="5699" xr:uid="{00000000-0005-0000-0000-000024160000}"/>
    <cellStyle name="Calculation 11 2 18 2" xfId="5700" xr:uid="{00000000-0005-0000-0000-000025160000}"/>
    <cellStyle name="Calculation 11 2 18 2 2" xfId="5701" xr:uid="{00000000-0005-0000-0000-000026160000}"/>
    <cellStyle name="Calculation 11 2 18 2 3" xfId="5702" xr:uid="{00000000-0005-0000-0000-000027160000}"/>
    <cellStyle name="Calculation 11 2 18 2 4" xfId="5703" xr:uid="{00000000-0005-0000-0000-000028160000}"/>
    <cellStyle name="Calculation 11 2 18 2 5" xfId="5704" xr:uid="{00000000-0005-0000-0000-000029160000}"/>
    <cellStyle name="Calculation 11 2 18 2 6" xfId="5705" xr:uid="{00000000-0005-0000-0000-00002A160000}"/>
    <cellStyle name="Calculation 11 2 18 3" xfId="5706" xr:uid="{00000000-0005-0000-0000-00002B160000}"/>
    <cellStyle name="Calculation 11 2 18 3 2" xfId="5707" xr:uid="{00000000-0005-0000-0000-00002C160000}"/>
    <cellStyle name="Calculation 11 2 18 3 3" xfId="5708" xr:uid="{00000000-0005-0000-0000-00002D160000}"/>
    <cellStyle name="Calculation 11 2 18 3 4" xfId="5709" xr:uid="{00000000-0005-0000-0000-00002E160000}"/>
    <cellStyle name="Calculation 11 2 18 3 5" xfId="5710" xr:uid="{00000000-0005-0000-0000-00002F160000}"/>
    <cellStyle name="Calculation 11 2 18 3 6" xfId="5711" xr:uid="{00000000-0005-0000-0000-000030160000}"/>
    <cellStyle name="Calculation 11 2 18 4" xfId="5712" xr:uid="{00000000-0005-0000-0000-000031160000}"/>
    <cellStyle name="Calculation 11 2 18 4 2" xfId="5713" xr:uid="{00000000-0005-0000-0000-000032160000}"/>
    <cellStyle name="Calculation 11 2 18 4 3" xfId="5714" xr:uid="{00000000-0005-0000-0000-000033160000}"/>
    <cellStyle name="Calculation 11 2 18 4 4" xfId="5715" xr:uid="{00000000-0005-0000-0000-000034160000}"/>
    <cellStyle name="Calculation 11 2 18 4 5" xfId="5716" xr:uid="{00000000-0005-0000-0000-000035160000}"/>
    <cellStyle name="Calculation 11 2 18 4 6" xfId="5717" xr:uid="{00000000-0005-0000-0000-000036160000}"/>
    <cellStyle name="Calculation 11 2 18 5" xfId="5718" xr:uid="{00000000-0005-0000-0000-000037160000}"/>
    <cellStyle name="Calculation 11 2 18 5 2" xfId="5719" xr:uid="{00000000-0005-0000-0000-000038160000}"/>
    <cellStyle name="Calculation 11 2 18 5 3" xfId="5720" xr:uid="{00000000-0005-0000-0000-000039160000}"/>
    <cellStyle name="Calculation 11 2 18 5 4" xfId="5721" xr:uid="{00000000-0005-0000-0000-00003A160000}"/>
    <cellStyle name="Calculation 11 2 18 5 5" xfId="5722" xr:uid="{00000000-0005-0000-0000-00003B160000}"/>
    <cellStyle name="Calculation 11 2 18 5 6" xfId="5723" xr:uid="{00000000-0005-0000-0000-00003C160000}"/>
    <cellStyle name="Calculation 11 2 18 6" xfId="5724" xr:uid="{00000000-0005-0000-0000-00003D160000}"/>
    <cellStyle name="Calculation 11 2 18 6 2" xfId="5725" xr:uid="{00000000-0005-0000-0000-00003E160000}"/>
    <cellStyle name="Calculation 11 2 18 6 3" xfId="5726" xr:uid="{00000000-0005-0000-0000-00003F160000}"/>
    <cellStyle name="Calculation 11 2 18 6 4" xfId="5727" xr:uid="{00000000-0005-0000-0000-000040160000}"/>
    <cellStyle name="Calculation 11 2 18 6 5" xfId="5728" xr:uid="{00000000-0005-0000-0000-000041160000}"/>
    <cellStyle name="Calculation 11 2 18 6 6" xfId="5729" xr:uid="{00000000-0005-0000-0000-000042160000}"/>
    <cellStyle name="Calculation 11 2 18 7" xfId="5730" xr:uid="{00000000-0005-0000-0000-000043160000}"/>
    <cellStyle name="Calculation 11 2 18 7 2" xfId="5731" xr:uid="{00000000-0005-0000-0000-000044160000}"/>
    <cellStyle name="Calculation 11 2 18 7 3" xfId="5732" xr:uid="{00000000-0005-0000-0000-000045160000}"/>
    <cellStyle name="Calculation 11 2 18 7 4" xfId="5733" xr:uid="{00000000-0005-0000-0000-000046160000}"/>
    <cellStyle name="Calculation 11 2 18 7 5" xfId="5734" xr:uid="{00000000-0005-0000-0000-000047160000}"/>
    <cellStyle name="Calculation 11 2 18 7 6" xfId="5735" xr:uid="{00000000-0005-0000-0000-000048160000}"/>
    <cellStyle name="Calculation 11 2 18 8" xfId="5736" xr:uid="{00000000-0005-0000-0000-000049160000}"/>
    <cellStyle name="Calculation 11 2 18 9" xfId="5737" xr:uid="{00000000-0005-0000-0000-00004A160000}"/>
    <cellStyle name="Calculation 11 2 19" xfId="5738" xr:uid="{00000000-0005-0000-0000-00004B160000}"/>
    <cellStyle name="Calculation 11 2 19 10" xfId="5739" xr:uid="{00000000-0005-0000-0000-00004C160000}"/>
    <cellStyle name="Calculation 11 2 19 2" xfId="5740" xr:uid="{00000000-0005-0000-0000-00004D160000}"/>
    <cellStyle name="Calculation 11 2 19 2 2" xfId="5741" xr:uid="{00000000-0005-0000-0000-00004E160000}"/>
    <cellStyle name="Calculation 11 2 19 2 3" xfId="5742" xr:uid="{00000000-0005-0000-0000-00004F160000}"/>
    <cellStyle name="Calculation 11 2 19 2 4" xfId="5743" xr:uid="{00000000-0005-0000-0000-000050160000}"/>
    <cellStyle name="Calculation 11 2 19 2 5" xfId="5744" xr:uid="{00000000-0005-0000-0000-000051160000}"/>
    <cellStyle name="Calculation 11 2 19 2 6" xfId="5745" xr:uid="{00000000-0005-0000-0000-000052160000}"/>
    <cellStyle name="Calculation 11 2 19 3" xfId="5746" xr:uid="{00000000-0005-0000-0000-000053160000}"/>
    <cellStyle name="Calculation 11 2 19 3 2" xfId="5747" xr:uid="{00000000-0005-0000-0000-000054160000}"/>
    <cellStyle name="Calculation 11 2 19 3 3" xfId="5748" xr:uid="{00000000-0005-0000-0000-000055160000}"/>
    <cellStyle name="Calculation 11 2 19 3 4" xfId="5749" xr:uid="{00000000-0005-0000-0000-000056160000}"/>
    <cellStyle name="Calculation 11 2 19 3 5" xfId="5750" xr:uid="{00000000-0005-0000-0000-000057160000}"/>
    <cellStyle name="Calculation 11 2 19 3 6" xfId="5751" xr:uid="{00000000-0005-0000-0000-000058160000}"/>
    <cellStyle name="Calculation 11 2 19 4" xfId="5752" xr:uid="{00000000-0005-0000-0000-000059160000}"/>
    <cellStyle name="Calculation 11 2 19 4 2" xfId="5753" xr:uid="{00000000-0005-0000-0000-00005A160000}"/>
    <cellStyle name="Calculation 11 2 19 4 3" xfId="5754" xr:uid="{00000000-0005-0000-0000-00005B160000}"/>
    <cellStyle name="Calculation 11 2 19 4 4" xfId="5755" xr:uid="{00000000-0005-0000-0000-00005C160000}"/>
    <cellStyle name="Calculation 11 2 19 4 5" xfId="5756" xr:uid="{00000000-0005-0000-0000-00005D160000}"/>
    <cellStyle name="Calculation 11 2 19 4 6" xfId="5757" xr:uid="{00000000-0005-0000-0000-00005E160000}"/>
    <cellStyle name="Calculation 11 2 19 5" xfId="5758" xr:uid="{00000000-0005-0000-0000-00005F160000}"/>
    <cellStyle name="Calculation 11 2 19 5 2" xfId="5759" xr:uid="{00000000-0005-0000-0000-000060160000}"/>
    <cellStyle name="Calculation 11 2 19 5 3" xfId="5760" xr:uid="{00000000-0005-0000-0000-000061160000}"/>
    <cellStyle name="Calculation 11 2 19 5 4" xfId="5761" xr:uid="{00000000-0005-0000-0000-000062160000}"/>
    <cellStyle name="Calculation 11 2 19 5 5" xfId="5762" xr:uid="{00000000-0005-0000-0000-000063160000}"/>
    <cellStyle name="Calculation 11 2 19 5 6" xfId="5763" xr:uid="{00000000-0005-0000-0000-000064160000}"/>
    <cellStyle name="Calculation 11 2 19 6" xfId="5764" xr:uid="{00000000-0005-0000-0000-000065160000}"/>
    <cellStyle name="Calculation 11 2 19 6 2" xfId="5765" xr:uid="{00000000-0005-0000-0000-000066160000}"/>
    <cellStyle name="Calculation 11 2 19 6 3" xfId="5766" xr:uid="{00000000-0005-0000-0000-000067160000}"/>
    <cellStyle name="Calculation 11 2 19 6 4" xfId="5767" xr:uid="{00000000-0005-0000-0000-000068160000}"/>
    <cellStyle name="Calculation 11 2 19 6 5" xfId="5768" xr:uid="{00000000-0005-0000-0000-000069160000}"/>
    <cellStyle name="Calculation 11 2 19 6 6" xfId="5769" xr:uid="{00000000-0005-0000-0000-00006A160000}"/>
    <cellStyle name="Calculation 11 2 19 7" xfId="5770" xr:uid="{00000000-0005-0000-0000-00006B160000}"/>
    <cellStyle name="Calculation 11 2 19 7 2" xfId="5771" xr:uid="{00000000-0005-0000-0000-00006C160000}"/>
    <cellStyle name="Calculation 11 2 19 7 3" xfId="5772" xr:uid="{00000000-0005-0000-0000-00006D160000}"/>
    <cellStyle name="Calculation 11 2 19 7 4" xfId="5773" xr:uid="{00000000-0005-0000-0000-00006E160000}"/>
    <cellStyle name="Calculation 11 2 19 7 5" xfId="5774" xr:uid="{00000000-0005-0000-0000-00006F160000}"/>
    <cellStyle name="Calculation 11 2 19 7 6" xfId="5775" xr:uid="{00000000-0005-0000-0000-000070160000}"/>
    <cellStyle name="Calculation 11 2 19 8" xfId="5776" xr:uid="{00000000-0005-0000-0000-000071160000}"/>
    <cellStyle name="Calculation 11 2 19 9" xfId="5777" xr:uid="{00000000-0005-0000-0000-000072160000}"/>
    <cellStyle name="Calculation 11 2 2" xfId="5778" xr:uid="{00000000-0005-0000-0000-000073160000}"/>
    <cellStyle name="Calculation 11 2 2 10" xfId="5779" xr:uid="{00000000-0005-0000-0000-000074160000}"/>
    <cellStyle name="Calculation 11 2 2 2" xfId="5780" xr:uid="{00000000-0005-0000-0000-000075160000}"/>
    <cellStyle name="Calculation 11 2 2 2 2" xfId="5781" xr:uid="{00000000-0005-0000-0000-000076160000}"/>
    <cellStyle name="Calculation 11 2 2 2 3" xfId="5782" xr:uid="{00000000-0005-0000-0000-000077160000}"/>
    <cellStyle name="Calculation 11 2 2 2 4" xfId="5783" xr:uid="{00000000-0005-0000-0000-000078160000}"/>
    <cellStyle name="Calculation 11 2 2 2 5" xfId="5784" xr:uid="{00000000-0005-0000-0000-000079160000}"/>
    <cellStyle name="Calculation 11 2 2 2 6" xfId="5785" xr:uid="{00000000-0005-0000-0000-00007A160000}"/>
    <cellStyle name="Calculation 11 2 2 3" xfId="5786" xr:uid="{00000000-0005-0000-0000-00007B160000}"/>
    <cellStyle name="Calculation 11 2 2 3 2" xfId="5787" xr:uid="{00000000-0005-0000-0000-00007C160000}"/>
    <cellStyle name="Calculation 11 2 2 3 3" xfId="5788" xr:uid="{00000000-0005-0000-0000-00007D160000}"/>
    <cellStyle name="Calculation 11 2 2 3 4" xfId="5789" xr:uid="{00000000-0005-0000-0000-00007E160000}"/>
    <cellStyle name="Calculation 11 2 2 3 5" xfId="5790" xr:uid="{00000000-0005-0000-0000-00007F160000}"/>
    <cellStyle name="Calculation 11 2 2 3 6" xfId="5791" xr:uid="{00000000-0005-0000-0000-000080160000}"/>
    <cellStyle name="Calculation 11 2 2 4" xfId="5792" xr:uid="{00000000-0005-0000-0000-000081160000}"/>
    <cellStyle name="Calculation 11 2 2 4 2" xfId="5793" xr:uid="{00000000-0005-0000-0000-000082160000}"/>
    <cellStyle name="Calculation 11 2 2 4 3" xfId="5794" xr:uid="{00000000-0005-0000-0000-000083160000}"/>
    <cellStyle name="Calculation 11 2 2 4 4" xfId="5795" xr:uid="{00000000-0005-0000-0000-000084160000}"/>
    <cellStyle name="Calculation 11 2 2 4 5" xfId="5796" xr:uid="{00000000-0005-0000-0000-000085160000}"/>
    <cellStyle name="Calculation 11 2 2 4 6" xfId="5797" xr:uid="{00000000-0005-0000-0000-000086160000}"/>
    <cellStyle name="Calculation 11 2 2 5" xfId="5798" xr:uid="{00000000-0005-0000-0000-000087160000}"/>
    <cellStyle name="Calculation 11 2 2 5 2" xfId="5799" xr:uid="{00000000-0005-0000-0000-000088160000}"/>
    <cellStyle name="Calculation 11 2 2 5 3" xfId="5800" xr:uid="{00000000-0005-0000-0000-000089160000}"/>
    <cellStyle name="Calculation 11 2 2 5 4" xfId="5801" xr:uid="{00000000-0005-0000-0000-00008A160000}"/>
    <cellStyle name="Calculation 11 2 2 5 5" xfId="5802" xr:uid="{00000000-0005-0000-0000-00008B160000}"/>
    <cellStyle name="Calculation 11 2 2 5 6" xfId="5803" xr:uid="{00000000-0005-0000-0000-00008C160000}"/>
    <cellStyle name="Calculation 11 2 2 6" xfId="5804" xr:uid="{00000000-0005-0000-0000-00008D160000}"/>
    <cellStyle name="Calculation 11 2 2 6 2" xfId="5805" xr:uid="{00000000-0005-0000-0000-00008E160000}"/>
    <cellStyle name="Calculation 11 2 2 6 3" xfId="5806" xr:uid="{00000000-0005-0000-0000-00008F160000}"/>
    <cellStyle name="Calculation 11 2 2 6 4" xfId="5807" xr:uid="{00000000-0005-0000-0000-000090160000}"/>
    <cellStyle name="Calculation 11 2 2 6 5" xfId="5808" xr:uid="{00000000-0005-0000-0000-000091160000}"/>
    <cellStyle name="Calculation 11 2 2 6 6" xfId="5809" xr:uid="{00000000-0005-0000-0000-000092160000}"/>
    <cellStyle name="Calculation 11 2 2 7" xfId="5810" xr:uid="{00000000-0005-0000-0000-000093160000}"/>
    <cellStyle name="Calculation 11 2 2 7 2" xfId="5811" xr:uid="{00000000-0005-0000-0000-000094160000}"/>
    <cellStyle name="Calculation 11 2 2 7 3" xfId="5812" xr:uid="{00000000-0005-0000-0000-000095160000}"/>
    <cellStyle name="Calculation 11 2 2 7 4" xfId="5813" xr:uid="{00000000-0005-0000-0000-000096160000}"/>
    <cellStyle name="Calculation 11 2 2 7 5" xfId="5814" xr:uid="{00000000-0005-0000-0000-000097160000}"/>
    <cellStyle name="Calculation 11 2 2 7 6" xfId="5815" xr:uid="{00000000-0005-0000-0000-000098160000}"/>
    <cellStyle name="Calculation 11 2 2 8" xfId="5816" xr:uid="{00000000-0005-0000-0000-000099160000}"/>
    <cellStyle name="Calculation 11 2 2 9" xfId="5817" xr:uid="{00000000-0005-0000-0000-00009A160000}"/>
    <cellStyle name="Calculation 11 2 20" xfId="5818" xr:uid="{00000000-0005-0000-0000-00009B160000}"/>
    <cellStyle name="Calculation 11 2 20 10" xfId="5819" xr:uid="{00000000-0005-0000-0000-00009C160000}"/>
    <cellStyle name="Calculation 11 2 20 2" xfId="5820" xr:uid="{00000000-0005-0000-0000-00009D160000}"/>
    <cellStyle name="Calculation 11 2 20 2 2" xfId="5821" xr:uid="{00000000-0005-0000-0000-00009E160000}"/>
    <cellStyle name="Calculation 11 2 20 2 3" xfId="5822" xr:uid="{00000000-0005-0000-0000-00009F160000}"/>
    <cellStyle name="Calculation 11 2 20 2 4" xfId="5823" xr:uid="{00000000-0005-0000-0000-0000A0160000}"/>
    <cellStyle name="Calculation 11 2 20 2 5" xfId="5824" xr:uid="{00000000-0005-0000-0000-0000A1160000}"/>
    <cellStyle name="Calculation 11 2 20 2 6" xfId="5825" xr:uid="{00000000-0005-0000-0000-0000A2160000}"/>
    <cellStyle name="Calculation 11 2 20 3" xfId="5826" xr:uid="{00000000-0005-0000-0000-0000A3160000}"/>
    <cellStyle name="Calculation 11 2 20 3 2" xfId="5827" xr:uid="{00000000-0005-0000-0000-0000A4160000}"/>
    <cellStyle name="Calculation 11 2 20 3 3" xfId="5828" xr:uid="{00000000-0005-0000-0000-0000A5160000}"/>
    <cellStyle name="Calculation 11 2 20 3 4" xfId="5829" xr:uid="{00000000-0005-0000-0000-0000A6160000}"/>
    <cellStyle name="Calculation 11 2 20 3 5" xfId="5830" xr:uid="{00000000-0005-0000-0000-0000A7160000}"/>
    <cellStyle name="Calculation 11 2 20 3 6" xfId="5831" xr:uid="{00000000-0005-0000-0000-0000A8160000}"/>
    <cellStyle name="Calculation 11 2 20 4" xfId="5832" xr:uid="{00000000-0005-0000-0000-0000A9160000}"/>
    <cellStyle name="Calculation 11 2 20 4 2" xfId="5833" xr:uid="{00000000-0005-0000-0000-0000AA160000}"/>
    <cellStyle name="Calculation 11 2 20 4 3" xfId="5834" xr:uid="{00000000-0005-0000-0000-0000AB160000}"/>
    <cellStyle name="Calculation 11 2 20 4 4" xfId="5835" xr:uid="{00000000-0005-0000-0000-0000AC160000}"/>
    <cellStyle name="Calculation 11 2 20 4 5" xfId="5836" xr:uid="{00000000-0005-0000-0000-0000AD160000}"/>
    <cellStyle name="Calculation 11 2 20 4 6" xfId="5837" xr:uid="{00000000-0005-0000-0000-0000AE160000}"/>
    <cellStyle name="Calculation 11 2 20 5" xfId="5838" xr:uid="{00000000-0005-0000-0000-0000AF160000}"/>
    <cellStyle name="Calculation 11 2 20 5 2" xfId="5839" xr:uid="{00000000-0005-0000-0000-0000B0160000}"/>
    <cellStyle name="Calculation 11 2 20 5 3" xfId="5840" xr:uid="{00000000-0005-0000-0000-0000B1160000}"/>
    <cellStyle name="Calculation 11 2 20 5 4" xfId="5841" xr:uid="{00000000-0005-0000-0000-0000B2160000}"/>
    <cellStyle name="Calculation 11 2 20 5 5" xfId="5842" xr:uid="{00000000-0005-0000-0000-0000B3160000}"/>
    <cellStyle name="Calculation 11 2 20 5 6" xfId="5843" xr:uid="{00000000-0005-0000-0000-0000B4160000}"/>
    <cellStyle name="Calculation 11 2 20 6" xfId="5844" xr:uid="{00000000-0005-0000-0000-0000B5160000}"/>
    <cellStyle name="Calculation 11 2 20 6 2" xfId="5845" xr:uid="{00000000-0005-0000-0000-0000B6160000}"/>
    <cellStyle name="Calculation 11 2 20 6 3" xfId="5846" xr:uid="{00000000-0005-0000-0000-0000B7160000}"/>
    <cellStyle name="Calculation 11 2 20 6 4" xfId="5847" xr:uid="{00000000-0005-0000-0000-0000B8160000}"/>
    <cellStyle name="Calculation 11 2 20 6 5" xfId="5848" xr:uid="{00000000-0005-0000-0000-0000B9160000}"/>
    <cellStyle name="Calculation 11 2 20 6 6" xfId="5849" xr:uid="{00000000-0005-0000-0000-0000BA160000}"/>
    <cellStyle name="Calculation 11 2 20 7" xfId="5850" xr:uid="{00000000-0005-0000-0000-0000BB160000}"/>
    <cellStyle name="Calculation 11 2 20 7 2" xfId="5851" xr:uid="{00000000-0005-0000-0000-0000BC160000}"/>
    <cellStyle name="Calculation 11 2 20 7 3" xfId="5852" xr:uid="{00000000-0005-0000-0000-0000BD160000}"/>
    <cellStyle name="Calculation 11 2 20 7 4" xfId="5853" xr:uid="{00000000-0005-0000-0000-0000BE160000}"/>
    <cellStyle name="Calculation 11 2 20 7 5" xfId="5854" xr:uid="{00000000-0005-0000-0000-0000BF160000}"/>
    <cellStyle name="Calculation 11 2 20 7 6" xfId="5855" xr:uid="{00000000-0005-0000-0000-0000C0160000}"/>
    <cellStyle name="Calculation 11 2 20 8" xfId="5856" xr:uid="{00000000-0005-0000-0000-0000C1160000}"/>
    <cellStyle name="Calculation 11 2 20 9" xfId="5857" xr:uid="{00000000-0005-0000-0000-0000C2160000}"/>
    <cellStyle name="Calculation 11 2 21" xfId="5858" xr:uid="{00000000-0005-0000-0000-0000C3160000}"/>
    <cellStyle name="Calculation 11 2 21 10" xfId="5859" xr:uid="{00000000-0005-0000-0000-0000C4160000}"/>
    <cellStyle name="Calculation 11 2 21 2" xfId="5860" xr:uid="{00000000-0005-0000-0000-0000C5160000}"/>
    <cellStyle name="Calculation 11 2 21 2 2" xfId="5861" xr:uid="{00000000-0005-0000-0000-0000C6160000}"/>
    <cellStyle name="Calculation 11 2 21 2 3" xfId="5862" xr:uid="{00000000-0005-0000-0000-0000C7160000}"/>
    <cellStyle name="Calculation 11 2 21 2 4" xfId="5863" xr:uid="{00000000-0005-0000-0000-0000C8160000}"/>
    <cellStyle name="Calculation 11 2 21 2 5" xfId="5864" xr:uid="{00000000-0005-0000-0000-0000C9160000}"/>
    <cellStyle name="Calculation 11 2 21 2 6" xfId="5865" xr:uid="{00000000-0005-0000-0000-0000CA160000}"/>
    <cellStyle name="Calculation 11 2 21 3" xfId="5866" xr:uid="{00000000-0005-0000-0000-0000CB160000}"/>
    <cellStyle name="Calculation 11 2 21 3 2" xfId="5867" xr:uid="{00000000-0005-0000-0000-0000CC160000}"/>
    <cellStyle name="Calculation 11 2 21 3 3" xfId="5868" xr:uid="{00000000-0005-0000-0000-0000CD160000}"/>
    <cellStyle name="Calculation 11 2 21 3 4" xfId="5869" xr:uid="{00000000-0005-0000-0000-0000CE160000}"/>
    <cellStyle name="Calculation 11 2 21 3 5" xfId="5870" xr:uid="{00000000-0005-0000-0000-0000CF160000}"/>
    <cellStyle name="Calculation 11 2 21 3 6" xfId="5871" xr:uid="{00000000-0005-0000-0000-0000D0160000}"/>
    <cellStyle name="Calculation 11 2 21 4" xfId="5872" xr:uid="{00000000-0005-0000-0000-0000D1160000}"/>
    <cellStyle name="Calculation 11 2 21 4 2" xfId="5873" xr:uid="{00000000-0005-0000-0000-0000D2160000}"/>
    <cellStyle name="Calculation 11 2 21 4 3" xfId="5874" xr:uid="{00000000-0005-0000-0000-0000D3160000}"/>
    <cellStyle name="Calculation 11 2 21 4 4" xfId="5875" xr:uid="{00000000-0005-0000-0000-0000D4160000}"/>
    <cellStyle name="Calculation 11 2 21 4 5" xfId="5876" xr:uid="{00000000-0005-0000-0000-0000D5160000}"/>
    <cellStyle name="Calculation 11 2 21 4 6" xfId="5877" xr:uid="{00000000-0005-0000-0000-0000D6160000}"/>
    <cellStyle name="Calculation 11 2 21 5" xfId="5878" xr:uid="{00000000-0005-0000-0000-0000D7160000}"/>
    <cellStyle name="Calculation 11 2 21 5 2" xfId="5879" xr:uid="{00000000-0005-0000-0000-0000D8160000}"/>
    <cellStyle name="Calculation 11 2 21 5 3" xfId="5880" xr:uid="{00000000-0005-0000-0000-0000D9160000}"/>
    <cellStyle name="Calculation 11 2 21 5 4" xfId="5881" xr:uid="{00000000-0005-0000-0000-0000DA160000}"/>
    <cellStyle name="Calculation 11 2 21 5 5" xfId="5882" xr:uid="{00000000-0005-0000-0000-0000DB160000}"/>
    <cellStyle name="Calculation 11 2 21 5 6" xfId="5883" xr:uid="{00000000-0005-0000-0000-0000DC160000}"/>
    <cellStyle name="Calculation 11 2 21 6" xfId="5884" xr:uid="{00000000-0005-0000-0000-0000DD160000}"/>
    <cellStyle name="Calculation 11 2 21 6 2" xfId="5885" xr:uid="{00000000-0005-0000-0000-0000DE160000}"/>
    <cellStyle name="Calculation 11 2 21 6 3" xfId="5886" xr:uid="{00000000-0005-0000-0000-0000DF160000}"/>
    <cellStyle name="Calculation 11 2 21 6 4" xfId="5887" xr:uid="{00000000-0005-0000-0000-0000E0160000}"/>
    <cellStyle name="Calculation 11 2 21 6 5" xfId="5888" xr:uid="{00000000-0005-0000-0000-0000E1160000}"/>
    <cellStyle name="Calculation 11 2 21 6 6" xfId="5889" xr:uid="{00000000-0005-0000-0000-0000E2160000}"/>
    <cellStyle name="Calculation 11 2 21 7" xfId="5890" xr:uid="{00000000-0005-0000-0000-0000E3160000}"/>
    <cellStyle name="Calculation 11 2 21 7 2" xfId="5891" xr:uid="{00000000-0005-0000-0000-0000E4160000}"/>
    <cellStyle name="Calculation 11 2 21 7 3" xfId="5892" xr:uid="{00000000-0005-0000-0000-0000E5160000}"/>
    <cellStyle name="Calculation 11 2 21 7 4" xfId="5893" xr:uid="{00000000-0005-0000-0000-0000E6160000}"/>
    <cellStyle name="Calculation 11 2 21 7 5" xfId="5894" xr:uid="{00000000-0005-0000-0000-0000E7160000}"/>
    <cellStyle name="Calculation 11 2 21 7 6" xfId="5895" xr:uid="{00000000-0005-0000-0000-0000E8160000}"/>
    <cellStyle name="Calculation 11 2 21 8" xfId="5896" xr:uid="{00000000-0005-0000-0000-0000E9160000}"/>
    <cellStyle name="Calculation 11 2 21 9" xfId="5897" xr:uid="{00000000-0005-0000-0000-0000EA160000}"/>
    <cellStyle name="Calculation 11 2 22" xfId="5898" xr:uid="{00000000-0005-0000-0000-0000EB160000}"/>
    <cellStyle name="Calculation 11 2 22 10" xfId="5899" xr:uid="{00000000-0005-0000-0000-0000EC160000}"/>
    <cellStyle name="Calculation 11 2 22 2" xfId="5900" xr:uid="{00000000-0005-0000-0000-0000ED160000}"/>
    <cellStyle name="Calculation 11 2 22 2 2" xfId="5901" xr:uid="{00000000-0005-0000-0000-0000EE160000}"/>
    <cellStyle name="Calculation 11 2 22 2 3" xfId="5902" xr:uid="{00000000-0005-0000-0000-0000EF160000}"/>
    <cellStyle name="Calculation 11 2 22 2 4" xfId="5903" xr:uid="{00000000-0005-0000-0000-0000F0160000}"/>
    <cellStyle name="Calculation 11 2 22 2 5" xfId="5904" xr:uid="{00000000-0005-0000-0000-0000F1160000}"/>
    <cellStyle name="Calculation 11 2 22 2 6" xfId="5905" xr:uid="{00000000-0005-0000-0000-0000F2160000}"/>
    <cellStyle name="Calculation 11 2 22 3" xfId="5906" xr:uid="{00000000-0005-0000-0000-0000F3160000}"/>
    <cellStyle name="Calculation 11 2 22 3 2" xfId="5907" xr:uid="{00000000-0005-0000-0000-0000F4160000}"/>
    <cellStyle name="Calculation 11 2 22 3 3" xfId="5908" xr:uid="{00000000-0005-0000-0000-0000F5160000}"/>
    <cellStyle name="Calculation 11 2 22 3 4" xfId="5909" xr:uid="{00000000-0005-0000-0000-0000F6160000}"/>
    <cellStyle name="Calculation 11 2 22 3 5" xfId="5910" xr:uid="{00000000-0005-0000-0000-0000F7160000}"/>
    <cellStyle name="Calculation 11 2 22 3 6" xfId="5911" xr:uid="{00000000-0005-0000-0000-0000F8160000}"/>
    <cellStyle name="Calculation 11 2 22 4" xfId="5912" xr:uid="{00000000-0005-0000-0000-0000F9160000}"/>
    <cellStyle name="Calculation 11 2 22 4 2" xfId="5913" xr:uid="{00000000-0005-0000-0000-0000FA160000}"/>
    <cellStyle name="Calculation 11 2 22 4 3" xfId="5914" xr:uid="{00000000-0005-0000-0000-0000FB160000}"/>
    <cellStyle name="Calculation 11 2 22 4 4" xfId="5915" xr:uid="{00000000-0005-0000-0000-0000FC160000}"/>
    <cellStyle name="Calculation 11 2 22 4 5" xfId="5916" xr:uid="{00000000-0005-0000-0000-0000FD160000}"/>
    <cellStyle name="Calculation 11 2 22 4 6" xfId="5917" xr:uid="{00000000-0005-0000-0000-0000FE160000}"/>
    <cellStyle name="Calculation 11 2 22 5" xfId="5918" xr:uid="{00000000-0005-0000-0000-0000FF160000}"/>
    <cellStyle name="Calculation 11 2 22 5 2" xfId="5919" xr:uid="{00000000-0005-0000-0000-000000170000}"/>
    <cellStyle name="Calculation 11 2 22 5 3" xfId="5920" xr:uid="{00000000-0005-0000-0000-000001170000}"/>
    <cellStyle name="Calculation 11 2 22 5 4" xfId="5921" xr:uid="{00000000-0005-0000-0000-000002170000}"/>
    <cellStyle name="Calculation 11 2 22 5 5" xfId="5922" xr:uid="{00000000-0005-0000-0000-000003170000}"/>
    <cellStyle name="Calculation 11 2 22 5 6" xfId="5923" xr:uid="{00000000-0005-0000-0000-000004170000}"/>
    <cellStyle name="Calculation 11 2 22 6" xfId="5924" xr:uid="{00000000-0005-0000-0000-000005170000}"/>
    <cellStyle name="Calculation 11 2 22 6 2" xfId="5925" xr:uid="{00000000-0005-0000-0000-000006170000}"/>
    <cellStyle name="Calculation 11 2 22 6 3" xfId="5926" xr:uid="{00000000-0005-0000-0000-000007170000}"/>
    <cellStyle name="Calculation 11 2 22 6 4" xfId="5927" xr:uid="{00000000-0005-0000-0000-000008170000}"/>
    <cellStyle name="Calculation 11 2 22 6 5" xfId="5928" xr:uid="{00000000-0005-0000-0000-000009170000}"/>
    <cellStyle name="Calculation 11 2 22 6 6" xfId="5929" xr:uid="{00000000-0005-0000-0000-00000A170000}"/>
    <cellStyle name="Calculation 11 2 22 7" xfId="5930" xr:uid="{00000000-0005-0000-0000-00000B170000}"/>
    <cellStyle name="Calculation 11 2 22 7 2" xfId="5931" xr:uid="{00000000-0005-0000-0000-00000C170000}"/>
    <cellStyle name="Calculation 11 2 22 7 3" xfId="5932" xr:uid="{00000000-0005-0000-0000-00000D170000}"/>
    <cellStyle name="Calculation 11 2 22 7 4" xfId="5933" xr:uid="{00000000-0005-0000-0000-00000E170000}"/>
    <cellStyle name="Calculation 11 2 22 7 5" xfId="5934" xr:uid="{00000000-0005-0000-0000-00000F170000}"/>
    <cellStyle name="Calculation 11 2 22 7 6" xfId="5935" xr:uid="{00000000-0005-0000-0000-000010170000}"/>
    <cellStyle name="Calculation 11 2 22 8" xfId="5936" xr:uid="{00000000-0005-0000-0000-000011170000}"/>
    <cellStyle name="Calculation 11 2 22 9" xfId="5937" xr:uid="{00000000-0005-0000-0000-000012170000}"/>
    <cellStyle name="Calculation 11 2 23" xfId="5938" xr:uid="{00000000-0005-0000-0000-000013170000}"/>
    <cellStyle name="Calculation 11 2 23 10" xfId="5939" xr:uid="{00000000-0005-0000-0000-000014170000}"/>
    <cellStyle name="Calculation 11 2 23 2" xfId="5940" xr:uid="{00000000-0005-0000-0000-000015170000}"/>
    <cellStyle name="Calculation 11 2 23 2 2" xfId="5941" xr:uid="{00000000-0005-0000-0000-000016170000}"/>
    <cellStyle name="Calculation 11 2 23 2 3" xfId="5942" xr:uid="{00000000-0005-0000-0000-000017170000}"/>
    <cellStyle name="Calculation 11 2 23 2 4" xfId="5943" xr:uid="{00000000-0005-0000-0000-000018170000}"/>
    <cellStyle name="Calculation 11 2 23 2 5" xfId="5944" xr:uid="{00000000-0005-0000-0000-000019170000}"/>
    <cellStyle name="Calculation 11 2 23 2 6" xfId="5945" xr:uid="{00000000-0005-0000-0000-00001A170000}"/>
    <cellStyle name="Calculation 11 2 23 3" xfId="5946" xr:uid="{00000000-0005-0000-0000-00001B170000}"/>
    <cellStyle name="Calculation 11 2 23 3 2" xfId="5947" xr:uid="{00000000-0005-0000-0000-00001C170000}"/>
    <cellStyle name="Calculation 11 2 23 3 3" xfId="5948" xr:uid="{00000000-0005-0000-0000-00001D170000}"/>
    <cellStyle name="Calculation 11 2 23 3 4" xfId="5949" xr:uid="{00000000-0005-0000-0000-00001E170000}"/>
    <cellStyle name="Calculation 11 2 23 3 5" xfId="5950" xr:uid="{00000000-0005-0000-0000-00001F170000}"/>
    <cellStyle name="Calculation 11 2 23 3 6" xfId="5951" xr:uid="{00000000-0005-0000-0000-000020170000}"/>
    <cellStyle name="Calculation 11 2 23 4" xfId="5952" xr:uid="{00000000-0005-0000-0000-000021170000}"/>
    <cellStyle name="Calculation 11 2 23 4 2" xfId="5953" xr:uid="{00000000-0005-0000-0000-000022170000}"/>
    <cellStyle name="Calculation 11 2 23 4 3" xfId="5954" xr:uid="{00000000-0005-0000-0000-000023170000}"/>
    <cellStyle name="Calculation 11 2 23 4 4" xfId="5955" xr:uid="{00000000-0005-0000-0000-000024170000}"/>
    <cellStyle name="Calculation 11 2 23 4 5" xfId="5956" xr:uid="{00000000-0005-0000-0000-000025170000}"/>
    <cellStyle name="Calculation 11 2 23 4 6" xfId="5957" xr:uid="{00000000-0005-0000-0000-000026170000}"/>
    <cellStyle name="Calculation 11 2 23 5" xfId="5958" xr:uid="{00000000-0005-0000-0000-000027170000}"/>
    <cellStyle name="Calculation 11 2 23 5 2" xfId="5959" xr:uid="{00000000-0005-0000-0000-000028170000}"/>
    <cellStyle name="Calculation 11 2 23 5 3" xfId="5960" xr:uid="{00000000-0005-0000-0000-000029170000}"/>
    <cellStyle name="Calculation 11 2 23 5 4" xfId="5961" xr:uid="{00000000-0005-0000-0000-00002A170000}"/>
    <cellStyle name="Calculation 11 2 23 5 5" xfId="5962" xr:uid="{00000000-0005-0000-0000-00002B170000}"/>
    <cellStyle name="Calculation 11 2 23 5 6" xfId="5963" xr:uid="{00000000-0005-0000-0000-00002C170000}"/>
    <cellStyle name="Calculation 11 2 23 6" xfId="5964" xr:uid="{00000000-0005-0000-0000-00002D170000}"/>
    <cellStyle name="Calculation 11 2 23 6 2" xfId="5965" xr:uid="{00000000-0005-0000-0000-00002E170000}"/>
    <cellStyle name="Calculation 11 2 23 6 3" xfId="5966" xr:uid="{00000000-0005-0000-0000-00002F170000}"/>
    <cellStyle name="Calculation 11 2 23 6 4" xfId="5967" xr:uid="{00000000-0005-0000-0000-000030170000}"/>
    <cellStyle name="Calculation 11 2 23 6 5" xfId="5968" xr:uid="{00000000-0005-0000-0000-000031170000}"/>
    <cellStyle name="Calculation 11 2 23 6 6" xfId="5969" xr:uid="{00000000-0005-0000-0000-000032170000}"/>
    <cellStyle name="Calculation 11 2 23 7" xfId="5970" xr:uid="{00000000-0005-0000-0000-000033170000}"/>
    <cellStyle name="Calculation 11 2 23 7 2" xfId="5971" xr:uid="{00000000-0005-0000-0000-000034170000}"/>
    <cellStyle name="Calculation 11 2 23 7 3" xfId="5972" xr:uid="{00000000-0005-0000-0000-000035170000}"/>
    <cellStyle name="Calculation 11 2 23 7 4" xfId="5973" xr:uid="{00000000-0005-0000-0000-000036170000}"/>
    <cellStyle name="Calculation 11 2 23 7 5" xfId="5974" xr:uid="{00000000-0005-0000-0000-000037170000}"/>
    <cellStyle name="Calculation 11 2 23 7 6" xfId="5975" xr:uid="{00000000-0005-0000-0000-000038170000}"/>
    <cellStyle name="Calculation 11 2 23 8" xfId="5976" xr:uid="{00000000-0005-0000-0000-000039170000}"/>
    <cellStyle name="Calculation 11 2 23 9" xfId="5977" xr:uid="{00000000-0005-0000-0000-00003A170000}"/>
    <cellStyle name="Calculation 11 2 24" xfId="5978" xr:uid="{00000000-0005-0000-0000-00003B170000}"/>
    <cellStyle name="Calculation 11 2 24 10" xfId="5979" xr:uid="{00000000-0005-0000-0000-00003C170000}"/>
    <cellStyle name="Calculation 11 2 24 2" xfId="5980" xr:uid="{00000000-0005-0000-0000-00003D170000}"/>
    <cellStyle name="Calculation 11 2 24 2 2" xfId="5981" xr:uid="{00000000-0005-0000-0000-00003E170000}"/>
    <cellStyle name="Calculation 11 2 24 2 3" xfId="5982" xr:uid="{00000000-0005-0000-0000-00003F170000}"/>
    <cellStyle name="Calculation 11 2 24 2 4" xfId="5983" xr:uid="{00000000-0005-0000-0000-000040170000}"/>
    <cellStyle name="Calculation 11 2 24 2 5" xfId="5984" xr:uid="{00000000-0005-0000-0000-000041170000}"/>
    <cellStyle name="Calculation 11 2 24 2 6" xfId="5985" xr:uid="{00000000-0005-0000-0000-000042170000}"/>
    <cellStyle name="Calculation 11 2 24 3" xfId="5986" xr:uid="{00000000-0005-0000-0000-000043170000}"/>
    <cellStyle name="Calculation 11 2 24 3 2" xfId="5987" xr:uid="{00000000-0005-0000-0000-000044170000}"/>
    <cellStyle name="Calculation 11 2 24 3 3" xfId="5988" xr:uid="{00000000-0005-0000-0000-000045170000}"/>
    <cellStyle name="Calculation 11 2 24 3 4" xfId="5989" xr:uid="{00000000-0005-0000-0000-000046170000}"/>
    <cellStyle name="Calculation 11 2 24 3 5" xfId="5990" xr:uid="{00000000-0005-0000-0000-000047170000}"/>
    <cellStyle name="Calculation 11 2 24 3 6" xfId="5991" xr:uid="{00000000-0005-0000-0000-000048170000}"/>
    <cellStyle name="Calculation 11 2 24 4" xfId="5992" xr:uid="{00000000-0005-0000-0000-000049170000}"/>
    <cellStyle name="Calculation 11 2 24 4 2" xfId="5993" xr:uid="{00000000-0005-0000-0000-00004A170000}"/>
    <cellStyle name="Calculation 11 2 24 4 3" xfId="5994" xr:uid="{00000000-0005-0000-0000-00004B170000}"/>
    <cellStyle name="Calculation 11 2 24 4 4" xfId="5995" xr:uid="{00000000-0005-0000-0000-00004C170000}"/>
    <cellStyle name="Calculation 11 2 24 4 5" xfId="5996" xr:uid="{00000000-0005-0000-0000-00004D170000}"/>
    <cellStyle name="Calculation 11 2 24 4 6" xfId="5997" xr:uid="{00000000-0005-0000-0000-00004E170000}"/>
    <cellStyle name="Calculation 11 2 24 5" xfId="5998" xr:uid="{00000000-0005-0000-0000-00004F170000}"/>
    <cellStyle name="Calculation 11 2 24 5 2" xfId="5999" xr:uid="{00000000-0005-0000-0000-000050170000}"/>
    <cellStyle name="Calculation 11 2 24 5 3" xfId="6000" xr:uid="{00000000-0005-0000-0000-000051170000}"/>
    <cellStyle name="Calculation 11 2 24 5 4" xfId="6001" xr:uid="{00000000-0005-0000-0000-000052170000}"/>
    <cellStyle name="Calculation 11 2 24 5 5" xfId="6002" xr:uid="{00000000-0005-0000-0000-000053170000}"/>
    <cellStyle name="Calculation 11 2 24 5 6" xfId="6003" xr:uid="{00000000-0005-0000-0000-000054170000}"/>
    <cellStyle name="Calculation 11 2 24 6" xfId="6004" xr:uid="{00000000-0005-0000-0000-000055170000}"/>
    <cellStyle name="Calculation 11 2 24 6 2" xfId="6005" xr:uid="{00000000-0005-0000-0000-000056170000}"/>
    <cellStyle name="Calculation 11 2 24 6 3" xfId="6006" xr:uid="{00000000-0005-0000-0000-000057170000}"/>
    <cellStyle name="Calculation 11 2 24 6 4" xfId="6007" xr:uid="{00000000-0005-0000-0000-000058170000}"/>
    <cellStyle name="Calculation 11 2 24 6 5" xfId="6008" xr:uid="{00000000-0005-0000-0000-000059170000}"/>
    <cellStyle name="Calculation 11 2 24 6 6" xfId="6009" xr:uid="{00000000-0005-0000-0000-00005A170000}"/>
    <cellStyle name="Calculation 11 2 24 7" xfId="6010" xr:uid="{00000000-0005-0000-0000-00005B170000}"/>
    <cellStyle name="Calculation 11 2 24 7 2" xfId="6011" xr:uid="{00000000-0005-0000-0000-00005C170000}"/>
    <cellStyle name="Calculation 11 2 24 7 3" xfId="6012" xr:uid="{00000000-0005-0000-0000-00005D170000}"/>
    <cellStyle name="Calculation 11 2 24 7 4" xfId="6013" xr:uid="{00000000-0005-0000-0000-00005E170000}"/>
    <cellStyle name="Calculation 11 2 24 7 5" xfId="6014" xr:uid="{00000000-0005-0000-0000-00005F170000}"/>
    <cellStyle name="Calculation 11 2 24 7 6" xfId="6015" xr:uid="{00000000-0005-0000-0000-000060170000}"/>
    <cellStyle name="Calculation 11 2 24 8" xfId="6016" xr:uid="{00000000-0005-0000-0000-000061170000}"/>
    <cellStyle name="Calculation 11 2 24 9" xfId="6017" xr:uid="{00000000-0005-0000-0000-000062170000}"/>
    <cellStyle name="Calculation 11 2 25" xfId="6018" xr:uid="{00000000-0005-0000-0000-000063170000}"/>
    <cellStyle name="Calculation 11 2 25 10" xfId="6019" xr:uid="{00000000-0005-0000-0000-000064170000}"/>
    <cellStyle name="Calculation 11 2 25 2" xfId="6020" xr:uid="{00000000-0005-0000-0000-000065170000}"/>
    <cellStyle name="Calculation 11 2 25 2 2" xfId="6021" xr:uid="{00000000-0005-0000-0000-000066170000}"/>
    <cellStyle name="Calculation 11 2 25 2 3" xfId="6022" xr:uid="{00000000-0005-0000-0000-000067170000}"/>
    <cellStyle name="Calculation 11 2 25 2 4" xfId="6023" xr:uid="{00000000-0005-0000-0000-000068170000}"/>
    <cellStyle name="Calculation 11 2 25 2 5" xfId="6024" xr:uid="{00000000-0005-0000-0000-000069170000}"/>
    <cellStyle name="Calculation 11 2 25 2 6" xfId="6025" xr:uid="{00000000-0005-0000-0000-00006A170000}"/>
    <cellStyle name="Calculation 11 2 25 3" xfId="6026" xr:uid="{00000000-0005-0000-0000-00006B170000}"/>
    <cellStyle name="Calculation 11 2 25 3 2" xfId="6027" xr:uid="{00000000-0005-0000-0000-00006C170000}"/>
    <cellStyle name="Calculation 11 2 25 3 3" xfId="6028" xr:uid="{00000000-0005-0000-0000-00006D170000}"/>
    <cellStyle name="Calculation 11 2 25 3 4" xfId="6029" xr:uid="{00000000-0005-0000-0000-00006E170000}"/>
    <cellStyle name="Calculation 11 2 25 3 5" xfId="6030" xr:uid="{00000000-0005-0000-0000-00006F170000}"/>
    <cellStyle name="Calculation 11 2 25 3 6" xfId="6031" xr:uid="{00000000-0005-0000-0000-000070170000}"/>
    <cellStyle name="Calculation 11 2 25 4" xfId="6032" xr:uid="{00000000-0005-0000-0000-000071170000}"/>
    <cellStyle name="Calculation 11 2 25 4 2" xfId="6033" xr:uid="{00000000-0005-0000-0000-000072170000}"/>
    <cellStyle name="Calculation 11 2 25 4 3" xfId="6034" xr:uid="{00000000-0005-0000-0000-000073170000}"/>
    <cellStyle name="Calculation 11 2 25 4 4" xfId="6035" xr:uid="{00000000-0005-0000-0000-000074170000}"/>
    <cellStyle name="Calculation 11 2 25 4 5" xfId="6036" xr:uid="{00000000-0005-0000-0000-000075170000}"/>
    <cellStyle name="Calculation 11 2 25 4 6" xfId="6037" xr:uid="{00000000-0005-0000-0000-000076170000}"/>
    <cellStyle name="Calculation 11 2 25 5" xfId="6038" xr:uid="{00000000-0005-0000-0000-000077170000}"/>
    <cellStyle name="Calculation 11 2 25 5 2" xfId="6039" xr:uid="{00000000-0005-0000-0000-000078170000}"/>
    <cellStyle name="Calculation 11 2 25 5 3" xfId="6040" xr:uid="{00000000-0005-0000-0000-000079170000}"/>
    <cellStyle name="Calculation 11 2 25 5 4" xfId="6041" xr:uid="{00000000-0005-0000-0000-00007A170000}"/>
    <cellStyle name="Calculation 11 2 25 5 5" xfId="6042" xr:uid="{00000000-0005-0000-0000-00007B170000}"/>
    <cellStyle name="Calculation 11 2 25 5 6" xfId="6043" xr:uid="{00000000-0005-0000-0000-00007C170000}"/>
    <cellStyle name="Calculation 11 2 25 6" xfId="6044" xr:uid="{00000000-0005-0000-0000-00007D170000}"/>
    <cellStyle name="Calculation 11 2 25 6 2" xfId="6045" xr:uid="{00000000-0005-0000-0000-00007E170000}"/>
    <cellStyle name="Calculation 11 2 25 6 3" xfId="6046" xr:uid="{00000000-0005-0000-0000-00007F170000}"/>
    <cellStyle name="Calculation 11 2 25 6 4" xfId="6047" xr:uid="{00000000-0005-0000-0000-000080170000}"/>
    <cellStyle name="Calculation 11 2 25 6 5" xfId="6048" xr:uid="{00000000-0005-0000-0000-000081170000}"/>
    <cellStyle name="Calculation 11 2 25 6 6" xfId="6049" xr:uid="{00000000-0005-0000-0000-000082170000}"/>
    <cellStyle name="Calculation 11 2 25 7" xfId="6050" xr:uid="{00000000-0005-0000-0000-000083170000}"/>
    <cellStyle name="Calculation 11 2 25 7 2" xfId="6051" xr:uid="{00000000-0005-0000-0000-000084170000}"/>
    <cellStyle name="Calculation 11 2 25 7 3" xfId="6052" xr:uid="{00000000-0005-0000-0000-000085170000}"/>
    <cellStyle name="Calculation 11 2 25 7 4" xfId="6053" xr:uid="{00000000-0005-0000-0000-000086170000}"/>
    <cellStyle name="Calculation 11 2 25 7 5" xfId="6054" xr:uid="{00000000-0005-0000-0000-000087170000}"/>
    <cellStyle name="Calculation 11 2 25 7 6" xfId="6055" xr:uid="{00000000-0005-0000-0000-000088170000}"/>
    <cellStyle name="Calculation 11 2 25 8" xfId="6056" xr:uid="{00000000-0005-0000-0000-000089170000}"/>
    <cellStyle name="Calculation 11 2 25 9" xfId="6057" xr:uid="{00000000-0005-0000-0000-00008A170000}"/>
    <cellStyle name="Calculation 11 2 26" xfId="6058" xr:uid="{00000000-0005-0000-0000-00008B170000}"/>
    <cellStyle name="Calculation 11 2 26 10" xfId="6059" xr:uid="{00000000-0005-0000-0000-00008C170000}"/>
    <cellStyle name="Calculation 11 2 26 2" xfId="6060" xr:uid="{00000000-0005-0000-0000-00008D170000}"/>
    <cellStyle name="Calculation 11 2 26 2 2" xfId="6061" xr:uid="{00000000-0005-0000-0000-00008E170000}"/>
    <cellStyle name="Calculation 11 2 26 2 3" xfId="6062" xr:uid="{00000000-0005-0000-0000-00008F170000}"/>
    <cellStyle name="Calculation 11 2 26 2 4" xfId="6063" xr:uid="{00000000-0005-0000-0000-000090170000}"/>
    <cellStyle name="Calculation 11 2 26 2 5" xfId="6064" xr:uid="{00000000-0005-0000-0000-000091170000}"/>
    <cellStyle name="Calculation 11 2 26 2 6" xfId="6065" xr:uid="{00000000-0005-0000-0000-000092170000}"/>
    <cellStyle name="Calculation 11 2 26 3" xfId="6066" xr:uid="{00000000-0005-0000-0000-000093170000}"/>
    <cellStyle name="Calculation 11 2 26 3 2" xfId="6067" xr:uid="{00000000-0005-0000-0000-000094170000}"/>
    <cellStyle name="Calculation 11 2 26 3 3" xfId="6068" xr:uid="{00000000-0005-0000-0000-000095170000}"/>
    <cellStyle name="Calculation 11 2 26 3 4" xfId="6069" xr:uid="{00000000-0005-0000-0000-000096170000}"/>
    <cellStyle name="Calculation 11 2 26 3 5" xfId="6070" xr:uid="{00000000-0005-0000-0000-000097170000}"/>
    <cellStyle name="Calculation 11 2 26 3 6" xfId="6071" xr:uid="{00000000-0005-0000-0000-000098170000}"/>
    <cellStyle name="Calculation 11 2 26 4" xfId="6072" xr:uid="{00000000-0005-0000-0000-000099170000}"/>
    <cellStyle name="Calculation 11 2 26 4 2" xfId="6073" xr:uid="{00000000-0005-0000-0000-00009A170000}"/>
    <cellStyle name="Calculation 11 2 26 4 3" xfId="6074" xr:uid="{00000000-0005-0000-0000-00009B170000}"/>
    <cellStyle name="Calculation 11 2 26 4 4" xfId="6075" xr:uid="{00000000-0005-0000-0000-00009C170000}"/>
    <cellStyle name="Calculation 11 2 26 4 5" xfId="6076" xr:uid="{00000000-0005-0000-0000-00009D170000}"/>
    <cellStyle name="Calculation 11 2 26 4 6" xfId="6077" xr:uid="{00000000-0005-0000-0000-00009E170000}"/>
    <cellStyle name="Calculation 11 2 26 5" xfId="6078" xr:uid="{00000000-0005-0000-0000-00009F170000}"/>
    <cellStyle name="Calculation 11 2 26 5 2" xfId="6079" xr:uid="{00000000-0005-0000-0000-0000A0170000}"/>
    <cellStyle name="Calculation 11 2 26 5 3" xfId="6080" xr:uid="{00000000-0005-0000-0000-0000A1170000}"/>
    <cellStyle name="Calculation 11 2 26 5 4" xfId="6081" xr:uid="{00000000-0005-0000-0000-0000A2170000}"/>
    <cellStyle name="Calculation 11 2 26 5 5" xfId="6082" xr:uid="{00000000-0005-0000-0000-0000A3170000}"/>
    <cellStyle name="Calculation 11 2 26 5 6" xfId="6083" xr:uid="{00000000-0005-0000-0000-0000A4170000}"/>
    <cellStyle name="Calculation 11 2 26 6" xfId="6084" xr:uid="{00000000-0005-0000-0000-0000A5170000}"/>
    <cellStyle name="Calculation 11 2 26 6 2" xfId="6085" xr:uid="{00000000-0005-0000-0000-0000A6170000}"/>
    <cellStyle name="Calculation 11 2 26 6 3" xfId="6086" xr:uid="{00000000-0005-0000-0000-0000A7170000}"/>
    <cellStyle name="Calculation 11 2 26 6 4" xfId="6087" xr:uid="{00000000-0005-0000-0000-0000A8170000}"/>
    <cellStyle name="Calculation 11 2 26 6 5" xfId="6088" xr:uid="{00000000-0005-0000-0000-0000A9170000}"/>
    <cellStyle name="Calculation 11 2 26 6 6" xfId="6089" xr:uid="{00000000-0005-0000-0000-0000AA170000}"/>
    <cellStyle name="Calculation 11 2 26 7" xfId="6090" xr:uid="{00000000-0005-0000-0000-0000AB170000}"/>
    <cellStyle name="Calculation 11 2 26 7 2" xfId="6091" xr:uid="{00000000-0005-0000-0000-0000AC170000}"/>
    <cellStyle name="Calculation 11 2 26 7 3" xfId="6092" xr:uid="{00000000-0005-0000-0000-0000AD170000}"/>
    <cellStyle name="Calculation 11 2 26 7 4" xfId="6093" xr:uid="{00000000-0005-0000-0000-0000AE170000}"/>
    <cellStyle name="Calculation 11 2 26 7 5" xfId="6094" xr:uid="{00000000-0005-0000-0000-0000AF170000}"/>
    <cellStyle name="Calculation 11 2 26 7 6" xfId="6095" xr:uid="{00000000-0005-0000-0000-0000B0170000}"/>
    <cellStyle name="Calculation 11 2 26 8" xfId="6096" xr:uid="{00000000-0005-0000-0000-0000B1170000}"/>
    <cellStyle name="Calculation 11 2 26 9" xfId="6097" xr:uid="{00000000-0005-0000-0000-0000B2170000}"/>
    <cellStyle name="Calculation 11 2 27" xfId="6098" xr:uid="{00000000-0005-0000-0000-0000B3170000}"/>
    <cellStyle name="Calculation 11 2 27 2" xfId="6099" xr:uid="{00000000-0005-0000-0000-0000B4170000}"/>
    <cellStyle name="Calculation 11 2 27 3" xfId="6100" xr:uid="{00000000-0005-0000-0000-0000B5170000}"/>
    <cellStyle name="Calculation 11 2 27 4" xfId="6101" xr:uid="{00000000-0005-0000-0000-0000B6170000}"/>
    <cellStyle name="Calculation 11 2 27 5" xfId="6102" xr:uid="{00000000-0005-0000-0000-0000B7170000}"/>
    <cellStyle name="Calculation 11 2 27 6" xfId="6103" xr:uid="{00000000-0005-0000-0000-0000B8170000}"/>
    <cellStyle name="Calculation 11 2 28" xfId="6104" xr:uid="{00000000-0005-0000-0000-0000B9170000}"/>
    <cellStyle name="Calculation 11 2 28 2" xfId="6105" xr:uid="{00000000-0005-0000-0000-0000BA170000}"/>
    <cellStyle name="Calculation 11 2 28 3" xfId="6106" xr:uid="{00000000-0005-0000-0000-0000BB170000}"/>
    <cellStyle name="Calculation 11 2 28 4" xfId="6107" xr:uid="{00000000-0005-0000-0000-0000BC170000}"/>
    <cellStyle name="Calculation 11 2 28 5" xfId="6108" xr:uid="{00000000-0005-0000-0000-0000BD170000}"/>
    <cellStyle name="Calculation 11 2 28 6" xfId="6109" xr:uid="{00000000-0005-0000-0000-0000BE170000}"/>
    <cellStyle name="Calculation 11 2 29" xfId="6110" xr:uid="{00000000-0005-0000-0000-0000BF170000}"/>
    <cellStyle name="Calculation 11 2 29 2" xfId="6111" xr:uid="{00000000-0005-0000-0000-0000C0170000}"/>
    <cellStyle name="Calculation 11 2 29 3" xfId="6112" xr:uid="{00000000-0005-0000-0000-0000C1170000}"/>
    <cellStyle name="Calculation 11 2 29 4" xfId="6113" xr:uid="{00000000-0005-0000-0000-0000C2170000}"/>
    <cellStyle name="Calculation 11 2 29 5" xfId="6114" xr:uid="{00000000-0005-0000-0000-0000C3170000}"/>
    <cellStyle name="Calculation 11 2 29 6" xfId="6115" xr:uid="{00000000-0005-0000-0000-0000C4170000}"/>
    <cellStyle name="Calculation 11 2 3" xfId="6116" xr:uid="{00000000-0005-0000-0000-0000C5170000}"/>
    <cellStyle name="Calculation 11 2 3 10" xfId="6117" xr:uid="{00000000-0005-0000-0000-0000C6170000}"/>
    <cellStyle name="Calculation 11 2 3 2" xfId="6118" xr:uid="{00000000-0005-0000-0000-0000C7170000}"/>
    <cellStyle name="Calculation 11 2 3 2 2" xfId="6119" xr:uid="{00000000-0005-0000-0000-0000C8170000}"/>
    <cellStyle name="Calculation 11 2 3 2 3" xfId="6120" xr:uid="{00000000-0005-0000-0000-0000C9170000}"/>
    <cellStyle name="Calculation 11 2 3 2 4" xfId="6121" xr:uid="{00000000-0005-0000-0000-0000CA170000}"/>
    <cellStyle name="Calculation 11 2 3 2 5" xfId="6122" xr:uid="{00000000-0005-0000-0000-0000CB170000}"/>
    <cellStyle name="Calculation 11 2 3 2 6" xfId="6123" xr:uid="{00000000-0005-0000-0000-0000CC170000}"/>
    <cellStyle name="Calculation 11 2 3 3" xfId="6124" xr:uid="{00000000-0005-0000-0000-0000CD170000}"/>
    <cellStyle name="Calculation 11 2 3 3 2" xfId="6125" xr:uid="{00000000-0005-0000-0000-0000CE170000}"/>
    <cellStyle name="Calculation 11 2 3 3 3" xfId="6126" xr:uid="{00000000-0005-0000-0000-0000CF170000}"/>
    <cellStyle name="Calculation 11 2 3 3 4" xfId="6127" xr:uid="{00000000-0005-0000-0000-0000D0170000}"/>
    <cellStyle name="Calculation 11 2 3 3 5" xfId="6128" xr:uid="{00000000-0005-0000-0000-0000D1170000}"/>
    <cellStyle name="Calculation 11 2 3 3 6" xfId="6129" xr:uid="{00000000-0005-0000-0000-0000D2170000}"/>
    <cellStyle name="Calculation 11 2 3 4" xfId="6130" xr:uid="{00000000-0005-0000-0000-0000D3170000}"/>
    <cellStyle name="Calculation 11 2 3 4 2" xfId="6131" xr:uid="{00000000-0005-0000-0000-0000D4170000}"/>
    <cellStyle name="Calculation 11 2 3 4 3" xfId="6132" xr:uid="{00000000-0005-0000-0000-0000D5170000}"/>
    <cellStyle name="Calculation 11 2 3 4 4" xfId="6133" xr:uid="{00000000-0005-0000-0000-0000D6170000}"/>
    <cellStyle name="Calculation 11 2 3 4 5" xfId="6134" xr:uid="{00000000-0005-0000-0000-0000D7170000}"/>
    <cellStyle name="Calculation 11 2 3 4 6" xfId="6135" xr:uid="{00000000-0005-0000-0000-0000D8170000}"/>
    <cellStyle name="Calculation 11 2 3 5" xfId="6136" xr:uid="{00000000-0005-0000-0000-0000D9170000}"/>
    <cellStyle name="Calculation 11 2 3 5 2" xfId="6137" xr:uid="{00000000-0005-0000-0000-0000DA170000}"/>
    <cellStyle name="Calculation 11 2 3 5 3" xfId="6138" xr:uid="{00000000-0005-0000-0000-0000DB170000}"/>
    <cellStyle name="Calculation 11 2 3 5 4" xfId="6139" xr:uid="{00000000-0005-0000-0000-0000DC170000}"/>
    <cellStyle name="Calculation 11 2 3 5 5" xfId="6140" xr:uid="{00000000-0005-0000-0000-0000DD170000}"/>
    <cellStyle name="Calculation 11 2 3 5 6" xfId="6141" xr:uid="{00000000-0005-0000-0000-0000DE170000}"/>
    <cellStyle name="Calculation 11 2 3 6" xfId="6142" xr:uid="{00000000-0005-0000-0000-0000DF170000}"/>
    <cellStyle name="Calculation 11 2 3 6 2" xfId="6143" xr:uid="{00000000-0005-0000-0000-0000E0170000}"/>
    <cellStyle name="Calculation 11 2 3 6 3" xfId="6144" xr:uid="{00000000-0005-0000-0000-0000E1170000}"/>
    <cellStyle name="Calculation 11 2 3 6 4" xfId="6145" xr:uid="{00000000-0005-0000-0000-0000E2170000}"/>
    <cellStyle name="Calculation 11 2 3 6 5" xfId="6146" xr:uid="{00000000-0005-0000-0000-0000E3170000}"/>
    <cellStyle name="Calculation 11 2 3 6 6" xfId="6147" xr:uid="{00000000-0005-0000-0000-0000E4170000}"/>
    <cellStyle name="Calculation 11 2 3 7" xfId="6148" xr:uid="{00000000-0005-0000-0000-0000E5170000}"/>
    <cellStyle name="Calculation 11 2 3 7 2" xfId="6149" xr:uid="{00000000-0005-0000-0000-0000E6170000}"/>
    <cellStyle name="Calculation 11 2 3 7 3" xfId="6150" xr:uid="{00000000-0005-0000-0000-0000E7170000}"/>
    <cellStyle name="Calculation 11 2 3 7 4" xfId="6151" xr:uid="{00000000-0005-0000-0000-0000E8170000}"/>
    <cellStyle name="Calculation 11 2 3 7 5" xfId="6152" xr:uid="{00000000-0005-0000-0000-0000E9170000}"/>
    <cellStyle name="Calculation 11 2 3 7 6" xfId="6153" xr:uid="{00000000-0005-0000-0000-0000EA170000}"/>
    <cellStyle name="Calculation 11 2 3 8" xfId="6154" xr:uid="{00000000-0005-0000-0000-0000EB170000}"/>
    <cellStyle name="Calculation 11 2 3 9" xfId="6155" xr:uid="{00000000-0005-0000-0000-0000EC170000}"/>
    <cellStyle name="Calculation 11 2 30" xfId="6156" xr:uid="{00000000-0005-0000-0000-0000ED170000}"/>
    <cellStyle name="Calculation 11 2 30 2" xfId="6157" xr:uid="{00000000-0005-0000-0000-0000EE170000}"/>
    <cellStyle name="Calculation 11 2 30 3" xfId="6158" xr:uid="{00000000-0005-0000-0000-0000EF170000}"/>
    <cellStyle name="Calculation 11 2 30 4" xfId="6159" xr:uid="{00000000-0005-0000-0000-0000F0170000}"/>
    <cellStyle name="Calculation 11 2 30 5" xfId="6160" xr:uid="{00000000-0005-0000-0000-0000F1170000}"/>
    <cellStyle name="Calculation 11 2 30 6" xfId="6161" xr:uid="{00000000-0005-0000-0000-0000F2170000}"/>
    <cellStyle name="Calculation 11 2 31" xfId="6162" xr:uid="{00000000-0005-0000-0000-0000F3170000}"/>
    <cellStyle name="Calculation 11 2 31 2" xfId="6163" xr:uid="{00000000-0005-0000-0000-0000F4170000}"/>
    <cellStyle name="Calculation 11 2 31 3" xfId="6164" xr:uid="{00000000-0005-0000-0000-0000F5170000}"/>
    <cellStyle name="Calculation 11 2 31 4" xfId="6165" xr:uid="{00000000-0005-0000-0000-0000F6170000}"/>
    <cellStyle name="Calculation 11 2 31 5" xfId="6166" xr:uid="{00000000-0005-0000-0000-0000F7170000}"/>
    <cellStyle name="Calculation 11 2 31 6" xfId="6167" xr:uid="{00000000-0005-0000-0000-0000F8170000}"/>
    <cellStyle name="Calculation 11 2 32" xfId="6168" xr:uid="{00000000-0005-0000-0000-0000F9170000}"/>
    <cellStyle name="Calculation 11 2 32 2" xfId="6169" xr:uid="{00000000-0005-0000-0000-0000FA170000}"/>
    <cellStyle name="Calculation 11 2 32 3" xfId="6170" xr:uid="{00000000-0005-0000-0000-0000FB170000}"/>
    <cellStyle name="Calculation 11 2 32 4" xfId="6171" xr:uid="{00000000-0005-0000-0000-0000FC170000}"/>
    <cellStyle name="Calculation 11 2 32 5" xfId="6172" xr:uid="{00000000-0005-0000-0000-0000FD170000}"/>
    <cellStyle name="Calculation 11 2 32 6" xfId="6173" xr:uid="{00000000-0005-0000-0000-0000FE170000}"/>
    <cellStyle name="Calculation 11 2 33" xfId="6174" xr:uid="{00000000-0005-0000-0000-0000FF170000}"/>
    <cellStyle name="Calculation 11 2 34" xfId="6175" xr:uid="{00000000-0005-0000-0000-000000180000}"/>
    <cellStyle name="Calculation 11 2 35" xfId="6176" xr:uid="{00000000-0005-0000-0000-000001180000}"/>
    <cellStyle name="Calculation 11 2 4" xfId="6177" xr:uid="{00000000-0005-0000-0000-000002180000}"/>
    <cellStyle name="Calculation 11 2 4 10" xfId="6178" xr:uid="{00000000-0005-0000-0000-000003180000}"/>
    <cellStyle name="Calculation 11 2 4 2" xfId="6179" xr:uid="{00000000-0005-0000-0000-000004180000}"/>
    <cellStyle name="Calculation 11 2 4 2 2" xfId="6180" xr:uid="{00000000-0005-0000-0000-000005180000}"/>
    <cellStyle name="Calculation 11 2 4 2 3" xfId="6181" xr:uid="{00000000-0005-0000-0000-000006180000}"/>
    <cellStyle name="Calculation 11 2 4 2 4" xfId="6182" xr:uid="{00000000-0005-0000-0000-000007180000}"/>
    <cellStyle name="Calculation 11 2 4 2 5" xfId="6183" xr:uid="{00000000-0005-0000-0000-000008180000}"/>
    <cellStyle name="Calculation 11 2 4 2 6" xfId="6184" xr:uid="{00000000-0005-0000-0000-000009180000}"/>
    <cellStyle name="Calculation 11 2 4 3" xfId="6185" xr:uid="{00000000-0005-0000-0000-00000A180000}"/>
    <cellStyle name="Calculation 11 2 4 3 2" xfId="6186" xr:uid="{00000000-0005-0000-0000-00000B180000}"/>
    <cellStyle name="Calculation 11 2 4 3 3" xfId="6187" xr:uid="{00000000-0005-0000-0000-00000C180000}"/>
    <cellStyle name="Calculation 11 2 4 3 4" xfId="6188" xr:uid="{00000000-0005-0000-0000-00000D180000}"/>
    <cellStyle name="Calculation 11 2 4 3 5" xfId="6189" xr:uid="{00000000-0005-0000-0000-00000E180000}"/>
    <cellStyle name="Calculation 11 2 4 3 6" xfId="6190" xr:uid="{00000000-0005-0000-0000-00000F180000}"/>
    <cellStyle name="Calculation 11 2 4 4" xfId="6191" xr:uid="{00000000-0005-0000-0000-000010180000}"/>
    <cellStyle name="Calculation 11 2 4 4 2" xfId="6192" xr:uid="{00000000-0005-0000-0000-000011180000}"/>
    <cellStyle name="Calculation 11 2 4 4 3" xfId="6193" xr:uid="{00000000-0005-0000-0000-000012180000}"/>
    <cellStyle name="Calculation 11 2 4 4 4" xfId="6194" xr:uid="{00000000-0005-0000-0000-000013180000}"/>
    <cellStyle name="Calculation 11 2 4 4 5" xfId="6195" xr:uid="{00000000-0005-0000-0000-000014180000}"/>
    <cellStyle name="Calculation 11 2 4 4 6" xfId="6196" xr:uid="{00000000-0005-0000-0000-000015180000}"/>
    <cellStyle name="Calculation 11 2 4 5" xfId="6197" xr:uid="{00000000-0005-0000-0000-000016180000}"/>
    <cellStyle name="Calculation 11 2 4 5 2" xfId="6198" xr:uid="{00000000-0005-0000-0000-000017180000}"/>
    <cellStyle name="Calculation 11 2 4 5 3" xfId="6199" xr:uid="{00000000-0005-0000-0000-000018180000}"/>
    <cellStyle name="Calculation 11 2 4 5 4" xfId="6200" xr:uid="{00000000-0005-0000-0000-000019180000}"/>
    <cellStyle name="Calculation 11 2 4 5 5" xfId="6201" xr:uid="{00000000-0005-0000-0000-00001A180000}"/>
    <cellStyle name="Calculation 11 2 4 5 6" xfId="6202" xr:uid="{00000000-0005-0000-0000-00001B180000}"/>
    <cellStyle name="Calculation 11 2 4 6" xfId="6203" xr:uid="{00000000-0005-0000-0000-00001C180000}"/>
    <cellStyle name="Calculation 11 2 4 6 2" xfId="6204" xr:uid="{00000000-0005-0000-0000-00001D180000}"/>
    <cellStyle name="Calculation 11 2 4 6 3" xfId="6205" xr:uid="{00000000-0005-0000-0000-00001E180000}"/>
    <cellStyle name="Calculation 11 2 4 6 4" xfId="6206" xr:uid="{00000000-0005-0000-0000-00001F180000}"/>
    <cellStyle name="Calculation 11 2 4 6 5" xfId="6207" xr:uid="{00000000-0005-0000-0000-000020180000}"/>
    <cellStyle name="Calculation 11 2 4 6 6" xfId="6208" xr:uid="{00000000-0005-0000-0000-000021180000}"/>
    <cellStyle name="Calculation 11 2 4 7" xfId="6209" xr:uid="{00000000-0005-0000-0000-000022180000}"/>
    <cellStyle name="Calculation 11 2 4 7 2" xfId="6210" xr:uid="{00000000-0005-0000-0000-000023180000}"/>
    <cellStyle name="Calculation 11 2 4 7 3" xfId="6211" xr:uid="{00000000-0005-0000-0000-000024180000}"/>
    <cellStyle name="Calculation 11 2 4 7 4" xfId="6212" xr:uid="{00000000-0005-0000-0000-000025180000}"/>
    <cellStyle name="Calculation 11 2 4 7 5" xfId="6213" xr:uid="{00000000-0005-0000-0000-000026180000}"/>
    <cellStyle name="Calculation 11 2 4 7 6" xfId="6214" xr:uid="{00000000-0005-0000-0000-000027180000}"/>
    <cellStyle name="Calculation 11 2 4 8" xfId="6215" xr:uid="{00000000-0005-0000-0000-000028180000}"/>
    <cellStyle name="Calculation 11 2 4 9" xfId="6216" xr:uid="{00000000-0005-0000-0000-000029180000}"/>
    <cellStyle name="Calculation 11 2 5" xfId="6217" xr:uid="{00000000-0005-0000-0000-00002A180000}"/>
    <cellStyle name="Calculation 11 2 5 10" xfId="6218" xr:uid="{00000000-0005-0000-0000-00002B180000}"/>
    <cellStyle name="Calculation 11 2 5 2" xfId="6219" xr:uid="{00000000-0005-0000-0000-00002C180000}"/>
    <cellStyle name="Calculation 11 2 5 2 2" xfId="6220" xr:uid="{00000000-0005-0000-0000-00002D180000}"/>
    <cellStyle name="Calculation 11 2 5 2 3" xfId="6221" xr:uid="{00000000-0005-0000-0000-00002E180000}"/>
    <cellStyle name="Calculation 11 2 5 2 4" xfId="6222" xr:uid="{00000000-0005-0000-0000-00002F180000}"/>
    <cellStyle name="Calculation 11 2 5 2 5" xfId="6223" xr:uid="{00000000-0005-0000-0000-000030180000}"/>
    <cellStyle name="Calculation 11 2 5 2 6" xfId="6224" xr:uid="{00000000-0005-0000-0000-000031180000}"/>
    <cellStyle name="Calculation 11 2 5 3" xfId="6225" xr:uid="{00000000-0005-0000-0000-000032180000}"/>
    <cellStyle name="Calculation 11 2 5 3 2" xfId="6226" xr:uid="{00000000-0005-0000-0000-000033180000}"/>
    <cellStyle name="Calculation 11 2 5 3 3" xfId="6227" xr:uid="{00000000-0005-0000-0000-000034180000}"/>
    <cellStyle name="Calculation 11 2 5 3 4" xfId="6228" xr:uid="{00000000-0005-0000-0000-000035180000}"/>
    <cellStyle name="Calculation 11 2 5 3 5" xfId="6229" xr:uid="{00000000-0005-0000-0000-000036180000}"/>
    <cellStyle name="Calculation 11 2 5 3 6" xfId="6230" xr:uid="{00000000-0005-0000-0000-000037180000}"/>
    <cellStyle name="Calculation 11 2 5 4" xfId="6231" xr:uid="{00000000-0005-0000-0000-000038180000}"/>
    <cellStyle name="Calculation 11 2 5 4 2" xfId="6232" xr:uid="{00000000-0005-0000-0000-000039180000}"/>
    <cellStyle name="Calculation 11 2 5 4 3" xfId="6233" xr:uid="{00000000-0005-0000-0000-00003A180000}"/>
    <cellStyle name="Calculation 11 2 5 4 4" xfId="6234" xr:uid="{00000000-0005-0000-0000-00003B180000}"/>
    <cellStyle name="Calculation 11 2 5 4 5" xfId="6235" xr:uid="{00000000-0005-0000-0000-00003C180000}"/>
    <cellStyle name="Calculation 11 2 5 4 6" xfId="6236" xr:uid="{00000000-0005-0000-0000-00003D180000}"/>
    <cellStyle name="Calculation 11 2 5 5" xfId="6237" xr:uid="{00000000-0005-0000-0000-00003E180000}"/>
    <cellStyle name="Calculation 11 2 5 5 2" xfId="6238" xr:uid="{00000000-0005-0000-0000-00003F180000}"/>
    <cellStyle name="Calculation 11 2 5 5 3" xfId="6239" xr:uid="{00000000-0005-0000-0000-000040180000}"/>
    <cellStyle name="Calculation 11 2 5 5 4" xfId="6240" xr:uid="{00000000-0005-0000-0000-000041180000}"/>
    <cellStyle name="Calculation 11 2 5 5 5" xfId="6241" xr:uid="{00000000-0005-0000-0000-000042180000}"/>
    <cellStyle name="Calculation 11 2 5 5 6" xfId="6242" xr:uid="{00000000-0005-0000-0000-000043180000}"/>
    <cellStyle name="Calculation 11 2 5 6" xfId="6243" xr:uid="{00000000-0005-0000-0000-000044180000}"/>
    <cellStyle name="Calculation 11 2 5 6 2" xfId="6244" xr:uid="{00000000-0005-0000-0000-000045180000}"/>
    <cellStyle name="Calculation 11 2 5 6 3" xfId="6245" xr:uid="{00000000-0005-0000-0000-000046180000}"/>
    <cellStyle name="Calculation 11 2 5 6 4" xfId="6246" xr:uid="{00000000-0005-0000-0000-000047180000}"/>
    <cellStyle name="Calculation 11 2 5 6 5" xfId="6247" xr:uid="{00000000-0005-0000-0000-000048180000}"/>
    <cellStyle name="Calculation 11 2 5 6 6" xfId="6248" xr:uid="{00000000-0005-0000-0000-000049180000}"/>
    <cellStyle name="Calculation 11 2 5 7" xfId="6249" xr:uid="{00000000-0005-0000-0000-00004A180000}"/>
    <cellStyle name="Calculation 11 2 5 7 2" xfId="6250" xr:uid="{00000000-0005-0000-0000-00004B180000}"/>
    <cellStyle name="Calculation 11 2 5 7 3" xfId="6251" xr:uid="{00000000-0005-0000-0000-00004C180000}"/>
    <cellStyle name="Calculation 11 2 5 7 4" xfId="6252" xr:uid="{00000000-0005-0000-0000-00004D180000}"/>
    <cellStyle name="Calculation 11 2 5 7 5" xfId="6253" xr:uid="{00000000-0005-0000-0000-00004E180000}"/>
    <cellStyle name="Calculation 11 2 5 7 6" xfId="6254" xr:uid="{00000000-0005-0000-0000-00004F180000}"/>
    <cellStyle name="Calculation 11 2 5 8" xfId="6255" xr:uid="{00000000-0005-0000-0000-000050180000}"/>
    <cellStyle name="Calculation 11 2 5 9" xfId="6256" xr:uid="{00000000-0005-0000-0000-000051180000}"/>
    <cellStyle name="Calculation 11 2 6" xfId="6257" xr:uid="{00000000-0005-0000-0000-000052180000}"/>
    <cellStyle name="Calculation 11 2 6 10" xfId="6258" xr:uid="{00000000-0005-0000-0000-000053180000}"/>
    <cellStyle name="Calculation 11 2 6 2" xfId="6259" xr:uid="{00000000-0005-0000-0000-000054180000}"/>
    <cellStyle name="Calculation 11 2 6 2 2" xfId="6260" xr:uid="{00000000-0005-0000-0000-000055180000}"/>
    <cellStyle name="Calculation 11 2 6 2 3" xfId="6261" xr:uid="{00000000-0005-0000-0000-000056180000}"/>
    <cellStyle name="Calculation 11 2 6 2 4" xfId="6262" xr:uid="{00000000-0005-0000-0000-000057180000}"/>
    <cellStyle name="Calculation 11 2 6 2 5" xfId="6263" xr:uid="{00000000-0005-0000-0000-000058180000}"/>
    <cellStyle name="Calculation 11 2 6 2 6" xfId="6264" xr:uid="{00000000-0005-0000-0000-000059180000}"/>
    <cellStyle name="Calculation 11 2 6 3" xfId="6265" xr:uid="{00000000-0005-0000-0000-00005A180000}"/>
    <cellStyle name="Calculation 11 2 6 3 2" xfId="6266" xr:uid="{00000000-0005-0000-0000-00005B180000}"/>
    <cellStyle name="Calculation 11 2 6 3 3" xfId="6267" xr:uid="{00000000-0005-0000-0000-00005C180000}"/>
    <cellStyle name="Calculation 11 2 6 3 4" xfId="6268" xr:uid="{00000000-0005-0000-0000-00005D180000}"/>
    <cellStyle name="Calculation 11 2 6 3 5" xfId="6269" xr:uid="{00000000-0005-0000-0000-00005E180000}"/>
    <cellStyle name="Calculation 11 2 6 3 6" xfId="6270" xr:uid="{00000000-0005-0000-0000-00005F180000}"/>
    <cellStyle name="Calculation 11 2 6 4" xfId="6271" xr:uid="{00000000-0005-0000-0000-000060180000}"/>
    <cellStyle name="Calculation 11 2 6 4 2" xfId="6272" xr:uid="{00000000-0005-0000-0000-000061180000}"/>
    <cellStyle name="Calculation 11 2 6 4 3" xfId="6273" xr:uid="{00000000-0005-0000-0000-000062180000}"/>
    <cellStyle name="Calculation 11 2 6 4 4" xfId="6274" xr:uid="{00000000-0005-0000-0000-000063180000}"/>
    <cellStyle name="Calculation 11 2 6 4 5" xfId="6275" xr:uid="{00000000-0005-0000-0000-000064180000}"/>
    <cellStyle name="Calculation 11 2 6 4 6" xfId="6276" xr:uid="{00000000-0005-0000-0000-000065180000}"/>
    <cellStyle name="Calculation 11 2 6 5" xfId="6277" xr:uid="{00000000-0005-0000-0000-000066180000}"/>
    <cellStyle name="Calculation 11 2 6 5 2" xfId="6278" xr:uid="{00000000-0005-0000-0000-000067180000}"/>
    <cellStyle name="Calculation 11 2 6 5 3" xfId="6279" xr:uid="{00000000-0005-0000-0000-000068180000}"/>
    <cellStyle name="Calculation 11 2 6 5 4" xfId="6280" xr:uid="{00000000-0005-0000-0000-000069180000}"/>
    <cellStyle name="Calculation 11 2 6 5 5" xfId="6281" xr:uid="{00000000-0005-0000-0000-00006A180000}"/>
    <cellStyle name="Calculation 11 2 6 5 6" xfId="6282" xr:uid="{00000000-0005-0000-0000-00006B180000}"/>
    <cellStyle name="Calculation 11 2 6 6" xfId="6283" xr:uid="{00000000-0005-0000-0000-00006C180000}"/>
    <cellStyle name="Calculation 11 2 6 6 2" xfId="6284" xr:uid="{00000000-0005-0000-0000-00006D180000}"/>
    <cellStyle name="Calculation 11 2 6 6 3" xfId="6285" xr:uid="{00000000-0005-0000-0000-00006E180000}"/>
    <cellStyle name="Calculation 11 2 6 6 4" xfId="6286" xr:uid="{00000000-0005-0000-0000-00006F180000}"/>
    <cellStyle name="Calculation 11 2 6 6 5" xfId="6287" xr:uid="{00000000-0005-0000-0000-000070180000}"/>
    <cellStyle name="Calculation 11 2 6 6 6" xfId="6288" xr:uid="{00000000-0005-0000-0000-000071180000}"/>
    <cellStyle name="Calculation 11 2 6 7" xfId="6289" xr:uid="{00000000-0005-0000-0000-000072180000}"/>
    <cellStyle name="Calculation 11 2 6 7 2" xfId="6290" xr:uid="{00000000-0005-0000-0000-000073180000}"/>
    <cellStyle name="Calculation 11 2 6 7 3" xfId="6291" xr:uid="{00000000-0005-0000-0000-000074180000}"/>
    <cellStyle name="Calculation 11 2 6 7 4" xfId="6292" xr:uid="{00000000-0005-0000-0000-000075180000}"/>
    <cellStyle name="Calculation 11 2 6 7 5" xfId="6293" xr:uid="{00000000-0005-0000-0000-000076180000}"/>
    <cellStyle name="Calculation 11 2 6 7 6" xfId="6294" xr:uid="{00000000-0005-0000-0000-000077180000}"/>
    <cellStyle name="Calculation 11 2 6 8" xfId="6295" xr:uid="{00000000-0005-0000-0000-000078180000}"/>
    <cellStyle name="Calculation 11 2 6 9" xfId="6296" xr:uid="{00000000-0005-0000-0000-000079180000}"/>
    <cellStyle name="Calculation 11 2 7" xfId="6297" xr:uid="{00000000-0005-0000-0000-00007A180000}"/>
    <cellStyle name="Calculation 11 2 7 10" xfId="6298" xr:uid="{00000000-0005-0000-0000-00007B180000}"/>
    <cellStyle name="Calculation 11 2 7 2" xfId="6299" xr:uid="{00000000-0005-0000-0000-00007C180000}"/>
    <cellStyle name="Calculation 11 2 7 2 2" xfId="6300" xr:uid="{00000000-0005-0000-0000-00007D180000}"/>
    <cellStyle name="Calculation 11 2 7 2 3" xfId="6301" xr:uid="{00000000-0005-0000-0000-00007E180000}"/>
    <cellStyle name="Calculation 11 2 7 2 4" xfId="6302" xr:uid="{00000000-0005-0000-0000-00007F180000}"/>
    <cellStyle name="Calculation 11 2 7 2 5" xfId="6303" xr:uid="{00000000-0005-0000-0000-000080180000}"/>
    <cellStyle name="Calculation 11 2 7 2 6" xfId="6304" xr:uid="{00000000-0005-0000-0000-000081180000}"/>
    <cellStyle name="Calculation 11 2 7 3" xfId="6305" xr:uid="{00000000-0005-0000-0000-000082180000}"/>
    <cellStyle name="Calculation 11 2 7 3 2" xfId="6306" xr:uid="{00000000-0005-0000-0000-000083180000}"/>
    <cellStyle name="Calculation 11 2 7 3 3" xfId="6307" xr:uid="{00000000-0005-0000-0000-000084180000}"/>
    <cellStyle name="Calculation 11 2 7 3 4" xfId="6308" xr:uid="{00000000-0005-0000-0000-000085180000}"/>
    <cellStyle name="Calculation 11 2 7 3 5" xfId="6309" xr:uid="{00000000-0005-0000-0000-000086180000}"/>
    <cellStyle name="Calculation 11 2 7 3 6" xfId="6310" xr:uid="{00000000-0005-0000-0000-000087180000}"/>
    <cellStyle name="Calculation 11 2 7 4" xfId="6311" xr:uid="{00000000-0005-0000-0000-000088180000}"/>
    <cellStyle name="Calculation 11 2 7 4 2" xfId="6312" xr:uid="{00000000-0005-0000-0000-000089180000}"/>
    <cellStyle name="Calculation 11 2 7 4 3" xfId="6313" xr:uid="{00000000-0005-0000-0000-00008A180000}"/>
    <cellStyle name="Calculation 11 2 7 4 4" xfId="6314" xr:uid="{00000000-0005-0000-0000-00008B180000}"/>
    <cellStyle name="Calculation 11 2 7 4 5" xfId="6315" xr:uid="{00000000-0005-0000-0000-00008C180000}"/>
    <cellStyle name="Calculation 11 2 7 4 6" xfId="6316" xr:uid="{00000000-0005-0000-0000-00008D180000}"/>
    <cellStyle name="Calculation 11 2 7 5" xfId="6317" xr:uid="{00000000-0005-0000-0000-00008E180000}"/>
    <cellStyle name="Calculation 11 2 7 5 2" xfId="6318" xr:uid="{00000000-0005-0000-0000-00008F180000}"/>
    <cellStyle name="Calculation 11 2 7 5 3" xfId="6319" xr:uid="{00000000-0005-0000-0000-000090180000}"/>
    <cellStyle name="Calculation 11 2 7 5 4" xfId="6320" xr:uid="{00000000-0005-0000-0000-000091180000}"/>
    <cellStyle name="Calculation 11 2 7 5 5" xfId="6321" xr:uid="{00000000-0005-0000-0000-000092180000}"/>
    <cellStyle name="Calculation 11 2 7 5 6" xfId="6322" xr:uid="{00000000-0005-0000-0000-000093180000}"/>
    <cellStyle name="Calculation 11 2 7 6" xfId="6323" xr:uid="{00000000-0005-0000-0000-000094180000}"/>
    <cellStyle name="Calculation 11 2 7 6 2" xfId="6324" xr:uid="{00000000-0005-0000-0000-000095180000}"/>
    <cellStyle name="Calculation 11 2 7 6 3" xfId="6325" xr:uid="{00000000-0005-0000-0000-000096180000}"/>
    <cellStyle name="Calculation 11 2 7 6 4" xfId="6326" xr:uid="{00000000-0005-0000-0000-000097180000}"/>
    <cellStyle name="Calculation 11 2 7 6 5" xfId="6327" xr:uid="{00000000-0005-0000-0000-000098180000}"/>
    <cellStyle name="Calculation 11 2 7 6 6" xfId="6328" xr:uid="{00000000-0005-0000-0000-000099180000}"/>
    <cellStyle name="Calculation 11 2 7 7" xfId="6329" xr:uid="{00000000-0005-0000-0000-00009A180000}"/>
    <cellStyle name="Calculation 11 2 7 7 2" xfId="6330" xr:uid="{00000000-0005-0000-0000-00009B180000}"/>
    <cellStyle name="Calculation 11 2 7 7 3" xfId="6331" xr:uid="{00000000-0005-0000-0000-00009C180000}"/>
    <cellStyle name="Calculation 11 2 7 7 4" xfId="6332" xr:uid="{00000000-0005-0000-0000-00009D180000}"/>
    <cellStyle name="Calculation 11 2 7 7 5" xfId="6333" xr:uid="{00000000-0005-0000-0000-00009E180000}"/>
    <cellStyle name="Calculation 11 2 7 7 6" xfId="6334" xr:uid="{00000000-0005-0000-0000-00009F180000}"/>
    <cellStyle name="Calculation 11 2 7 8" xfId="6335" xr:uid="{00000000-0005-0000-0000-0000A0180000}"/>
    <cellStyle name="Calculation 11 2 7 9" xfId="6336" xr:uid="{00000000-0005-0000-0000-0000A1180000}"/>
    <cellStyle name="Calculation 11 2 8" xfId="6337" xr:uid="{00000000-0005-0000-0000-0000A2180000}"/>
    <cellStyle name="Calculation 11 2 8 10" xfId="6338" xr:uid="{00000000-0005-0000-0000-0000A3180000}"/>
    <cellStyle name="Calculation 11 2 8 2" xfId="6339" xr:uid="{00000000-0005-0000-0000-0000A4180000}"/>
    <cellStyle name="Calculation 11 2 8 2 2" xfId="6340" xr:uid="{00000000-0005-0000-0000-0000A5180000}"/>
    <cellStyle name="Calculation 11 2 8 2 3" xfId="6341" xr:uid="{00000000-0005-0000-0000-0000A6180000}"/>
    <cellStyle name="Calculation 11 2 8 2 4" xfId="6342" xr:uid="{00000000-0005-0000-0000-0000A7180000}"/>
    <cellStyle name="Calculation 11 2 8 2 5" xfId="6343" xr:uid="{00000000-0005-0000-0000-0000A8180000}"/>
    <cellStyle name="Calculation 11 2 8 2 6" xfId="6344" xr:uid="{00000000-0005-0000-0000-0000A9180000}"/>
    <cellStyle name="Calculation 11 2 8 3" xfId="6345" xr:uid="{00000000-0005-0000-0000-0000AA180000}"/>
    <cellStyle name="Calculation 11 2 8 3 2" xfId="6346" xr:uid="{00000000-0005-0000-0000-0000AB180000}"/>
    <cellStyle name="Calculation 11 2 8 3 3" xfId="6347" xr:uid="{00000000-0005-0000-0000-0000AC180000}"/>
    <cellStyle name="Calculation 11 2 8 3 4" xfId="6348" xr:uid="{00000000-0005-0000-0000-0000AD180000}"/>
    <cellStyle name="Calculation 11 2 8 3 5" xfId="6349" xr:uid="{00000000-0005-0000-0000-0000AE180000}"/>
    <cellStyle name="Calculation 11 2 8 3 6" xfId="6350" xr:uid="{00000000-0005-0000-0000-0000AF180000}"/>
    <cellStyle name="Calculation 11 2 8 4" xfId="6351" xr:uid="{00000000-0005-0000-0000-0000B0180000}"/>
    <cellStyle name="Calculation 11 2 8 4 2" xfId="6352" xr:uid="{00000000-0005-0000-0000-0000B1180000}"/>
    <cellStyle name="Calculation 11 2 8 4 3" xfId="6353" xr:uid="{00000000-0005-0000-0000-0000B2180000}"/>
    <cellStyle name="Calculation 11 2 8 4 4" xfId="6354" xr:uid="{00000000-0005-0000-0000-0000B3180000}"/>
    <cellStyle name="Calculation 11 2 8 4 5" xfId="6355" xr:uid="{00000000-0005-0000-0000-0000B4180000}"/>
    <cellStyle name="Calculation 11 2 8 4 6" xfId="6356" xr:uid="{00000000-0005-0000-0000-0000B5180000}"/>
    <cellStyle name="Calculation 11 2 8 5" xfId="6357" xr:uid="{00000000-0005-0000-0000-0000B6180000}"/>
    <cellStyle name="Calculation 11 2 8 5 2" xfId="6358" xr:uid="{00000000-0005-0000-0000-0000B7180000}"/>
    <cellStyle name="Calculation 11 2 8 5 3" xfId="6359" xr:uid="{00000000-0005-0000-0000-0000B8180000}"/>
    <cellStyle name="Calculation 11 2 8 5 4" xfId="6360" xr:uid="{00000000-0005-0000-0000-0000B9180000}"/>
    <cellStyle name="Calculation 11 2 8 5 5" xfId="6361" xr:uid="{00000000-0005-0000-0000-0000BA180000}"/>
    <cellStyle name="Calculation 11 2 8 5 6" xfId="6362" xr:uid="{00000000-0005-0000-0000-0000BB180000}"/>
    <cellStyle name="Calculation 11 2 8 6" xfId="6363" xr:uid="{00000000-0005-0000-0000-0000BC180000}"/>
    <cellStyle name="Calculation 11 2 8 6 2" xfId="6364" xr:uid="{00000000-0005-0000-0000-0000BD180000}"/>
    <cellStyle name="Calculation 11 2 8 6 3" xfId="6365" xr:uid="{00000000-0005-0000-0000-0000BE180000}"/>
    <cellStyle name="Calculation 11 2 8 6 4" xfId="6366" xr:uid="{00000000-0005-0000-0000-0000BF180000}"/>
    <cellStyle name="Calculation 11 2 8 6 5" xfId="6367" xr:uid="{00000000-0005-0000-0000-0000C0180000}"/>
    <cellStyle name="Calculation 11 2 8 6 6" xfId="6368" xr:uid="{00000000-0005-0000-0000-0000C1180000}"/>
    <cellStyle name="Calculation 11 2 8 7" xfId="6369" xr:uid="{00000000-0005-0000-0000-0000C2180000}"/>
    <cellStyle name="Calculation 11 2 8 7 2" xfId="6370" xr:uid="{00000000-0005-0000-0000-0000C3180000}"/>
    <cellStyle name="Calculation 11 2 8 7 3" xfId="6371" xr:uid="{00000000-0005-0000-0000-0000C4180000}"/>
    <cellStyle name="Calculation 11 2 8 7 4" xfId="6372" xr:uid="{00000000-0005-0000-0000-0000C5180000}"/>
    <cellStyle name="Calculation 11 2 8 7 5" xfId="6373" xr:uid="{00000000-0005-0000-0000-0000C6180000}"/>
    <cellStyle name="Calculation 11 2 8 7 6" xfId="6374" xr:uid="{00000000-0005-0000-0000-0000C7180000}"/>
    <cellStyle name="Calculation 11 2 8 8" xfId="6375" xr:uid="{00000000-0005-0000-0000-0000C8180000}"/>
    <cellStyle name="Calculation 11 2 8 9" xfId="6376" xr:uid="{00000000-0005-0000-0000-0000C9180000}"/>
    <cellStyle name="Calculation 11 2 9" xfId="6377" xr:uid="{00000000-0005-0000-0000-0000CA180000}"/>
    <cellStyle name="Calculation 11 2 9 10" xfId="6378" xr:uid="{00000000-0005-0000-0000-0000CB180000}"/>
    <cellStyle name="Calculation 11 2 9 2" xfId="6379" xr:uid="{00000000-0005-0000-0000-0000CC180000}"/>
    <cellStyle name="Calculation 11 2 9 2 2" xfId="6380" xr:uid="{00000000-0005-0000-0000-0000CD180000}"/>
    <cellStyle name="Calculation 11 2 9 2 3" xfId="6381" xr:uid="{00000000-0005-0000-0000-0000CE180000}"/>
    <cellStyle name="Calculation 11 2 9 2 4" xfId="6382" xr:uid="{00000000-0005-0000-0000-0000CF180000}"/>
    <cellStyle name="Calculation 11 2 9 2 5" xfId="6383" xr:uid="{00000000-0005-0000-0000-0000D0180000}"/>
    <cellStyle name="Calculation 11 2 9 2 6" xfId="6384" xr:uid="{00000000-0005-0000-0000-0000D1180000}"/>
    <cellStyle name="Calculation 11 2 9 3" xfId="6385" xr:uid="{00000000-0005-0000-0000-0000D2180000}"/>
    <cellStyle name="Calculation 11 2 9 3 2" xfId="6386" xr:uid="{00000000-0005-0000-0000-0000D3180000}"/>
    <cellStyle name="Calculation 11 2 9 3 3" xfId="6387" xr:uid="{00000000-0005-0000-0000-0000D4180000}"/>
    <cellStyle name="Calculation 11 2 9 3 4" xfId="6388" xr:uid="{00000000-0005-0000-0000-0000D5180000}"/>
    <cellStyle name="Calculation 11 2 9 3 5" xfId="6389" xr:uid="{00000000-0005-0000-0000-0000D6180000}"/>
    <cellStyle name="Calculation 11 2 9 3 6" xfId="6390" xr:uid="{00000000-0005-0000-0000-0000D7180000}"/>
    <cellStyle name="Calculation 11 2 9 4" xfId="6391" xr:uid="{00000000-0005-0000-0000-0000D8180000}"/>
    <cellStyle name="Calculation 11 2 9 4 2" xfId="6392" xr:uid="{00000000-0005-0000-0000-0000D9180000}"/>
    <cellStyle name="Calculation 11 2 9 4 3" xfId="6393" xr:uid="{00000000-0005-0000-0000-0000DA180000}"/>
    <cellStyle name="Calculation 11 2 9 4 4" xfId="6394" xr:uid="{00000000-0005-0000-0000-0000DB180000}"/>
    <cellStyle name="Calculation 11 2 9 4 5" xfId="6395" xr:uid="{00000000-0005-0000-0000-0000DC180000}"/>
    <cellStyle name="Calculation 11 2 9 4 6" xfId="6396" xr:uid="{00000000-0005-0000-0000-0000DD180000}"/>
    <cellStyle name="Calculation 11 2 9 5" xfId="6397" xr:uid="{00000000-0005-0000-0000-0000DE180000}"/>
    <cellStyle name="Calculation 11 2 9 5 2" xfId="6398" xr:uid="{00000000-0005-0000-0000-0000DF180000}"/>
    <cellStyle name="Calculation 11 2 9 5 3" xfId="6399" xr:uid="{00000000-0005-0000-0000-0000E0180000}"/>
    <cellStyle name="Calculation 11 2 9 5 4" xfId="6400" xr:uid="{00000000-0005-0000-0000-0000E1180000}"/>
    <cellStyle name="Calculation 11 2 9 5 5" xfId="6401" xr:uid="{00000000-0005-0000-0000-0000E2180000}"/>
    <cellStyle name="Calculation 11 2 9 5 6" xfId="6402" xr:uid="{00000000-0005-0000-0000-0000E3180000}"/>
    <cellStyle name="Calculation 11 2 9 6" xfId="6403" xr:uid="{00000000-0005-0000-0000-0000E4180000}"/>
    <cellStyle name="Calculation 11 2 9 6 2" xfId="6404" xr:uid="{00000000-0005-0000-0000-0000E5180000}"/>
    <cellStyle name="Calculation 11 2 9 6 3" xfId="6405" xr:uid="{00000000-0005-0000-0000-0000E6180000}"/>
    <cellStyle name="Calculation 11 2 9 6 4" xfId="6406" xr:uid="{00000000-0005-0000-0000-0000E7180000}"/>
    <cellStyle name="Calculation 11 2 9 6 5" xfId="6407" xr:uid="{00000000-0005-0000-0000-0000E8180000}"/>
    <cellStyle name="Calculation 11 2 9 6 6" xfId="6408" xr:uid="{00000000-0005-0000-0000-0000E9180000}"/>
    <cellStyle name="Calculation 11 2 9 7" xfId="6409" xr:uid="{00000000-0005-0000-0000-0000EA180000}"/>
    <cellStyle name="Calculation 11 2 9 7 2" xfId="6410" xr:uid="{00000000-0005-0000-0000-0000EB180000}"/>
    <cellStyle name="Calculation 11 2 9 7 3" xfId="6411" xr:uid="{00000000-0005-0000-0000-0000EC180000}"/>
    <cellStyle name="Calculation 11 2 9 7 4" xfId="6412" xr:uid="{00000000-0005-0000-0000-0000ED180000}"/>
    <cellStyle name="Calculation 11 2 9 7 5" xfId="6413" xr:uid="{00000000-0005-0000-0000-0000EE180000}"/>
    <cellStyle name="Calculation 11 2 9 7 6" xfId="6414" xr:uid="{00000000-0005-0000-0000-0000EF180000}"/>
    <cellStyle name="Calculation 11 2 9 8" xfId="6415" xr:uid="{00000000-0005-0000-0000-0000F0180000}"/>
    <cellStyle name="Calculation 11 2 9 9" xfId="6416" xr:uid="{00000000-0005-0000-0000-0000F1180000}"/>
    <cellStyle name="Calculation 11 20" xfId="6417" xr:uid="{00000000-0005-0000-0000-0000F2180000}"/>
    <cellStyle name="Calculation 11 20 10" xfId="6418" xr:uid="{00000000-0005-0000-0000-0000F3180000}"/>
    <cellStyle name="Calculation 11 20 2" xfId="6419" xr:uid="{00000000-0005-0000-0000-0000F4180000}"/>
    <cellStyle name="Calculation 11 20 2 2" xfId="6420" xr:uid="{00000000-0005-0000-0000-0000F5180000}"/>
    <cellStyle name="Calculation 11 20 2 3" xfId="6421" xr:uid="{00000000-0005-0000-0000-0000F6180000}"/>
    <cellStyle name="Calculation 11 20 2 4" xfId="6422" xr:uid="{00000000-0005-0000-0000-0000F7180000}"/>
    <cellStyle name="Calculation 11 20 2 5" xfId="6423" xr:uid="{00000000-0005-0000-0000-0000F8180000}"/>
    <cellStyle name="Calculation 11 20 2 6" xfId="6424" xr:uid="{00000000-0005-0000-0000-0000F9180000}"/>
    <cellStyle name="Calculation 11 20 3" xfId="6425" xr:uid="{00000000-0005-0000-0000-0000FA180000}"/>
    <cellStyle name="Calculation 11 20 3 2" xfId="6426" xr:uid="{00000000-0005-0000-0000-0000FB180000}"/>
    <cellStyle name="Calculation 11 20 3 3" xfId="6427" xr:uid="{00000000-0005-0000-0000-0000FC180000}"/>
    <cellStyle name="Calculation 11 20 3 4" xfId="6428" xr:uid="{00000000-0005-0000-0000-0000FD180000}"/>
    <cellStyle name="Calculation 11 20 3 5" xfId="6429" xr:uid="{00000000-0005-0000-0000-0000FE180000}"/>
    <cellStyle name="Calculation 11 20 3 6" xfId="6430" xr:uid="{00000000-0005-0000-0000-0000FF180000}"/>
    <cellStyle name="Calculation 11 20 4" xfId="6431" xr:uid="{00000000-0005-0000-0000-000000190000}"/>
    <cellStyle name="Calculation 11 20 4 2" xfId="6432" xr:uid="{00000000-0005-0000-0000-000001190000}"/>
    <cellStyle name="Calculation 11 20 4 3" xfId="6433" xr:uid="{00000000-0005-0000-0000-000002190000}"/>
    <cellStyle name="Calculation 11 20 4 4" xfId="6434" xr:uid="{00000000-0005-0000-0000-000003190000}"/>
    <cellStyle name="Calculation 11 20 4 5" xfId="6435" xr:uid="{00000000-0005-0000-0000-000004190000}"/>
    <cellStyle name="Calculation 11 20 4 6" xfId="6436" xr:uid="{00000000-0005-0000-0000-000005190000}"/>
    <cellStyle name="Calculation 11 20 5" xfId="6437" xr:uid="{00000000-0005-0000-0000-000006190000}"/>
    <cellStyle name="Calculation 11 20 5 2" xfId="6438" xr:uid="{00000000-0005-0000-0000-000007190000}"/>
    <cellStyle name="Calculation 11 20 5 3" xfId="6439" xr:uid="{00000000-0005-0000-0000-000008190000}"/>
    <cellStyle name="Calculation 11 20 5 4" xfId="6440" xr:uid="{00000000-0005-0000-0000-000009190000}"/>
    <cellStyle name="Calculation 11 20 5 5" xfId="6441" xr:uid="{00000000-0005-0000-0000-00000A190000}"/>
    <cellStyle name="Calculation 11 20 5 6" xfId="6442" xr:uid="{00000000-0005-0000-0000-00000B190000}"/>
    <cellStyle name="Calculation 11 20 6" xfId="6443" xr:uid="{00000000-0005-0000-0000-00000C190000}"/>
    <cellStyle name="Calculation 11 20 6 2" xfId="6444" xr:uid="{00000000-0005-0000-0000-00000D190000}"/>
    <cellStyle name="Calculation 11 20 6 3" xfId="6445" xr:uid="{00000000-0005-0000-0000-00000E190000}"/>
    <cellStyle name="Calculation 11 20 6 4" xfId="6446" xr:uid="{00000000-0005-0000-0000-00000F190000}"/>
    <cellStyle name="Calculation 11 20 6 5" xfId="6447" xr:uid="{00000000-0005-0000-0000-000010190000}"/>
    <cellStyle name="Calculation 11 20 6 6" xfId="6448" xr:uid="{00000000-0005-0000-0000-000011190000}"/>
    <cellStyle name="Calculation 11 20 7" xfId="6449" xr:uid="{00000000-0005-0000-0000-000012190000}"/>
    <cellStyle name="Calculation 11 20 7 2" xfId="6450" xr:uid="{00000000-0005-0000-0000-000013190000}"/>
    <cellStyle name="Calculation 11 20 7 3" xfId="6451" xr:uid="{00000000-0005-0000-0000-000014190000}"/>
    <cellStyle name="Calculation 11 20 7 4" xfId="6452" xr:uid="{00000000-0005-0000-0000-000015190000}"/>
    <cellStyle name="Calculation 11 20 7 5" xfId="6453" xr:uid="{00000000-0005-0000-0000-000016190000}"/>
    <cellStyle name="Calculation 11 20 7 6" xfId="6454" xr:uid="{00000000-0005-0000-0000-000017190000}"/>
    <cellStyle name="Calculation 11 20 8" xfId="6455" xr:uid="{00000000-0005-0000-0000-000018190000}"/>
    <cellStyle name="Calculation 11 20 9" xfId="6456" xr:uid="{00000000-0005-0000-0000-000019190000}"/>
    <cellStyle name="Calculation 11 21" xfId="6457" xr:uid="{00000000-0005-0000-0000-00001A190000}"/>
    <cellStyle name="Calculation 11 21 10" xfId="6458" xr:uid="{00000000-0005-0000-0000-00001B190000}"/>
    <cellStyle name="Calculation 11 21 2" xfId="6459" xr:uid="{00000000-0005-0000-0000-00001C190000}"/>
    <cellStyle name="Calculation 11 21 2 2" xfId="6460" xr:uid="{00000000-0005-0000-0000-00001D190000}"/>
    <cellStyle name="Calculation 11 21 2 3" xfId="6461" xr:uid="{00000000-0005-0000-0000-00001E190000}"/>
    <cellStyle name="Calculation 11 21 2 4" xfId="6462" xr:uid="{00000000-0005-0000-0000-00001F190000}"/>
    <cellStyle name="Calculation 11 21 2 5" xfId="6463" xr:uid="{00000000-0005-0000-0000-000020190000}"/>
    <cellStyle name="Calculation 11 21 2 6" xfId="6464" xr:uid="{00000000-0005-0000-0000-000021190000}"/>
    <cellStyle name="Calculation 11 21 3" xfId="6465" xr:uid="{00000000-0005-0000-0000-000022190000}"/>
    <cellStyle name="Calculation 11 21 3 2" xfId="6466" xr:uid="{00000000-0005-0000-0000-000023190000}"/>
    <cellStyle name="Calculation 11 21 3 3" xfId="6467" xr:uid="{00000000-0005-0000-0000-000024190000}"/>
    <cellStyle name="Calculation 11 21 3 4" xfId="6468" xr:uid="{00000000-0005-0000-0000-000025190000}"/>
    <cellStyle name="Calculation 11 21 3 5" xfId="6469" xr:uid="{00000000-0005-0000-0000-000026190000}"/>
    <cellStyle name="Calculation 11 21 3 6" xfId="6470" xr:uid="{00000000-0005-0000-0000-000027190000}"/>
    <cellStyle name="Calculation 11 21 4" xfId="6471" xr:uid="{00000000-0005-0000-0000-000028190000}"/>
    <cellStyle name="Calculation 11 21 4 2" xfId="6472" xr:uid="{00000000-0005-0000-0000-000029190000}"/>
    <cellStyle name="Calculation 11 21 4 3" xfId="6473" xr:uid="{00000000-0005-0000-0000-00002A190000}"/>
    <cellStyle name="Calculation 11 21 4 4" xfId="6474" xr:uid="{00000000-0005-0000-0000-00002B190000}"/>
    <cellStyle name="Calculation 11 21 4 5" xfId="6475" xr:uid="{00000000-0005-0000-0000-00002C190000}"/>
    <cellStyle name="Calculation 11 21 4 6" xfId="6476" xr:uid="{00000000-0005-0000-0000-00002D190000}"/>
    <cellStyle name="Calculation 11 21 5" xfId="6477" xr:uid="{00000000-0005-0000-0000-00002E190000}"/>
    <cellStyle name="Calculation 11 21 5 2" xfId="6478" xr:uid="{00000000-0005-0000-0000-00002F190000}"/>
    <cellStyle name="Calculation 11 21 5 3" xfId="6479" xr:uid="{00000000-0005-0000-0000-000030190000}"/>
    <cellStyle name="Calculation 11 21 5 4" xfId="6480" xr:uid="{00000000-0005-0000-0000-000031190000}"/>
    <cellStyle name="Calculation 11 21 5 5" xfId="6481" xr:uid="{00000000-0005-0000-0000-000032190000}"/>
    <cellStyle name="Calculation 11 21 5 6" xfId="6482" xr:uid="{00000000-0005-0000-0000-000033190000}"/>
    <cellStyle name="Calculation 11 21 6" xfId="6483" xr:uid="{00000000-0005-0000-0000-000034190000}"/>
    <cellStyle name="Calculation 11 21 6 2" xfId="6484" xr:uid="{00000000-0005-0000-0000-000035190000}"/>
    <cellStyle name="Calculation 11 21 6 3" xfId="6485" xr:uid="{00000000-0005-0000-0000-000036190000}"/>
    <cellStyle name="Calculation 11 21 6 4" xfId="6486" xr:uid="{00000000-0005-0000-0000-000037190000}"/>
    <cellStyle name="Calculation 11 21 6 5" xfId="6487" xr:uid="{00000000-0005-0000-0000-000038190000}"/>
    <cellStyle name="Calculation 11 21 6 6" xfId="6488" xr:uid="{00000000-0005-0000-0000-000039190000}"/>
    <cellStyle name="Calculation 11 21 7" xfId="6489" xr:uid="{00000000-0005-0000-0000-00003A190000}"/>
    <cellStyle name="Calculation 11 21 7 2" xfId="6490" xr:uid="{00000000-0005-0000-0000-00003B190000}"/>
    <cellStyle name="Calculation 11 21 7 3" xfId="6491" xr:uid="{00000000-0005-0000-0000-00003C190000}"/>
    <cellStyle name="Calculation 11 21 7 4" xfId="6492" xr:uid="{00000000-0005-0000-0000-00003D190000}"/>
    <cellStyle name="Calculation 11 21 7 5" xfId="6493" xr:uid="{00000000-0005-0000-0000-00003E190000}"/>
    <cellStyle name="Calculation 11 21 7 6" xfId="6494" xr:uid="{00000000-0005-0000-0000-00003F190000}"/>
    <cellStyle name="Calculation 11 21 8" xfId="6495" xr:uid="{00000000-0005-0000-0000-000040190000}"/>
    <cellStyle name="Calculation 11 21 9" xfId="6496" xr:uid="{00000000-0005-0000-0000-000041190000}"/>
    <cellStyle name="Calculation 11 22" xfId="6497" xr:uid="{00000000-0005-0000-0000-000042190000}"/>
    <cellStyle name="Calculation 11 22 10" xfId="6498" xr:uid="{00000000-0005-0000-0000-000043190000}"/>
    <cellStyle name="Calculation 11 22 2" xfId="6499" xr:uid="{00000000-0005-0000-0000-000044190000}"/>
    <cellStyle name="Calculation 11 22 2 2" xfId="6500" xr:uid="{00000000-0005-0000-0000-000045190000}"/>
    <cellStyle name="Calculation 11 22 2 3" xfId="6501" xr:uid="{00000000-0005-0000-0000-000046190000}"/>
    <cellStyle name="Calculation 11 22 2 4" xfId="6502" xr:uid="{00000000-0005-0000-0000-000047190000}"/>
    <cellStyle name="Calculation 11 22 2 5" xfId="6503" xr:uid="{00000000-0005-0000-0000-000048190000}"/>
    <cellStyle name="Calculation 11 22 2 6" xfId="6504" xr:uid="{00000000-0005-0000-0000-000049190000}"/>
    <cellStyle name="Calculation 11 22 3" xfId="6505" xr:uid="{00000000-0005-0000-0000-00004A190000}"/>
    <cellStyle name="Calculation 11 22 3 2" xfId="6506" xr:uid="{00000000-0005-0000-0000-00004B190000}"/>
    <cellStyle name="Calculation 11 22 3 3" xfId="6507" xr:uid="{00000000-0005-0000-0000-00004C190000}"/>
    <cellStyle name="Calculation 11 22 3 4" xfId="6508" xr:uid="{00000000-0005-0000-0000-00004D190000}"/>
    <cellStyle name="Calculation 11 22 3 5" xfId="6509" xr:uid="{00000000-0005-0000-0000-00004E190000}"/>
    <cellStyle name="Calculation 11 22 3 6" xfId="6510" xr:uid="{00000000-0005-0000-0000-00004F190000}"/>
    <cellStyle name="Calculation 11 22 4" xfId="6511" xr:uid="{00000000-0005-0000-0000-000050190000}"/>
    <cellStyle name="Calculation 11 22 4 2" xfId="6512" xr:uid="{00000000-0005-0000-0000-000051190000}"/>
    <cellStyle name="Calculation 11 22 4 3" xfId="6513" xr:uid="{00000000-0005-0000-0000-000052190000}"/>
    <cellStyle name="Calculation 11 22 4 4" xfId="6514" xr:uid="{00000000-0005-0000-0000-000053190000}"/>
    <cellStyle name="Calculation 11 22 4 5" xfId="6515" xr:uid="{00000000-0005-0000-0000-000054190000}"/>
    <cellStyle name="Calculation 11 22 4 6" xfId="6516" xr:uid="{00000000-0005-0000-0000-000055190000}"/>
    <cellStyle name="Calculation 11 22 5" xfId="6517" xr:uid="{00000000-0005-0000-0000-000056190000}"/>
    <cellStyle name="Calculation 11 22 5 2" xfId="6518" xr:uid="{00000000-0005-0000-0000-000057190000}"/>
    <cellStyle name="Calculation 11 22 5 3" xfId="6519" xr:uid="{00000000-0005-0000-0000-000058190000}"/>
    <cellStyle name="Calculation 11 22 5 4" xfId="6520" xr:uid="{00000000-0005-0000-0000-000059190000}"/>
    <cellStyle name="Calculation 11 22 5 5" xfId="6521" xr:uid="{00000000-0005-0000-0000-00005A190000}"/>
    <cellStyle name="Calculation 11 22 5 6" xfId="6522" xr:uid="{00000000-0005-0000-0000-00005B190000}"/>
    <cellStyle name="Calculation 11 22 6" xfId="6523" xr:uid="{00000000-0005-0000-0000-00005C190000}"/>
    <cellStyle name="Calculation 11 22 6 2" xfId="6524" xr:uid="{00000000-0005-0000-0000-00005D190000}"/>
    <cellStyle name="Calculation 11 22 6 3" xfId="6525" xr:uid="{00000000-0005-0000-0000-00005E190000}"/>
    <cellStyle name="Calculation 11 22 6 4" xfId="6526" xr:uid="{00000000-0005-0000-0000-00005F190000}"/>
    <cellStyle name="Calculation 11 22 6 5" xfId="6527" xr:uid="{00000000-0005-0000-0000-000060190000}"/>
    <cellStyle name="Calculation 11 22 6 6" xfId="6528" xr:uid="{00000000-0005-0000-0000-000061190000}"/>
    <cellStyle name="Calculation 11 22 7" xfId="6529" xr:uid="{00000000-0005-0000-0000-000062190000}"/>
    <cellStyle name="Calculation 11 22 7 2" xfId="6530" xr:uid="{00000000-0005-0000-0000-000063190000}"/>
    <cellStyle name="Calculation 11 22 7 3" xfId="6531" xr:uid="{00000000-0005-0000-0000-000064190000}"/>
    <cellStyle name="Calculation 11 22 7 4" xfId="6532" xr:uid="{00000000-0005-0000-0000-000065190000}"/>
    <cellStyle name="Calculation 11 22 7 5" xfId="6533" xr:uid="{00000000-0005-0000-0000-000066190000}"/>
    <cellStyle name="Calculation 11 22 7 6" xfId="6534" xr:uid="{00000000-0005-0000-0000-000067190000}"/>
    <cellStyle name="Calculation 11 22 8" xfId="6535" xr:uid="{00000000-0005-0000-0000-000068190000}"/>
    <cellStyle name="Calculation 11 22 9" xfId="6536" xr:uid="{00000000-0005-0000-0000-000069190000}"/>
    <cellStyle name="Calculation 11 23" xfId="6537" xr:uid="{00000000-0005-0000-0000-00006A190000}"/>
    <cellStyle name="Calculation 11 23 10" xfId="6538" xr:uid="{00000000-0005-0000-0000-00006B190000}"/>
    <cellStyle name="Calculation 11 23 2" xfId="6539" xr:uid="{00000000-0005-0000-0000-00006C190000}"/>
    <cellStyle name="Calculation 11 23 2 2" xfId="6540" xr:uid="{00000000-0005-0000-0000-00006D190000}"/>
    <cellStyle name="Calculation 11 23 2 3" xfId="6541" xr:uid="{00000000-0005-0000-0000-00006E190000}"/>
    <cellStyle name="Calculation 11 23 2 4" xfId="6542" xr:uid="{00000000-0005-0000-0000-00006F190000}"/>
    <cellStyle name="Calculation 11 23 2 5" xfId="6543" xr:uid="{00000000-0005-0000-0000-000070190000}"/>
    <cellStyle name="Calculation 11 23 2 6" xfId="6544" xr:uid="{00000000-0005-0000-0000-000071190000}"/>
    <cellStyle name="Calculation 11 23 3" xfId="6545" xr:uid="{00000000-0005-0000-0000-000072190000}"/>
    <cellStyle name="Calculation 11 23 3 2" xfId="6546" xr:uid="{00000000-0005-0000-0000-000073190000}"/>
    <cellStyle name="Calculation 11 23 3 3" xfId="6547" xr:uid="{00000000-0005-0000-0000-000074190000}"/>
    <cellStyle name="Calculation 11 23 3 4" xfId="6548" xr:uid="{00000000-0005-0000-0000-000075190000}"/>
    <cellStyle name="Calculation 11 23 3 5" xfId="6549" xr:uid="{00000000-0005-0000-0000-000076190000}"/>
    <cellStyle name="Calculation 11 23 3 6" xfId="6550" xr:uid="{00000000-0005-0000-0000-000077190000}"/>
    <cellStyle name="Calculation 11 23 4" xfId="6551" xr:uid="{00000000-0005-0000-0000-000078190000}"/>
    <cellStyle name="Calculation 11 23 4 2" xfId="6552" xr:uid="{00000000-0005-0000-0000-000079190000}"/>
    <cellStyle name="Calculation 11 23 4 3" xfId="6553" xr:uid="{00000000-0005-0000-0000-00007A190000}"/>
    <cellStyle name="Calculation 11 23 4 4" xfId="6554" xr:uid="{00000000-0005-0000-0000-00007B190000}"/>
    <cellStyle name="Calculation 11 23 4 5" xfId="6555" xr:uid="{00000000-0005-0000-0000-00007C190000}"/>
    <cellStyle name="Calculation 11 23 4 6" xfId="6556" xr:uid="{00000000-0005-0000-0000-00007D190000}"/>
    <cellStyle name="Calculation 11 23 5" xfId="6557" xr:uid="{00000000-0005-0000-0000-00007E190000}"/>
    <cellStyle name="Calculation 11 23 5 2" xfId="6558" xr:uid="{00000000-0005-0000-0000-00007F190000}"/>
    <cellStyle name="Calculation 11 23 5 3" xfId="6559" xr:uid="{00000000-0005-0000-0000-000080190000}"/>
    <cellStyle name="Calculation 11 23 5 4" xfId="6560" xr:uid="{00000000-0005-0000-0000-000081190000}"/>
    <cellStyle name="Calculation 11 23 5 5" xfId="6561" xr:uid="{00000000-0005-0000-0000-000082190000}"/>
    <cellStyle name="Calculation 11 23 5 6" xfId="6562" xr:uid="{00000000-0005-0000-0000-000083190000}"/>
    <cellStyle name="Calculation 11 23 6" xfId="6563" xr:uid="{00000000-0005-0000-0000-000084190000}"/>
    <cellStyle name="Calculation 11 23 6 2" xfId="6564" xr:uid="{00000000-0005-0000-0000-000085190000}"/>
    <cellStyle name="Calculation 11 23 6 3" xfId="6565" xr:uid="{00000000-0005-0000-0000-000086190000}"/>
    <cellStyle name="Calculation 11 23 6 4" xfId="6566" xr:uid="{00000000-0005-0000-0000-000087190000}"/>
    <cellStyle name="Calculation 11 23 6 5" xfId="6567" xr:uid="{00000000-0005-0000-0000-000088190000}"/>
    <cellStyle name="Calculation 11 23 6 6" xfId="6568" xr:uid="{00000000-0005-0000-0000-000089190000}"/>
    <cellStyle name="Calculation 11 23 7" xfId="6569" xr:uid="{00000000-0005-0000-0000-00008A190000}"/>
    <cellStyle name="Calculation 11 23 7 2" xfId="6570" xr:uid="{00000000-0005-0000-0000-00008B190000}"/>
    <cellStyle name="Calculation 11 23 7 3" xfId="6571" xr:uid="{00000000-0005-0000-0000-00008C190000}"/>
    <cellStyle name="Calculation 11 23 7 4" xfId="6572" xr:uid="{00000000-0005-0000-0000-00008D190000}"/>
    <cellStyle name="Calculation 11 23 7 5" xfId="6573" xr:uid="{00000000-0005-0000-0000-00008E190000}"/>
    <cellStyle name="Calculation 11 23 7 6" xfId="6574" xr:uid="{00000000-0005-0000-0000-00008F190000}"/>
    <cellStyle name="Calculation 11 23 8" xfId="6575" xr:uid="{00000000-0005-0000-0000-000090190000}"/>
    <cellStyle name="Calculation 11 23 9" xfId="6576" xr:uid="{00000000-0005-0000-0000-000091190000}"/>
    <cellStyle name="Calculation 11 24" xfId="6577" xr:uid="{00000000-0005-0000-0000-000092190000}"/>
    <cellStyle name="Calculation 11 24 10" xfId="6578" xr:uid="{00000000-0005-0000-0000-000093190000}"/>
    <cellStyle name="Calculation 11 24 2" xfId="6579" xr:uid="{00000000-0005-0000-0000-000094190000}"/>
    <cellStyle name="Calculation 11 24 2 2" xfId="6580" xr:uid="{00000000-0005-0000-0000-000095190000}"/>
    <cellStyle name="Calculation 11 24 2 3" xfId="6581" xr:uid="{00000000-0005-0000-0000-000096190000}"/>
    <cellStyle name="Calculation 11 24 2 4" xfId="6582" xr:uid="{00000000-0005-0000-0000-000097190000}"/>
    <cellStyle name="Calculation 11 24 2 5" xfId="6583" xr:uid="{00000000-0005-0000-0000-000098190000}"/>
    <cellStyle name="Calculation 11 24 2 6" xfId="6584" xr:uid="{00000000-0005-0000-0000-000099190000}"/>
    <cellStyle name="Calculation 11 24 3" xfId="6585" xr:uid="{00000000-0005-0000-0000-00009A190000}"/>
    <cellStyle name="Calculation 11 24 3 2" xfId="6586" xr:uid="{00000000-0005-0000-0000-00009B190000}"/>
    <cellStyle name="Calculation 11 24 3 3" xfId="6587" xr:uid="{00000000-0005-0000-0000-00009C190000}"/>
    <cellStyle name="Calculation 11 24 3 4" xfId="6588" xr:uid="{00000000-0005-0000-0000-00009D190000}"/>
    <cellStyle name="Calculation 11 24 3 5" xfId="6589" xr:uid="{00000000-0005-0000-0000-00009E190000}"/>
    <cellStyle name="Calculation 11 24 3 6" xfId="6590" xr:uid="{00000000-0005-0000-0000-00009F190000}"/>
    <cellStyle name="Calculation 11 24 4" xfId="6591" xr:uid="{00000000-0005-0000-0000-0000A0190000}"/>
    <cellStyle name="Calculation 11 24 4 2" xfId="6592" xr:uid="{00000000-0005-0000-0000-0000A1190000}"/>
    <cellStyle name="Calculation 11 24 4 3" xfId="6593" xr:uid="{00000000-0005-0000-0000-0000A2190000}"/>
    <cellStyle name="Calculation 11 24 4 4" xfId="6594" xr:uid="{00000000-0005-0000-0000-0000A3190000}"/>
    <cellStyle name="Calculation 11 24 4 5" xfId="6595" xr:uid="{00000000-0005-0000-0000-0000A4190000}"/>
    <cellStyle name="Calculation 11 24 4 6" xfId="6596" xr:uid="{00000000-0005-0000-0000-0000A5190000}"/>
    <cellStyle name="Calculation 11 24 5" xfId="6597" xr:uid="{00000000-0005-0000-0000-0000A6190000}"/>
    <cellStyle name="Calculation 11 24 5 2" xfId="6598" xr:uid="{00000000-0005-0000-0000-0000A7190000}"/>
    <cellStyle name="Calculation 11 24 5 3" xfId="6599" xr:uid="{00000000-0005-0000-0000-0000A8190000}"/>
    <cellStyle name="Calculation 11 24 5 4" xfId="6600" xr:uid="{00000000-0005-0000-0000-0000A9190000}"/>
    <cellStyle name="Calculation 11 24 5 5" xfId="6601" xr:uid="{00000000-0005-0000-0000-0000AA190000}"/>
    <cellStyle name="Calculation 11 24 5 6" xfId="6602" xr:uid="{00000000-0005-0000-0000-0000AB190000}"/>
    <cellStyle name="Calculation 11 24 6" xfId="6603" xr:uid="{00000000-0005-0000-0000-0000AC190000}"/>
    <cellStyle name="Calculation 11 24 6 2" xfId="6604" xr:uid="{00000000-0005-0000-0000-0000AD190000}"/>
    <cellStyle name="Calculation 11 24 6 3" xfId="6605" xr:uid="{00000000-0005-0000-0000-0000AE190000}"/>
    <cellStyle name="Calculation 11 24 6 4" xfId="6606" xr:uid="{00000000-0005-0000-0000-0000AF190000}"/>
    <cellStyle name="Calculation 11 24 6 5" xfId="6607" xr:uid="{00000000-0005-0000-0000-0000B0190000}"/>
    <cellStyle name="Calculation 11 24 6 6" xfId="6608" xr:uid="{00000000-0005-0000-0000-0000B1190000}"/>
    <cellStyle name="Calculation 11 24 7" xfId="6609" xr:uid="{00000000-0005-0000-0000-0000B2190000}"/>
    <cellStyle name="Calculation 11 24 7 2" xfId="6610" xr:uid="{00000000-0005-0000-0000-0000B3190000}"/>
    <cellStyle name="Calculation 11 24 7 3" xfId="6611" xr:uid="{00000000-0005-0000-0000-0000B4190000}"/>
    <cellStyle name="Calculation 11 24 7 4" xfId="6612" xr:uid="{00000000-0005-0000-0000-0000B5190000}"/>
    <cellStyle name="Calculation 11 24 7 5" xfId="6613" xr:uid="{00000000-0005-0000-0000-0000B6190000}"/>
    <cellStyle name="Calculation 11 24 7 6" xfId="6614" xr:uid="{00000000-0005-0000-0000-0000B7190000}"/>
    <cellStyle name="Calculation 11 24 8" xfId="6615" xr:uid="{00000000-0005-0000-0000-0000B8190000}"/>
    <cellStyle name="Calculation 11 24 9" xfId="6616" xr:uid="{00000000-0005-0000-0000-0000B9190000}"/>
    <cellStyle name="Calculation 11 25" xfId="6617" xr:uid="{00000000-0005-0000-0000-0000BA190000}"/>
    <cellStyle name="Calculation 11 25 10" xfId="6618" xr:uid="{00000000-0005-0000-0000-0000BB190000}"/>
    <cellStyle name="Calculation 11 25 2" xfId="6619" xr:uid="{00000000-0005-0000-0000-0000BC190000}"/>
    <cellStyle name="Calculation 11 25 2 2" xfId="6620" xr:uid="{00000000-0005-0000-0000-0000BD190000}"/>
    <cellStyle name="Calculation 11 25 2 3" xfId="6621" xr:uid="{00000000-0005-0000-0000-0000BE190000}"/>
    <cellStyle name="Calculation 11 25 2 4" xfId="6622" xr:uid="{00000000-0005-0000-0000-0000BF190000}"/>
    <cellStyle name="Calculation 11 25 2 5" xfId="6623" xr:uid="{00000000-0005-0000-0000-0000C0190000}"/>
    <cellStyle name="Calculation 11 25 2 6" xfId="6624" xr:uid="{00000000-0005-0000-0000-0000C1190000}"/>
    <cellStyle name="Calculation 11 25 3" xfId="6625" xr:uid="{00000000-0005-0000-0000-0000C2190000}"/>
    <cellStyle name="Calculation 11 25 3 2" xfId="6626" xr:uid="{00000000-0005-0000-0000-0000C3190000}"/>
    <cellStyle name="Calculation 11 25 3 3" xfId="6627" xr:uid="{00000000-0005-0000-0000-0000C4190000}"/>
    <cellStyle name="Calculation 11 25 3 4" xfId="6628" xr:uid="{00000000-0005-0000-0000-0000C5190000}"/>
    <cellStyle name="Calculation 11 25 3 5" xfId="6629" xr:uid="{00000000-0005-0000-0000-0000C6190000}"/>
    <cellStyle name="Calculation 11 25 3 6" xfId="6630" xr:uid="{00000000-0005-0000-0000-0000C7190000}"/>
    <cellStyle name="Calculation 11 25 4" xfId="6631" xr:uid="{00000000-0005-0000-0000-0000C8190000}"/>
    <cellStyle name="Calculation 11 25 4 2" xfId="6632" xr:uid="{00000000-0005-0000-0000-0000C9190000}"/>
    <cellStyle name="Calculation 11 25 4 3" xfId="6633" xr:uid="{00000000-0005-0000-0000-0000CA190000}"/>
    <cellStyle name="Calculation 11 25 4 4" xfId="6634" xr:uid="{00000000-0005-0000-0000-0000CB190000}"/>
    <cellStyle name="Calculation 11 25 4 5" xfId="6635" xr:uid="{00000000-0005-0000-0000-0000CC190000}"/>
    <cellStyle name="Calculation 11 25 4 6" xfId="6636" xr:uid="{00000000-0005-0000-0000-0000CD190000}"/>
    <cellStyle name="Calculation 11 25 5" xfId="6637" xr:uid="{00000000-0005-0000-0000-0000CE190000}"/>
    <cellStyle name="Calculation 11 25 5 2" xfId="6638" xr:uid="{00000000-0005-0000-0000-0000CF190000}"/>
    <cellStyle name="Calculation 11 25 5 3" xfId="6639" xr:uid="{00000000-0005-0000-0000-0000D0190000}"/>
    <cellStyle name="Calculation 11 25 5 4" xfId="6640" xr:uid="{00000000-0005-0000-0000-0000D1190000}"/>
    <cellStyle name="Calculation 11 25 5 5" xfId="6641" xr:uid="{00000000-0005-0000-0000-0000D2190000}"/>
    <cellStyle name="Calculation 11 25 5 6" xfId="6642" xr:uid="{00000000-0005-0000-0000-0000D3190000}"/>
    <cellStyle name="Calculation 11 25 6" xfId="6643" xr:uid="{00000000-0005-0000-0000-0000D4190000}"/>
    <cellStyle name="Calculation 11 25 6 2" xfId="6644" xr:uid="{00000000-0005-0000-0000-0000D5190000}"/>
    <cellStyle name="Calculation 11 25 6 3" xfId="6645" xr:uid="{00000000-0005-0000-0000-0000D6190000}"/>
    <cellStyle name="Calculation 11 25 6 4" xfId="6646" xr:uid="{00000000-0005-0000-0000-0000D7190000}"/>
    <cellStyle name="Calculation 11 25 6 5" xfId="6647" xr:uid="{00000000-0005-0000-0000-0000D8190000}"/>
    <cellStyle name="Calculation 11 25 6 6" xfId="6648" xr:uid="{00000000-0005-0000-0000-0000D9190000}"/>
    <cellStyle name="Calculation 11 25 7" xfId="6649" xr:uid="{00000000-0005-0000-0000-0000DA190000}"/>
    <cellStyle name="Calculation 11 25 7 2" xfId="6650" xr:uid="{00000000-0005-0000-0000-0000DB190000}"/>
    <cellStyle name="Calculation 11 25 7 3" xfId="6651" xr:uid="{00000000-0005-0000-0000-0000DC190000}"/>
    <cellStyle name="Calculation 11 25 7 4" xfId="6652" xr:uid="{00000000-0005-0000-0000-0000DD190000}"/>
    <cellStyle name="Calculation 11 25 7 5" xfId="6653" xr:uid="{00000000-0005-0000-0000-0000DE190000}"/>
    <cellStyle name="Calculation 11 25 7 6" xfId="6654" xr:uid="{00000000-0005-0000-0000-0000DF190000}"/>
    <cellStyle name="Calculation 11 25 8" xfId="6655" xr:uid="{00000000-0005-0000-0000-0000E0190000}"/>
    <cellStyle name="Calculation 11 25 9" xfId="6656" xr:uid="{00000000-0005-0000-0000-0000E1190000}"/>
    <cellStyle name="Calculation 11 26" xfId="6657" xr:uid="{00000000-0005-0000-0000-0000E2190000}"/>
    <cellStyle name="Calculation 11 26 2" xfId="6658" xr:uid="{00000000-0005-0000-0000-0000E3190000}"/>
    <cellStyle name="Calculation 11 26 3" xfId="6659" xr:uid="{00000000-0005-0000-0000-0000E4190000}"/>
    <cellStyle name="Calculation 11 26 4" xfId="6660" xr:uid="{00000000-0005-0000-0000-0000E5190000}"/>
    <cellStyle name="Calculation 11 26 5" xfId="6661" xr:uid="{00000000-0005-0000-0000-0000E6190000}"/>
    <cellStyle name="Calculation 11 26 6" xfId="6662" xr:uid="{00000000-0005-0000-0000-0000E7190000}"/>
    <cellStyle name="Calculation 11 27" xfId="6663" xr:uid="{00000000-0005-0000-0000-0000E8190000}"/>
    <cellStyle name="Calculation 11 27 2" xfId="6664" xr:uid="{00000000-0005-0000-0000-0000E9190000}"/>
    <cellStyle name="Calculation 11 27 3" xfId="6665" xr:uid="{00000000-0005-0000-0000-0000EA190000}"/>
    <cellStyle name="Calculation 11 27 4" xfId="6666" xr:uid="{00000000-0005-0000-0000-0000EB190000}"/>
    <cellStyle name="Calculation 11 27 5" xfId="6667" xr:uid="{00000000-0005-0000-0000-0000EC190000}"/>
    <cellStyle name="Calculation 11 27 6" xfId="6668" xr:uid="{00000000-0005-0000-0000-0000ED190000}"/>
    <cellStyle name="Calculation 11 28" xfId="6669" xr:uid="{00000000-0005-0000-0000-0000EE190000}"/>
    <cellStyle name="Calculation 11 28 2" xfId="6670" xr:uid="{00000000-0005-0000-0000-0000EF190000}"/>
    <cellStyle name="Calculation 11 28 3" xfId="6671" xr:uid="{00000000-0005-0000-0000-0000F0190000}"/>
    <cellStyle name="Calculation 11 28 4" xfId="6672" xr:uid="{00000000-0005-0000-0000-0000F1190000}"/>
    <cellStyle name="Calculation 11 28 5" xfId="6673" xr:uid="{00000000-0005-0000-0000-0000F2190000}"/>
    <cellStyle name="Calculation 11 28 6" xfId="6674" xr:uid="{00000000-0005-0000-0000-0000F3190000}"/>
    <cellStyle name="Calculation 11 29" xfId="6675" xr:uid="{00000000-0005-0000-0000-0000F4190000}"/>
    <cellStyle name="Calculation 11 29 2" xfId="6676" xr:uid="{00000000-0005-0000-0000-0000F5190000}"/>
    <cellStyle name="Calculation 11 29 3" xfId="6677" xr:uid="{00000000-0005-0000-0000-0000F6190000}"/>
    <cellStyle name="Calculation 11 29 4" xfId="6678" xr:uid="{00000000-0005-0000-0000-0000F7190000}"/>
    <cellStyle name="Calculation 11 29 5" xfId="6679" xr:uid="{00000000-0005-0000-0000-0000F8190000}"/>
    <cellStyle name="Calculation 11 29 6" xfId="6680" xr:uid="{00000000-0005-0000-0000-0000F9190000}"/>
    <cellStyle name="Calculation 11 3" xfId="6681" xr:uid="{00000000-0005-0000-0000-0000FA190000}"/>
    <cellStyle name="Calculation 11 3 10" xfId="6682" xr:uid="{00000000-0005-0000-0000-0000FB190000}"/>
    <cellStyle name="Calculation 11 3 10 10" xfId="6683" xr:uid="{00000000-0005-0000-0000-0000FC190000}"/>
    <cellStyle name="Calculation 11 3 10 2" xfId="6684" xr:uid="{00000000-0005-0000-0000-0000FD190000}"/>
    <cellStyle name="Calculation 11 3 10 2 2" xfId="6685" xr:uid="{00000000-0005-0000-0000-0000FE190000}"/>
    <cellStyle name="Calculation 11 3 10 2 3" xfId="6686" xr:uid="{00000000-0005-0000-0000-0000FF190000}"/>
    <cellStyle name="Calculation 11 3 10 2 4" xfId="6687" xr:uid="{00000000-0005-0000-0000-0000001A0000}"/>
    <cellStyle name="Calculation 11 3 10 2 5" xfId="6688" xr:uid="{00000000-0005-0000-0000-0000011A0000}"/>
    <cellStyle name="Calculation 11 3 10 2 6" xfId="6689" xr:uid="{00000000-0005-0000-0000-0000021A0000}"/>
    <cellStyle name="Calculation 11 3 10 3" xfId="6690" xr:uid="{00000000-0005-0000-0000-0000031A0000}"/>
    <cellStyle name="Calculation 11 3 10 3 2" xfId="6691" xr:uid="{00000000-0005-0000-0000-0000041A0000}"/>
    <cellStyle name="Calculation 11 3 10 3 3" xfId="6692" xr:uid="{00000000-0005-0000-0000-0000051A0000}"/>
    <cellStyle name="Calculation 11 3 10 3 4" xfId="6693" xr:uid="{00000000-0005-0000-0000-0000061A0000}"/>
    <cellStyle name="Calculation 11 3 10 3 5" xfId="6694" xr:uid="{00000000-0005-0000-0000-0000071A0000}"/>
    <cellStyle name="Calculation 11 3 10 3 6" xfId="6695" xr:uid="{00000000-0005-0000-0000-0000081A0000}"/>
    <cellStyle name="Calculation 11 3 10 4" xfId="6696" xr:uid="{00000000-0005-0000-0000-0000091A0000}"/>
    <cellStyle name="Calculation 11 3 10 4 2" xfId="6697" xr:uid="{00000000-0005-0000-0000-00000A1A0000}"/>
    <cellStyle name="Calculation 11 3 10 4 3" xfId="6698" xr:uid="{00000000-0005-0000-0000-00000B1A0000}"/>
    <cellStyle name="Calculation 11 3 10 4 4" xfId="6699" xr:uid="{00000000-0005-0000-0000-00000C1A0000}"/>
    <cellStyle name="Calculation 11 3 10 4 5" xfId="6700" xr:uid="{00000000-0005-0000-0000-00000D1A0000}"/>
    <cellStyle name="Calculation 11 3 10 4 6" xfId="6701" xr:uid="{00000000-0005-0000-0000-00000E1A0000}"/>
    <cellStyle name="Calculation 11 3 10 5" xfId="6702" xr:uid="{00000000-0005-0000-0000-00000F1A0000}"/>
    <cellStyle name="Calculation 11 3 10 5 2" xfId="6703" xr:uid="{00000000-0005-0000-0000-0000101A0000}"/>
    <cellStyle name="Calculation 11 3 10 5 3" xfId="6704" xr:uid="{00000000-0005-0000-0000-0000111A0000}"/>
    <cellStyle name="Calculation 11 3 10 5 4" xfId="6705" xr:uid="{00000000-0005-0000-0000-0000121A0000}"/>
    <cellStyle name="Calculation 11 3 10 5 5" xfId="6706" xr:uid="{00000000-0005-0000-0000-0000131A0000}"/>
    <cellStyle name="Calculation 11 3 10 5 6" xfId="6707" xr:uid="{00000000-0005-0000-0000-0000141A0000}"/>
    <cellStyle name="Calculation 11 3 10 6" xfId="6708" xr:uid="{00000000-0005-0000-0000-0000151A0000}"/>
    <cellStyle name="Calculation 11 3 10 6 2" xfId="6709" xr:uid="{00000000-0005-0000-0000-0000161A0000}"/>
    <cellStyle name="Calculation 11 3 10 6 3" xfId="6710" xr:uid="{00000000-0005-0000-0000-0000171A0000}"/>
    <cellStyle name="Calculation 11 3 10 6 4" xfId="6711" xr:uid="{00000000-0005-0000-0000-0000181A0000}"/>
    <cellStyle name="Calculation 11 3 10 6 5" xfId="6712" xr:uid="{00000000-0005-0000-0000-0000191A0000}"/>
    <cellStyle name="Calculation 11 3 10 6 6" xfId="6713" xr:uid="{00000000-0005-0000-0000-00001A1A0000}"/>
    <cellStyle name="Calculation 11 3 10 7" xfId="6714" xr:uid="{00000000-0005-0000-0000-00001B1A0000}"/>
    <cellStyle name="Calculation 11 3 10 7 2" xfId="6715" xr:uid="{00000000-0005-0000-0000-00001C1A0000}"/>
    <cellStyle name="Calculation 11 3 10 7 3" xfId="6716" xr:uid="{00000000-0005-0000-0000-00001D1A0000}"/>
    <cellStyle name="Calculation 11 3 10 7 4" xfId="6717" xr:uid="{00000000-0005-0000-0000-00001E1A0000}"/>
    <cellStyle name="Calculation 11 3 10 7 5" xfId="6718" xr:uid="{00000000-0005-0000-0000-00001F1A0000}"/>
    <cellStyle name="Calculation 11 3 10 7 6" xfId="6719" xr:uid="{00000000-0005-0000-0000-0000201A0000}"/>
    <cellStyle name="Calculation 11 3 10 8" xfId="6720" xr:uid="{00000000-0005-0000-0000-0000211A0000}"/>
    <cellStyle name="Calculation 11 3 10 9" xfId="6721" xr:uid="{00000000-0005-0000-0000-0000221A0000}"/>
    <cellStyle name="Calculation 11 3 11" xfId="6722" xr:uid="{00000000-0005-0000-0000-0000231A0000}"/>
    <cellStyle name="Calculation 11 3 11 10" xfId="6723" xr:uid="{00000000-0005-0000-0000-0000241A0000}"/>
    <cellStyle name="Calculation 11 3 11 2" xfId="6724" xr:uid="{00000000-0005-0000-0000-0000251A0000}"/>
    <cellStyle name="Calculation 11 3 11 2 2" xfId="6725" xr:uid="{00000000-0005-0000-0000-0000261A0000}"/>
    <cellStyle name="Calculation 11 3 11 2 3" xfId="6726" xr:uid="{00000000-0005-0000-0000-0000271A0000}"/>
    <cellStyle name="Calculation 11 3 11 2 4" xfId="6727" xr:uid="{00000000-0005-0000-0000-0000281A0000}"/>
    <cellStyle name="Calculation 11 3 11 2 5" xfId="6728" xr:uid="{00000000-0005-0000-0000-0000291A0000}"/>
    <cellStyle name="Calculation 11 3 11 2 6" xfId="6729" xr:uid="{00000000-0005-0000-0000-00002A1A0000}"/>
    <cellStyle name="Calculation 11 3 11 3" xfId="6730" xr:uid="{00000000-0005-0000-0000-00002B1A0000}"/>
    <cellStyle name="Calculation 11 3 11 3 2" xfId="6731" xr:uid="{00000000-0005-0000-0000-00002C1A0000}"/>
    <cellStyle name="Calculation 11 3 11 3 3" xfId="6732" xr:uid="{00000000-0005-0000-0000-00002D1A0000}"/>
    <cellStyle name="Calculation 11 3 11 3 4" xfId="6733" xr:uid="{00000000-0005-0000-0000-00002E1A0000}"/>
    <cellStyle name="Calculation 11 3 11 3 5" xfId="6734" xr:uid="{00000000-0005-0000-0000-00002F1A0000}"/>
    <cellStyle name="Calculation 11 3 11 3 6" xfId="6735" xr:uid="{00000000-0005-0000-0000-0000301A0000}"/>
    <cellStyle name="Calculation 11 3 11 4" xfId="6736" xr:uid="{00000000-0005-0000-0000-0000311A0000}"/>
    <cellStyle name="Calculation 11 3 11 4 2" xfId="6737" xr:uid="{00000000-0005-0000-0000-0000321A0000}"/>
    <cellStyle name="Calculation 11 3 11 4 3" xfId="6738" xr:uid="{00000000-0005-0000-0000-0000331A0000}"/>
    <cellStyle name="Calculation 11 3 11 4 4" xfId="6739" xr:uid="{00000000-0005-0000-0000-0000341A0000}"/>
    <cellStyle name="Calculation 11 3 11 4 5" xfId="6740" xr:uid="{00000000-0005-0000-0000-0000351A0000}"/>
    <cellStyle name="Calculation 11 3 11 4 6" xfId="6741" xr:uid="{00000000-0005-0000-0000-0000361A0000}"/>
    <cellStyle name="Calculation 11 3 11 5" xfId="6742" xr:uid="{00000000-0005-0000-0000-0000371A0000}"/>
    <cellStyle name="Calculation 11 3 11 5 2" xfId="6743" xr:uid="{00000000-0005-0000-0000-0000381A0000}"/>
    <cellStyle name="Calculation 11 3 11 5 3" xfId="6744" xr:uid="{00000000-0005-0000-0000-0000391A0000}"/>
    <cellStyle name="Calculation 11 3 11 5 4" xfId="6745" xr:uid="{00000000-0005-0000-0000-00003A1A0000}"/>
    <cellStyle name="Calculation 11 3 11 5 5" xfId="6746" xr:uid="{00000000-0005-0000-0000-00003B1A0000}"/>
    <cellStyle name="Calculation 11 3 11 5 6" xfId="6747" xr:uid="{00000000-0005-0000-0000-00003C1A0000}"/>
    <cellStyle name="Calculation 11 3 11 6" xfId="6748" xr:uid="{00000000-0005-0000-0000-00003D1A0000}"/>
    <cellStyle name="Calculation 11 3 11 6 2" xfId="6749" xr:uid="{00000000-0005-0000-0000-00003E1A0000}"/>
    <cellStyle name="Calculation 11 3 11 6 3" xfId="6750" xr:uid="{00000000-0005-0000-0000-00003F1A0000}"/>
    <cellStyle name="Calculation 11 3 11 6 4" xfId="6751" xr:uid="{00000000-0005-0000-0000-0000401A0000}"/>
    <cellStyle name="Calculation 11 3 11 6 5" xfId="6752" xr:uid="{00000000-0005-0000-0000-0000411A0000}"/>
    <cellStyle name="Calculation 11 3 11 6 6" xfId="6753" xr:uid="{00000000-0005-0000-0000-0000421A0000}"/>
    <cellStyle name="Calculation 11 3 11 7" xfId="6754" xr:uid="{00000000-0005-0000-0000-0000431A0000}"/>
    <cellStyle name="Calculation 11 3 11 7 2" xfId="6755" xr:uid="{00000000-0005-0000-0000-0000441A0000}"/>
    <cellStyle name="Calculation 11 3 11 7 3" xfId="6756" xr:uid="{00000000-0005-0000-0000-0000451A0000}"/>
    <cellStyle name="Calculation 11 3 11 7 4" xfId="6757" xr:uid="{00000000-0005-0000-0000-0000461A0000}"/>
    <cellStyle name="Calculation 11 3 11 7 5" xfId="6758" xr:uid="{00000000-0005-0000-0000-0000471A0000}"/>
    <cellStyle name="Calculation 11 3 11 7 6" xfId="6759" xr:uid="{00000000-0005-0000-0000-0000481A0000}"/>
    <cellStyle name="Calculation 11 3 11 8" xfId="6760" xr:uid="{00000000-0005-0000-0000-0000491A0000}"/>
    <cellStyle name="Calculation 11 3 11 9" xfId="6761" xr:uid="{00000000-0005-0000-0000-00004A1A0000}"/>
    <cellStyle name="Calculation 11 3 12" xfId="6762" xr:uid="{00000000-0005-0000-0000-00004B1A0000}"/>
    <cellStyle name="Calculation 11 3 12 10" xfId="6763" xr:uid="{00000000-0005-0000-0000-00004C1A0000}"/>
    <cellStyle name="Calculation 11 3 12 2" xfId="6764" xr:uid="{00000000-0005-0000-0000-00004D1A0000}"/>
    <cellStyle name="Calculation 11 3 12 2 2" xfId="6765" xr:uid="{00000000-0005-0000-0000-00004E1A0000}"/>
    <cellStyle name="Calculation 11 3 12 2 3" xfId="6766" xr:uid="{00000000-0005-0000-0000-00004F1A0000}"/>
    <cellStyle name="Calculation 11 3 12 2 4" xfId="6767" xr:uid="{00000000-0005-0000-0000-0000501A0000}"/>
    <cellStyle name="Calculation 11 3 12 2 5" xfId="6768" xr:uid="{00000000-0005-0000-0000-0000511A0000}"/>
    <cellStyle name="Calculation 11 3 12 2 6" xfId="6769" xr:uid="{00000000-0005-0000-0000-0000521A0000}"/>
    <cellStyle name="Calculation 11 3 12 3" xfId="6770" xr:uid="{00000000-0005-0000-0000-0000531A0000}"/>
    <cellStyle name="Calculation 11 3 12 3 2" xfId="6771" xr:uid="{00000000-0005-0000-0000-0000541A0000}"/>
    <cellStyle name="Calculation 11 3 12 3 3" xfId="6772" xr:uid="{00000000-0005-0000-0000-0000551A0000}"/>
    <cellStyle name="Calculation 11 3 12 3 4" xfId="6773" xr:uid="{00000000-0005-0000-0000-0000561A0000}"/>
    <cellStyle name="Calculation 11 3 12 3 5" xfId="6774" xr:uid="{00000000-0005-0000-0000-0000571A0000}"/>
    <cellStyle name="Calculation 11 3 12 3 6" xfId="6775" xr:uid="{00000000-0005-0000-0000-0000581A0000}"/>
    <cellStyle name="Calculation 11 3 12 4" xfId="6776" xr:uid="{00000000-0005-0000-0000-0000591A0000}"/>
    <cellStyle name="Calculation 11 3 12 4 2" xfId="6777" xr:uid="{00000000-0005-0000-0000-00005A1A0000}"/>
    <cellStyle name="Calculation 11 3 12 4 3" xfId="6778" xr:uid="{00000000-0005-0000-0000-00005B1A0000}"/>
    <cellStyle name="Calculation 11 3 12 4 4" xfId="6779" xr:uid="{00000000-0005-0000-0000-00005C1A0000}"/>
    <cellStyle name="Calculation 11 3 12 4 5" xfId="6780" xr:uid="{00000000-0005-0000-0000-00005D1A0000}"/>
    <cellStyle name="Calculation 11 3 12 4 6" xfId="6781" xr:uid="{00000000-0005-0000-0000-00005E1A0000}"/>
    <cellStyle name="Calculation 11 3 12 5" xfId="6782" xr:uid="{00000000-0005-0000-0000-00005F1A0000}"/>
    <cellStyle name="Calculation 11 3 12 5 2" xfId="6783" xr:uid="{00000000-0005-0000-0000-0000601A0000}"/>
    <cellStyle name="Calculation 11 3 12 5 3" xfId="6784" xr:uid="{00000000-0005-0000-0000-0000611A0000}"/>
    <cellStyle name="Calculation 11 3 12 5 4" xfId="6785" xr:uid="{00000000-0005-0000-0000-0000621A0000}"/>
    <cellStyle name="Calculation 11 3 12 5 5" xfId="6786" xr:uid="{00000000-0005-0000-0000-0000631A0000}"/>
    <cellStyle name="Calculation 11 3 12 5 6" xfId="6787" xr:uid="{00000000-0005-0000-0000-0000641A0000}"/>
    <cellStyle name="Calculation 11 3 12 6" xfId="6788" xr:uid="{00000000-0005-0000-0000-0000651A0000}"/>
    <cellStyle name="Calculation 11 3 12 6 2" xfId="6789" xr:uid="{00000000-0005-0000-0000-0000661A0000}"/>
    <cellStyle name="Calculation 11 3 12 6 3" xfId="6790" xr:uid="{00000000-0005-0000-0000-0000671A0000}"/>
    <cellStyle name="Calculation 11 3 12 6 4" xfId="6791" xr:uid="{00000000-0005-0000-0000-0000681A0000}"/>
    <cellStyle name="Calculation 11 3 12 6 5" xfId="6792" xr:uid="{00000000-0005-0000-0000-0000691A0000}"/>
    <cellStyle name="Calculation 11 3 12 6 6" xfId="6793" xr:uid="{00000000-0005-0000-0000-00006A1A0000}"/>
    <cellStyle name="Calculation 11 3 12 7" xfId="6794" xr:uid="{00000000-0005-0000-0000-00006B1A0000}"/>
    <cellStyle name="Calculation 11 3 12 7 2" xfId="6795" xr:uid="{00000000-0005-0000-0000-00006C1A0000}"/>
    <cellStyle name="Calculation 11 3 12 7 3" xfId="6796" xr:uid="{00000000-0005-0000-0000-00006D1A0000}"/>
    <cellStyle name="Calculation 11 3 12 7 4" xfId="6797" xr:uid="{00000000-0005-0000-0000-00006E1A0000}"/>
    <cellStyle name="Calculation 11 3 12 7 5" xfId="6798" xr:uid="{00000000-0005-0000-0000-00006F1A0000}"/>
    <cellStyle name="Calculation 11 3 12 7 6" xfId="6799" xr:uid="{00000000-0005-0000-0000-0000701A0000}"/>
    <cellStyle name="Calculation 11 3 12 8" xfId="6800" xr:uid="{00000000-0005-0000-0000-0000711A0000}"/>
    <cellStyle name="Calculation 11 3 12 9" xfId="6801" xr:uid="{00000000-0005-0000-0000-0000721A0000}"/>
    <cellStyle name="Calculation 11 3 13" xfId="6802" xr:uid="{00000000-0005-0000-0000-0000731A0000}"/>
    <cellStyle name="Calculation 11 3 13 10" xfId="6803" xr:uid="{00000000-0005-0000-0000-0000741A0000}"/>
    <cellStyle name="Calculation 11 3 13 2" xfId="6804" xr:uid="{00000000-0005-0000-0000-0000751A0000}"/>
    <cellStyle name="Calculation 11 3 13 2 2" xfId="6805" xr:uid="{00000000-0005-0000-0000-0000761A0000}"/>
    <cellStyle name="Calculation 11 3 13 2 3" xfId="6806" xr:uid="{00000000-0005-0000-0000-0000771A0000}"/>
    <cellStyle name="Calculation 11 3 13 2 4" xfId="6807" xr:uid="{00000000-0005-0000-0000-0000781A0000}"/>
    <cellStyle name="Calculation 11 3 13 2 5" xfId="6808" xr:uid="{00000000-0005-0000-0000-0000791A0000}"/>
    <cellStyle name="Calculation 11 3 13 2 6" xfId="6809" xr:uid="{00000000-0005-0000-0000-00007A1A0000}"/>
    <cellStyle name="Calculation 11 3 13 3" xfId="6810" xr:uid="{00000000-0005-0000-0000-00007B1A0000}"/>
    <cellStyle name="Calculation 11 3 13 3 2" xfId="6811" xr:uid="{00000000-0005-0000-0000-00007C1A0000}"/>
    <cellStyle name="Calculation 11 3 13 3 3" xfId="6812" xr:uid="{00000000-0005-0000-0000-00007D1A0000}"/>
    <cellStyle name="Calculation 11 3 13 3 4" xfId="6813" xr:uid="{00000000-0005-0000-0000-00007E1A0000}"/>
    <cellStyle name="Calculation 11 3 13 3 5" xfId="6814" xr:uid="{00000000-0005-0000-0000-00007F1A0000}"/>
    <cellStyle name="Calculation 11 3 13 3 6" xfId="6815" xr:uid="{00000000-0005-0000-0000-0000801A0000}"/>
    <cellStyle name="Calculation 11 3 13 4" xfId="6816" xr:uid="{00000000-0005-0000-0000-0000811A0000}"/>
    <cellStyle name="Calculation 11 3 13 4 2" xfId="6817" xr:uid="{00000000-0005-0000-0000-0000821A0000}"/>
    <cellStyle name="Calculation 11 3 13 4 3" xfId="6818" xr:uid="{00000000-0005-0000-0000-0000831A0000}"/>
    <cellStyle name="Calculation 11 3 13 4 4" xfId="6819" xr:uid="{00000000-0005-0000-0000-0000841A0000}"/>
    <cellStyle name="Calculation 11 3 13 4 5" xfId="6820" xr:uid="{00000000-0005-0000-0000-0000851A0000}"/>
    <cellStyle name="Calculation 11 3 13 4 6" xfId="6821" xr:uid="{00000000-0005-0000-0000-0000861A0000}"/>
    <cellStyle name="Calculation 11 3 13 5" xfId="6822" xr:uid="{00000000-0005-0000-0000-0000871A0000}"/>
    <cellStyle name="Calculation 11 3 13 5 2" xfId="6823" xr:uid="{00000000-0005-0000-0000-0000881A0000}"/>
    <cellStyle name="Calculation 11 3 13 5 3" xfId="6824" xr:uid="{00000000-0005-0000-0000-0000891A0000}"/>
    <cellStyle name="Calculation 11 3 13 5 4" xfId="6825" xr:uid="{00000000-0005-0000-0000-00008A1A0000}"/>
    <cellStyle name="Calculation 11 3 13 5 5" xfId="6826" xr:uid="{00000000-0005-0000-0000-00008B1A0000}"/>
    <cellStyle name="Calculation 11 3 13 5 6" xfId="6827" xr:uid="{00000000-0005-0000-0000-00008C1A0000}"/>
    <cellStyle name="Calculation 11 3 13 6" xfId="6828" xr:uid="{00000000-0005-0000-0000-00008D1A0000}"/>
    <cellStyle name="Calculation 11 3 13 6 2" xfId="6829" xr:uid="{00000000-0005-0000-0000-00008E1A0000}"/>
    <cellStyle name="Calculation 11 3 13 6 3" xfId="6830" xr:uid="{00000000-0005-0000-0000-00008F1A0000}"/>
    <cellStyle name="Calculation 11 3 13 6 4" xfId="6831" xr:uid="{00000000-0005-0000-0000-0000901A0000}"/>
    <cellStyle name="Calculation 11 3 13 6 5" xfId="6832" xr:uid="{00000000-0005-0000-0000-0000911A0000}"/>
    <cellStyle name="Calculation 11 3 13 6 6" xfId="6833" xr:uid="{00000000-0005-0000-0000-0000921A0000}"/>
    <cellStyle name="Calculation 11 3 13 7" xfId="6834" xr:uid="{00000000-0005-0000-0000-0000931A0000}"/>
    <cellStyle name="Calculation 11 3 13 7 2" xfId="6835" xr:uid="{00000000-0005-0000-0000-0000941A0000}"/>
    <cellStyle name="Calculation 11 3 13 7 3" xfId="6836" xr:uid="{00000000-0005-0000-0000-0000951A0000}"/>
    <cellStyle name="Calculation 11 3 13 7 4" xfId="6837" xr:uid="{00000000-0005-0000-0000-0000961A0000}"/>
    <cellStyle name="Calculation 11 3 13 7 5" xfId="6838" xr:uid="{00000000-0005-0000-0000-0000971A0000}"/>
    <cellStyle name="Calculation 11 3 13 7 6" xfId="6839" xr:uid="{00000000-0005-0000-0000-0000981A0000}"/>
    <cellStyle name="Calculation 11 3 13 8" xfId="6840" xr:uid="{00000000-0005-0000-0000-0000991A0000}"/>
    <cellStyle name="Calculation 11 3 13 9" xfId="6841" xr:uid="{00000000-0005-0000-0000-00009A1A0000}"/>
    <cellStyle name="Calculation 11 3 14" xfId="6842" xr:uid="{00000000-0005-0000-0000-00009B1A0000}"/>
    <cellStyle name="Calculation 11 3 14 10" xfId="6843" xr:uid="{00000000-0005-0000-0000-00009C1A0000}"/>
    <cellStyle name="Calculation 11 3 14 2" xfId="6844" xr:uid="{00000000-0005-0000-0000-00009D1A0000}"/>
    <cellStyle name="Calculation 11 3 14 2 2" xfId="6845" xr:uid="{00000000-0005-0000-0000-00009E1A0000}"/>
    <cellStyle name="Calculation 11 3 14 2 3" xfId="6846" xr:uid="{00000000-0005-0000-0000-00009F1A0000}"/>
    <cellStyle name="Calculation 11 3 14 2 4" xfId="6847" xr:uid="{00000000-0005-0000-0000-0000A01A0000}"/>
    <cellStyle name="Calculation 11 3 14 2 5" xfId="6848" xr:uid="{00000000-0005-0000-0000-0000A11A0000}"/>
    <cellStyle name="Calculation 11 3 14 2 6" xfId="6849" xr:uid="{00000000-0005-0000-0000-0000A21A0000}"/>
    <cellStyle name="Calculation 11 3 14 3" xfId="6850" xr:uid="{00000000-0005-0000-0000-0000A31A0000}"/>
    <cellStyle name="Calculation 11 3 14 3 2" xfId="6851" xr:uid="{00000000-0005-0000-0000-0000A41A0000}"/>
    <cellStyle name="Calculation 11 3 14 3 3" xfId="6852" xr:uid="{00000000-0005-0000-0000-0000A51A0000}"/>
    <cellStyle name="Calculation 11 3 14 3 4" xfId="6853" xr:uid="{00000000-0005-0000-0000-0000A61A0000}"/>
    <cellStyle name="Calculation 11 3 14 3 5" xfId="6854" xr:uid="{00000000-0005-0000-0000-0000A71A0000}"/>
    <cellStyle name="Calculation 11 3 14 3 6" xfId="6855" xr:uid="{00000000-0005-0000-0000-0000A81A0000}"/>
    <cellStyle name="Calculation 11 3 14 4" xfId="6856" xr:uid="{00000000-0005-0000-0000-0000A91A0000}"/>
    <cellStyle name="Calculation 11 3 14 4 2" xfId="6857" xr:uid="{00000000-0005-0000-0000-0000AA1A0000}"/>
    <cellStyle name="Calculation 11 3 14 4 3" xfId="6858" xr:uid="{00000000-0005-0000-0000-0000AB1A0000}"/>
    <cellStyle name="Calculation 11 3 14 4 4" xfId="6859" xr:uid="{00000000-0005-0000-0000-0000AC1A0000}"/>
    <cellStyle name="Calculation 11 3 14 4 5" xfId="6860" xr:uid="{00000000-0005-0000-0000-0000AD1A0000}"/>
    <cellStyle name="Calculation 11 3 14 4 6" xfId="6861" xr:uid="{00000000-0005-0000-0000-0000AE1A0000}"/>
    <cellStyle name="Calculation 11 3 14 5" xfId="6862" xr:uid="{00000000-0005-0000-0000-0000AF1A0000}"/>
    <cellStyle name="Calculation 11 3 14 5 2" xfId="6863" xr:uid="{00000000-0005-0000-0000-0000B01A0000}"/>
    <cellStyle name="Calculation 11 3 14 5 3" xfId="6864" xr:uid="{00000000-0005-0000-0000-0000B11A0000}"/>
    <cellStyle name="Calculation 11 3 14 5 4" xfId="6865" xr:uid="{00000000-0005-0000-0000-0000B21A0000}"/>
    <cellStyle name="Calculation 11 3 14 5 5" xfId="6866" xr:uid="{00000000-0005-0000-0000-0000B31A0000}"/>
    <cellStyle name="Calculation 11 3 14 5 6" xfId="6867" xr:uid="{00000000-0005-0000-0000-0000B41A0000}"/>
    <cellStyle name="Calculation 11 3 14 6" xfId="6868" xr:uid="{00000000-0005-0000-0000-0000B51A0000}"/>
    <cellStyle name="Calculation 11 3 14 6 2" xfId="6869" xr:uid="{00000000-0005-0000-0000-0000B61A0000}"/>
    <cellStyle name="Calculation 11 3 14 6 3" xfId="6870" xr:uid="{00000000-0005-0000-0000-0000B71A0000}"/>
    <cellStyle name="Calculation 11 3 14 6 4" xfId="6871" xr:uid="{00000000-0005-0000-0000-0000B81A0000}"/>
    <cellStyle name="Calculation 11 3 14 6 5" xfId="6872" xr:uid="{00000000-0005-0000-0000-0000B91A0000}"/>
    <cellStyle name="Calculation 11 3 14 6 6" xfId="6873" xr:uid="{00000000-0005-0000-0000-0000BA1A0000}"/>
    <cellStyle name="Calculation 11 3 14 7" xfId="6874" xr:uid="{00000000-0005-0000-0000-0000BB1A0000}"/>
    <cellStyle name="Calculation 11 3 14 7 2" xfId="6875" xr:uid="{00000000-0005-0000-0000-0000BC1A0000}"/>
    <cellStyle name="Calculation 11 3 14 7 3" xfId="6876" xr:uid="{00000000-0005-0000-0000-0000BD1A0000}"/>
    <cellStyle name="Calculation 11 3 14 7 4" xfId="6877" xr:uid="{00000000-0005-0000-0000-0000BE1A0000}"/>
    <cellStyle name="Calculation 11 3 14 7 5" xfId="6878" xr:uid="{00000000-0005-0000-0000-0000BF1A0000}"/>
    <cellStyle name="Calculation 11 3 14 7 6" xfId="6879" xr:uid="{00000000-0005-0000-0000-0000C01A0000}"/>
    <cellStyle name="Calculation 11 3 14 8" xfId="6880" xr:uid="{00000000-0005-0000-0000-0000C11A0000}"/>
    <cellStyle name="Calculation 11 3 14 9" xfId="6881" xr:uid="{00000000-0005-0000-0000-0000C21A0000}"/>
    <cellStyle name="Calculation 11 3 15" xfId="6882" xr:uid="{00000000-0005-0000-0000-0000C31A0000}"/>
    <cellStyle name="Calculation 11 3 15 10" xfId="6883" xr:uid="{00000000-0005-0000-0000-0000C41A0000}"/>
    <cellStyle name="Calculation 11 3 15 2" xfId="6884" xr:uid="{00000000-0005-0000-0000-0000C51A0000}"/>
    <cellStyle name="Calculation 11 3 15 2 2" xfId="6885" xr:uid="{00000000-0005-0000-0000-0000C61A0000}"/>
    <cellStyle name="Calculation 11 3 15 2 3" xfId="6886" xr:uid="{00000000-0005-0000-0000-0000C71A0000}"/>
    <cellStyle name="Calculation 11 3 15 2 4" xfId="6887" xr:uid="{00000000-0005-0000-0000-0000C81A0000}"/>
    <cellStyle name="Calculation 11 3 15 2 5" xfId="6888" xr:uid="{00000000-0005-0000-0000-0000C91A0000}"/>
    <cellStyle name="Calculation 11 3 15 2 6" xfId="6889" xr:uid="{00000000-0005-0000-0000-0000CA1A0000}"/>
    <cellStyle name="Calculation 11 3 15 3" xfId="6890" xr:uid="{00000000-0005-0000-0000-0000CB1A0000}"/>
    <cellStyle name="Calculation 11 3 15 3 2" xfId="6891" xr:uid="{00000000-0005-0000-0000-0000CC1A0000}"/>
    <cellStyle name="Calculation 11 3 15 3 3" xfId="6892" xr:uid="{00000000-0005-0000-0000-0000CD1A0000}"/>
    <cellStyle name="Calculation 11 3 15 3 4" xfId="6893" xr:uid="{00000000-0005-0000-0000-0000CE1A0000}"/>
    <cellStyle name="Calculation 11 3 15 3 5" xfId="6894" xr:uid="{00000000-0005-0000-0000-0000CF1A0000}"/>
    <cellStyle name="Calculation 11 3 15 3 6" xfId="6895" xr:uid="{00000000-0005-0000-0000-0000D01A0000}"/>
    <cellStyle name="Calculation 11 3 15 4" xfId="6896" xr:uid="{00000000-0005-0000-0000-0000D11A0000}"/>
    <cellStyle name="Calculation 11 3 15 4 2" xfId="6897" xr:uid="{00000000-0005-0000-0000-0000D21A0000}"/>
    <cellStyle name="Calculation 11 3 15 4 3" xfId="6898" xr:uid="{00000000-0005-0000-0000-0000D31A0000}"/>
    <cellStyle name="Calculation 11 3 15 4 4" xfId="6899" xr:uid="{00000000-0005-0000-0000-0000D41A0000}"/>
    <cellStyle name="Calculation 11 3 15 4 5" xfId="6900" xr:uid="{00000000-0005-0000-0000-0000D51A0000}"/>
    <cellStyle name="Calculation 11 3 15 4 6" xfId="6901" xr:uid="{00000000-0005-0000-0000-0000D61A0000}"/>
    <cellStyle name="Calculation 11 3 15 5" xfId="6902" xr:uid="{00000000-0005-0000-0000-0000D71A0000}"/>
    <cellStyle name="Calculation 11 3 15 5 2" xfId="6903" xr:uid="{00000000-0005-0000-0000-0000D81A0000}"/>
    <cellStyle name="Calculation 11 3 15 5 3" xfId="6904" xr:uid="{00000000-0005-0000-0000-0000D91A0000}"/>
    <cellStyle name="Calculation 11 3 15 5 4" xfId="6905" xr:uid="{00000000-0005-0000-0000-0000DA1A0000}"/>
    <cellStyle name="Calculation 11 3 15 5 5" xfId="6906" xr:uid="{00000000-0005-0000-0000-0000DB1A0000}"/>
    <cellStyle name="Calculation 11 3 15 5 6" xfId="6907" xr:uid="{00000000-0005-0000-0000-0000DC1A0000}"/>
    <cellStyle name="Calculation 11 3 15 6" xfId="6908" xr:uid="{00000000-0005-0000-0000-0000DD1A0000}"/>
    <cellStyle name="Calculation 11 3 15 6 2" xfId="6909" xr:uid="{00000000-0005-0000-0000-0000DE1A0000}"/>
    <cellStyle name="Calculation 11 3 15 6 3" xfId="6910" xr:uid="{00000000-0005-0000-0000-0000DF1A0000}"/>
    <cellStyle name="Calculation 11 3 15 6 4" xfId="6911" xr:uid="{00000000-0005-0000-0000-0000E01A0000}"/>
    <cellStyle name="Calculation 11 3 15 6 5" xfId="6912" xr:uid="{00000000-0005-0000-0000-0000E11A0000}"/>
    <cellStyle name="Calculation 11 3 15 6 6" xfId="6913" xr:uid="{00000000-0005-0000-0000-0000E21A0000}"/>
    <cellStyle name="Calculation 11 3 15 7" xfId="6914" xr:uid="{00000000-0005-0000-0000-0000E31A0000}"/>
    <cellStyle name="Calculation 11 3 15 7 2" xfId="6915" xr:uid="{00000000-0005-0000-0000-0000E41A0000}"/>
    <cellStyle name="Calculation 11 3 15 7 3" xfId="6916" xr:uid="{00000000-0005-0000-0000-0000E51A0000}"/>
    <cellStyle name="Calculation 11 3 15 7 4" xfId="6917" xr:uid="{00000000-0005-0000-0000-0000E61A0000}"/>
    <cellStyle name="Calculation 11 3 15 7 5" xfId="6918" xr:uid="{00000000-0005-0000-0000-0000E71A0000}"/>
    <cellStyle name="Calculation 11 3 15 7 6" xfId="6919" xr:uid="{00000000-0005-0000-0000-0000E81A0000}"/>
    <cellStyle name="Calculation 11 3 15 8" xfId="6920" xr:uid="{00000000-0005-0000-0000-0000E91A0000}"/>
    <cellStyle name="Calculation 11 3 15 9" xfId="6921" xr:uid="{00000000-0005-0000-0000-0000EA1A0000}"/>
    <cellStyle name="Calculation 11 3 16" xfId="6922" xr:uid="{00000000-0005-0000-0000-0000EB1A0000}"/>
    <cellStyle name="Calculation 11 3 16 10" xfId="6923" xr:uid="{00000000-0005-0000-0000-0000EC1A0000}"/>
    <cellStyle name="Calculation 11 3 16 2" xfId="6924" xr:uid="{00000000-0005-0000-0000-0000ED1A0000}"/>
    <cellStyle name="Calculation 11 3 16 2 2" xfId="6925" xr:uid="{00000000-0005-0000-0000-0000EE1A0000}"/>
    <cellStyle name="Calculation 11 3 16 2 3" xfId="6926" xr:uid="{00000000-0005-0000-0000-0000EF1A0000}"/>
    <cellStyle name="Calculation 11 3 16 2 4" xfId="6927" xr:uid="{00000000-0005-0000-0000-0000F01A0000}"/>
    <cellStyle name="Calculation 11 3 16 2 5" xfId="6928" xr:uid="{00000000-0005-0000-0000-0000F11A0000}"/>
    <cellStyle name="Calculation 11 3 16 2 6" xfId="6929" xr:uid="{00000000-0005-0000-0000-0000F21A0000}"/>
    <cellStyle name="Calculation 11 3 16 3" xfId="6930" xr:uid="{00000000-0005-0000-0000-0000F31A0000}"/>
    <cellStyle name="Calculation 11 3 16 3 2" xfId="6931" xr:uid="{00000000-0005-0000-0000-0000F41A0000}"/>
    <cellStyle name="Calculation 11 3 16 3 3" xfId="6932" xr:uid="{00000000-0005-0000-0000-0000F51A0000}"/>
    <cellStyle name="Calculation 11 3 16 3 4" xfId="6933" xr:uid="{00000000-0005-0000-0000-0000F61A0000}"/>
    <cellStyle name="Calculation 11 3 16 3 5" xfId="6934" xr:uid="{00000000-0005-0000-0000-0000F71A0000}"/>
    <cellStyle name="Calculation 11 3 16 3 6" xfId="6935" xr:uid="{00000000-0005-0000-0000-0000F81A0000}"/>
    <cellStyle name="Calculation 11 3 16 4" xfId="6936" xr:uid="{00000000-0005-0000-0000-0000F91A0000}"/>
    <cellStyle name="Calculation 11 3 16 4 2" xfId="6937" xr:uid="{00000000-0005-0000-0000-0000FA1A0000}"/>
    <cellStyle name="Calculation 11 3 16 4 3" xfId="6938" xr:uid="{00000000-0005-0000-0000-0000FB1A0000}"/>
    <cellStyle name="Calculation 11 3 16 4 4" xfId="6939" xr:uid="{00000000-0005-0000-0000-0000FC1A0000}"/>
    <cellStyle name="Calculation 11 3 16 4 5" xfId="6940" xr:uid="{00000000-0005-0000-0000-0000FD1A0000}"/>
    <cellStyle name="Calculation 11 3 16 4 6" xfId="6941" xr:uid="{00000000-0005-0000-0000-0000FE1A0000}"/>
    <cellStyle name="Calculation 11 3 16 5" xfId="6942" xr:uid="{00000000-0005-0000-0000-0000FF1A0000}"/>
    <cellStyle name="Calculation 11 3 16 5 2" xfId="6943" xr:uid="{00000000-0005-0000-0000-0000001B0000}"/>
    <cellStyle name="Calculation 11 3 16 5 3" xfId="6944" xr:uid="{00000000-0005-0000-0000-0000011B0000}"/>
    <cellStyle name="Calculation 11 3 16 5 4" xfId="6945" xr:uid="{00000000-0005-0000-0000-0000021B0000}"/>
    <cellStyle name="Calculation 11 3 16 5 5" xfId="6946" xr:uid="{00000000-0005-0000-0000-0000031B0000}"/>
    <cellStyle name="Calculation 11 3 16 5 6" xfId="6947" xr:uid="{00000000-0005-0000-0000-0000041B0000}"/>
    <cellStyle name="Calculation 11 3 16 6" xfId="6948" xr:uid="{00000000-0005-0000-0000-0000051B0000}"/>
    <cellStyle name="Calculation 11 3 16 6 2" xfId="6949" xr:uid="{00000000-0005-0000-0000-0000061B0000}"/>
    <cellStyle name="Calculation 11 3 16 6 3" xfId="6950" xr:uid="{00000000-0005-0000-0000-0000071B0000}"/>
    <cellStyle name="Calculation 11 3 16 6 4" xfId="6951" xr:uid="{00000000-0005-0000-0000-0000081B0000}"/>
    <cellStyle name="Calculation 11 3 16 6 5" xfId="6952" xr:uid="{00000000-0005-0000-0000-0000091B0000}"/>
    <cellStyle name="Calculation 11 3 16 6 6" xfId="6953" xr:uid="{00000000-0005-0000-0000-00000A1B0000}"/>
    <cellStyle name="Calculation 11 3 16 7" xfId="6954" xr:uid="{00000000-0005-0000-0000-00000B1B0000}"/>
    <cellStyle name="Calculation 11 3 16 7 2" xfId="6955" xr:uid="{00000000-0005-0000-0000-00000C1B0000}"/>
    <cellStyle name="Calculation 11 3 16 7 3" xfId="6956" xr:uid="{00000000-0005-0000-0000-00000D1B0000}"/>
    <cellStyle name="Calculation 11 3 16 7 4" xfId="6957" xr:uid="{00000000-0005-0000-0000-00000E1B0000}"/>
    <cellStyle name="Calculation 11 3 16 7 5" xfId="6958" xr:uid="{00000000-0005-0000-0000-00000F1B0000}"/>
    <cellStyle name="Calculation 11 3 16 7 6" xfId="6959" xr:uid="{00000000-0005-0000-0000-0000101B0000}"/>
    <cellStyle name="Calculation 11 3 16 8" xfId="6960" xr:uid="{00000000-0005-0000-0000-0000111B0000}"/>
    <cellStyle name="Calculation 11 3 16 9" xfId="6961" xr:uid="{00000000-0005-0000-0000-0000121B0000}"/>
    <cellStyle name="Calculation 11 3 17" xfId="6962" xr:uid="{00000000-0005-0000-0000-0000131B0000}"/>
    <cellStyle name="Calculation 11 3 17 10" xfId="6963" xr:uid="{00000000-0005-0000-0000-0000141B0000}"/>
    <cellStyle name="Calculation 11 3 17 2" xfId="6964" xr:uid="{00000000-0005-0000-0000-0000151B0000}"/>
    <cellStyle name="Calculation 11 3 17 2 2" xfId="6965" xr:uid="{00000000-0005-0000-0000-0000161B0000}"/>
    <cellStyle name="Calculation 11 3 17 2 3" xfId="6966" xr:uid="{00000000-0005-0000-0000-0000171B0000}"/>
    <cellStyle name="Calculation 11 3 17 2 4" xfId="6967" xr:uid="{00000000-0005-0000-0000-0000181B0000}"/>
    <cellStyle name="Calculation 11 3 17 2 5" xfId="6968" xr:uid="{00000000-0005-0000-0000-0000191B0000}"/>
    <cellStyle name="Calculation 11 3 17 2 6" xfId="6969" xr:uid="{00000000-0005-0000-0000-00001A1B0000}"/>
    <cellStyle name="Calculation 11 3 17 3" xfId="6970" xr:uid="{00000000-0005-0000-0000-00001B1B0000}"/>
    <cellStyle name="Calculation 11 3 17 3 2" xfId="6971" xr:uid="{00000000-0005-0000-0000-00001C1B0000}"/>
    <cellStyle name="Calculation 11 3 17 3 3" xfId="6972" xr:uid="{00000000-0005-0000-0000-00001D1B0000}"/>
    <cellStyle name="Calculation 11 3 17 3 4" xfId="6973" xr:uid="{00000000-0005-0000-0000-00001E1B0000}"/>
    <cellStyle name="Calculation 11 3 17 3 5" xfId="6974" xr:uid="{00000000-0005-0000-0000-00001F1B0000}"/>
    <cellStyle name="Calculation 11 3 17 3 6" xfId="6975" xr:uid="{00000000-0005-0000-0000-0000201B0000}"/>
    <cellStyle name="Calculation 11 3 17 4" xfId="6976" xr:uid="{00000000-0005-0000-0000-0000211B0000}"/>
    <cellStyle name="Calculation 11 3 17 4 2" xfId="6977" xr:uid="{00000000-0005-0000-0000-0000221B0000}"/>
    <cellStyle name="Calculation 11 3 17 4 3" xfId="6978" xr:uid="{00000000-0005-0000-0000-0000231B0000}"/>
    <cellStyle name="Calculation 11 3 17 4 4" xfId="6979" xr:uid="{00000000-0005-0000-0000-0000241B0000}"/>
    <cellStyle name="Calculation 11 3 17 4 5" xfId="6980" xr:uid="{00000000-0005-0000-0000-0000251B0000}"/>
    <cellStyle name="Calculation 11 3 17 4 6" xfId="6981" xr:uid="{00000000-0005-0000-0000-0000261B0000}"/>
    <cellStyle name="Calculation 11 3 17 5" xfId="6982" xr:uid="{00000000-0005-0000-0000-0000271B0000}"/>
    <cellStyle name="Calculation 11 3 17 5 2" xfId="6983" xr:uid="{00000000-0005-0000-0000-0000281B0000}"/>
    <cellStyle name="Calculation 11 3 17 5 3" xfId="6984" xr:uid="{00000000-0005-0000-0000-0000291B0000}"/>
    <cellStyle name="Calculation 11 3 17 5 4" xfId="6985" xr:uid="{00000000-0005-0000-0000-00002A1B0000}"/>
    <cellStyle name="Calculation 11 3 17 5 5" xfId="6986" xr:uid="{00000000-0005-0000-0000-00002B1B0000}"/>
    <cellStyle name="Calculation 11 3 17 5 6" xfId="6987" xr:uid="{00000000-0005-0000-0000-00002C1B0000}"/>
    <cellStyle name="Calculation 11 3 17 6" xfId="6988" xr:uid="{00000000-0005-0000-0000-00002D1B0000}"/>
    <cellStyle name="Calculation 11 3 17 6 2" xfId="6989" xr:uid="{00000000-0005-0000-0000-00002E1B0000}"/>
    <cellStyle name="Calculation 11 3 17 6 3" xfId="6990" xr:uid="{00000000-0005-0000-0000-00002F1B0000}"/>
    <cellStyle name="Calculation 11 3 17 6 4" xfId="6991" xr:uid="{00000000-0005-0000-0000-0000301B0000}"/>
    <cellStyle name="Calculation 11 3 17 6 5" xfId="6992" xr:uid="{00000000-0005-0000-0000-0000311B0000}"/>
    <cellStyle name="Calculation 11 3 17 6 6" xfId="6993" xr:uid="{00000000-0005-0000-0000-0000321B0000}"/>
    <cellStyle name="Calculation 11 3 17 7" xfId="6994" xr:uid="{00000000-0005-0000-0000-0000331B0000}"/>
    <cellStyle name="Calculation 11 3 17 7 2" xfId="6995" xr:uid="{00000000-0005-0000-0000-0000341B0000}"/>
    <cellStyle name="Calculation 11 3 17 7 3" xfId="6996" xr:uid="{00000000-0005-0000-0000-0000351B0000}"/>
    <cellStyle name="Calculation 11 3 17 7 4" xfId="6997" xr:uid="{00000000-0005-0000-0000-0000361B0000}"/>
    <cellStyle name="Calculation 11 3 17 7 5" xfId="6998" xr:uid="{00000000-0005-0000-0000-0000371B0000}"/>
    <cellStyle name="Calculation 11 3 17 7 6" xfId="6999" xr:uid="{00000000-0005-0000-0000-0000381B0000}"/>
    <cellStyle name="Calculation 11 3 17 8" xfId="7000" xr:uid="{00000000-0005-0000-0000-0000391B0000}"/>
    <cellStyle name="Calculation 11 3 17 9" xfId="7001" xr:uid="{00000000-0005-0000-0000-00003A1B0000}"/>
    <cellStyle name="Calculation 11 3 18" xfId="7002" xr:uid="{00000000-0005-0000-0000-00003B1B0000}"/>
    <cellStyle name="Calculation 11 3 18 10" xfId="7003" xr:uid="{00000000-0005-0000-0000-00003C1B0000}"/>
    <cellStyle name="Calculation 11 3 18 2" xfId="7004" xr:uid="{00000000-0005-0000-0000-00003D1B0000}"/>
    <cellStyle name="Calculation 11 3 18 2 2" xfId="7005" xr:uid="{00000000-0005-0000-0000-00003E1B0000}"/>
    <cellStyle name="Calculation 11 3 18 2 3" xfId="7006" xr:uid="{00000000-0005-0000-0000-00003F1B0000}"/>
    <cellStyle name="Calculation 11 3 18 2 4" xfId="7007" xr:uid="{00000000-0005-0000-0000-0000401B0000}"/>
    <cellStyle name="Calculation 11 3 18 2 5" xfId="7008" xr:uid="{00000000-0005-0000-0000-0000411B0000}"/>
    <cellStyle name="Calculation 11 3 18 2 6" xfId="7009" xr:uid="{00000000-0005-0000-0000-0000421B0000}"/>
    <cellStyle name="Calculation 11 3 18 3" xfId="7010" xr:uid="{00000000-0005-0000-0000-0000431B0000}"/>
    <cellStyle name="Calculation 11 3 18 3 2" xfId="7011" xr:uid="{00000000-0005-0000-0000-0000441B0000}"/>
    <cellStyle name="Calculation 11 3 18 3 3" xfId="7012" xr:uid="{00000000-0005-0000-0000-0000451B0000}"/>
    <cellStyle name="Calculation 11 3 18 3 4" xfId="7013" xr:uid="{00000000-0005-0000-0000-0000461B0000}"/>
    <cellStyle name="Calculation 11 3 18 3 5" xfId="7014" xr:uid="{00000000-0005-0000-0000-0000471B0000}"/>
    <cellStyle name="Calculation 11 3 18 3 6" xfId="7015" xr:uid="{00000000-0005-0000-0000-0000481B0000}"/>
    <cellStyle name="Calculation 11 3 18 4" xfId="7016" xr:uid="{00000000-0005-0000-0000-0000491B0000}"/>
    <cellStyle name="Calculation 11 3 18 4 2" xfId="7017" xr:uid="{00000000-0005-0000-0000-00004A1B0000}"/>
    <cellStyle name="Calculation 11 3 18 4 3" xfId="7018" xr:uid="{00000000-0005-0000-0000-00004B1B0000}"/>
    <cellStyle name="Calculation 11 3 18 4 4" xfId="7019" xr:uid="{00000000-0005-0000-0000-00004C1B0000}"/>
    <cellStyle name="Calculation 11 3 18 4 5" xfId="7020" xr:uid="{00000000-0005-0000-0000-00004D1B0000}"/>
    <cellStyle name="Calculation 11 3 18 4 6" xfId="7021" xr:uid="{00000000-0005-0000-0000-00004E1B0000}"/>
    <cellStyle name="Calculation 11 3 18 5" xfId="7022" xr:uid="{00000000-0005-0000-0000-00004F1B0000}"/>
    <cellStyle name="Calculation 11 3 18 5 2" xfId="7023" xr:uid="{00000000-0005-0000-0000-0000501B0000}"/>
    <cellStyle name="Calculation 11 3 18 5 3" xfId="7024" xr:uid="{00000000-0005-0000-0000-0000511B0000}"/>
    <cellStyle name="Calculation 11 3 18 5 4" xfId="7025" xr:uid="{00000000-0005-0000-0000-0000521B0000}"/>
    <cellStyle name="Calculation 11 3 18 5 5" xfId="7026" xr:uid="{00000000-0005-0000-0000-0000531B0000}"/>
    <cellStyle name="Calculation 11 3 18 5 6" xfId="7027" xr:uid="{00000000-0005-0000-0000-0000541B0000}"/>
    <cellStyle name="Calculation 11 3 18 6" xfId="7028" xr:uid="{00000000-0005-0000-0000-0000551B0000}"/>
    <cellStyle name="Calculation 11 3 18 6 2" xfId="7029" xr:uid="{00000000-0005-0000-0000-0000561B0000}"/>
    <cellStyle name="Calculation 11 3 18 6 3" xfId="7030" xr:uid="{00000000-0005-0000-0000-0000571B0000}"/>
    <cellStyle name="Calculation 11 3 18 6 4" xfId="7031" xr:uid="{00000000-0005-0000-0000-0000581B0000}"/>
    <cellStyle name="Calculation 11 3 18 6 5" xfId="7032" xr:uid="{00000000-0005-0000-0000-0000591B0000}"/>
    <cellStyle name="Calculation 11 3 18 6 6" xfId="7033" xr:uid="{00000000-0005-0000-0000-00005A1B0000}"/>
    <cellStyle name="Calculation 11 3 18 7" xfId="7034" xr:uid="{00000000-0005-0000-0000-00005B1B0000}"/>
    <cellStyle name="Calculation 11 3 18 7 2" xfId="7035" xr:uid="{00000000-0005-0000-0000-00005C1B0000}"/>
    <cellStyle name="Calculation 11 3 18 7 3" xfId="7036" xr:uid="{00000000-0005-0000-0000-00005D1B0000}"/>
    <cellStyle name="Calculation 11 3 18 7 4" xfId="7037" xr:uid="{00000000-0005-0000-0000-00005E1B0000}"/>
    <cellStyle name="Calculation 11 3 18 7 5" xfId="7038" xr:uid="{00000000-0005-0000-0000-00005F1B0000}"/>
    <cellStyle name="Calculation 11 3 18 7 6" xfId="7039" xr:uid="{00000000-0005-0000-0000-0000601B0000}"/>
    <cellStyle name="Calculation 11 3 18 8" xfId="7040" xr:uid="{00000000-0005-0000-0000-0000611B0000}"/>
    <cellStyle name="Calculation 11 3 18 9" xfId="7041" xr:uid="{00000000-0005-0000-0000-0000621B0000}"/>
    <cellStyle name="Calculation 11 3 19" xfId="7042" xr:uid="{00000000-0005-0000-0000-0000631B0000}"/>
    <cellStyle name="Calculation 11 3 19 10" xfId="7043" xr:uid="{00000000-0005-0000-0000-0000641B0000}"/>
    <cellStyle name="Calculation 11 3 19 2" xfId="7044" xr:uid="{00000000-0005-0000-0000-0000651B0000}"/>
    <cellStyle name="Calculation 11 3 19 2 2" xfId="7045" xr:uid="{00000000-0005-0000-0000-0000661B0000}"/>
    <cellStyle name="Calculation 11 3 19 2 3" xfId="7046" xr:uid="{00000000-0005-0000-0000-0000671B0000}"/>
    <cellStyle name="Calculation 11 3 19 2 4" xfId="7047" xr:uid="{00000000-0005-0000-0000-0000681B0000}"/>
    <cellStyle name="Calculation 11 3 19 2 5" xfId="7048" xr:uid="{00000000-0005-0000-0000-0000691B0000}"/>
    <cellStyle name="Calculation 11 3 19 2 6" xfId="7049" xr:uid="{00000000-0005-0000-0000-00006A1B0000}"/>
    <cellStyle name="Calculation 11 3 19 3" xfId="7050" xr:uid="{00000000-0005-0000-0000-00006B1B0000}"/>
    <cellStyle name="Calculation 11 3 19 3 2" xfId="7051" xr:uid="{00000000-0005-0000-0000-00006C1B0000}"/>
    <cellStyle name="Calculation 11 3 19 3 3" xfId="7052" xr:uid="{00000000-0005-0000-0000-00006D1B0000}"/>
    <cellStyle name="Calculation 11 3 19 3 4" xfId="7053" xr:uid="{00000000-0005-0000-0000-00006E1B0000}"/>
    <cellStyle name="Calculation 11 3 19 3 5" xfId="7054" xr:uid="{00000000-0005-0000-0000-00006F1B0000}"/>
    <cellStyle name="Calculation 11 3 19 3 6" xfId="7055" xr:uid="{00000000-0005-0000-0000-0000701B0000}"/>
    <cellStyle name="Calculation 11 3 19 4" xfId="7056" xr:uid="{00000000-0005-0000-0000-0000711B0000}"/>
    <cellStyle name="Calculation 11 3 19 4 2" xfId="7057" xr:uid="{00000000-0005-0000-0000-0000721B0000}"/>
    <cellStyle name="Calculation 11 3 19 4 3" xfId="7058" xr:uid="{00000000-0005-0000-0000-0000731B0000}"/>
    <cellStyle name="Calculation 11 3 19 4 4" xfId="7059" xr:uid="{00000000-0005-0000-0000-0000741B0000}"/>
    <cellStyle name="Calculation 11 3 19 4 5" xfId="7060" xr:uid="{00000000-0005-0000-0000-0000751B0000}"/>
    <cellStyle name="Calculation 11 3 19 4 6" xfId="7061" xr:uid="{00000000-0005-0000-0000-0000761B0000}"/>
    <cellStyle name="Calculation 11 3 19 5" xfId="7062" xr:uid="{00000000-0005-0000-0000-0000771B0000}"/>
    <cellStyle name="Calculation 11 3 19 5 2" xfId="7063" xr:uid="{00000000-0005-0000-0000-0000781B0000}"/>
    <cellStyle name="Calculation 11 3 19 5 3" xfId="7064" xr:uid="{00000000-0005-0000-0000-0000791B0000}"/>
    <cellStyle name="Calculation 11 3 19 5 4" xfId="7065" xr:uid="{00000000-0005-0000-0000-00007A1B0000}"/>
    <cellStyle name="Calculation 11 3 19 5 5" xfId="7066" xr:uid="{00000000-0005-0000-0000-00007B1B0000}"/>
    <cellStyle name="Calculation 11 3 19 5 6" xfId="7067" xr:uid="{00000000-0005-0000-0000-00007C1B0000}"/>
    <cellStyle name="Calculation 11 3 19 6" xfId="7068" xr:uid="{00000000-0005-0000-0000-00007D1B0000}"/>
    <cellStyle name="Calculation 11 3 19 6 2" xfId="7069" xr:uid="{00000000-0005-0000-0000-00007E1B0000}"/>
    <cellStyle name="Calculation 11 3 19 6 3" xfId="7070" xr:uid="{00000000-0005-0000-0000-00007F1B0000}"/>
    <cellStyle name="Calculation 11 3 19 6 4" xfId="7071" xr:uid="{00000000-0005-0000-0000-0000801B0000}"/>
    <cellStyle name="Calculation 11 3 19 6 5" xfId="7072" xr:uid="{00000000-0005-0000-0000-0000811B0000}"/>
    <cellStyle name="Calculation 11 3 19 6 6" xfId="7073" xr:uid="{00000000-0005-0000-0000-0000821B0000}"/>
    <cellStyle name="Calculation 11 3 19 7" xfId="7074" xr:uid="{00000000-0005-0000-0000-0000831B0000}"/>
    <cellStyle name="Calculation 11 3 19 7 2" xfId="7075" xr:uid="{00000000-0005-0000-0000-0000841B0000}"/>
    <cellStyle name="Calculation 11 3 19 7 3" xfId="7076" xr:uid="{00000000-0005-0000-0000-0000851B0000}"/>
    <cellStyle name="Calculation 11 3 19 7 4" xfId="7077" xr:uid="{00000000-0005-0000-0000-0000861B0000}"/>
    <cellStyle name="Calculation 11 3 19 7 5" xfId="7078" xr:uid="{00000000-0005-0000-0000-0000871B0000}"/>
    <cellStyle name="Calculation 11 3 19 7 6" xfId="7079" xr:uid="{00000000-0005-0000-0000-0000881B0000}"/>
    <cellStyle name="Calculation 11 3 19 8" xfId="7080" xr:uid="{00000000-0005-0000-0000-0000891B0000}"/>
    <cellStyle name="Calculation 11 3 19 9" xfId="7081" xr:uid="{00000000-0005-0000-0000-00008A1B0000}"/>
    <cellStyle name="Calculation 11 3 2" xfId="7082" xr:uid="{00000000-0005-0000-0000-00008B1B0000}"/>
    <cellStyle name="Calculation 11 3 2 10" xfId="7083" xr:uid="{00000000-0005-0000-0000-00008C1B0000}"/>
    <cellStyle name="Calculation 11 3 2 2" xfId="7084" xr:uid="{00000000-0005-0000-0000-00008D1B0000}"/>
    <cellStyle name="Calculation 11 3 2 2 2" xfId="7085" xr:uid="{00000000-0005-0000-0000-00008E1B0000}"/>
    <cellStyle name="Calculation 11 3 2 2 3" xfId="7086" xr:uid="{00000000-0005-0000-0000-00008F1B0000}"/>
    <cellStyle name="Calculation 11 3 2 2 4" xfId="7087" xr:uid="{00000000-0005-0000-0000-0000901B0000}"/>
    <cellStyle name="Calculation 11 3 2 2 5" xfId="7088" xr:uid="{00000000-0005-0000-0000-0000911B0000}"/>
    <cellStyle name="Calculation 11 3 2 2 6" xfId="7089" xr:uid="{00000000-0005-0000-0000-0000921B0000}"/>
    <cellStyle name="Calculation 11 3 2 3" xfId="7090" xr:uid="{00000000-0005-0000-0000-0000931B0000}"/>
    <cellStyle name="Calculation 11 3 2 3 2" xfId="7091" xr:uid="{00000000-0005-0000-0000-0000941B0000}"/>
    <cellStyle name="Calculation 11 3 2 3 3" xfId="7092" xr:uid="{00000000-0005-0000-0000-0000951B0000}"/>
    <cellStyle name="Calculation 11 3 2 3 4" xfId="7093" xr:uid="{00000000-0005-0000-0000-0000961B0000}"/>
    <cellStyle name="Calculation 11 3 2 3 5" xfId="7094" xr:uid="{00000000-0005-0000-0000-0000971B0000}"/>
    <cellStyle name="Calculation 11 3 2 3 6" xfId="7095" xr:uid="{00000000-0005-0000-0000-0000981B0000}"/>
    <cellStyle name="Calculation 11 3 2 4" xfId="7096" xr:uid="{00000000-0005-0000-0000-0000991B0000}"/>
    <cellStyle name="Calculation 11 3 2 4 2" xfId="7097" xr:uid="{00000000-0005-0000-0000-00009A1B0000}"/>
    <cellStyle name="Calculation 11 3 2 4 3" xfId="7098" xr:uid="{00000000-0005-0000-0000-00009B1B0000}"/>
    <cellStyle name="Calculation 11 3 2 4 4" xfId="7099" xr:uid="{00000000-0005-0000-0000-00009C1B0000}"/>
    <cellStyle name="Calculation 11 3 2 4 5" xfId="7100" xr:uid="{00000000-0005-0000-0000-00009D1B0000}"/>
    <cellStyle name="Calculation 11 3 2 4 6" xfId="7101" xr:uid="{00000000-0005-0000-0000-00009E1B0000}"/>
    <cellStyle name="Calculation 11 3 2 5" xfId="7102" xr:uid="{00000000-0005-0000-0000-00009F1B0000}"/>
    <cellStyle name="Calculation 11 3 2 5 2" xfId="7103" xr:uid="{00000000-0005-0000-0000-0000A01B0000}"/>
    <cellStyle name="Calculation 11 3 2 5 3" xfId="7104" xr:uid="{00000000-0005-0000-0000-0000A11B0000}"/>
    <cellStyle name="Calculation 11 3 2 5 4" xfId="7105" xr:uid="{00000000-0005-0000-0000-0000A21B0000}"/>
    <cellStyle name="Calculation 11 3 2 5 5" xfId="7106" xr:uid="{00000000-0005-0000-0000-0000A31B0000}"/>
    <cellStyle name="Calculation 11 3 2 5 6" xfId="7107" xr:uid="{00000000-0005-0000-0000-0000A41B0000}"/>
    <cellStyle name="Calculation 11 3 2 6" xfId="7108" xr:uid="{00000000-0005-0000-0000-0000A51B0000}"/>
    <cellStyle name="Calculation 11 3 2 6 2" xfId="7109" xr:uid="{00000000-0005-0000-0000-0000A61B0000}"/>
    <cellStyle name="Calculation 11 3 2 6 3" xfId="7110" xr:uid="{00000000-0005-0000-0000-0000A71B0000}"/>
    <cellStyle name="Calculation 11 3 2 6 4" xfId="7111" xr:uid="{00000000-0005-0000-0000-0000A81B0000}"/>
    <cellStyle name="Calculation 11 3 2 6 5" xfId="7112" xr:uid="{00000000-0005-0000-0000-0000A91B0000}"/>
    <cellStyle name="Calculation 11 3 2 6 6" xfId="7113" xr:uid="{00000000-0005-0000-0000-0000AA1B0000}"/>
    <cellStyle name="Calculation 11 3 2 7" xfId="7114" xr:uid="{00000000-0005-0000-0000-0000AB1B0000}"/>
    <cellStyle name="Calculation 11 3 2 7 2" xfId="7115" xr:uid="{00000000-0005-0000-0000-0000AC1B0000}"/>
    <cellStyle name="Calculation 11 3 2 7 3" xfId="7116" xr:uid="{00000000-0005-0000-0000-0000AD1B0000}"/>
    <cellStyle name="Calculation 11 3 2 7 4" xfId="7117" xr:uid="{00000000-0005-0000-0000-0000AE1B0000}"/>
    <cellStyle name="Calculation 11 3 2 7 5" xfId="7118" xr:uid="{00000000-0005-0000-0000-0000AF1B0000}"/>
    <cellStyle name="Calculation 11 3 2 7 6" xfId="7119" xr:uid="{00000000-0005-0000-0000-0000B01B0000}"/>
    <cellStyle name="Calculation 11 3 2 8" xfId="7120" xr:uid="{00000000-0005-0000-0000-0000B11B0000}"/>
    <cellStyle name="Calculation 11 3 2 9" xfId="7121" xr:uid="{00000000-0005-0000-0000-0000B21B0000}"/>
    <cellStyle name="Calculation 11 3 20" xfId="7122" xr:uid="{00000000-0005-0000-0000-0000B31B0000}"/>
    <cellStyle name="Calculation 11 3 20 10" xfId="7123" xr:uid="{00000000-0005-0000-0000-0000B41B0000}"/>
    <cellStyle name="Calculation 11 3 20 2" xfId="7124" xr:uid="{00000000-0005-0000-0000-0000B51B0000}"/>
    <cellStyle name="Calculation 11 3 20 2 2" xfId="7125" xr:uid="{00000000-0005-0000-0000-0000B61B0000}"/>
    <cellStyle name="Calculation 11 3 20 2 3" xfId="7126" xr:uid="{00000000-0005-0000-0000-0000B71B0000}"/>
    <cellStyle name="Calculation 11 3 20 2 4" xfId="7127" xr:uid="{00000000-0005-0000-0000-0000B81B0000}"/>
    <cellStyle name="Calculation 11 3 20 2 5" xfId="7128" xr:uid="{00000000-0005-0000-0000-0000B91B0000}"/>
    <cellStyle name="Calculation 11 3 20 2 6" xfId="7129" xr:uid="{00000000-0005-0000-0000-0000BA1B0000}"/>
    <cellStyle name="Calculation 11 3 20 3" xfId="7130" xr:uid="{00000000-0005-0000-0000-0000BB1B0000}"/>
    <cellStyle name="Calculation 11 3 20 3 2" xfId="7131" xr:uid="{00000000-0005-0000-0000-0000BC1B0000}"/>
    <cellStyle name="Calculation 11 3 20 3 3" xfId="7132" xr:uid="{00000000-0005-0000-0000-0000BD1B0000}"/>
    <cellStyle name="Calculation 11 3 20 3 4" xfId="7133" xr:uid="{00000000-0005-0000-0000-0000BE1B0000}"/>
    <cellStyle name="Calculation 11 3 20 3 5" xfId="7134" xr:uid="{00000000-0005-0000-0000-0000BF1B0000}"/>
    <cellStyle name="Calculation 11 3 20 3 6" xfId="7135" xr:uid="{00000000-0005-0000-0000-0000C01B0000}"/>
    <cellStyle name="Calculation 11 3 20 4" xfId="7136" xr:uid="{00000000-0005-0000-0000-0000C11B0000}"/>
    <cellStyle name="Calculation 11 3 20 4 2" xfId="7137" xr:uid="{00000000-0005-0000-0000-0000C21B0000}"/>
    <cellStyle name="Calculation 11 3 20 4 3" xfId="7138" xr:uid="{00000000-0005-0000-0000-0000C31B0000}"/>
    <cellStyle name="Calculation 11 3 20 4 4" xfId="7139" xr:uid="{00000000-0005-0000-0000-0000C41B0000}"/>
    <cellStyle name="Calculation 11 3 20 4 5" xfId="7140" xr:uid="{00000000-0005-0000-0000-0000C51B0000}"/>
    <cellStyle name="Calculation 11 3 20 4 6" xfId="7141" xr:uid="{00000000-0005-0000-0000-0000C61B0000}"/>
    <cellStyle name="Calculation 11 3 20 5" xfId="7142" xr:uid="{00000000-0005-0000-0000-0000C71B0000}"/>
    <cellStyle name="Calculation 11 3 20 5 2" xfId="7143" xr:uid="{00000000-0005-0000-0000-0000C81B0000}"/>
    <cellStyle name="Calculation 11 3 20 5 3" xfId="7144" xr:uid="{00000000-0005-0000-0000-0000C91B0000}"/>
    <cellStyle name="Calculation 11 3 20 5 4" xfId="7145" xr:uid="{00000000-0005-0000-0000-0000CA1B0000}"/>
    <cellStyle name="Calculation 11 3 20 5 5" xfId="7146" xr:uid="{00000000-0005-0000-0000-0000CB1B0000}"/>
    <cellStyle name="Calculation 11 3 20 5 6" xfId="7147" xr:uid="{00000000-0005-0000-0000-0000CC1B0000}"/>
    <cellStyle name="Calculation 11 3 20 6" xfId="7148" xr:uid="{00000000-0005-0000-0000-0000CD1B0000}"/>
    <cellStyle name="Calculation 11 3 20 6 2" xfId="7149" xr:uid="{00000000-0005-0000-0000-0000CE1B0000}"/>
    <cellStyle name="Calculation 11 3 20 6 3" xfId="7150" xr:uid="{00000000-0005-0000-0000-0000CF1B0000}"/>
    <cellStyle name="Calculation 11 3 20 6 4" xfId="7151" xr:uid="{00000000-0005-0000-0000-0000D01B0000}"/>
    <cellStyle name="Calculation 11 3 20 6 5" xfId="7152" xr:uid="{00000000-0005-0000-0000-0000D11B0000}"/>
    <cellStyle name="Calculation 11 3 20 6 6" xfId="7153" xr:uid="{00000000-0005-0000-0000-0000D21B0000}"/>
    <cellStyle name="Calculation 11 3 20 7" xfId="7154" xr:uid="{00000000-0005-0000-0000-0000D31B0000}"/>
    <cellStyle name="Calculation 11 3 20 7 2" xfId="7155" xr:uid="{00000000-0005-0000-0000-0000D41B0000}"/>
    <cellStyle name="Calculation 11 3 20 7 3" xfId="7156" xr:uid="{00000000-0005-0000-0000-0000D51B0000}"/>
    <cellStyle name="Calculation 11 3 20 7 4" xfId="7157" xr:uid="{00000000-0005-0000-0000-0000D61B0000}"/>
    <cellStyle name="Calculation 11 3 20 7 5" xfId="7158" xr:uid="{00000000-0005-0000-0000-0000D71B0000}"/>
    <cellStyle name="Calculation 11 3 20 7 6" xfId="7159" xr:uid="{00000000-0005-0000-0000-0000D81B0000}"/>
    <cellStyle name="Calculation 11 3 20 8" xfId="7160" xr:uid="{00000000-0005-0000-0000-0000D91B0000}"/>
    <cellStyle name="Calculation 11 3 20 9" xfId="7161" xr:uid="{00000000-0005-0000-0000-0000DA1B0000}"/>
    <cellStyle name="Calculation 11 3 21" xfId="7162" xr:uid="{00000000-0005-0000-0000-0000DB1B0000}"/>
    <cellStyle name="Calculation 11 3 21 10" xfId="7163" xr:uid="{00000000-0005-0000-0000-0000DC1B0000}"/>
    <cellStyle name="Calculation 11 3 21 2" xfId="7164" xr:uid="{00000000-0005-0000-0000-0000DD1B0000}"/>
    <cellStyle name="Calculation 11 3 21 2 2" xfId="7165" xr:uid="{00000000-0005-0000-0000-0000DE1B0000}"/>
    <cellStyle name="Calculation 11 3 21 2 3" xfId="7166" xr:uid="{00000000-0005-0000-0000-0000DF1B0000}"/>
    <cellStyle name="Calculation 11 3 21 2 4" xfId="7167" xr:uid="{00000000-0005-0000-0000-0000E01B0000}"/>
    <cellStyle name="Calculation 11 3 21 2 5" xfId="7168" xr:uid="{00000000-0005-0000-0000-0000E11B0000}"/>
    <cellStyle name="Calculation 11 3 21 2 6" xfId="7169" xr:uid="{00000000-0005-0000-0000-0000E21B0000}"/>
    <cellStyle name="Calculation 11 3 21 3" xfId="7170" xr:uid="{00000000-0005-0000-0000-0000E31B0000}"/>
    <cellStyle name="Calculation 11 3 21 3 2" xfId="7171" xr:uid="{00000000-0005-0000-0000-0000E41B0000}"/>
    <cellStyle name="Calculation 11 3 21 3 3" xfId="7172" xr:uid="{00000000-0005-0000-0000-0000E51B0000}"/>
    <cellStyle name="Calculation 11 3 21 3 4" xfId="7173" xr:uid="{00000000-0005-0000-0000-0000E61B0000}"/>
    <cellStyle name="Calculation 11 3 21 3 5" xfId="7174" xr:uid="{00000000-0005-0000-0000-0000E71B0000}"/>
    <cellStyle name="Calculation 11 3 21 3 6" xfId="7175" xr:uid="{00000000-0005-0000-0000-0000E81B0000}"/>
    <cellStyle name="Calculation 11 3 21 4" xfId="7176" xr:uid="{00000000-0005-0000-0000-0000E91B0000}"/>
    <cellStyle name="Calculation 11 3 21 4 2" xfId="7177" xr:uid="{00000000-0005-0000-0000-0000EA1B0000}"/>
    <cellStyle name="Calculation 11 3 21 4 3" xfId="7178" xr:uid="{00000000-0005-0000-0000-0000EB1B0000}"/>
    <cellStyle name="Calculation 11 3 21 4 4" xfId="7179" xr:uid="{00000000-0005-0000-0000-0000EC1B0000}"/>
    <cellStyle name="Calculation 11 3 21 4 5" xfId="7180" xr:uid="{00000000-0005-0000-0000-0000ED1B0000}"/>
    <cellStyle name="Calculation 11 3 21 4 6" xfId="7181" xr:uid="{00000000-0005-0000-0000-0000EE1B0000}"/>
    <cellStyle name="Calculation 11 3 21 5" xfId="7182" xr:uid="{00000000-0005-0000-0000-0000EF1B0000}"/>
    <cellStyle name="Calculation 11 3 21 5 2" xfId="7183" xr:uid="{00000000-0005-0000-0000-0000F01B0000}"/>
    <cellStyle name="Calculation 11 3 21 5 3" xfId="7184" xr:uid="{00000000-0005-0000-0000-0000F11B0000}"/>
    <cellStyle name="Calculation 11 3 21 5 4" xfId="7185" xr:uid="{00000000-0005-0000-0000-0000F21B0000}"/>
    <cellStyle name="Calculation 11 3 21 5 5" xfId="7186" xr:uid="{00000000-0005-0000-0000-0000F31B0000}"/>
    <cellStyle name="Calculation 11 3 21 5 6" xfId="7187" xr:uid="{00000000-0005-0000-0000-0000F41B0000}"/>
    <cellStyle name="Calculation 11 3 21 6" xfId="7188" xr:uid="{00000000-0005-0000-0000-0000F51B0000}"/>
    <cellStyle name="Calculation 11 3 21 6 2" xfId="7189" xr:uid="{00000000-0005-0000-0000-0000F61B0000}"/>
    <cellStyle name="Calculation 11 3 21 6 3" xfId="7190" xr:uid="{00000000-0005-0000-0000-0000F71B0000}"/>
    <cellStyle name="Calculation 11 3 21 6 4" xfId="7191" xr:uid="{00000000-0005-0000-0000-0000F81B0000}"/>
    <cellStyle name="Calculation 11 3 21 6 5" xfId="7192" xr:uid="{00000000-0005-0000-0000-0000F91B0000}"/>
    <cellStyle name="Calculation 11 3 21 6 6" xfId="7193" xr:uid="{00000000-0005-0000-0000-0000FA1B0000}"/>
    <cellStyle name="Calculation 11 3 21 7" xfId="7194" xr:uid="{00000000-0005-0000-0000-0000FB1B0000}"/>
    <cellStyle name="Calculation 11 3 21 7 2" xfId="7195" xr:uid="{00000000-0005-0000-0000-0000FC1B0000}"/>
    <cellStyle name="Calculation 11 3 21 7 3" xfId="7196" xr:uid="{00000000-0005-0000-0000-0000FD1B0000}"/>
    <cellStyle name="Calculation 11 3 21 7 4" xfId="7197" xr:uid="{00000000-0005-0000-0000-0000FE1B0000}"/>
    <cellStyle name="Calculation 11 3 21 7 5" xfId="7198" xr:uid="{00000000-0005-0000-0000-0000FF1B0000}"/>
    <cellStyle name="Calculation 11 3 21 7 6" xfId="7199" xr:uid="{00000000-0005-0000-0000-0000001C0000}"/>
    <cellStyle name="Calculation 11 3 21 8" xfId="7200" xr:uid="{00000000-0005-0000-0000-0000011C0000}"/>
    <cellStyle name="Calculation 11 3 21 9" xfId="7201" xr:uid="{00000000-0005-0000-0000-0000021C0000}"/>
    <cellStyle name="Calculation 11 3 22" xfId="7202" xr:uid="{00000000-0005-0000-0000-0000031C0000}"/>
    <cellStyle name="Calculation 11 3 22 10" xfId="7203" xr:uid="{00000000-0005-0000-0000-0000041C0000}"/>
    <cellStyle name="Calculation 11 3 22 2" xfId="7204" xr:uid="{00000000-0005-0000-0000-0000051C0000}"/>
    <cellStyle name="Calculation 11 3 22 2 2" xfId="7205" xr:uid="{00000000-0005-0000-0000-0000061C0000}"/>
    <cellStyle name="Calculation 11 3 22 2 3" xfId="7206" xr:uid="{00000000-0005-0000-0000-0000071C0000}"/>
    <cellStyle name="Calculation 11 3 22 2 4" xfId="7207" xr:uid="{00000000-0005-0000-0000-0000081C0000}"/>
    <cellStyle name="Calculation 11 3 22 2 5" xfId="7208" xr:uid="{00000000-0005-0000-0000-0000091C0000}"/>
    <cellStyle name="Calculation 11 3 22 2 6" xfId="7209" xr:uid="{00000000-0005-0000-0000-00000A1C0000}"/>
    <cellStyle name="Calculation 11 3 22 3" xfId="7210" xr:uid="{00000000-0005-0000-0000-00000B1C0000}"/>
    <cellStyle name="Calculation 11 3 22 3 2" xfId="7211" xr:uid="{00000000-0005-0000-0000-00000C1C0000}"/>
    <cellStyle name="Calculation 11 3 22 3 3" xfId="7212" xr:uid="{00000000-0005-0000-0000-00000D1C0000}"/>
    <cellStyle name="Calculation 11 3 22 3 4" xfId="7213" xr:uid="{00000000-0005-0000-0000-00000E1C0000}"/>
    <cellStyle name="Calculation 11 3 22 3 5" xfId="7214" xr:uid="{00000000-0005-0000-0000-00000F1C0000}"/>
    <cellStyle name="Calculation 11 3 22 3 6" xfId="7215" xr:uid="{00000000-0005-0000-0000-0000101C0000}"/>
    <cellStyle name="Calculation 11 3 22 4" xfId="7216" xr:uid="{00000000-0005-0000-0000-0000111C0000}"/>
    <cellStyle name="Calculation 11 3 22 4 2" xfId="7217" xr:uid="{00000000-0005-0000-0000-0000121C0000}"/>
    <cellStyle name="Calculation 11 3 22 4 3" xfId="7218" xr:uid="{00000000-0005-0000-0000-0000131C0000}"/>
    <cellStyle name="Calculation 11 3 22 4 4" xfId="7219" xr:uid="{00000000-0005-0000-0000-0000141C0000}"/>
    <cellStyle name="Calculation 11 3 22 4 5" xfId="7220" xr:uid="{00000000-0005-0000-0000-0000151C0000}"/>
    <cellStyle name="Calculation 11 3 22 4 6" xfId="7221" xr:uid="{00000000-0005-0000-0000-0000161C0000}"/>
    <cellStyle name="Calculation 11 3 22 5" xfId="7222" xr:uid="{00000000-0005-0000-0000-0000171C0000}"/>
    <cellStyle name="Calculation 11 3 22 5 2" xfId="7223" xr:uid="{00000000-0005-0000-0000-0000181C0000}"/>
    <cellStyle name="Calculation 11 3 22 5 3" xfId="7224" xr:uid="{00000000-0005-0000-0000-0000191C0000}"/>
    <cellStyle name="Calculation 11 3 22 5 4" xfId="7225" xr:uid="{00000000-0005-0000-0000-00001A1C0000}"/>
    <cellStyle name="Calculation 11 3 22 5 5" xfId="7226" xr:uid="{00000000-0005-0000-0000-00001B1C0000}"/>
    <cellStyle name="Calculation 11 3 22 5 6" xfId="7227" xr:uid="{00000000-0005-0000-0000-00001C1C0000}"/>
    <cellStyle name="Calculation 11 3 22 6" xfId="7228" xr:uid="{00000000-0005-0000-0000-00001D1C0000}"/>
    <cellStyle name="Calculation 11 3 22 6 2" xfId="7229" xr:uid="{00000000-0005-0000-0000-00001E1C0000}"/>
    <cellStyle name="Calculation 11 3 22 6 3" xfId="7230" xr:uid="{00000000-0005-0000-0000-00001F1C0000}"/>
    <cellStyle name="Calculation 11 3 22 6 4" xfId="7231" xr:uid="{00000000-0005-0000-0000-0000201C0000}"/>
    <cellStyle name="Calculation 11 3 22 6 5" xfId="7232" xr:uid="{00000000-0005-0000-0000-0000211C0000}"/>
    <cellStyle name="Calculation 11 3 22 6 6" xfId="7233" xr:uid="{00000000-0005-0000-0000-0000221C0000}"/>
    <cellStyle name="Calculation 11 3 22 7" xfId="7234" xr:uid="{00000000-0005-0000-0000-0000231C0000}"/>
    <cellStyle name="Calculation 11 3 22 7 2" xfId="7235" xr:uid="{00000000-0005-0000-0000-0000241C0000}"/>
    <cellStyle name="Calculation 11 3 22 7 3" xfId="7236" xr:uid="{00000000-0005-0000-0000-0000251C0000}"/>
    <cellStyle name="Calculation 11 3 22 7 4" xfId="7237" xr:uid="{00000000-0005-0000-0000-0000261C0000}"/>
    <cellStyle name="Calculation 11 3 22 7 5" xfId="7238" xr:uid="{00000000-0005-0000-0000-0000271C0000}"/>
    <cellStyle name="Calculation 11 3 22 7 6" xfId="7239" xr:uid="{00000000-0005-0000-0000-0000281C0000}"/>
    <cellStyle name="Calculation 11 3 22 8" xfId="7240" xr:uid="{00000000-0005-0000-0000-0000291C0000}"/>
    <cellStyle name="Calculation 11 3 22 9" xfId="7241" xr:uid="{00000000-0005-0000-0000-00002A1C0000}"/>
    <cellStyle name="Calculation 11 3 23" xfId="7242" xr:uid="{00000000-0005-0000-0000-00002B1C0000}"/>
    <cellStyle name="Calculation 11 3 23 10" xfId="7243" xr:uid="{00000000-0005-0000-0000-00002C1C0000}"/>
    <cellStyle name="Calculation 11 3 23 2" xfId="7244" xr:uid="{00000000-0005-0000-0000-00002D1C0000}"/>
    <cellStyle name="Calculation 11 3 23 2 2" xfId="7245" xr:uid="{00000000-0005-0000-0000-00002E1C0000}"/>
    <cellStyle name="Calculation 11 3 23 2 3" xfId="7246" xr:uid="{00000000-0005-0000-0000-00002F1C0000}"/>
    <cellStyle name="Calculation 11 3 23 2 4" xfId="7247" xr:uid="{00000000-0005-0000-0000-0000301C0000}"/>
    <cellStyle name="Calculation 11 3 23 2 5" xfId="7248" xr:uid="{00000000-0005-0000-0000-0000311C0000}"/>
    <cellStyle name="Calculation 11 3 23 2 6" xfId="7249" xr:uid="{00000000-0005-0000-0000-0000321C0000}"/>
    <cellStyle name="Calculation 11 3 23 3" xfId="7250" xr:uid="{00000000-0005-0000-0000-0000331C0000}"/>
    <cellStyle name="Calculation 11 3 23 3 2" xfId="7251" xr:uid="{00000000-0005-0000-0000-0000341C0000}"/>
    <cellStyle name="Calculation 11 3 23 3 3" xfId="7252" xr:uid="{00000000-0005-0000-0000-0000351C0000}"/>
    <cellStyle name="Calculation 11 3 23 3 4" xfId="7253" xr:uid="{00000000-0005-0000-0000-0000361C0000}"/>
    <cellStyle name="Calculation 11 3 23 3 5" xfId="7254" xr:uid="{00000000-0005-0000-0000-0000371C0000}"/>
    <cellStyle name="Calculation 11 3 23 3 6" xfId="7255" xr:uid="{00000000-0005-0000-0000-0000381C0000}"/>
    <cellStyle name="Calculation 11 3 23 4" xfId="7256" xr:uid="{00000000-0005-0000-0000-0000391C0000}"/>
    <cellStyle name="Calculation 11 3 23 4 2" xfId="7257" xr:uid="{00000000-0005-0000-0000-00003A1C0000}"/>
    <cellStyle name="Calculation 11 3 23 4 3" xfId="7258" xr:uid="{00000000-0005-0000-0000-00003B1C0000}"/>
    <cellStyle name="Calculation 11 3 23 4 4" xfId="7259" xr:uid="{00000000-0005-0000-0000-00003C1C0000}"/>
    <cellStyle name="Calculation 11 3 23 4 5" xfId="7260" xr:uid="{00000000-0005-0000-0000-00003D1C0000}"/>
    <cellStyle name="Calculation 11 3 23 4 6" xfId="7261" xr:uid="{00000000-0005-0000-0000-00003E1C0000}"/>
    <cellStyle name="Calculation 11 3 23 5" xfId="7262" xr:uid="{00000000-0005-0000-0000-00003F1C0000}"/>
    <cellStyle name="Calculation 11 3 23 5 2" xfId="7263" xr:uid="{00000000-0005-0000-0000-0000401C0000}"/>
    <cellStyle name="Calculation 11 3 23 5 3" xfId="7264" xr:uid="{00000000-0005-0000-0000-0000411C0000}"/>
    <cellStyle name="Calculation 11 3 23 5 4" xfId="7265" xr:uid="{00000000-0005-0000-0000-0000421C0000}"/>
    <cellStyle name="Calculation 11 3 23 5 5" xfId="7266" xr:uid="{00000000-0005-0000-0000-0000431C0000}"/>
    <cellStyle name="Calculation 11 3 23 5 6" xfId="7267" xr:uid="{00000000-0005-0000-0000-0000441C0000}"/>
    <cellStyle name="Calculation 11 3 23 6" xfId="7268" xr:uid="{00000000-0005-0000-0000-0000451C0000}"/>
    <cellStyle name="Calculation 11 3 23 6 2" xfId="7269" xr:uid="{00000000-0005-0000-0000-0000461C0000}"/>
    <cellStyle name="Calculation 11 3 23 6 3" xfId="7270" xr:uid="{00000000-0005-0000-0000-0000471C0000}"/>
    <cellStyle name="Calculation 11 3 23 6 4" xfId="7271" xr:uid="{00000000-0005-0000-0000-0000481C0000}"/>
    <cellStyle name="Calculation 11 3 23 6 5" xfId="7272" xr:uid="{00000000-0005-0000-0000-0000491C0000}"/>
    <cellStyle name="Calculation 11 3 23 6 6" xfId="7273" xr:uid="{00000000-0005-0000-0000-00004A1C0000}"/>
    <cellStyle name="Calculation 11 3 23 7" xfId="7274" xr:uid="{00000000-0005-0000-0000-00004B1C0000}"/>
    <cellStyle name="Calculation 11 3 23 7 2" xfId="7275" xr:uid="{00000000-0005-0000-0000-00004C1C0000}"/>
    <cellStyle name="Calculation 11 3 23 7 3" xfId="7276" xr:uid="{00000000-0005-0000-0000-00004D1C0000}"/>
    <cellStyle name="Calculation 11 3 23 7 4" xfId="7277" xr:uid="{00000000-0005-0000-0000-00004E1C0000}"/>
    <cellStyle name="Calculation 11 3 23 7 5" xfId="7278" xr:uid="{00000000-0005-0000-0000-00004F1C0000}"/>
    <cellStyle name="Calculation 11 3 23 7 6" xfId="7279" xr:uid="{00000000-0005-0000-0000-0000501C0000}"/>
    <cellStyle name="Calculation 11 3 23 8" xfId="7280" xr:uid="{00000000-0005-0000-0000-0000511C0000}"/>
    <cellStyle name="Calculation 11 3 23 9" xfId="7281" xr:uid="{00000000-0005-0000-0000-0000521C0000}"/>
    <cellStyle name="Calculation 11 3 24" xfId="7282" xr:uid="{00000000-0005-0000-0000-0000531C0000}"/>
    <cellStyle name="Calculation 11 3 24 10" xfId="7283" xr:uid="{00000000-0005-0000-0000-0000541C0000}"/>
    <cellStyle name="Calculation 11 3 24 2" xfId="7284" xr:uid="{00000000-0005-0000-0000-0000551C0000}"/>
    <cellStyle name="Calculation 11 3 24 2 2" xfId="7285" xr:uid="{00000000-0005-0000-0000-0000561C0000}"/>
    <cellStyle name="Calculation 11 3 24 2 3" xfId="7286" xr:uid="{00000000-0005-0000-0000-0000571C0000}"/>
    <cellStyle name="Calculation 11 3 24 2 4" xfId="7287" xr:uid="{00000000-0005-0000-0000-0000581C0000}"/>
    <cellStyle name="Calculation 11 3 24 2 5" xfId="7288" xr:uid="{00000000-0005-0000-0000-0000591C0000}"/>
    <cellStyle name="Calculation 11 3 24 2 6" xfId="7289" xr:uid="{00000000-0005-0000-0000-00005A1C0000}"/>
    <cellStyle name="Calculation 11 3 24 3" xfId="7290" xr:uid="{00000000-0005-0000-0000-00005B1C0000}"/>
    <cellStyle name="Calculation 11 3 24 3 2" xfId="7291" xr:uid="{00000000-0005-0000-0000-00005C1C0000}"/>
    <cellStyle name="Calculation 11 3 24 3 3" xfId="7292" xr:uid="{00000000-0005-0000-0000-00005D1C0000}"/>
    <cellStyle name="Calculation 11 3 24 3 4" xfId="7293" xr:uid="{00000000-0005-0000-0000-00005E1C0000}"/>
    <cellStyle name="Calculation 11 3 24 3 5" xfId="7294" xr:uid="{00000000-0005-0000-0000-00005F1C0000}"/>
    <cellStyle name="Calculation 11 3 24 3 6" xfId="7295" xr:uid="{00000000-0005-0000-0000-0000601C0000}"/>
    <cellStyle name="Calculation 11 3 24 4" xfId="7296" xr:uid="{00000000-0005-0000-0000-0000611C0000}"/>
    <cellStyle name="Calculation 11 3 24 4 2" xfId="7297" xr:uid="{00000000-0005-0000-0000-0000621C0000}"/>
    <cellStyle name="Calculation 11 3 24 4 3" xfId="7298" xr:uid="{00000000-0005-0000-0000-0000631C0000}"/>
    <cellStyle name="Calculation 11 3 24 4 4" xfId="7299" xr:uid="{00000000-0005-0000-0000-0000641C0000}"/>
    <cellStyle name="Calculation 11 3 24 4 5" xfId="7300" xr:uid="{00000000-0005-0000-0000-0000651C0000}"/>
    <cellStyle name="Calculation 11 3 24 4 6" xfId="7301" xr:uid="{00000000-0005-0000-0000-0000661C0000}"/>
    <cellStyle name="Calculation 11 3 24 5" xfId="7302" xr:uid="{00000000-0005-0000-0000-0000671C0000}"/>
    <cellStyle name="Calculation 11 3 24 5 2" xfId="7303" xr:uid="{00000000-0005-0000-0000-0000681C0000}"/>
    <cellStyle name="Calculation 11 3 24 5 3" xfId="7304" xr:uid="{00000000-0005-0000-0000-0000691C0000}"/>
    <cellStyle name="Calculation 11 3 24 5 4" xfId="7305" xr:uid="{00000000-0005-0000-0000-00006A1C0000}"/>
    <cellStyle name="Calculation 11 3 24 5 5" xfId="7306" xr:uid="{00000000-0005-0000-0000-00006B1C0000}"/>
    <cellStyle name="Calculation 11 3 24 5 6" xfId="7307" xr:uid="{00000000-0005-0000-0000-00006C1C0000}"/>
    <cellStyle name="Calculation 11 3 24 6" xfId="7308" xr:uid="{00000000-0005-0000-0000-00006D1C0000}"/>
    <cellStyle name="Calculation 11 3 24 6 2" xfId="7309" xr:uid="{00000000-0005-0000-0000-00006E1C0000}"/>
    <cellStyle name="Calculation 11 3 24 6 3" xfId="7310" xr:uid="{00000000-0005-0000-0000-00006F1C0000}"/>
    <cellStyle name="Calculation 11 3 24 6 4" xfId="7311" xr:uid="{00000000-0005-0000-0000-0000701C0000}"/>
    <cellStyle name="Calculation 11 3 24 6 5" xfId="7312" xr:uid="{00000000-0005-0000-0000-0000711C0000}"/>
    <cellStyle name="Calculation 11 3 24 6 6" xfId="7313" xr:uid="{00000000-0005-0000-0000-0000721C0000}"/>
    <cellStyle name="Calculation 11 3 24 7" xfId="7314" xr:uid="{00000000-0005-0000-0000-0000731C0000}"/>
    <cellStyle name="Calculation 11 3 24 7 2" xfId="7315" xr:uid="{00000000-0005-0000-0000-0000741C0000}"/>
    <cellStyle name="Calculation 11 3 24 7 3" xfId="7316" xr:uid="{00000000-0005-0000-0000-0000751C0000}"/>
    <cellStyle name="Calculation 11 3 24 7 4" xfId="7317" xr:uid="{00000000-0005-0000-0000-0000761C0000}"/>
    <cellStyle name="Calculation 11 3 24 7 5" xfId="7318" xr:uid="{00000000-0005-0000-0000-0000771C0000}"/>
    <cellStyle name="Calculation 11 3 24 7 6" xfId="7319" xr:uid="{00000000-0005-0000-0000-0000781C0000}"/>
    <cellStyle name="Calculation 11 3 24 8" xfId="7320" xr:uid="{00000000-0005-0000-0000-0000791C0000}"/>
    <cellStyle name="Calculation 11 3 24 9" xfId="7321" xr:uid="{00000000-0005-0000-0000-00007A1C0000}"/>
    <cellStyle name="Calculation 11 3 25" xfId="7322" xr:uid="{00000000-0005-0000-0000-00007B1C0000}"/>
    <cellStyle name="Calculation 11 3 25 10" xfId="7323" xr:uid="{00000000-0005-0000-0000-00007C1C0000}"/>
    <cellStyle name="Calculation 11 3 25 2" xfId="7324" xr:uid="{00000000-0005-0000-0000-00007D1C0000}"/>
    <cellStyle name="Calculation 11 3 25 2 2" xfId="7325" xr:uid="{00000000-0005-0000-0000-00007E1C0000}"/>
    <cellStyle name="Calculation 11 3 25 2 3" xfId="7326" xr:uid="{00000000-0005-0000-0000-00007F1C0000}"/>
    <cellStyle name="Calculation 11 3 25 2 4" xfId="7327" xr:uid="{00000000-0005-0000-0000-0000801C0000}"/>
    <cellStyle name="Calculation 11 3 25 2 5" xfId="7328" xr:uid="{00000000-0005-0000-0000-0000811C0000}"/>
    <cellStyle name="Calculation 11 3 25 2 6" xfId="7329" xr:uid="{00000000-0005-0000-0000-0000821C0000}"/>
    <cellStyle name="Calculation 11 3 25 3" xfId="7330" xr:uid="{00000000-0005-0000-0000-0000831C0000}"/>
    <cellStyle name="Calculation 11 3 25 3 2" xfId="7331" xr:uid="{00000000-0005-0000-0000-0000841C0000}"/>
    <cellStyle name="Calculation 11 3 25 3 3" xfId="7332" xr:uid="{00000000-0005-0000-0000-0000851C0000}"/>
    <cellStyle name="Calculation 11 3 25 3 4" xfId="7333" xr:uid="{00000000-0005-0000-0000-0000861C0000}"/>
    <cellStyle name="Calculation 11 3 25 3 5" xfId="7334" xr:uid="{00000000-0005-0000-0000-0000871C0000}"/>
    <cellStyle name="Calculation 11 3 25 3 6" xfId="7335" xr:uid="{00000000-0005-0000-0000-0000881C0000}"/>
    <cellStyle name="Calculation 11 3 25 4" xfId="7336" xr:uid="{00000000-0005-0000-0000-0000891C0000}"/>
    <cellStyle name="Calculation 11 3 25 4 2" xfId="7337" xr:uid="{00000000-0005-0000-0000-00008A1C0000}"/>
    <cellStyle name="Calculation 11 3 25 4 3" xfId="7338" xr:uid="{00000000-0005-0000-0000-00008B1C0000}"/>
    <cellStyle name="Calculation 11 3 25 4 4" xfId="7339" xr:uid="{00000000-0005-0000-0000-00008C1C0000}"/>
    <cellStyle name="Calculation 11 3 25 4 5" xfId="7340" xr:uid="{00000000-0005-0000-0000-00008D1C0000}"/>
    <cellStyle name="Calculation 11 3 25 4 6" xfId="7341" xr:uid="{00000000-0005-0000-0000-00008E1C0000}"/>
    <cellStyle name="Calculation 11 3 25 5" xfId="7342" xr:uid="{00000000-0005-0000-0000-00008F1C0000}"/>
    <cellStyle name="Calculation 11 3 25 5 2" xfId="7343" xr:uid="{00000000-0005-0000-0000-0000901C0000}"/>
    <cellStyle name="Calculation 11 3 25 5 3" xfId="7344" xr:uid="{00000000-0005-0000-0000-0000911C0000}"/>
    <cellStyle name="Calculation 11 3 25 5 4" xfId="7345" xr:uid="{00000000-0005-0000-0000-0000921C0000}"/>
    <cellStyle name="Calculation 11 3 25 5 5" xfId="7346" xr:uid="{00000000-0005-0000-0000-0000931C0000}"/>
    <cellStyle name="Calculation 11 3 25 5 6" xfId="7347" xr:uid="{00000000-0005-0000-0000-0000941C0000}"/>
    <cellStyle name="Calculation 11 3 25 6" xfId="7348" xr:uid="{00000000-0005-0000-0000-0000951C0000}"/>
    <cellStyle name="Calculation 11 3 25 6 2" xfId="7349" xr:uid="{00000000-0005-0000-0000-0000961C0000}"/>
    <cellStyle name="Calculation 11 3 25 6 3" xfId="7350" xr:uid="{00000000-0005-0000-0000-0000971C0000}"/>
    <cellStyle name="Calculation 11 3 25 6 4" xfId="7351" xr:uid="{00000000-0005-0000-0000-0000981C0000}"/>
    <cellStyle name="Calculation 11 3 25 6 5" xfId="7352" xr:uid="{00000000-0005-0000-0000-0000991C0000}"/>
    <cellStyle name="Calculation 11 3 25 6 6" xfId="7353" xr:uid="{00000000-0005-0000-0000-00009A1C0000}"/>
    <cellStyle name="Calculation 11 3 25 7" xfId="7354" xr:uid="{00000000-0005-0000-0000-00009B1C0000}"/>
    <cellStyle name="Calculation 11 3 25 7 2" xfId="7355" xr:uid="{00000000-0005-0000-0000-00009C1C0000}"/>
    <cellStyle name="Calculation 11 3 25 7 3" xfId="7356" xr:uid="{00000000-0005-0000-0000-00009D1C0000}"/>
    <cellStyle name="Calculation 11 3 25 7 4" xfId="7357" xr:uid="{00000000-0005-0000-0000-00009E1C0000}"/>
    <cellStyle name="Calculation 11 3 25 7 5" xfId="7358" xr:uid="{00000000-0005-0000-0000-00009F1C0000}"/>
    <cellStyle name="Calculation 11 3 25 7 6" xfId="7359" xr:uid="{00000000-0005-0000-0000-0000A01C0000}"/>
    <cellStyle name="Calculation 11 3 25 8" xfId="7360" xr:uid="{00000000-0005-0000-0000-0000A11C0000}"/>
    <cellStyle name="Calculation 11 3 25 9" xfId="7361" xr:uid="{00000000-0005-0000-0000-0000A21C0000}"/>
    <cellStyle name="Calculation 11 3 26" xfId="7362" xr:uid="{00000000-0005-0000-0000-0000A31C0000}"/>
    <cellStyle name="Calculation 11 3 26 10" xfId="7363" xr:uid="{00000000-0005-0000-0000-0000A41C0000}"/>
    <cellStyle name="Calculation 11 3 26 2" xfId="7364" xr:uid="{00000000-0005-0000-0000-0000A51C0000}"/>
    <cellStyle name="Calculation 11 3 26 2 2" xfId="7365" xr:uid="{00000000-0005-0000-0000-0000A61C0000}"/>
    <cellStyle name="Calculation 11 3 26 2 3" xfId="7366" xr:uid="{00000000-0005-0000-0000-0000A71C0000}"/>
    <cellStyle name="Calculation 11 3 26 2 4" xfId="7367" xr:uid="{00000000-0005-0000-0000-0000A81C0000}"/>
    <cellStyle name="Calculation 11 3 26 2 5" xfId="7368" xr:uid="{00000000-0005-0000-0000-0000A91C0000}"/>
    <cellStyle name="Calculation 11 3 26 2 6" xfId="7369" xr:uid="{00000000-0005-0000-0000-0000AA1C0000}"/>
    <cellStyle name="Calculation 11 3 26 3" xfId="7370" xr:uid="{00000000-0005-0000-0000-0000AB1C0000}"/>
    <cellStyle name="Calculation 11 3 26 3 2" xfId="7371" xr:uid="{00000000-0005-0000-0000-0000AC1C0000}"/>
    <cellStyle name="Calculation 11 3 26 3 3" xfId="7372" xr:uid="{00000000-0005-0000-0000-0000AD1C0000}"/>
    <cellStyle name="Calculation 11 3 26 3 4" xfId="7373" xr:uid="{00000000-0005-0000-0000-0000AE1C0000}"/>
    <cellStyle name="Calculation 11 3 26 3 5" xfId="7374" xr:uid="{00000000-0005-0000-0000-0000AF1C0000}"/>
    <cellStyle name="Calculation 11 3 26 3 6" xfId="7375" xr:uid="{00000000-0005-0000-0000-0000B01C0000}"/>
    <cellStyle name="Calculation 11 3 26 4" xfId="7376" xr:uid="{00000000-0005-0000-0000-0000B11C0000}"/>
    <cellStyle name="Calculation 11 3 26 4 2" xfId="7377" xr:uid="{00000000-0005-0000-0000-0000B21C0000}"/>
    <cellStyle name="Calculation 11 3 26 4 3" xfId="7378" xr:uid="{00000000-0005-0000-0000-0000B31C0000}"/>
    <cellStyle name="Calculation 11 3 26 4 4" xfId="7379" xr:uid="{00000000-0005-0000-0000-0000B41C0000}"/>
    <cellStyle name="Calculation 11 3 26 4 5" xfId="7380" xr:uid="{00000000-0005-0000-0000-0000B51C0000}"/>
    <cellStyle name="Calculation 11 3 26 4 6" xfId="7381" xr:uid="{00000000-0005-0000-0000-0000B61C0000}"/>
    <cellStyle name="Calculation 11 3 26 5" xfId="7382" xr:uid="{00000000-0005-0000-0000-0000B71C0000}"/>
    <cellStyle name="Calculation 11 3 26 5 2" xfId="7383" xr:uid="{00000000-0005-0000-0000-0000B81C0000}"/>
    <cellStyle name="Calculation 11 3 26 5 3" xfId="7384" xr:uid="{00000000-0005-0000-0000-0000B91C0000}"/>
    <cellStyle name="Calculation 11 3 26 5 4" xfId="7385" xr:uid="{00000000-0005-0000-0000-0000BA1C0000}"/>
    <cellStyle name="Calculation 11 3 26 5 5" xfId="7386" xr:uid="{00000000-0005-0000-0000-0000BB1C0000}"/>
    <cellStyle name="Calculation 11 3 26 5 6" xfId="7387" xr:uid="{00000000-0005-0000-0000-0000BC1C0000}"/>
    <cellStyle name="Calculation 11 3 26 6" xfId="7388" xr:uid="{00000000-0005-0000-0000-0000BD1C0000}"/>
    <cellStyle name="Calculation 11 3 26 6 2" xfId="7389" xr:uid="{00000000-0005-0000-0000-0000BE1C0000}"/>
    <cellStyle name="Calculation 11 3 26 6 3" xfId="7390" xr:uid="{00000000-0005-0000-0000-0000BF1C0000}"/>
    <cellStyle name="Calculation 11 3 26 6 4" xfId="7391" xr:uid="{00000000-0005-0000-0000-0000C01C0000}"/>
    <cellStyle name="Calculation 11 3 26 6 5" xfId="7392" xr:uid="{00000000-0005-0000-0000-0000C11C0000}"/>
    <cellStyle name="Calculation 11 3 26 6 6" xfId="7393" xr:uid="{00000000-0005-0000-0000-0000C21C0000}"/>
    <cellStyle name="Calculation 11 3 26 7" xfId="7394" xr:uid="{00000000-0005-0000-0000-0000C31C0000}"/>
    <cellStyle name="Calculation 11 3 26 7 2" xfId="7395" xr:uid="{00000000-0005-0000-0000-0000C41C0000}"/>
    <cellStyle name="Calculation 11 3 26 7 3" xfId="7396" xr:uid="{00000000-0005-0000-0000-0000C51C0000}"/>
    <cellStyle name="Calculation 11 3 26 7 4" xfId="7397" xr:uid="{00000000-0005-0000-0000-0000C61C0000}"/>
    <cellStyle name="Calculation 11 3 26 7 5" xfId="7398" xr:uid="{00000000-0005-0000-0000-0000C71C0000}"/>
    <cellStyle name="Calculation 11 3 26 7 6" xfId="7399" xr:uid="{00000000-0005-0000-0000-0000C81C0000}"/>
    <cellStyle name="Calculation 11 3 26 8" xfId="7400" xr:uid="{00000000-0005-0000-0000-0000C91C0000}"/>
    <cellStyle name="Calculation 11 3 26 9" xfId="7401" xr:uid="{00000000-0005-0000-0000-0000CA1C0000}"/>
    <cellStyle name="Calculation 11 3 27" xfId="7402" xr:uid="{00000000-0005-0000-0000-0000CB1C0000}"/>
    <cellStyle name="Calculation 11 3 27 2" xfId="7403" xr:uid="{00000000-0005-0000-0000-0000CC1C0000}"/>
    <cellStyle name="Calculation 11 3 27 3" xfId="7404" xr:uid="{00000000-0005-0000-0000-0000CD1C0000}"/>
    <cellStyle name="Calculation 11 3 27 4" xfId="7405" xr:uid="{00000000-0005-0000-0000-0000CE1C0000}"/>
    <cellStyle name="Calculation 11 3 27 5" xfId="7406" xr:uid="{00000000-0005-0000-0000-0000CF1C0000}"/>
    <cellStyle name="Calculation 11 3 27 6" xfId="7407" xr:uid="{00000000-0005-0000-0000-0000D01C0000}"/>
    <cellStyle name="Calculation 11 3 28" xfId="7408" xr:uid="{00000000-0005-0000-0000-0000D11C0000}"/>
    <cellStyle name="Calculation 11 3 28 2" xfId="7409" xr:uid="{00000000-0005-0000-0000-0000D21C0000}"/>
    <cellStyle name="Calculation 11 3 28 3" xfId="7410" xr:uid="{00000000-0005-0000-0000-0000D31C0000}"/>
    <cellStyle name="Calculation 11 3 28 4" xfId="7411" xr:uid="{00000000-0005-0000-0000-0000D41C0000}"/>
    <cellStyle name="Calculation 11 3 28 5" xfId="7412" xr:uid="{00000000-0005-0000-0000-0000D51C0000}"/>
    <cellStyle name="Calculation 11 3 28 6" xfId="7413" xr:uid="{00000000-0005-0000-0000-0000D61C0000}"/>
    <cellStyle name="Calculation 11 3 29" xfId="7414" xr:uid="{00000000-0005-0000-0000-0000D71C0000}"/>
    <cellStyle name="Calculation 11 3 29 2" xfId="7415" xr:uid="{00000000-0005-0000-0000-0000D81C0000}"/>
    <cellStyle name="Calculation 11 3 29 3" xfId="7416" xr:uid="{00000000-0005-0000-0000-0000D91C0000}"/>
    <cellStyle name="Calculation 11 3 29 4" xfId="7417" xr:uid="{00000000-0005-0000-0000-0000DA1C0000}"/>
    <cellStyle name="Calculation 11 3 29 5" xfId="7418" xr:uid="{00000000-0005-0000-0000-0000DB1C0000}"/>
    <cellStyle name="Calculation 11 3 29 6" xfId="7419" xr:uid="{00000000-0005-0000-0000-0000DC1C0000}"/>
    <cellStyle name="Calculation 11 3 3" xfId="7420" xr:uid="{00000000-0005-0000-0000-0000DD1C0000}"/>
    <cellStyle name="Calculation 11 3 3 10" xfId="7421" xr:uid="{00000000-0005-0000-0000-0000DE1C0000}"/>
    <cellStyle name="Calculation 11 3 3 2" xfId="7422" xr:uid="{00000000-0005-0000-0000-0000DF1C0000}"/>
    <cellStyle name="Calculation 11 3 3 2 2" xfId="7423" xr:uid="{00000000-0005-0000-0000-0000E01C0000}"/>
    <cellStyle name="Calculation 11 3 3 2 3" xfId="7424" xr:uid="{00000000-0005-0000-0000-0000E11C0000}"/>
    <cellStyle name="Calculation 11 3 3 2 4" xfId="7425" xr:uid="{00000000-0005-0000-0000-0000E21C0000}"/>
    <cellStyle name="Calculation 11 3 3 2 5" xfId="7426" xr:uid="{00000000-0005-0000-0000-0000E31C0000}"/>
    <cellStyle name="Calculation 11 3 3 2 6" xfId="7427" xr:uid="{00000000-0005-0000-0000-0000E41C0000}"/>
    <cellStyle name="Calculation 11 3 3 3" xfId="7428" xr:uid="{00000000-0005-0000-0000-0000E51C0000}"/>
    <cellStyle name="Calculation 11 3 3 3 2" xfId="7429" xr:uid="{00000000-0005-0000-0000-0000E61C0000}"/>
    <cellStyle name="Calculation 11 3 3 3 3" xfId="7430" xr:uid="{00000000-0005-0000-0000-0000E71C0000}"/>
    <cellStyle name="Calculation 11 3 3 3 4" xfId="7431" xr:uid="{00000000-0005-0000-0000-0000E81C0000}"/>
    <cellStyle name="Calculation 11 3 3 3 5" xfId="7432" xr:uid="{00000000-0005-0000-0000-0000E91C0000}"/>
    <cellStyle name="Calculation 11 3 3 3 6" xfId="7433" xr:uid="{00000000-0005-0000-0000-0000EA1C0000}"/>
    <cellStyle name="Calculation 11 3 3 4" xfId="7434" xr:uid="{00000000-0005-0000-0000-0000EB1C0000}"/>
    <cellStyle name="Calculation 11 3 3 4 2" xfId="7435" xr:uid="{00000000-0005-0000-0000-0000EC1C0000}"/>
    <cellStyle name="Calculation 11 3 3 4 3" xfId="7436" xr:uid="{00000000-0005-0000-0000-0000ED1C0000}"/>
    <cellStyle name="Calculation 11 3 3 4 4" xfId="7437" xr:uid="{00000000-0005-0000-0000-0000EE1C0000}"/>
    <cellStyle name="Calculation 11 3 3 4 5" xfId="7438" xr:uid="{00000000-0005-0000-0000-0000EF1C0000}"/>
    <cellStyle name="Calculation 11 3 3 4 6" xfId="7439" xr:uid="{00000000-0005-0000-0000-0000F01C0000}"/>
    <cellStyle name="Calculation 11 3 3 5" xfId="7440" xr:uid="{00000000-0005-0000-0000-0000F11C0000}"/>
    <cellStyle name="Calculation 11 3 3 5 2" xfId="7441" xr:uid="{00000000-0005-0000-0000-0000F21C0000}"/>
    <cellStyle name="Calculation 11 3 3 5 3" xfId="7442" xr:uid="{00000000-0005-0000-0000-0000F31C0000}"/>
    <cellStyle name="Calculation 11 3 3 5 4" xfId="7443" xr:uid="{00000000-0005-0000-0000-0000F41C0000}"/>
    <cellStyle name="Calculation 11 3 3 5 5" xfId="7444" xr:uid="{00000000-0005-0000-0000-0000F51C0000}"/>
    <cellStyle name="Calculation 11 3 3 5 6" xfId="7445" xr:uid="{00000000-0005-0000-0000-0000F61C0000}"/>
    <cellStyle name="Calculation 11 3 3 6" xfId="7446" xr:uid="{00000000-0005-0000-0000-0000F71C0000}"/>
    <cellStyle name="Calculation 11 3 3 6 2" xfId="7447" xr:uid="{00000000-0005-0000-0000-0000F81C0000}"/>
    <cellStyle name="Calculation 11 3 3 6 3" xfId="7448" xr:uid="{00000000-0005-0000-0000-0000F91C0000}"/>
    <cellStyle name="Calculation 11 3 3 6 4" xfId="7449" xr:uid="{00000000-0005-0000-0000-0000FA1C0000}"/>
    <cellStyle name="Calculation 11 3 3 6 5" xfId="7450" xr:uid="{00000000-0005-0000-0000-0000FB1C0000}"/>
    <cellStyle name="Calculation 11 3 3 6 6" xfId="7451" xr:uid="{00000000-0005-0000-0000-0000FC1C0000}"/>
    <cellStyle name="Calculation 11 3 3 7" xfId="7452" xr:uid="{00000000-0005-0000-0000-0000FD1C0000}"/>
    <cellStyle name="Calculation 11 3 3 7 2" xfId="7453" xr:uid="{00000000-0005-0000-0000-0000FE1C0000}"/>
    <cellStyle name="Calculation 11 3 3 7 3" xfId="7454" xr:uid="{00000000-0005-0000-0000-0000FF1C0000}"/>
    <cellStyle name="Calculation 11 3 3 7 4" xfId="7455" xr:uid="{00000000-0005-0000-0000-0000001D0000}"/>
    <cellStyle name="Calculation 11 3 3 7 5" xfId="7456" xr:uid="{00000000-0005-0000-0000-0000011D0000}"/>
    <cellStyle name="Calculation 11 3 3 7 6" xfId="7457" xr:uid="{00000000-0005-0000-0000-0000021D0000}"/>
    <cellStyle name="Calculation 11 3 3 8" xfId="7458" xr:uid="{00000000-0005-0000-0000-0000031D0000}"/>
    <cellStyle name="Calculation 11 3 3 9" xfId="7459" xr:uid="{00000000-0005-0000-0000-0000041D0000}"/>
    <cellStyle name="Calculation 11 3 30" xfId="7460" xr:uid="{00000000-0005-0000-0000-0000051D0000}"/>
    <cellStyle name="Calculation 11 3 30 2" xfId="7461" xr:uid="{00000000-0005-0000-0000-0000061D0000}"/>
    <cellStyle name="Calculation 11 3 30 3" xfId="7462" xr:uid="{00000000-0005-0000-0000-0000071D0000}"/>
    <cellStyle name="Calculation 11 3 30 4" xfId="7463" xr:uid="{00000000-0005-0000-0000-0000081D0000}"/>
    <cellStyle name="Calculation 11 3 30 5" xfId="7464" xr:uid="{00000000-0005-0000-0000-0000091D0000}"/>
    <cellStyle name="Calculation 11 3 30 6" xfId="7465" xr:uid="{00000000-0005-0000-0000-00000A1D0000}"/>
    <cellStyle name="Calculation 11 3 31" xfId="7466" xr:uid="{00000000-0005-0000-0000-00000B1D0000}"/>
    <cellStyle name="Calculation 11 3 31 2" xfId="7467" xr:uid="{00000000-0005-0000-0000-00000C1D0000}"/>
    <cellStyle name="Calculation 11 3 31 3" xfId="7468" xr:uid="{00000000-0005-0000-0000-00000D1D0000}"/>
    <cellStyle name="Calculation 11 3 31 4" xfId="7469" xr:uid="{00000000-0005-0000-0000-00000E1D0000}"/>
    <cellStyle name="Calculation 11 3 31 5" xfId="7470" xr:uid="{00000000-0005-0000-0000-00000F1D0000}"/>
    <cellStyle name="Calculation 11 3 31 6" xfId="7471" xr:uid="{00000000-0005-0000-0000-0000101D0000}"/>
    <cellStyle name="Calculation 11 3 32" xfId="7472" xr:uid="{00000000-0005-0000-0000-0000111D0000}"/>
    <cellStyle name="Calculation 11 3 32 2" xfId="7473" xr:uid="{00000000-0005-0000-0000-0000121D0000}"/>
    <cellStyle name="Calculation 11 3 32 3" xfId="7474" xr:uid="{00000000-0005-0000-0000-0000131D0000}"/>
    <cellStyle name="Calculation 11 3 32 4" xfId="7475" xr:uid="{00000000-0005-0000-0000-0000141D0000}"/>
    <cellStyle name="Calculation 11 3 32 5" xfId="7476" xr:uid="{00000000-0005-0000-0000-0000151D0000}"/>
    <cellStyle name="Calculation 11 3 32 6" xfId="7477" xr:uid="{00000000-0005-0000-0000-0000161D0000}"/>
    <cellStyle name="Calculation 11 3 33" xfId="7478" xr:uid="{00000000-0005-0000-0000-0000171D0000}"/>
    <cellStyle name="Calculation 11 3 34" xfId="7479" xr:uid="{00000000-0005-0000-0000-0000181D0000}"/>
    <cellStyle name="Calculation 11 3 35" xfId="7480" xr:uid="{00000000-0005-0000-0000-0000191D0000}"/>
    <cellStyle name="Calculation 11 3 4" xfId="7481" xr:uid="{00000000-0005-0000-0000-00001A1D0000}"/>
    <cellStyle name="Calculation 11 3 4 10" xfId="7482" xr:uid="{00000000-0005-0000-0000-00001B1D0000}"/>
    <cellStyle name="Calculation 11 3 4 2" xfId="7483" xr:uid="{00000000-0005-0000-0000-00001C1D0000}"/>
    <cellStyle name="Calculation 11 3 4 2 2" xfId="7484" xr:uid="{00000000-0005-0000-0000-00001D1D0000}"/>
    <cellStyle name="Calculation 11 3 4 2 3" xfId="7485" xr:uid="{00000000-0005-0000-0000-00001E1D0000}"/>
    <cellStyle name="Calculation 11 3 4 2 4" xfId="7486" xr:uid="{00000000-0005-0000-0000-00001F1D0000}"/>
    <cellStyle name="Calculation 11 3 4 2 5" xfId="7487" xr:uid="{00000000-0005-0000-0000-0000201D0000}"/>
    <cellStyle name="Calculation 11 3 4 2 6" xfId="7488" xr:uid="{00000000-0005-0000-0000-0000211D0000}"/>
    <cellStyle name="Calculation 11 3 4 3" xfId="7489" xr:uid="{00000000-0005-0000-0000-0000221D0000}"/>
    <cellStyle name="Calculation 11 3 4 3 2" xfId="7490" xr:uid="{00000000-0005-0000-0000-0000231D0000}"/>
    <cellStyle name="Calculation 11 3 4 3 3" xfId="7491" xr:uid="{00000000-0005-0000-0000-0000241D0000}"/>
    <cellStyle name="Calculation 11 3 4 3 4" xfId="7492" xr:uid="{00000000-0005-0000-0000-0000251D0000}"/>
    <cellStyle name="Calculation 11 3 4 3 5" xfId="7493" xr:uid="{00000000-0005-0000-0000-0000261D0000}"/>
    <cellStyle name="Calculation 11 3 4 3 6" xfId="7494" xr:uid="{00000000-0005-0000-0000-0000271D0000}"/>
    <cellStyle name="Calculation 11 3 4 4" xfId="7495" xr:uid="{00000000-0005-0000-0000-0000281D0000}"/>
    <cellStyle name="Calculation 11 3 4 4 2" xfId="7496" xr:uid="{00000000-0005-0000-0000-0000291D0000}"/>
    <cellStyle name="Calculation 11 3 4 4 3" xfId="7497" xr:uid="{00000000-0005-0000-0000-00002A1D0000}"/>
    <cellStyle name="Calculation 11 3 4 4 4" xfId="7498" xr:uid="{00000000-0005-0000-0000-00002B1D0000}"/>
    <cellStyle name="Calculation 11 3 4 4 5" xfId="7499" xr:uid="{00000000-0005-0000-0000-00002C1D0000}"/>
    <cellStyle name="Calculation 11 3 4 4 6" xfId="7500" xr:uid="{00000000-0005-0000-0000-00002D1D0000}"/>
    <cellStyle name="Calculation 11 3 4 5" xfId="7501" xr:uid="{00000000-0005-0000-0000-00002E1D0000}"/>
    <cellStyle name="Calculation 11 3 4 5 2" xfId="7502" xr:uid="{00000000-0005-0000-0000-00002F1D0000}"/>
    <cellStyle name="Calculation 11 3 4 5 3" xfId="7503" xr:uid="{00000000-0005-0000-0000-0000301D0000}"/>
    <cellStyle name="Calculation 11 3 4 5 4" xfId="7504" xr:uid="{00000000-0005-0000-0000-0000311D0000}"/>
    <cellStyle name="Calculation 11 3 4 5 5" xfId="7505" xr:uid="{00000000-0005-0000-0000-0000321D0000}"/>
    <cellStyle name="Calculation 11 3 4 5 6" xfId="7506" xr:uid="{00000000-0005-0000-0000-0000331D0000}"/>
    <cellStyle name="Calculation 11 3 4 6" xfId="7507" xr:uid="{00000000-0005-0000-0000-0000341D0000}"/>
    <cellStyle name="Calculation 11 3 4 6 2" xfId="7508" xr:uid="{00000000-0005-0000-0000-0000351D0000}"/>
    <cellStyle name="Calculation 11 3 4 6 3" xfId="7509" xr:uid="{00000000-0005-0000-0000-0000361D0000}"/>
    <cellStyle name="Calculation 11 3 4 6 4" xfId="7510" xr:uid="{00000000-0005-0000-0000-0000371D0000}"/>
    <cellStyle name="Calculation 11 3 4 6 5" xfId="7511" xr:uid="{00000000-0005-0000-0000-0000381D0000}"/>
    <cellStyle name="Calculation 11 3 4 6 6" xfId="7512" xr:uid="{00000000-0005-0000-0000-0000391D0000}"/>
    <cellStyle name="Calculation 11 3 4 7" xfId="7513" xr:uid="{00000000-0005-0000-0000-00003A1D0000}"/>
    <cellStyle name="Calculation 11 3 4 7 2" xfId="7514" xr:uid="{00000000-0005-0000-0000-00003B1D0000}"/>
    <cellStyle name="Calculation 11 3 4 7 3" xfId="7515" xr:uid="{00000000-0005-0000-0000-00003C1D0000}"/>
    <cellStyle name="Calculation 11 3 4 7 4" xfId="7516" xr:uid="{00000000-0005-0000-0000-00003D1D0000}"/>
    <cellStyle name="Calculation 11 3 4 7 5" xfId="7517" xr:uid="{00000000-0005-0000-0000-00003E1D0000}"/>
    <cellStyle name="Calculation 11 3 4 7 6" xfId="7518" xr:uid="{00000000-0005-0000-0000-00003F1D0000}"/>
    <cellStyle name="Calculation 11 3 4 8" xfId="7519" xr:uid="{00000000-0005-0000-0000-0000401D0000}"/>
    <cellStyle name="Calculation 11 3 4 9" xfId="7520" xr:uid="{00000000-0005-0000-0000-0000411D0000}"/>
    <cellStyle name="Calculation 11 3 5" xfId="7521" xr:uid="{00000000-0005-0000-0000-0000421D0000}"/>
    <cellStyle name="Calculation 11 3 5 10" xfId="7522" xr:uid="{00000000-0005-0000-0000-0000431D0000}"/>
    <cellStyle name="Calculation 11 3 5 2" xfId="7523" xr:uid="{00000000-0005-0000-0000-0000441D0000}"/>
    <cellStyle name="Calculation 11 3 5 2 2" xfId="7524" xr:uid="{00000000-0005-0000-0000-0000451D0000}"/>
    <cellStyle name="Calculation 11 3 5 2 3" xfId="7525" xr:uid="{00000000-0005-0000-0000-0000461D0000}"/>
    <cellStyle name="Calculation 11 3 5 2 4" xfId="7526" xr:uid="{00000000-0005-0000-0000-0000471D0000}"/>
    <cellStyle name="Calculation 11 3 5 2 5" xfId="7527" xr:uid="{00000000-0005-0000-0000-0000481D0000}"/>
    <cellStyle name="Calculation 11 3 5 2 6" xfId="7528" xr:uid="{00000000-0005-0000-0000-0000491D0000}"/>
    <cellStyle name="Calculation 11 3 5 3" xfId="7529" xr:uid="{00000000-0005-0000-0000-00004A1D0000}"/>
    <cellStyle name="Calculation 11 3 5 3 2" xfId="7530" xr:uid="{00000000-0005-0000-0000-00004B1D0000}"/>
    <cellStyle name="Calculation 11 3 5 3 3" xfId="7531" xr:uid="{00000000-0005-0000-0000-00004C1D0000}"/>
    <cellStyle name="Calculation 11 3 5 3 4" xfId="7532" xr:uid="{00000000-0005-0000-0000-00004D1D0000}"/>
    <cellStyle name="Calculation 11 3 5 3 5" xfId="7533" xr:uid="{00000000-0005-0000-0000-00004E1D0000}"/>
    <cellStyle name="Calculation 11 3 5 3 6" xfId="7534" xr:uid="{00000000-0005-0000-0000-00004F1D0000}"/>
    <cellStyle name="Calculation 11 3 5 4" xfId="7535" xr:uid="{00000000-0005-0000-0000-0000501D0000}"/>
    <cellStyle name="Calculation 11 3 5 4 2" xfId="7536" xr:uid="{00000000-0005-0000-0000-0000511D0000}"/>
    <cellStyle name="Calculation 11 3 5 4 3" xfId="7537" xr:uid="{00000000-0005-0000-0000-0000521D0000}"/>
    <cellStyle name="Calculation 11 3 5 4 4" xfId="7538" xr:uid="{00000000-0005-0000-0000-0000531D0000}"/>
    <cellStyle name="Calculation 11 3 5 4 5" xfId="7539" xr:uid="{00000000-0005-0000-0000-0000541D0000}"/>
    <cellStyle name="Calculation 11 3 5 4 6" xfId="7540" xr:uid="{00000000-0005-0000-0000-0000551D0000}"/>
    <cellStyle name="Calculation 11 3 5 5" xfId="7541" xr:uid="{00000000-0005-0000-0000-0000561D0000}"/>
    <cellStyle name="Calculation 11 3 5 5 2" xfId="7542" xr:uid="{00000000-0005-0000-0000-0000571D0000}"/>
    <cellStyle name="Calculation 11 3 5 5 3" xfId="7543" xr:uid="{00000000-0005-0000-0000-0000581D0000}"/>
    <cellStyle name="Calculation 11 3 5 5 4" xfId="7544" xr:uid="{00000000-0005-0000-0000-0000591D0000}"/>
    <cellStyle name="Calculation 11 3 5 5 5" xfId="7545" xr:uid="{00000000-0005-0000-0000-00005A1D0000}"/>
    <cellStyle name="Calculation 11 3 5 5 6" xfId="7546" xr:uid="{00000000-0005-0000-0000-00005B1D0000}"/>
    <cellStyle name="Calculation 11 3 5 6" xfId="7547" xr:uid="{00000000-0005-0000-0000-00005C1D0000}"/>
    <cellStyle name="Calculation 11 3 5 6 2" xfId="7548" xr:uid="{00000000-0005-0000-0000-00005D1D0000}"/>
    <cellStyle name="Calculation 11 3 5 6 3" xfId="7549" xr:uid="{00000000-0005-0000-0000-00005E1D0000}"/>
    <cellStyle name="Calculation 11 3 5 6 4" xfId="7550" xr:uid="{00000000-0005-0000-0000-00005F1D0000}"/>
    <cellStyle name="Calculation 11 3 5 6 5" xfId="7551" xr:uid="{00000000-0005-0000-0000-0000601D0000}"/>
    <cellStyle name="Calculation 11 3 5 6 6" xfId="7552" xr:uid="{00000000-0005-0000-0000-0000611D0000}"/>
    <cellStyle name="Calculation 11 3 5 7" xfId="7553" xr:uid="{00000000-0005-0000-0000-0000621D0000}"/>
    <cellStyle name="Calculation 11 3 5 7 2" xfId="7554" xr:uid="{00000000-0005-0000-0000-0000631D0000}"/>
    <cellStyle name="Calculation 11 3 5 7 3" xfId="7555" xr:uid="{00000000-0005-0000-0000-0000641D0000}"/>
    <cellStyle name="Calculation 11 3 5 7 4" xfId="7556" xr:uid="{00000000-0005-0000-0000-0000651D0000}"/>
    <cellStyle name="Calculation 11 3 5 7 5" xfId="7557" xr:uid="{00000000-0005-0000-0000-0000661D0000}"/>
    <cellStyle name="Calculation 11 3 5 7 6" xfId="7558" xr:uid="{00000000-0005-0000-0000-0000671D0000}"/>
    <cellStyle name="Calculation 11 3 5 8" xfId="7559" xr:uid="{00000000-0005-0000-0000-0000681D0000}"/>
    <cellStyle name="Calculation 11 3 5 9" xfId="7560" xr:uid="{00000000-0005-0000-0000-0000691D0000}"/>
    <cellStyle name="Calculation 11 3 6" xfId="7561" xr:uid="{00000000-0005-0000-0000-00006A1D0000}"/>
    <cellStyle name="Calculation 11 3 6 10" xfId="7562" xr:uid="{00000000-0005-0000-0000-00006B1D0000}"/>
    <cellStyle name="Calculation 11 3 6 2" xfId="7563" xr:uid="{00000000-0005-0000-0000-00006C1D0000}"/>
    <cellStyle name="Calculation 11 3 6 2 2" xfId="7564" xr:uid="{00000000-0005-0000-0000-00006D1D0000}"/>
    <cellStyle name="Calculation 11 3 6 2 3" xfId="7565" xr:uid="{00000000-0005-0000-0000-00006E1D0000}"/>
    <cellStyle name="Calculation 11 3 6 2 4" xfId="7566" xr:uid="{00000000-0005-0000-0000-00006F1D0000}"/>
    <cellStyle name="Calculation 11 3 6 2 5" xfId="7567" xr:uid="{00000000-0005-0000-0000-0000701D0000}"/>
    <cellStyle name="Calculation 11 3 6 2 6" xfId="7568" xr:uid="{00000000-0005-0000-0000-0000711D0000}"/>
    <cellStyle name="Calculation 11 3 6 3" xfId="7569" xr:uid="{00000000-0005-0000-0000-0000721D0000}"/>
    <cellStyle name="Calculation 11 3 6 3 2" xfId="7570" xr:uid="{00000000-0005-0000-0000-0000731D0000}"/>
    <cellStyle name="Calculation 11 3 6 3 3" xfId="7571" xr:uid="{00000000-0005-0000-0000-0000741D0000}"/>
    <cellStyle name="Calculation 11 3 6 3 4" xfId="7572" xr:uid="{00000000-0005-0000-0000-0000751D0000}"/>
    <cellStyle name="Calculation 11 3 6 3 5" xfId="7573" xr:uid="{00000000-0005-0000-0000-0000761D0000}"/>
    <cellStyle name="Calculation 11 3 6 3 6" xfId="7574" xr:uid="{00000000-0005-0000-0000-0000771D0000}"/>
    <cellStyle name="Calculation 11 3 6 4" xfId="7575" xr:uid="{00000000-0005-0000-0000-0000781D0000}"/>
    <cellStyle name="Calculation 11 3 6 4 2" xfId="7576" xr:uid="{00000000-0005-0000-0000-0000791D0000}"/>
    <cellStyle name="Calculation 11 3 6 4 3" xfId="7577" xr:uid="{00000000-0005-0000-0000-00007A1D0000}"/>
    <cellStyle name="Calculation 11 3 6 4 4" xfId="7578" xr:uid="{00000000-0005-0000-0000-00007B1D0000}"/>
    <cellStyle name="Calculation 11 3 6 4 5" xfId="7579" xr:uid="{00000000-0005-0000-0000-00007C1D0000}"/>
    <cellStyle name="Calculation 11 3 6 4 6" xfId="7580" xr:uid="{00000000-0005-0000-0000-00007D1D0000}"/>
    <cellStyle name="Calculation 11 3 6 5" xfId="7581" xr:uid="{00000000-0005-0000-0000-00007E1D0000}"/>
    <cellStyle name="Calculation 11 3 6 5 2" xfId="7582" xr:uid="{00000000-0005-0000-0000-00007F1D0000}"/>
    <cellStyle name="Calculation 11 3 6 5 3" xfId="7583" xr:uid="{00000000-0005-0000-0000-0000801D0000}"/>
    <cellStyle name="Calculation 11 3 6 5 4" xfId="7584" xr:uid="{00000000-0005-0000-0000-0000811D0000}"/>
    <cellStyle name="Calculation 11 3 6 5 5" xfId="7585" xr:uid="{00000000-0005-0000-0000-0000821D0000}"/>
    <cellStyle name="Calculation 11 3 6 5 6" xfId="7586" xr:uid="{00000000-0005-0000-0000-0000831D0000}"/>
    <cellStyle name="Calculation 11 3 6 6" xfId="7587" xr:uid="{00000000-0005-0000-0000-0000841D0000}"/>
    <cellStyle name="Calculation 11 3 6 6 2" xfId="7588" xr:uid="{00000000-0005-0000-0000-0000851D0000}"/>
    <cellStyle name="Calculation 11 3 6 6 3" xfId="7589" xr:uid="{00000000-0005-0000-0000-0000861D0000}"/>
    <cellStyle name="Calculation 11 3 6 6 4" xfId="7590" xr:uid="{00000000-0005-0000-0000-0000871D0000}"/>
    <cellStyle name="Calculation 11 3 6 6 5" xfId="7591" xr:uid="{00000000-0005-0000-0000-0000881D0000}"/>
    <cellStyle name="Calculation 11 3 6 6 6" xfId="7592" xr:uid="{00000000-0005-0000-0000-0000891D0000}"/>
    <cellStyle name="Calculation 11 3 6 7" xfId="7593" xr:uid="{00000000-0005-0000-0000-00008A1D0000}"/>
    <cellStyle name="Calculation 11 3 6 7 2" xfId="7594" xr:uid="{00000000-0005-0000-0000-00008B1D0000}"/>
    <cellStyle name="Calculation 11 3 6 7 3" xfId="7595" xr:uid="{00000000-0005-0000-0000-00008C1D0000}"/>
    <cellStyle name="Calculation 11 3 6 7 4" xfId="7596" xr:uid="{00000000-0005-0000-0000-00008D1D0000}"/>
    <cellStyle name="Calculation 11 3 6 7 5" xfId="7597" xr:uid="{00000000-0005-0000-0000-00008E1D0000}"/>
    <cellStyle name="Calculation 11 3 6 7 6" xfId="7598" xr:uid="{00000000-0005-0000-0000-00008F1D0000}"/>
    <cellStyle name="Calculation 11 3 6 8" xfId="7599" xr:uid="{00000000-0005-0000-0000-0000901D0000}"/>
    <cellStyle name="Calculation 11 3 6 9" xfId="7600" xr:uid="{00000000-0005-0000-0000-0000911D0000}"/>
    <cellStyle name="Calculation 11 3 7" xfId="7601" xr:uid="{00000000-0005-0000-0000-0000921D0000}"/>
    <cellStyle name="Calculation 11 3 7 10" xfId="7602" xr:uid="{00000000-0005-0000-0000-0000931D0000}"/>
    <cellStyle name="Calculation 11 3 7 2" xfId="7603" xr:uid="{00000000-0005-0000-0000-0000941D0000}"/>
    <cellStyle name="Calculation 11 3 7 2 2" xfId="7604" xr:uid="{00000000-0005-0000-0000-0000951D0000}"/>
    <cellStyle name="Calculation 11 3 7 2 3" xfId="7605" xr:uid="{00000000-0005-0000-0000-0000961D0000}"/>
    <cellStyle name="Calculation 11 3 7 2 4" xfId="7606" xr:uid="{00000000-0005-0000-0000-0000971D0000}"/>
    <cellStyle name="Calculation 11 3 7 2 5" xfId="7607" xr:uid="{00000000-0005-0000-0000-0000981D0000}"/>
    <cellStyle name="Calculation 11 3 7 2 6" xfId="7608" xr:uid="{00000000-0005-0000-0000-0000991D0000}"/>
    <cellStyle name="Calculation 11 3 7 3" xfId="7609" xr:uid="{00000000-0005-0000-0000-00009A1D0000}"/>
    <cellStyle name="Calculation 11 3 7 3 2" xfId="7610" xr:uid="{00000000-0005-0000-0000-00009B1D0000}"/>
    <cellStyle name="Calculation 11 3 7 3 3" xfId="7611" xr:uid="{00000000-0005-0000-0000-00009C1D0000}"/>
    <cellStyle name="Calculation 11 3 7 3 4" xfId="7612" xr:uid="{00000000-0005-0000-0000-00009D1D0000}"/>
    <cellStyle name="Calculation 11 3 7 3 5" xfId="7613" xr:uid="{00000000-0005-0000-0000-00009E1D0000}"/>
    <cellStyle name="Calculation 11 3 7 3 6" xfId="7614" xr:uid="{00000000-0005-0000-0000-00009F1D0000}"/>
    <cellStyle name="Calculation 11 3 7 4" xfId="7615" xr:uid="{00000000-0005-0000-0000-0000A01D0000}"/>
    <cellStyle name="Calculation 11 3 7 4 2" xfId="7616" xr:uid="{00000000-0005-0000-0000-0000A11D0000}"/>
    <cellStyle name="Calculation 11 3 7 4 3" xfId="7617" xr:uid="{00000000-0005-0000-0000-0000A21D0000}"/>
    <cellStyle name="Calculation 11 3 7 4 4" xfId="7618" xr:uid="{00000000-0005-0000-0000-0000A31D0000}"/>
    <cellStyle name="Calculation 11 3 7 4 5" xfId="7619" xr:uid="{00000000-0005-0000-0000-0000A41D0000}"/>
    <cellStyle name="Calculation 11 3 7 4 6" xfId="7620" xr:uid="{00000000-0005-0000-0000-0000A51D0000}"/>
    <cellStyle name="Calculation 11 3 7 5" xfId="7621" xr:uid="{00000000-0005-0000-0000-0000A61D0000}"/>
    <cellStyle name="Calculation 11 3 7 5 2" xfId="7622" xr:uid="{00000000-0005-0000-0000-0000A71D0000}"/>
    <cellStyle name="Calculation 11 3 7 5 3" xfId="7623" xr:uid="{00000000-0005-0000-0000-0000A81D0000}"/>
    <cellStyle name="Calculation 11 3 7 5 4" xfId="7624" xr:uid="{00000000-0005-0000-0000-0000A91D0000}"/>
    <cellStyle name="Calculation 11 3 7 5 5" xfId="7625" xr:uid="{00000000-0005-0000-0000-0000AA1D0000}"/>
    <cellStyle name="Calculation 11 3 7 5 6" xfId="7626" xr:uid="{00000000-0005-0000-0000-0000AB1D0000}"/>
    <cellStyle name="Calculation 11 3 7 6" xfId="7627" xr:uid="{00000000-0005-0000-0000-0000AC1D0000}"/>
    <cellStyle name="Calculation 11 3 7 6 2" xfId="7628" xr:uid="{00000000-0005-0000-0000-0000AD1D0000}"/>
    <cellStyle name="Calculation 11 3 7 6 3" xfId="7629" xr:uid="{00000000-0005-0000-0000-0000AE1D0000}"/>
    <cellStyle name="Calculation 11 3 7 6 4" xfId="7630" xr:uid="{00000000-0005-0000-0000-0000AF1D0000}"/>
    <cellStyle name="Calculation 11 3 7 6 5" xfId="7631" xr:uid="{00000000-0005-0000-0000-0000B01D0000}"/>
    <cellStyle name="Calculation 11 3 7 6 6" xfId="7632" xr:uid="{00000000-0005-0000-0000-0000B11D0000}"/>
    <cellStyle name="Calculation 11 3 7 7" xfId="7633" xr:uid="{00000000-0005-0000-0000-0000B21D0000}"/>
    <cellStyle name="Calculation 11 3 7 7 2" xfId="7634" xr:uid="{00000000-0005-0000-0000-0000B31D0000}"/>
    <cellStyle name="Calculation 11 3 7 7 3" xfId="7635" xr:uid="{00000000-0005-0000-0000-0000B41D0000}"/>
    <cellStyle name="Calculation 11 3 7 7 4" xfId="7636" xr:uid="{00000000-0005-0000-0000-0000B51D0000}"/>
    <cellStyle name="Calculation 11 3 7 7 5" xfId="7637" xr:uid="{00000000-0005-0000-0000-0000B61D0000}"/>
    <cellStyle name="Calculation 11 3 7 7 6" xfId="7638" xr:uid="{00000000-0005-0000-0000-0000B71D0000}"/>
    <cellStyle name="Calculation 11 3 7 8" xfId="7639" xr:uid="{00000000-0005-0000-0000-0000B81D0000}"/>
    <cellStyle name="Calculation 11 3 7 9" xfId="7640" xr:uid="{00000000-0005-0000-0000-0000B91D0000}"/>
    <cellStyle name="Calculation 11 3 8" xfId="7641" xr:uid="{00000000-0005-0000-0000-0000BA1D0000}"/>
    <cellStyle name="Calculation 11 3 8 10" xfId="7642" xr:uid="{00000000-0005-0000-0000-0000BB1D0000}"/>
    <cellStyle name="Calculation 11 3 8 2" xfId="7643" xr:uid="{00000000-0005-0000-0000-0000BC1D0000}"/>
    <cellStyle name="Calculation 11 3 8 2 2" xfId="7644" xr:uid="{00000000-0005-0000-0000-0000BD1D0000}"/>
    <cellStyle name="Calculation 11 3 8 2 3" xfId="7645" xr:uid="{00000000-0005-0000-0000-0000BE1D0000}"/>
    <cellStyle name="Calculation 11 3 8 2 4" xfId="7646" xr:uid="{00000000-0005-0000-0000-0000BF1D0000}"/>
    <cellStyle name="Calculation 11 3 8 2 5" xfId="7647" xr:uid="{00000000-0005-0000-0000-0000C01D0000}"/>
    <cellStyle name="Calculation 11 3 8 2 6" xfId="7648" xr:uid="{00000000-0005-0000-0000-0000C11D0000}"/>
    <cellStyle name="Calculation 11 3 8 3" xfId="7649" xr:uid="{00000000-0005-0000-0000-0000C21D0000}"/>
    <cellStyle name="Calculation 11 3 8 3 2" xfId="7650" xr:uid="{00000000-0005-0000-0000-0000C31D0000}"/>
    <cellStyle name="Calculation 11 3 8 3 3" xfId="7651" xr:uid="{00000000-0005-0000-0000-0000C41D0000}"/>
    <cellStyle name="Calculation 11 3 8 3 4" xfId="7652" xr:uid="{00000000-0005-0000-0000-0000C51D0000}"/>
    <cellStyle name="Calculation 11 3 8 3 5" xfId="7653" xr:uid="{00000000-0005-0000-0000-0000C61D0000}"/>
    <cellStyle name="Calculation 11 3 8 3 6" xfId="7654" xr:uid="{00000000-0005-0000-0000-0000C71D0000}"/>
    <cellStyle name="Calculation 11 3 8 4" xfId="7655" xr:uid="{00000000-0005-0000-0000-0000C81D0000}"/>
    <cellStyle name="Calculation 11 3 8 4 2" xfId="7656" xr:uid="{00000000-0005-0000-0000-0000C91D0000}"/>
    <cellStyle name="Calculation 11 3 8 4 3" xfId="7657" xr:uid="{00000000-0005-0000-0000-0000CA1D0000}"/>
    <cellStyle name="Calculation 11 3 8 4 4" xfId="7658" xr:uid="{00000000-0005-0000-0000-0000CB1D0000}"/>
    <cellStyle name="Calculation 11 3 8 4 5" xfId="7659" xr:uid="{00000000-0005-0000-0000-0000CC1D0000}"/>
    <cellStyle name="Calculation 11 3 8 4 6" xfId="7660" xr:uid="{00000000-0005-0000-0000-0000CD1D0000}"/>
    <cellStyle name="Calculation 11 3 8 5" xfId="7661" xr:uid="{00000000-0005-0000-0000-0000CE1D0000}"/>
    <cellStyle name="Calculation 11 3 8 5 2" xfId="7662" xr:uid="{00000000-0005-0000-0000-0000CF1D0000}"/>
    <cellStyle name="Calculation 11 3 8 5 3" xfId="7663" xr:uid="{00000000-0005-0000-0000-0000D01D0000}"/>
    <cellStyle name="Calculation 11 3 8 5 4" xfId="7664" xr:uid="{00000000-0005-0000-0000-0000D11D0000}"/>
    <cellStyle name="Calculation 11 3 8 5 5" xfId="7665" xr:uid="{00000000-0005-0000-0000-0000D21D0000}"/>
    <cellStyle name="Calculation 11 3 8 5 6" xfId="7666" xr:uid="{00000000-0005-0000-0000-0000D31D0000}"/>
    <cellStyle name="Calculation 11 3 8 6" xfId="7667" xr:uid="{00000000-0005-0000-0000-0000D41D0000}"/>
    <cellStyle name="Calculation 11 3 8 6 2" xfId="7668" xr:uid="{00000000-0005-0000-0000-0000D51D0000}"/>
    <cellStyle name="Calculation 11 3 8 6 3" xfId="7669" xr:uid="{00000000-0005-0000-0000-0000D61D0000}"/>
    <cellStyle name="Calculation 11 3 8 6 4" xfId="7670" xr:uid="{00000000-0005-0000-0000-0000D71D0000}"/>
    <cellStyle name="Calculation 11 3 8 6 5" xfId="7671" xr:uid="{00000000-0005-0000-0000-0000D81D0000}"/>
    <cellStyle name="Calculation 11 3 8 6 6" xfId="7672" xr:uid="{00000000-0005-0000-0000-0000D91D0000}"/>
    <cellStyle name="Calculation 11 3 8 7" xfId="7673" xr:uid="{00000000-0005-0000-0000-0000DA1D0000}"/>
    <cellStyle name="Calculation 11 3 8 7 2" xfId="7674" xr:uid="{00000000-0005-0000-0000-0000DB1D0000}"/>
    <cellStyle name="Calculation 11 3 8 7 3" xfId="7675" xr:uid="{00000000-0005-0000-0000-0000DC1D0000}"/>
    <cellStyle name="Calculation 11 3 8 7 4" xfId="7676" xr:uid="{00000000-0005-0000-0000-0000DD1D0000}"/>
    <cellStyle name="Calculation 11 3 8 7 5" xfId="7677" xr:uid="{00000000-0005-0000-0000-0000DE1D0000}"/>
    <cellStyle name="Calculation 11 3 8 7 6" xfId="7678" xr:uid="{00000000-0005-0000-0000-0000DF1D0000}"/>
    <cellStyle name="Calculation 11 3 8 8" xfId="7679" xr:uid="{00000000-0005-0000-0000-0000E01D0000}"/>
    <cellStyle name="Calculation 11 3 8 9" xfId="7680" xr:uid="{00000000-0005-0000-0000-0000E11D0000}"/>
    <cellStyle name="Calculation 11 3 9" xfId="7681" xr:uid="{00000000-0005-0000-0000-0000E21D0000}"/>
    <cellStyle name="Calculation 11 3 9 10" xfId="7682" xr:uid="{00000000-0005-0000-0000-0000E31D0000}"/>
    <cellStyle name="Calculation 11 3 9 2" xfId="7683" xr:uid="{00000000-0005-0000-0000-0000E41D0000}"/>
    <cellStyle name="Calculation 11 3 9 2 2" xfId="7684" xr:uid="{00000000-0005-0000-0000-0000E51D0000}"/>
    <cellStyle name="Calculation 11 3 9 2 3" xfId="7685" xr:uid="{00000000-0005-0000-0000-0000E61D0000}"/>
    <cellStyle name="Calculation 11 3 9 2 4" xfId="7686" xr:uid="{00000000-0005-0000-0000-0000E71D0000}"/>
    <cellStyle name="Calculation 11 3 9 2 5" xfId="7687" xr:uid="{00000000-0005-0000-0000-0000E81D0000}"/>
    <cellStyle name="Calculation 11 3 9 2 6" xfId="7688" xr:uid="{00000000-0005-0000-0000-0000E91D0000}"/>
    <cellStyle name="Calculation 11 3 9 3" xfId="7689" xr:uid="{00000000-0005-0000-0000-0000EA1D0000}"/>
    <cellStyle name="Calculation 11 3 9 3 2" xfId="7690" xr:uid="{00000000-0005-0000-0000-0000EB1D0000}"/>
    <cellStyle name="Calculation 11 3 9 3 3" xfId="7691" xr:uid="{00000000-0005-0000-0000-0000EC1D0000}"/>
    <cellStyle name="Calculation 11 3 9 3 4" xfId="7692" xr:uid="{00000000-0005-0000-0000-0000ED1D0000}"/>
    <cellStyle name="Calculation 11 3 9 3 5" xfId="7693" xr:uid="{00000000-0005-0000-0000-0000EE1D0000}"/>
    <cellStyle name="Calculation 11 3 9 3 6" xfId="7694" xr:uid="{00000000-0005-0000-0000-0000EF1D0000}"/>
    <cellStyle name="Calculation 11 3 9 4" xfId="7695" xr:uid="{00000000-0005-0000-0000-0000F01D0000}"/>
    <cellStyle name="Calculation 11 3 9 4 2" xfId="7696" xr:uid="{00000000-0005-0000-0000-0000F11D0000}"/>
    <cellStyle name="Calculation 11 3 9 4 3" xfId="7697" xr:uid="{00000000-0005-0000-0000-0000F21D0000}"/>
    <cellStyle name="Calculation 11 3 9 4 4" xfId="7698" xr:uid="{00000000-0005-0000-0000-0000F31D0000}"/>
    <cellStyle name="Calculation 11 3 9 4 5" xfId="7699" xr:uid="{00000000-0005-0000-0000-0000F41D0000}"/>
    <cellStyle name="Calculation 11 3 9 4 6" xfId="7700" xr:uid="{00000000-0005-0000-0000-0000F51D0000}"/>
    <cellStyle name="Calculation 11 3 9 5" xfId="7701" xr:uid="{00000000-0005-0000-0000-0000F61D0000}"/>
    <cellStyle name="Calculation 11 3 9 5 2" xfId="7702" xr:uid="{00000000-0005-0000-0000-0000F71D0000}"/>
    <cellStyle name="Calculation 11 3 9 5 3" xfId="7703" xr:uid="{00000000-0005-0000-0000-0000F81D0000}"/>
    <cellStyle name="Calculation 11 3 9 5 4" xfId="7704" xr:uid="{00000000-0005-0000-0000-0000F91D0000}"/>
    <cellStyle name="Calculation 11 3 9 5 5" xfId="7705" xr:uid="{00000000-0005-0000-0000-0000FA1D0000}"/>
    <cellStyle name="Calculation 11 3 9 5 6" xfId="7706" xr:uid="{00000000-0005-0000-0000-0000FB1D0000}"/>
    <cellStyle name="Calculation 11 3 9 6" xfId="7707" xr:uid="{00000000-0005-0000-0000-0000FC1D0000}"/>
    <cellStyle name="Calculation 11 3 9 6 2" xfId="7708" xr:uid="{00000000-0005-0000-0000-0000FD1D0000}"/>
    <cellStyle name="Calculation 11 3 9 6 3" xfId="7709" xr:uid="{00000000-0005-0000-0000-0000FE1D0000}"/>
    <cellStyle name="Calculation 11 3 9 6 4" xfId="7710" xr:uid="{00000000-0005-0000-0000-0000FF1D0000}"/>
    <cellStyle name="Calculation 11 3 9 6 5" xfId="7711" xr:uid="{00000000-0005-0000-0000-0000001E0000}"/>
    <cellStyle name="Calculation 11 3 9 6 6" xfId="7712" xr:uid="{00000000-0005-0000-0000-0000011E0000}"/>
    <cellStyle name="Calculation 11 3 9 7" xfId="7713" xr:uid="{00000000-0005-0000-0000-0000021E0000}"/>
    <cellStyle name="Calculation 11 3 9 7 2" xfId="7714" xr:uid="{00000000-0005-0000-0000-0000031E0000}"/>
    <cellStyle name="Calculation 11 3 9 7 3" xfId="7715" xr:uid="{00000000-0005-0000-0000-0000041E0000}"/>
    <cellStyle name="Calculation 11 3 9 7 4" xfId="7716" xr:uid="{00000000-0005-0000-0000-0000051E0000}"/>
    <cellStyle name="Calculation 11 3 9 7 5" xfId="7717" xr:uid="{00000000-0005-0000-0000-0000061E0000}"/>
    <cellStyle name="Calculation 11 3 9 7 6" xfId="7718" xr:uid="{00000000-0005-0000-0000-0000071E0000}"/>
    <cellStyle name="Calculation 11 3 9 8" xfId="7719" xr:uid="{00000000-0005-0000-0000-0000081E0000}"/>
    <cellStyle name="Calculation 11 3 9 9" xfId="7720" xr:uid="{00000000-0005-0000-0000-0000091E0000}"/>
    <cellStyle name="Calculation 11 30" xfId="7721" xr:uid="{00000000-0005-0000-0000-00000A1E0000}"/>
    <cellStyle name="Calculation 11 30 2" xfId="7722" xr:uid="{00000000-0005-0000-0000-00000B1E0000}"/>
    <cellStyle name="Calculation 11 30 3" xfId="7723" xr:uid="{00000000-0005-0000-0000-00000C1E0000}"/>
    <cellStyle name="Calculation 11 30 4" xfId="7724" xr:uid="{00000000-0005-0000-0000-00000D1E0000}"/>
    <cellStyle name="Calculation 11 30 5" xfId="7725" xr:uid="{00000000-0005-0000-0000-00000E1E0000}"/>
    <cellStyle name="Calculation 11 30 6" xfId="7726" xr:uid="{00000000-0005-0000-0000-00000F1E0000}"/>
    <cellStyle name="Calculation 11 31" xfId="7727" xr:uid="{00000000-0005-0000-0000-0000101E0000}"/>
    <cellStyle name="Calculation 11 31 2" xfId="7728" xr:uid="{00000000-0005-0000-0000-0000111E0000}"/>
    <cellStyle name="Calculation 11 31 3" xfId="7729" xr:uid="{00000000-0005-0000-0000-0000121E0000}"/>
    <cellStyle name="Calculation 11 31 4" xfId="7730" xr:uid="{00000000-0005-0000-0000-0000131E0000}"/>
    <cellStyle name="Calculation 11 31 5" xfId="7731" xr:uid="{00000000-0005-0000-0000-0000141E0000}"/>
    <cellStyle name="Calculation 11 31 6" xfId="7732" xr:uid="{00000000-0005-0000-0000-0000151E0000}"/>
    <cellStyle name="Calculation 11 32" xfId="7733" xr:uid="{00000000-0005-0000-0000-0000161E0000}"/>
    <cellStyle name="Calculation 11 33" xfId="7734" xr:uid="{00000000-0005-0000-0000-0000171E0000}"/>
    <cellStyle name="Calculation 11 34" xfId="7735" xr:uid="{00000000-0005-0000-0000-0000181E0000}"/>
    <cellStyle name="Calculation 11 4" xfId="7736" xr:uid="{00000000-0005-0000-0000-0000191E0000}"/>
    <cellStyle name="Calculation 11 4 10" xfId="7737" xr:uid="{00000000-0005-0000-0000-00001A1E0000}"/>
    <cellStyle name="Calculation 11 4 2" xfId="7738" xr:uid="{00000000-0005-0000-0000-00001B1E0000}"/>
    <cellStyle name="Calculation 11 4 2 2" xfId="7739" xr:uid="{00000000-0005-0000-0000-00001C1E0000}"/>
    <cellStyle name="Calculation 11 4 2 3" xfId="7740" xr:uid="{00000000-0005-0000-0000-00001D1E0000}"/>
    <cellStyle name="Calculation 11 4 2 4" xfId="7741" xr:uid="{00000000-0005-0000-0000-00001E1E0000}"/>
    <cellStyle name="Calculation 11 4 2 5" xfId="7742" xr:uid="{00000000-0005-0000-0000-00001F1E0000}"/>
    <cellStyle name="Calculation 11 4 2 6" xfId="7743" xr:uid="{00000000-0005-0000-0000-0000201E0000}"/>
    <cellStyle name="Calculation 11 4 3" xfId="7744" xr:uid="{00000000-0005-0000-0000-0000211E0000}"/>
    <cellStyle name="Calculation 11 4 3 2" xfId="7745" xr:uid="{00000000-0005-0000-0000-0000221E0000}"/>
    <cellStyle name="Calculation 11 4 3 3" xfId="7746" xr:uid="{00000000-0005-0000-0000-0000231E0000}"/>
    <cellStyle name="Calculation 11 4 3 4" xfId="7747" xr:uid="{00000000-0005-0000-0000-0000241E0000}"/>
    <cellStyle name="Calculation 11 4 3 5" xfId="7748" xr:uid="{00000000-0005-0000-0000-0000251E0000}"/>
    <cellStyle name="Calculation 11 4 3 6" xfId="7749" xr:uid="{00000000-0005-0000-0000-0000261E0000}"/>
    <cellStyle name="Calculation 11 4 4" xfId="7750" xr:uid="{00000000-0005-0000-0000-0000271E0000}"/>
    <cellStyle name="Calculation 11 4 4 2" xfId="7751" xr:uid="{00000000-0005-0000-0000-0000281E0000}"/>
    <cellStyle name="Calculation 11 4 4 3" xfId="7752" xr:uid="{00000000-0005-0000-0000-0000291E0000}"/>
    <cellStyle name="Calculation 11 4 4 4" xfId="7753" xr:uid="{00000000-0005-0000-0000-00002A1E0000}"/>
    <cellStyle name="Calculation 11 4 4 5" xfId="7754" xr:uid="{00000000-0005-0000-0000-00002B1E0000}"/>
    <cellStyle name="Calculation 11 4 4 6" xfId="7755" xr:uid="{00000000-0005-0000-0000-00002C1E0000}"/>
    <cellStyle name="Calculation 11 4 5" xfId="7756" xr:uid="{00000000-0005-0000-0000-00002D1E0000}"/>
    <cellStyle name="Calculation 11 4 5 2" xfId="7757" xr:uid="{00000000-0005-0000-0000-00002E1E0000}"/>
    <cellStyle name="Calculation 11 4 5 3" xfId="7758" xr:uid="{00000000-0005-0000-0000-00002F1E0000}"/>
    <cellStyle name="Calculation 11 4 5 4" xfId="7759" xr:uid="{00000000-0005-0000-0000-0000301E0000}"/>
    <cellStyle name="Calculation 11 4 5 5" xfId="7760" xr:uid="{00000000-0005-0000-0000-0000311E0000}"/>
    <cellStyle name="Calculation 11 4 5 6" xfId="7761" xr:uid="{00000000-0005-0000-0000-0000321E0000}"/>
    <cellStyle name="Calculation 11 4 6" xfId="7762" xr:uid="{00000000-0005-0000-0000-0000331E0000}"/>
    <cellStyle name="Calculation 11 4 6 2" xfId="7763" xr:uid="{00000000-0005-0000-0000-0000341E0000}"/>
    <cellStyle name="Calculation 11 4 6 3" xfId="7764" xr:uid="{00000000-0005-0000-0000-0000351E0000}"/>
    <cellStyle name="Calculation 11 4 6 4" xfId="7765" xr:uid="{00000000-0005-0000-0000-0000361E0000}"/>
    <cellStyle name="Calculation 11 4 6 5" xfId="7766" xr:uid="{00000000-0005-0000-0000-0000371E0000}"/>
    <cellStyle name="Calculation 11 4 6 6" xfId="7767" xr:uid="{00000000-0005-0000-0000-0000381E0000}"/>
    <cellStyle name="Calculation 11 4 7" xfId="7768" xr:uid="{00000000-0005-0000-0000-0000391E0000}"/>
    <cellStyle name="Calculation 11 4 7 2" xfId="7769" xr:uid="{00000000-0005-0000-0000-00003A1E0000}"/>
    <cellStyle name="Calculation 11 4 7 3" xfId="7770" xr:uid="{00000000-0005-0000-0000-00003B1E0000}"/>
    <cellStyle name="Calculation 11 4 7 4" xfId="7771" xr:uid="{00000000-0005-0000-0000-00003C1E0000}"/>
    <cellStyle name="Calculation 11 4 7 5" xfId="7772" xr:uid="{00000000-0005-0000-0000-00003D1E0000}"/>
    <cellStyle name="Calculation 11 4 7 6" xfId="7773" xr:uid="{00000000-0005-0000-0000-00003E1E0000}"/>
    <cellStyle name="Calculation 11 4 8" xfId="7774" xr:uid="{00000000-0005-0000-0000-00003F1E0000}"/>
    <cellStyle name="Calculation 11 4 9" xfId="7775" xr:uid="{00000000-0005-0000-0000-0000401E0000}"/>
    <cellStyle name="Calculation 11 5" xfId="7776" xr:uid="{00000000-0005-0000-0000-0000411E0000}"/>
    <cellStyle name="Calculation 11 5 10" xfId="7777" xr:uid="{00000000-0005-0000-0000-0000421E0000}"/>
    <cellStyle name="Calculation 11 5 2" xfId="7778" xr:uid="{00000000-0005-0000-0000-0000431E0000}"/>
    <cellStyle name="Calculation 11 5 2 2" xfId="7779" xr:uid="{00000000-0005-0000-0000-0000441E0000}"/>
    <cellStyle name="Calculation 11 5 2 3" xfId="7780" xr:uid="{00000000-0005-0000-0000-0000451E0000}"/>
    <cellStyle name="Calculation 11 5 2 4" xfId="7781" xr:uid="{00000000-0005-0000-0000-0000461E0000}"/>
    <cellStyle name="Calculation 11 5 2 5" xfId="7782" xr:uid="{00000000-0005-0000-0000-0000471E0000}"/>
    <cellStyle name="Calculation 11 5 2 6" xfId="7783" xr:uid="{00000000-0005-0000-0000-0000481E0000}"/>
    <cellStyle name="Calculation 11 5 3" xfId="7784" xr:uid="{00000000-0005-0000-0000-0000491E0000}"/>
    <cellStyle name="Calculation 11 5 3 2" xfId="7785" xr:uid="{00000000-0005-0000-0000-00004A1E0000}"/>
    <cellStyle name="Calculation 11 5 3 3" xfId="7786" xr:uid="{00000000-0005-0000-0000-00004B1E0000}"/>
    <cellStyle name="Calculation 11 5 3 4" xfId="7787" xr:uid="{00000000-0005-0000-0000-00004C1E0000}"/>
    <cellStyle name="Calculation 11 5 3 5" xfId="7788" xr:uid="{00000000-0005-0000-0000-00004D1E0000}"/>
    <cellStyle name="Calculation 11 5 3 6" xfId="7789" xr:uid="{00000000-0005-0000-0000-00004E1E0000}"/>
    <cellStyle name="Calculation 11 5 4" xfId="7790" xr:uid="{00000000-0005-0000-0000-00004F1E0000}"/>
    <cellStyle name="Calculation 11 5 4 2" xfId="7791" xr:uid="{00000000-0005-0000-0000-0000501E0000}"/>
    <cellStyle name="Calculation 11 5 4 3" xfId="7792" xr:uid="{00000000-0005-0000-0000-0000511E0000}"/>
    <cellStyle name="Calculation 11 5 4 4" xfId="7793" xr:uid="{00000000-0005-0000-0000-0000521E0000}"/>
    <cellStyle name="Calculation 11 5 4 5" xfId="7794" xr:uid="{00000000-0005-0000-0000-0000531E0000}"/>
    <cellStyle name="Calculation 11 5 4 6" xfId="7795" xr:uid="{00000000-0005-0000-0000-0000541E0000}"/>
    <cellStyle name="Calculation 11 5 5" xfId="7796" xr:uid="{00000000-0005-0000-0000-0000551E0000}"/>
    <cellStyle name="Calculation 11 5 5 2" xfId="7797" xr:uid="{00000000-0005-0000-0000-0000561E0000}"/>
    <cellStyle name="Calculation 11 5 5 3" xfId="7798" xr:uid="{00000000-0005-0000-0000-0000571E0000}"/>
    <cellStyle name="Calculation 11 5 5 4" xfId="7799" xr:uid="{00000000-0005-0000-0000-0000581E0000}"/>
    <cellStyle name="Calculation 11 5 5 5" xfId="7800" xr:uid="{00000000-0005-0000-0000-0000591E0000}"/>
    <cellStyle name="Calculation 11 5 5 6" xfId="7801" xr:uid="{00000000-0005-0000-0000-00005A1E0000}"/>
    <cellStyle name="Calculation 11 5 6" xfId="7802" xr:uid="{00000000-0005-0000-0000-00005B1E0000}"/>
    <cellStyle name="Calculation 11 5 6 2" xfId="7803" xr:uid="{00000000-0005-0000-0000-00005C1E0000}"/>
    <cellStyle name="Calculation 11 5 6 3" xfId="7804" xr:uid="{00000000-0005-0000-0000-00005D1E0000}"/>
    <cellStyle name="Calculation 11 5 6 4" xfId="7805" xr:uid="{00000000-0005-0000-0000-00005E1E0000}"/>
    <cellStyle name="Calculation 11 5 6 5" xfId="7806" xr:uid="{00000000-0005-0000-0000-00005F1E0000}"/>
    <cellStyle name="Calculation 11 5 6 6" xfId="7807" xr:uid="{00000000-0005-0000-0000-0000601E0000}"/>
    <cellStyle name="Calculation 11 5 7" xfId="7808" xr:uid="{00000000-0005-0000-0000-0000611E0000}"/>
    <cellStyle name="Calculation 11 5 7 2" xfId="7809" xr:uid="{00000000-0005-0000-0000-0000621E0000}"/>
    <cellStyle name="Calculation 11 5 7 3" xfId="7810" xr:uid="{00000000-0005-0000-0000-0000631E0000}"/>
    <cellStyle name="Calculation 11 5 7 4" xfId="7811" xr:uid="{00000000-0005-0000-0000-0000641E0000}"/>
    <cellStyle name="Calculation 11 5 7 5" xfId="7812" xr:uid="{00000000-0005-0000-0000-0000651E0000}"/>
    <cellStyle name="Calculation 11 5 7 6" xfId="7813" xr:uid="{00000000-0005-0000-0000-0000661E0000}"/>
    <cellStyle name="Calculation 11 5 8" xfId="7814" xr:uid="{00000000-0005-0000-0000-0000671E0000}"/>
    <cellStyle name="Calculation 11 5 9" xfId="7815" xr:uid="{00000000-0005-0000-0000-0000681E0000}"/>
    <cellStyle name="Calculation 11 6" xfId="7816" xr:uid="{00000000-0005-0000-0000-0000691E0000}"/>
    <cellStyle name="Calculation 11 6 10" xfId="7817" xr:uid="{00000000-0005-0000-0000-00006A1E0000}"/>
    <cellStyle name="Calculation 11 6 2" xfId="7818" xr:uid="{00000000-0005-0000-0000-00006B1E0000}"/>
    <cellStyle name="Calculation 11 6 2 2" xfId="7819" xr:uid="{00000000-0005-0000-0000-00006C1E0000}"/>
    <cellStyle name="Calculation 11 6 2 3" xfId="7820" xr:uid="{00000000-0005-0000-0000-00006D1E0000}"/>
    <cellStyle name="Calculation 11 6 2 4" xfId="7821" xr:uid="{00000000-0005-0000-0000-00006E1E0000}"/>
    <cellStyle name="Calculation 11 6 2 5" xfId="7822" xr:uid="{00000000-0005-0000-0000-00006F1E0000}"/>
    <cellStyle name="Calculation 11 6 2 6" xfId="7823" xr:uid="{00000000-0005-0000-0000-0000701E0000}"/>
    <cellStyle name="Calculation 11 6 3" xfId="7824" xr:uid="{00000000-0005-0000-0000-0000711E0000}"/>
    <cellStyle name="Calculation 11 6 3 2" xfId="7825" xr:uid="{00000000-0005-0000-0000-0000721E0000}"/>
    <cellStyle name="Calculation 11 6 3 3" xfId="7826" xr:uid="{00000000-0005-0000-0000-0000731E0000}"/>
    <cellStyle name="Calculation 11 6 3 4" xfId="7827" xr:uid="{00000000-0005-0000-0000-0000741E0000}"/>
    <cellStyle name="Calculation 11 6 3 5" xfId="7828" xr:uid="{00000000-0005-0000-0000-0000751E0000}"/>
    <cellStyle name="Calculation 11 6 3 6" xfId="7829" xr:uid="{00000000-0005-0000-0000-0000761E0000}"/>
    <cellStyle name="Calculation 11 6 4" xfId="7830" xr:uid="{00000000-0005-0000-0000-0000771E0000}"/>
    <cellStyle name="Calculation 11 6 4 2" xfId="7831" xr:uid="{00000000-0005-0000-0000-0000781E0000}"/>
    <cellStyle name="Calculation 11 6 4 3" xfId="7832" xr:uid="{00000000-0005-0000-0000-0000791E0000}"/>
    <cellStyle name="Calculation 11 6 4 4" xfId="7833" xr:uid="{00000000-0005-0000-0000-00007A1E0000}"/>
    <cellStyle name="Calculation 11 6 4 5" xfId="7834" xr:uid="{00000000-0005-0000-0000-00007B1E0000}"/>
    <cellStyle name="Calculation 11 6 4 6" xfId="7835" xr:uid="{00000000-0005-0000-0000-00007C1E0000}"/>
    <cellStyle name="Calculation 11 6 5" xfId="7836" xr:uid="{00000000-0005-0000-0000-00007D1E0000}"/>
    <cellStyle name="Calculation 11 6 5 2" xfId="7837" xr:uid="{00000000-0005-0000-0000-00007E1E0000}"/>
    <cellStyle name="Calculation 11 6 5 3" xfId="7838" xr:uid="{00000000-0005-0000-0000-00007F1E0000}"/>
    <cellStyle name="Calculation 11 6 5 4" xfId="7839" xr:uid="{00000000-0005-0000-0000-0000801E0000}"/>
    <cellStyle name="Calculation 11 6 5 5" xfId="7840" xr:uid="{00000000-0005-0000-0000-0000811E0000}"/>
    <cellStyle name="Calculation 11 6 5 6" xfId="7841" xr:uid="{00000000-0005-0000-0000-0000821E0000}"/>
    <cellStyle name="Calculation 11 6 6" xfId="7842" xr:uid="{00000000-0005-0000-0000-0000831E0000}"/>
    <cellStyle name="Calculation 11 6 6 2" xfId="7843" xr:uid="{00000000-0005-0000-0000-0000841E0000}"/>
    <cellStyle name="Calculation 11 6 6 3" xfId="7844" xr:uid="{00000000-0005-0000-0000-0000851E0000}"/>
    <cellStyle name="Calculation 11 6 6 4" xfId="7845" xr:uid="{00000000-0005-0000-0000-0000861E0000}"/>
    <cellStyle name="Calculation 11 6 6 5" xfId="7846" xr:uid="{00000000-0005-0000-0000-0000871E0000}"/>
    <cellStyle name="Calculation 11 6 6 6" xfId="7847" xr:uid="{00000000-0005-0000-0000-0000881E0000}"/>
    <cellStyle name="Calculation 11 6 7" xfId="7848" xr:uid="{00000000-0005-0000-0000-0000891E0000}"/>
    <cellStyle name="Calculation 11 6 7 2" xfId="7849" xr:uid="{00000000-0005-0000-0000-00008A1E0000}"/>
    <cellStyle name="Calculation 11 6 7 3" xfId="7850" xr:uid="{00000000-0005-0000-0000-00008B1E0000}"/>
    <cellStyle name="Calculation 11 6 7 4" xfId="7851" xr:uid="{00000000-0005-0000-0000-00008C1E0000}"/>
    <cellStyle name="Calculation 11 6 7 5" xfId="7852" xr:uid="{00000000-0005-0000-0000-00008D1E0000}"/>
    <cellStyle name="Calculation 11 6 7 6" xfId="7853" xr:uid="{00000000-0005-0000-0000-00008E1E0000}"/>
    <cellStyle name="Calculation 11 6 8" xfId="7854" xr:uid="{00000000-0005-0000-0000-00008F1E0000}"/>
    <cellStyle name="Calculation 11 6 9" xfId="7855" xr:uid="{00000000-0005-0000-0000-0000901E0000}"/>
    <cellStyle name="Calculation 11 7" xfId="7856" xr:uid="{00000000-0005-0000-0000-0000911E0000}"/>
    <cellStyle name="Calculation 11 7 10" xfId="7857" xr:uid="{00000000-0005-0000-0000-0000921E0000}"/>
    <cellStyle name="Calculation 11 7 2" xfId="7858" xr:uid="{00000000-0005-0000-0000-0000931E0000}"/>
    <cellStyle name="Calculation 11 7 2 2" xfId="7859" xr:uid="{00000000-0005-0000-0000-0000941E0000}"/>
    <cellStyle name="Calculation 11 7 2 3" xfId="7860" xr:uid="{00000000-0005-0000-0000-0000951E0000}"/>
    <cellStyle name="Calculation 11 7 2 4" xfId="7861" xr:uid="{00000000-0005-0000-0000-0000961E0000}"/>
    <cellStyle name="Calculation 11 7 2 5" xfId="7862" xr:uid="{00000000-0005-0000-0000-0000971E0000}"/>
    <cellStyle name="Calculation 11 7 2 6" xfId="7863" xr:uid="{00000000-0005-0000-0000-0000981E0000}"/>
    <cellStyle name="Calculation 11 7 3" xfId="7864" xr:uid="{00000000-0005-0000-0000-0000991E0000}"/>
    <cellStyle name="Calculation 11 7 3 2" xfId="7865" xr:uid="{00000000-0005-0000-0000-00009A1E0000}"/>
    <cellStyle name="Calculation 11 7 3 3" xfId="7866" xr:uid="{00000000-0005-0000-0000-00009B1E0000}"/>
    <cellStyle name="Calculation 11 7 3 4" xfId="7867" xr:uid="{00000000-0005-0000-0000-00009C1E0000}"/>
    <cellStyle name="Calculation 11 7 3 5" xfId="7868" xr:uid="{00000000-0005-0000-0000-00009D1E0000}"/>
    <cellStyle name="Calculation 11 7 3 6" xfId="7869" xr:uid="{00000000-0005-0000-0000-00009E1E0000}"/>
    <cellStyle name="Calculation 11 7 4" xfId="7870" xr:uid="{00000000-0005-0000-0000-00009F1E0000}"/>
    <cellStyle name="Calculation 11 7 4 2" xfId="7871" xr:uid="{00000000-0005-0000-0000-0000A01E0000}"/>
    <cellStyle name="Calculation 11 7 4 3" xfId="7872" xr:uid="{00000000-0005-0000-0000-0000A11E0000}"/>
    <cellStyle name="Calculation 11 7 4 4" xfId="7873" xr:uid="{00000000-0005-0000-0000-0000A21E0000}"/>
    <cellStyle name="Calculation 11 7 4 5" xfId="7874" xr:uid="{00000000-0005-0000-0000-0000A31E0000}"/>
    <cellStyle name="Calculation 11 7 4 6" xfId="7875" xr:uid="{00000000-0005-0000-0000-0000A41E0000}"/>
    <cellStyle name="Calculation 11 7 5" xfId="7876" xr:uid="{00000000-0005-0000-0000-0000A51E0000}"/>
    <cellStyle name="Calculation 11 7 5 2" xfId="7877" xr:uid="{00000000-0005-0000-0000-0000A61E0000}"/>
    <cellStyle name="Calculation 11 7 5 3" xfId="7878" xr:uid="{00000000-0005-0000-0000-0000A71E0000}"/>
    <cellStyle name="Calculation 11 7 5 4" xfId="7879" xr:uid="{00000000-0005-0000-0000-0000A81E0000}"/>
    <cellStyle name="Calculation 11 7 5 5" xfId="7880" xr:uid="{00000000-0005-0000-0000-0000A91E0000}"/>
    <cellStyle name="Calculation 11 7 5 6" xfId="7881" xr:uid="{00000000-0005-0000-0000-0000AA1E0000}"/>
    <cellStyle name="Calculation 11 7 6" xfId="7882" xr:uid="{00000000-0005-0000-0000-0000AB1E0000}"/>
    <cellStyle name="Calculation 11 7 6 2" xfId="7883" xr:uid="{00000000-0005-0000-0000-0000AC1E0000}"/>
    <cellStyle name="Calculation 11 7 6 3" xfId="7884" xr:uid="{00000000-0005-0000-0000-0000AD1E0000}"/>
    <cellStyle name="Calculation 11 7 6 4" xfId="7885" xr:uid="{00000000-0005-0000-0000-0000AE1E0000}"/>
    <cellStyle name="Calculation 11 7 6 5" xfId="7886" xr:uid="{00000000-0005-0000-0000-0000AF1E0000}"/>
    <cellStyle name="Calculation 11 7 6 6" xfId="7887" xr:uid="{00000000-0005-0000-0000-0000B01E0000}"/>
    <cellStyle name="Calculation 11 7 7" xfId="7888" xr:uid="{00000000-0005-0000-0000-0000B11E0000}"/>
    <cellStyle name="Calculation 11 7 7 2" xfId="7889" xr:uid="{00000000-0005-0000-0000-0000B21E0000}"/>
    <cellStyle name="Calculation 11 7 7 3" xfId="7890" xr:uid="{00000000-0005-0000-0000-0000B31E0000}"/>
    <cellStyle name="Calculation 11 7 7 4" xfId="7891" xr:uid="{00000000-0005-0000-0000-0000B41E0000}"/>
    <cellStyle name="Calculation 11 7 7 5" xfId="7892" xr:uid="{00000000-0005-0000-0000-0000B51E0000}"/>
    <cellStyle name="Calculation 11 7 7 6" xfId="7893" xr:uid="{00000000-0005-0000-0000-0000B61E0000}"/>
    <cellStyle name="Calculation 11 7 8" xfId="7894" xr:uid="{00000000-0005-0000-0000-0000B71E0000}"/>
    <cellStyle name="Calculation 11 7 9" xfId="7895" xr:uid="{00000000-0005-0000-0000-0000B81E0000}"/>
    <cellStyle name="Calculation 11 8" xfId="7896" xr:uid="{00000000-0005-0000-0000-0000B91E0000}"/>
    <cellStyle name="Calculation 11 8 10" xfId="7897" xr:uid="{00000000-0005-0000-0000-0000BA1E0000}"/>
    <cellStyle name="Calculation 11 8 2" xfId="7898" xr:uid="{00000000-0005-0000-0000-0000BB1E0000}"/>
    <cellStyle name="Calculation 11 8 2 2" xfId="7899" xr:uid="{00000000-0005-0000-0000-0000BC1E0000}"/>
    <cellStyle name="Calculation 11 8 2 3" xfId="7900" xr:uid="{00000000-0005-0000-0000-0000BD1E0000}"/>
    <cellStyle name="Calculation 11 8 2 4" xfId="7901" xr:uid="{00000000-0005-0000-0000-0000BE1E0000}"/>
    <cellStyle name="Calculation 11 8 2 5" xfId="7902" xr:uid="{00000000-0005-0000-0000-0000BF1E0000}"/>
    <cellStyle name="Calculation 11 8 2 6" xfId="7903" xr:uid="{00000000-0005-0000-0000-0000C01E0000}"/>
    <cellStyle name="Calculation 11 8 3" xfId="7904" xr:uid="{00000000-0005-0000-0000-0000C11E0000}"/>
    <cellStyle name="Calculation 11 8 3 2" xfId="7905" xr:uid="{00000000-0005-0000-0000-0000C21E0000}"/>
    <cellStyle name="Calculation 11 8 3 3" xfId="7906" xr:uid="{00000000-0005-0000-0000-0000C31E0000}"/>
    <cellStyle name="Calculation 11 8 3 4" xfId="7907" xr:uid="{00000000-0005-0000-0000-0000C41E0000}"/>
    <cellStyle name="Calculation 11 8 3 5" xfId="7908" xr:uid="{00000000-0005-0000-0000-0000C51E0000}"/>
    <cellStyle name="Calculation 11 8 3 6" xfId="7909" xr:uid="{00000000-0005-0000-0000-0000C61E0000}"/>
    <cellStyle name="Calculation 11 8 4" xfId="7910" xr:uid="{00000000-0005-0000-0000-0000C71E0000}"/>
    <cellStyle name="Calculation 11 8 4 2" xfId="7911" xr:uid="{00000000-0005-0000-0000-0000C81E0000}"/>
    <cellStyle name="Calculation 11 8 4 3" xfId="7912" xr:uid="{00000000-0005-0000-0000-0000C91E0000}"/>
    <cellStyle name="Calculation 11 8 4 4" xfId="7913" xr:uid="{00000000-0005-0000-0000-0000CA1E0000}"/>
    <cellStyle name="Calculation 11 8 4 5" xfId="7914" xr:uid="{00000000-0005-0000-0000-0000CB1E0000}"/>
    <cellStyle name="Calculation 11 8 4 6" xfId="7915" xr:uid="{00000000-0005-0000-0000-0000CC1E0000}"/>
    <cellStyle name="Calculation 11 8 5" xfId="7916" xr:uid="{00000000-0005-0000-0000-0000CD1E0000}"/>
    <cellStyle name="Calculation 11 8 5 2" xfId="7917" xr:uid="{00000000-0005-0000-0000-0000CE1E0000}"/>
    <cellStyle name="Calculation 11 8 5 3" xfId="7918" xr:uid="{00000000-0005-0000-0000-0000CF1E0000}"/>
    <cellStyle name="Calculation 11 8 5 4" xfId="7919" xr:uid="{00000000-0005-0000-0000-0000D01E0000}"/>
    <cellStyle name="Calculation 11 8 5 5" xfId="7920" xr:uid="{00000000-0005-0000-0000-0000D11E0000}"/>
    <cellStyle name="Calculation 11 8 5 6" xfId="7921" xr:uid="{00000000-0005-0000-0000-0000D21E0000}"/>
    <cellStyle name="Calculation 11 8 6" xfId="7922" xr:uid="{00000000-0005-0000-0000-0000D31E0000}"/>
    <cellStyle name="Calculation 11 8 6 2" xfId="7923" xr:uid="{00000000-0005-0000-0000-0000D41E0000}"/>
    <cellStyle name="Calculation 11 8 6 3" xfId="7924" xr:uid="{00000000-0005-0000-0000-0000D51E0000}"/>
    <cellStyle name="Calculation 11 8 6 4" xfId="7925" xr:uid="{00000000-0005-0000-0000-0000D61E0000}"/>
    <cellStyle name="Calculation 11 8 6 5" xfId="7926" xr:uid="{00000000-0005-0000-0000-0000D71E0000}"/>
    <cellStyle name="Calculation 11 8 6 6" xfId="7927" xr:uid="{00000000-0005-0000-0000-0000D81E0000}"/>
    <cellStyle name="Calculation 11 8 7" xfId="7928" xr:uid="{00000000-0005-0000-0000-0000D91E0000}"/>
    <cellStyle name="Calculation 11 8 7 2" xfId="7929" xr:uid="{00000000-0005-0000-0000-0000DA1E0000}"/>
    <cellStyle name="Calculation 11 8 7 3" xfId="7930" xr:uid="{00000000-0005-0000-0000-0000DB1E0000}"/>
    <cellStyle name="Calculation 11 8 7 4" xfId="7931" xr:uid="{00000000-0005-0000-0000-0000DC1E0000}"/>
    <cellStyle name="Calculation 11 8 7 5" xfId="7932" xr:uid="{00000000-0005-0000-0000-0000DD1E0000}"/>
    <cellStyle name="Calculation 11 8 7 6" xfId="7933" xr:uid="{00000000-0005-0000-0000-0000DE1E0000}"/>
    <cellStyle name="Calculation 11 8 8" xfId="7934" xr:uid="{00000000-0005-0000-0000-0000DF1E0000}"/>
    <cellStyle name="Calculation 11 8 9" xfId="7935" xr:uid="{00000000-0005-0000-0000-0000E01E0000}"/>
    <cellStyle name="Calculation 11 9" xfId="7936" xr:uid="{00000000-0005-0000-0000-0000E11E0000}"/>
    <cellStyle name="Calculation 11 9 10" xfId="7937" xr:uid="{00000000-0005-0000-0000-0000E21E0000}"/>
    <cellStyle name="Calculation 11 9 2" xfId="7938" xr:uid="{00000000-0005-0000-0000-0000E31E0000}"/>
    <cellStyle name="Calculation 11 9 2 2" xfId="7939" xr:uid="{00000000-0005-0000-0000-0000E41E0000}"/>
    <cellStyle name="Calculation 11 9 2 3" xfId="7940" xr:uid="{00000000-0005-0000-0000-0000E51E0000}"/>
    <cellStyle name="Calculation 11 9 2 4" xfId="7941" xr:uid="{00000000-0005-0000-0000-0000E61E0000}"/>
    <cellStyle name="Calculation 11 9 2 5" xfId="7942" xr:uid="{00000000-0005-0000-0000-0000E71E0000}"/>
    <cellStyle name="Calculation 11 9 2 6" xfId="7943" xr:uid="{00000000-0005-0000-0000-0000E81E0000}"/>
    <cellStyle name="Calculation 11 9 3" xfId="7944" xr:uid="{00000000-0005-0000-0000-0000E91E0000}"/>
    <cellStyle name="Calculation 11 9 3 2" xfId="7945" xr:uid="{00000000-0005-0000-0000-0000EA1E0000}"/>
    <cellStyle name="Calculation 11 9 3 3" xfId="7946" xr:uid="{00000000-0005-0000-0000-0000EB1E0000}"/>
    <cellStyle name="Calculation 11 9 3 4" xfId="7947" xr:uid="{00000000-0005-0000-0000-0000EC1E0000}"/>
    <cellStyle name="Calculation 11 9 3 5" xfId="7948" xr:uid="{00000000-0005-0000-0000-0000ED1E0000}"/>
    <cellStyle name="Calculation 11 9 3 6" xfId="7949" xr:uid="{00000000-0005-0000-0000-0000EE1E0000}"/>
    <cellStyle name="Calculation 11 9 4" xfId="7950" xr:uid="{00000000-0005-0000-0000-0000EF1E0000}"/>
    <cellStyle name="Calculation 11 9 4 2" xfId="7951" xr:uid="{00000000-0005-0000-0000-0000F01E0000}"/>
    <cellStyle name="Calculation 11 9 4 3" xfId="7952" xr:uid="{00000000-0005-0000-0000-0000F11E0000}"/>
    <cellStyle name="Calculation 11 9 4 4" xfId="7953" xr:uid="{00000000-0005-0000-0000-0000F21E0000}"/>
    <cellStyle name="Calculation 11 9 4 5" xfId="7954" xr:uid="{00000000-0005-0000-0000-0000F31E0000}"/>
    <cellStyle name="Calculation 11 9 4 6" xfId="7955" xr:uid="{00000000-0005-0000-0000-0000F41E0000}"/>
    <cellStyle name="Calculation 11 9 5" xfId="7956" xr:uid="{00000000-0005-0000-0000-0000F51E0000}"/>
    <cellStyle name="Calculation 11 9 5 2" xfId="7957" xr:uid="{00000000-0005-0000-0000-0000F61E0000}"/>
    <cellStyle name="Calculation 11 9 5 3" xfId="7958" xr:uid="{00000000-0005-0000-0000-0000F71E0000}"/>
    <cellStyle name="Calculation 11 9 5 4" xfId="7959" xr:uid="{00000000-0005-0000-0000-0000F81E0000}"/>
    <cellStyle name="Calculation 11 9 5 5" xfId="7960" xr:uid="{00000000-0005-0000-0000-0000F91E0000}"/>
    <cellStyle name="Calculation 11 9 5 6" xfId="7961" xr:uid="{00000000-0005-0000-0000-0000FA1E0000}"/>
    <cellStyle name="Calculation 11 9 6" xfId="7962" xr:uid="{00000000-0005-0000-0000-0000FB1E0000}"/>
    <cellStyle name="Calculation 11 9 6 2" xfId="7963" xr:uid="{00000000-0005-0000-0000-0000FC1E0000}"/>
    <cellStyle name="Calculation 11 9 6 3" xfId="7964" xr:uid="{00000000-0005-0000-0000-0000FD1E0000}"/>
    <cellStyle name="Calculation 11 9 6 4" xfId="7965" xr:uid="{00000000-0005-0000-0000-0000FE1E0000}"/>
    <cellStyle name="Calculation 11 9 6 5" xfId="7966" xr:uid="{00000000-0005-0000-0000-0000FF1E0000}"/>
    <cellStyle name="Calculation 11 9 6 6" xfId="7967" xr:uid="{00000000-0005-0000-0000-0000001F0000}"/>
    <cellStyle name="Calculation 11 9 7" xfId="7968" xr:uid="{00000000-0005-0000-0000-0000011F0000}"/>
    <cellStyle name="Calculation 11 9 7 2" xfId="7969" xr:uid="{00000000-0005-0000-0000-0000021F0000}"/>
    <cellStyle name="Calculation 11 9 7 3" xfId="7970" xr:uid="{00000000-0005-0000-0000-0000031F0000}"/>
    <cellStyle name="Calculation 11 9 7 4" xfId="7971" xr:uid="{00000000-0005-0000-0000-0000041F0000}"/>
    <cellStyle name="Calculation 11 9 7 5" xfId="7972" xr:uid="{00000000-0005-0000-0000-0000051F0000}"/>
    <cellStyle name="Calculation 11 9 7 6" xfId="7973" xr:uid="{00000000-0005-0000-0000-0000061F0000}"/>
    <cellStyle name="Calculation 11 9 8" xfId="7974" xr:uid="{00000000-0005-0000-0000-0000071F0000}"/>
    <cellStyle name="Calculation 11 9 9" xfId="7975" xr:uid="{00000000-0005-0000-0000-0000081F0000}"/>
    <cellStyle name="Calculation 12" xfId="7976" xr:uid="{00000000-0005-0000-0000-0000091F0000}"/>
    <cellStyle name="Calculation 12 10" xfId="7977" xr:uid="{00000000-0005-0000-0000-00000A1F0000}"/>
    <cellStyle name="Calculation 12 10 10" xfId="7978" xr:uid="{00000000-0005-0000-0000-00000B1F0000}"/>
    <cellStyle name="Calculation 12 10 2" xfId="7979" xr:uid="{00000000-0005-0000-0000-00000C1F0000}"/>
    <cellStyle name="Calculation 12 10 2 2" xfId="7980" xr:uid="{00000000-0005-0000-0000-00000D1F0000}"/>
    <cellStyle name="Calculation 12 10 2 3" xfId="7981" xr:uid="{00000000-0005-0000-0000-00000E1F0000}"/>
    <cellStyle name="Calculation 12 10 2 4" xfId="7982" xr:uid="{00000000-0005-0000-0000-00000F1F0000}"/>
    <cellStyle name="Calculation 12 10 2 5" xfId="7983" xr:uid="{00000000-0005-0000-0000-0000101F0000}"/>
    <cellStyle name="Calculation 12 10 2 6" xfId="7984" xr:uid="{00000000-0005-0000-0000-0000111F0000}"/>
    <cellStyle name="Calculation 12 10 3" xfId="7985" xr:uid="{00000000-0005-0000-0000-0000121F0000}"/>
    <cellStyle name="Calculation 12 10 3 2" xfId="7986" xr:uid="{00000000-0005-0000-0000-0000131F0000}"/>
    <cellStyle name="Calculation 12 10 3 3" xfId="7987" xr:uid="{00000000-0005-0000-0000-0000141F0000}"/>
    <cellStyle name="Calculation 12 10 3 4" xfId="7988" xr:uid="{00000000-0005-0000-0000-0000151F0000}"/>
    <cellStyle name="Calculation 12 10 3 5" xfId="7989" xr:uid="{00000000-0005-0000-0000-0000161F0000}"/>
    <cellStyle name="Calculation 12 10 3 6" xfId="7990" xr:uid="{00000000-0005-0000-0000-0000171F0000}"/>
    <cellStyle name="Calculation 12 10 4" xfId="7991" xr:uid="{00000000-0005-0000-0000-0000181F0000}"/>
    <cellStyle name="Calculation 12 10 4 2" xfId="7992" xr:uid="{00000000-0005-0000-0000-0000191F0000}"/>
    <cellStyle name="Calculation 12 10 4 3" xfId="7993" xr:uid="{00000000-0005-0000-0000-00001A1F0000}"/>
    <cellStyle name="Calculation 12 10 4 4" xfId="7994" xr:uid="{00000000-0005-0000-0000-00001B1F0000}"/>
    <cellStyle name="Calculation 12 10 4 5" xfId="7995" xr:uid="{00000000-0005-0000-0000-00001C1F0000}"/>
    <cellStyle name="Calculation 12 10 4 6" xfId="7996" xr:uid="{00000000-0005-0000-0000-00001D1F0000}"/>
    <cellStyle name="Calculation 12 10 5" xfId="7997" xr:uid="{00000000-0005-0000-0000-00001E1F0000}"/>
    <cellStyle name="Calculation 12 10 5 2" xfId="7998" xr:uid="{00000000-0005-0000-0000-00001F1F0000}"/>
    <cellStyle name="Calculation 12 10 5 3" xfId="7999" xr:uid="{00000000-0005-0000-0000-0000201F0000}"/>
    <cellStyle name="Calculation 12 10 5 4" xfId="8000" xr:uid="{00000000-0005-0000-0000-0000211F0000}"/>
    <cellStyle name="Calculation 12 10 5 5" xfId="8001" xr:uid="{00000000-0005-0000-0000-0000221F0000}"/>
    <cellStyle name="Calculation 12 10 5 6" xfId="8002" xr:uid="{00000000-0005-0000-0000-0000231F0000}"/>
    <cellStyle name="Calculation 12 10 6" xfId="8003" xr:uid="{00000000-0005-0000-0000-0000241F0000}"/>
    <cellStyle name="Calculation 12 10 6 2" xfId="8004" xr:uid="{00000000-0005-0000-0000-0000251F0000}"/>
    <cellStyle name="Calculation 12 10 6 3" xfId="8005" xr:uid="{00000000-0005-0000-0000-0000261F0000}"/>
    <cellStyle name="Calculation 12 10 6 4" xfId="8006" xr:uid="{00000000-0005-0000-0000-0000271F0000}"/>
    <cellStyle name="Calculation 12 10 6 5" xfId="8007" xr:uid="{00000000-0005-0000-0000-0000281F0000}"/>
    <cellStyle name="Calculation 12 10 6 6" xfId="8008" xr:uid="{00000000-0005-0000-0000-0000291F0000}"/>
    <cellStyle name="Calculation 12 10 7" xfId="8009" xr:uid="{00000000-0005-0000-0000-00002A1F0000}"/>
    <cellStyle name="Calculation 12 10 7 2" xfId="8010" xr:uid="{00000000-0005-0000-0000-00002B1F0000}"/>
    <cellStyle name="Calculation 12 10 7 3" xfId="8011" xr:uid="{00000000-0005-0000-0000-00002C1F0000}"/>
    <cellStyle name="Calculation 12 10 7 4" xfId="8012" xr:uid="{00000000-0005-0000-0000-00002D1F0000}"/>
    <cellStyle name="Calculation 12 10 7 5" xfId="8013" xr:uid="{00000000-0005-0000-0000-00002E1F0000}"/>
    <cellStyle name="Calculation 12 10 7 6" xfId="8014" xr:uid="{00000000-0005-0000-0000-00002F1F0000}"/>
    <cellStyle name="Calculation 12 10 8" xfId="8015" xr:uid="{00000000-0005-0000-0000-0000301F0000}"/>
    <cellStyle name="Calculation 12 10 9" xfId="8016" xr:uid="{00000000-0005-0000-0000-0000311F0000}"/>
    <cellStyle name="Calculation 12 11" xfId="8017" xr:uid="{00000000-0005-0000-0000-0000321F0000}"/>
    <cellStyle name="Calculation 12 11 10" xfId="8018" xr:uid="{00000000-0005-0000-0000-0000331F0000}"/>
    <cellStyle name="Calculation 12 11 2" xfId="8019" xr:uid="{00000000-0005-0000-0000-0000341F0000}"/>
    <cellStyle name="Calculation 12 11 2 2" xfId="8020" xr:uid="{00000000-0005-0000-0000-0000351F0000}"/>
    <cellStyle name="Calculation 12 11 2 3" xfId="8021" xr:uid="{00000000-0005-0000-0000-0000361F0000}"/>
    <cellStyle name="Calculation 12 11 2 4" xfId="8022" xr:uid="{00000000-0005-0000-0000-0000371F0000}"/>
    <cellStyle name="Calculation 12 11 2 5" xfId="8023" xr:uid="{00000000-0005-0000-0000-0000381F0000}"/>
    <cellStyle name="Calculation 12 11 2 6" xfId="8024" xr:uid="{00000000-0005-0000-0000-0000391F0000}"/>
    <cellStyle name="Calculation 12 11 3" xfId="8025" xr:uid="{00000000-0005-0000-0000-00003A1F0000}"/>
    <cellStyle name="Calculation 12 11 3 2" xfId="8026" xr:uid="{00000000-0005-0000-0000-00003B1F0000}"/>
    <cellStyle name="Calculation 12 11 3 3" xfId="8027" xr:uid="{00000000-0005-0000-0000-00003C1F0000}"/>
    <cellStyle name="Calculation 12 11 3 4" xfId="8028" xr:uid="{00000000-0005-0000-0000-00003D1F0000}"/>
    <cellStyle name="Calculation 12 11 3 5" xfId="8029" xr:uid="{00000000-0005-0000-0000-00003E1F0000}"/>
    <cellStyle name="Calculation 12 11 3 6" xfId="8030" xr:uid="{00000000-0005-0000-0000-00003F1F0000}"/>
    <cellStyle name="Calculation 12 11 4" xfId="8031" xr:uid="{00000000-0005-0000-0000-0000401F0000}"/>
    <cellStyle name="Calculation 12 11 4 2" xfId="8032" xr:uid="{00000000-0005-0000-0000-0000411F0000}"/>
    <cellStyle name="Calculation 12 11 4 3" xfId="8033" xr:uid="{00000000-0005-0000-0000-0000421F0000}"/>
    <cellStyle name="Calculation 12 11 4 4" xfId="8034" xr:uid="{00000000-0005-0000-0000-0000431F0000}"/>
    <cellStyle name="Calculation 12 11 4 5" xfId="8035" xr:uid="{00000000-0005-0000-0000-0000441F0000}"/>
    <cellStyle name="Calculation 12 11 4 6" xfId="8036" xr:uid="{00000000-0005-0000-0000-0000451F0000}"/>
    <cellStyle name="Calculation 12 11 5" xfId="8037" xr:uid="{00000000-0005-0000-0000-0000461F0000}"/>
    <cellStyle name="Calculation 12 11 5 2" xfId="8038" xr:uid="{00000000-0005-0000-0000-0000471F0000}"/>
    <cellStyle name="Calculation 12 11 5 3" xfId="8039" xr:uid="{00000000-0005-0000-0000-0000481F0000}"/>
    <cellStyle name="Calculation 12 11 5 4" xfId="8040" xr:uid="{00000000-0005-0000-0000-0000491F0000}"/>
    <cellStyle name="Calculation 12 11 5 5" xfId="8041" xr:uid="{00000000-0005-0000-0000-00004A1F0000}"/>
    <cellStyle name="Calculation 12 11 5 6" xfId="8042" xr:uid="{00000000-0005-0000-0000-00004B1F0000}"/>
    <cellStyle name="Calculation 12 11 6" xfId="8043" xr:uid="{00000000-0005-0000-0000-00004C1F0000}"/>
    <cellStyle name="Calculation 12 11 6 2" xfId="8044" xr:uid="{00000000-0005-0000-0000-00004D1F0000}"/>
    <cellStyle name="Calculation 12 11 6 3" xfId="8045" xr:uid="{00000000-0005-0000-0000-00004E1F0000}"/>
    <cellStyle name="Calculation 12 11 6 4" xfId="8046" xr:uid="{00000000-0005-0000-0000-00004F1F0000}"/>
    <cellStyle name="Calculation 12 11 6 5" xfId="8047" xr:uid="{00000000-0005-0000-0000-0000501F0000}"/>
    <cellStyle name="Calculation 12 11 6 6" xfId="8048" xr:uid="{00000000-0005-0000-0000-0000511F0000}"/>
    <cellStyle name="Calculation 12 11 7" xfId="8049" xr:uid="{00000000-0005-0000-0000-0000521F0000}"/>
    <cellStyle name="Calculation 12 11 7 2" xfId="8050" xr:uid="{00000000-0005-0000-0000-0000531F0000}"/>
    <cellStyle name="Calculation 12 11 7 3" xfId="8051" xr:uid="{00000000-0005-0000-0000-0000541F0000}"/>
    <cellStyle name="Calculation 12 11 7 4" xfId="8052" xr:uid="{00000000-0005-0000-0000-0000551F0000}"/>
    <cellStyle name="Calculation 12 11 7 5" xfId="8053" xr:uid="{00000000-0005-0000-0000-0000561F0000}"/>
    <cellStyle name="Calculation 12 11 7 6" xfId="8054" xr:uid="{00000000-0005-0000-0000-0000571F0000}"/>
    <cellStyle name="Calculation 12 11 8" xfId="8055" xr:uid="{00000000-0005-0000-0000-0000581F0000}"/>
    <cellStyle name="Calculation 12 11 9" xfId="8056" xr:uid="{00000000-0005-0000-0000-0000591F0000}"/>
    <cellStyle name="Calculation 12 12" xfId="8057" xr:uid="{00000000-0005-0000-0000-00005A1F0000}"/>
    <cellStyle name="Calculation 12 12 10" xfId="8058" xr:uid="{00000000-0005-0000-0000-00005B1F0000}"/>
    <cellStyle name="Calculation 12 12 2" xfId="8059" xr:uid="{00000000-0005-0000-0000-00005C1F0000}"/>
    <cellStyle name="Calculation 12 12 2 2" xfId="8060" xr:uid="{00000000-0005-0000-0000-00005D1F0000}"/>
    <cellStyle name="Calculation 12 12 2 3" xfId="8061" xr:uid="{00000000-0005-0000-0000-00005E1F0000}"/>
    <cellStyle name="Calculation 12 12 2 4" xfId="8062" xr:uid="{00000000-0005-0000-0000-00005F1F0000}"/>
    <cellStyle name="Calculation 12 12 2 5" xfId="8063" xr:uid="{00000000-0005-0000-0000-0000601F0000}"/>
    <cellStyle name="Calculation 12 12 2 6" xfId="8064" xr:uid="{00000000-0005-0000-0000-0000611F0000}"/>
    <cellStyle name="Calculation 12 12 3" xfId="8065" xr:uid="{00000000-0005-0000-0000-0000621F0000}"/>
    <cellStyle name="Calculation 12 12 3 2" xfId="8066" xr:uid="{00000000-0005-0000-0000-0000631F0000}"/>
    <cellStyle name="Calculation 12 12 3 3" xfId="8067" xr:uid="{00000000-0005-0000-0000-0000641F0000}"/>
    <cellStyle name="Calculation 12 12 3 4" xfId="8068" xr:uid="{00000000-0005-0000-0000-0000651F0000}"/>
    <cellStyle name="Calculation 12 12 3 5" xfId="8069" xr:uid="{00000000-0005-0000-0000-0000661F0000}"/>
    <cellStyle name="Calculation 12 12 3 6" xfId="8070" xr:uid="{00000000-0005-0000-0000-0000671F0000}"/>
    <cellStyle name="Calculation 12 12 4" xfId="8071" xr:uid="{00000000-0005-0000-0000-0000681F0000}"/>
    <cellStyle name="Calculation 12 12 4 2" xfId="8072" xr:uid="{00000000-0005-0000-0000-0000691F0000}"/>
    <cellStyle name="Calculation 12 12 4 3" xfId="8073" xr:uid="{00000000-0005-0000-0000-00006A1F0000}"/>
    <cellStyle name="Calculation 12 12 4 4" xfId="8074" xr:uid="{00000000-0005-0000-0000-00006B1F0000}"/>
    <cellStyle name="Calculation 12 12 4 5" xfId="8075" xr:uid="{00000000-0005-0000-0000-00006C1F0000}"/>
    <cellStyle name="Calculation 12 12 4 6" xfId="8076" xr:uid="{00000000-0005-0000-0000-00006D1F0000}"/>
    <cellStyle name="Calculation 12 12 5" xfId="8077" xr:uid="{00000000-0005-0000-0000-00006E1F0000}"/>
    <cellStyle name="Calculation 12 12 5 2" xfId="8078" xr:uid="{00000000-0005-0000-0000-00006F1F0000}"/>
    <cellStyle name="Calculation 12 12 5 3" xfId="8079" xr:uid="{00000000-0005-0000-0000-0000701F0000}"/>
    <cellStyle name="Calculation 12 12 5 4" xfId="8080" xr:uid="{00000000-0005-0000-0000-0000711F0000}"/>
    <cellStyle name="Calculation 12 12 5 5" xfId="8081" xr:uid="{00000000-0005-0000-0000-0000721F0000}"/>
    <cellStyle name="Calculation 12 12 5 6" xfId="8082" xr:uid="{00000000-0005-0000-0000-0000731F0000}"/>
    <cellStyle name="Calculation 12 12 6" xfId="8083" xr:uid="{00000000-0005-0000-0000-0000741F0000}"/>
    <cellStyle name="Calculation 12 12 6 2" xfId="8084" xr:uid="{00000000-0005-0000-0000-0000751F0000}"/>
    <cellStyle name="Calculation 12 12 6 3" xfId="8085" xr:uid="{00000000-0005-0000-0000-0000761F0000}"/>
    <cellStyle name="Calculation 12 12 6 4" xfId="8086" xr:uid="{00000000-0005-0000-0000-0000771F0000}"/>
    <cellStyle name="Calculation 12 12 6 5" xfId="8087" xr:uid="{00000000-0005-0000-0000-0000781F0000}"/>
    <cellStyle name="Calculation 12 12 6 6" xfId="8088" xr:uid="{00000000-0005-0000-0000-0000791F0000}"/>
    <cellStyle name="Calculation 12 12 7" xfId="8089" xr:uid="{00000000-0005-0000-0000-00007A1F0000}"/>
    <cellStyle name="Calculation 12 12 7 2" xfId="8090" xr:uid="{00000000-0005-0000-0000-00007B1F0000}"/>
    <cellStyle name="Calculation 12 12 7 3" xfId="8091" xr:uid="{00000000-0005-0000-0000-00007C1F0000}"/>
    <cellStyle name="Calculation 12 12 7 4" xfId="8092" xr:uid="{00000000-0005-0000-0000-00007D1F0000}"/>
    <cellStyle name="Calculation 12 12 7 5" xfId="8093" xr:uid="{00000000-0005-0000-0000-00007E1F0000}"/>
    <cellStyle name="Calculation 12 12 7 6" xfId="8094" xr:uid="{00000000-0005-0000-0000-00007F1F0000}"/>
    <cellStyle name="Calculation 12 12 8" xfId="8095" xr:uid="{00000000-0005-0000-0000-0000801F0000}"/>
    <cellStyle name="Calculation 12 12 9" xfId="8096" xr:uid="{00000000-0005-0000-0000-0000811F0000}"/>
    <cellStyle name="Calculation 12 13" xfId="8097" xr:uid="{00000000-0005-0000-0000-0000821F0000}"/>
    <cellStyle name="Calculation 12 13 10" xfId="8098" xr:uid="{00000000-0005-0000-0000-0000831F0000}"/>
    <cellStyle name="Calculation 12 13 2" xfId="8099" xr:uid="{00000000-0005-0000-0000-0000841F0000}"/>
    <cellStyle name="Calculation 12 13 2 2" xfId="8100" xr:uid="{00000000-0005-0000-0000-0000851F0000}"/>
    <cellStyle name="Calculation 12 13 2 3" xfId="8101" xr:uid="{00000000-0005-0000-0000-0000861F0000}"/>
    <cellStyle name="Calculation 12 13 2 4" xfId="8102" xr:uid="{00000000-0005-0000-0000-0000871F0000}"/>
    <cellStyle name="Calculation 12 13 2 5" xfId="8103" xr:uid="{00000000-0005-0000-0000-0000881F0000}"/>
    <cellStyle name="Calculation 12 13 2 6" xfId="8104" xr:uid="{00000000-0005-0000-0000-0000891F0000}"/>
    <cellStyle name="Calculation 12 13 3" xfId="8105" xr:uid="{00000000-0005-0000-0000-00008A1F0000}"/>
    <cellStyle name="Calculation 12 13 3 2" xfId="8106" xr:uid="{00000000-0005-0000-0000-00008B1F0000}"/>
    <cellStyle name="Calculation 12 13 3 3" xfId="8107" xr:uid="{00000000-0005-0000-0000-00008C1F0000}"/>
    <cellStyle name="Calculation 12 13 3 4" xfId="8108" xr:uid="{00000000-0005-0000-0000-00008D1F0000}"/>
    <cellStyle name="Calculation 12 13 3 5" xfId="8109" xr:uid="{00000000-0005-0000-0000-00008E1F0000}"/>
    <cellStyle name="Calculation 12 13 3 6" xfId="8110" xr:uid="{00000000-0005-0000-0000-00008F1F0000}"/>
    <cellStyle name="Calculation 12 13 4" xfId="8111" xr:uid="{00000000-0005-0000-0000-0000901F0000}"/>
    <cellStyle name="Calculation 12 13 4 2" xfId="8112" xr:uid="{00000000-0005-0000-0000-0000911F0000}"/>
    <cellStyle name="Calculation 12 13 4 3" xfId="8113" xr:uid="{00000000-0005-0000-0000-0000921F0000}"/>
    <cellStyle name="Calculation 12 13 4 4" xfId="8114" xr:uid="{00000000-0005-0000-0000-0000931F0000}"/>
    <cellStyle name="Calculation 12 13 4 5" xfId="8115" xr:uid="{00000000-0005-0000-0000-0000941F0000}"/>
    <cellStyle name="Calculation 12 13 4 6" xfId="8116" xr:uid="{00000000-0005-0000-0000-0000951F0000}"/>
    <cellStyle name="Calculation 12 13 5" xfId="8117" xr:uid="{00000000-0005-0000-0000-0000961F0000}"/>
    <cellStyle name="Calculation 12 13 5 2" xfId="8118" xr:uid="{00000000-0005-0000-0000-0000971F0000}"/>
    <cellStyle name="Calculation 12 13 5 3" xfId="8119" xr:uid="{00000000-0005-0000-0000-0000981F0000}"/>
    <cellStyle name="Calculation 12 13 5 4" xfId="8120" xr:uid="{00000000-0005-0000-0000-0000991F0000}"/>
    <cellStyle name="Calculation 12 13 5 5" xfId="8121" xr:uid="{00000000-0005-0000-0000-00009A1F0000}"/>
    <cellStyle name="Calculation 12 13 5 6" xfId="8122" xr:uid="{00000000-0005-0000-0000-00009B1F0000}"/>
    <cellStyle name="Calculation 12 13 6" xfId="8123" xr:uid="{00000000-0005-0000-0000-00009C1F0000}"/>
    <cellStyle name="Calculation 12 13 6 2" xfId="8124" xr:uid="{00000000-0005-0000-0000-00009D1F0000}"/>
    <cellStyle name="Calculation 12 13 6 3" xfId="8125" xr:uid="{00000000-0005-0000-0000-00009E1F0000}"/>
    <cellStyle name="Calculation 12 13 6 4" xfId="8126" xr:uid="{00000000-0005-0000-0000-00009F1F0000}"/>
    <cellStyle name="Calculation 12 13 6 5" xfId="8127" xr:uid="{00000000-0005-0000-0000-0000A01F0000}"/>
    <cellStyle name="Calculation 12 13 6 6" xfId="8128" xr:uid="{00000000-0005-0000-0000-0000A11F0000}"/>
    <cellStyle name="Calculation 12 13 7" xfId="8129" xr:uid="{00000000-0005-0000-0000-0000A21F0000}"/>
    <cellStyle name="Calculation 12 13 7 2" xfId="8130" xr:uid="{00000000-0005-0000-0000-0000A31F0000}"/>
    <cellStyle name="Calculation 12 13 7 3" xfId="8131" xr:uid="{00000000-0005-0000-0000-0000A41F0000}"/>
    <cellStyle name="Calculation 12 13 7 4" xfId="8132" xr:uid="{00000000-0005-0000-0000-0000A51F0000}"/>
    <cellStyle name="Calculation 12 13 7 5" xfId="8133" xr:uid="{00000000-0005-0000-0000-0000A61F0000}"/>
    <cellStyle name="Calculation 12 13 7 6" xfId="8134" xr:uid="{00000000-0005-0000-0000-0000A71F0000}"/>
    <cellStyle name="Calculation 12 13 8" xfId="8135" xr:uid="{00000000-0005-0000-0000-0000A81F0000}"/>
    <cellStyle name="Calculation 12 13 9" xfId="8136" xr:uid="{00000000-0005-0000-0000-0000A91F0000}"/>
    <cellStyle name="Calculation 12 14" xfId="8137" xr:uid="{00000000-0005-0000-0000-0000AA1F0000}"/>
    <cellStyle name="Calculation 12 14 10" xfId="8138" xr:uid="{00000000-0005-0000-0000-0000AB1F0000}"/>
    <cellStyle name="Calculation 12 14 2" xfId="8139" xr:uid="{00000000-0005-0000-0000-0000AC1F0000}"/>
    <cellStyle name="Calculation 12 14 2 2" xfId="8140" xr:uid="{00000000-0005-0000-0000-0000AD1F0000}"/>
    <cellStyle name="Calculation 12 14 2 3" xfId="8141" xr:uid="{00000000-0005-0000-0000-0000AE1F0000}"/>
    <cellStyle name="Calculation 12 14 2 4" xfId="8142" xr:uid="{00000000-0005-0000-0000-0000AF1F0000}"/>
    <cellStyle name="Calculation 12 14 2 5" xfId="8143" xr:uid="{00000000-0005-0000-0000-0000B01F0000}"/>
    <cellStyle name="Calculation 12 14 2 6" xfId="8144" xr:uid="{00000000-0005-0000-0000-0000B11F0000}"/>
    <cellStyle name="Calculation 12 14 3" xfId="8145" xr:uid="{00000000-0005-0000-0000-0000B21F0000}"/>
    <cellStyle name="Calculation 12 14 3 2" xfId="8146" xr:uid="{00000000-0005-0000-0000-0000B31F0000}"/>
    <cellStyle name="Calculation 12 14 3 3" xfId="8147" xr:uid="{00000000-0005-0000-0000-0000B41F0000}"/>
    <cellStyle name="Calculation 12 14 3 4" xfId="8148" xr:uid="{00000000-0005-0000-0000-0000B51F0000}"/>
    <cellStyle name="Calculation 12 14 3 5" xfId="8149" xr:uid="{00000000-0005-0000-0000-0000B61F0000}"/>
    <cellStyle name="Calculation 12 14 3 6" xfId="8150" xr:uid="{00000000-0005-0000-0000-0000B71F0000}"/>
    <cellStyle name="Calculation 12 14 4" xfId="8151" xr:uid="{00000000-0005-0000-0000-0000B81F0000}"/>
    <cellStyle name="Calculation 12 14 4 2" xfId="8152" xr:uid="{00000000-0005-0000-0000-0000B91F0000}"/>
    <cellStyle name="Calculation 12 14 4 3" xfId="8153" xr:uid="{00000000-0005-0000-0000-0000BA1F0000}"/>
    <cellStyle name="Calculation 12 14 4 4" xfId="8154" xr:uid="{00000000-0005-0000-0000-0000BB1F0000}"/>
    <cellStyle name="Calculation 12 14 4 5" xfId="8155" xr:uid="{00000000-0005-0000-0000-0000BC1F0000}"/>
    <cellStyle name="Calculation 12 14 4 6" xfId="8156" xr:uid="{00000000-0005-0000-0000-0000BD1F0000}"/>
    <cellStyle name="Calculation 12 14 5" xfId="8157" xr:uid="{00000000-0005-0000-0000-0000BE1F0000}"/>
    <cellStyle name="Calculation 12 14 5 2" xfId="8158" xr:uid="{00000000-0005-0000-0000-0000BF1F0000}"/>
    <cellStyle name="Calculation 12 14 5 3" xfId="8159" xr:uid="{00000000-0005-0000-0000-0000C01F0000}"/>
    <cellStyle name="Calculation 12 14 5 4" xfId="8160" xr:uid="{00000000-0005-0000-0000-0000C11F0000}"/>
    <cellStyle name="Calculation 12 14 5 5" xfId="8161" xr:uid="{00000000-0005-0000-0000-0000C21F0000}"/>
    <cellStyle name="Calculation 12 14 5 6" xfId="8162" xr:uid="{00000000-0005-0000-0000-0000C31F0000}"/>
    <cellStyle name="Calculation 12 14 6" xfId="8163" xr:uid="{00000000-0005-0000-0000-0000C41F0000}"/>
    <cellStyle name="Calculation 12 14 6 2" xfId="8164" xr:uid="{00000000-0005-0000-0000-0000C51F0000}"/>
    <cellStyle name="Calculation 12 14 6 3" xfId="8165" xr:uid="{00000000-0005-0000-0000-0000C61F0000}"/>
    <cellStyle name="Calculation 12 14 6 4" xfId="8166" xr:uid="{00000000-0005-0000-0000-0000C71F0000}"/>
    <cellStyle name="Calculation 12 14 6 5" xfId="8167" xr:uid="{00000000-0005-0000-0000-0000C81F0000}"/>
    <cellStyle name="Calculation 12 14 6 6" xfId="8168" xr:uid="{00000000-0005-0000-0000-0000C91F0000}"/>
    <cellStyle name="Calculation 12 14 7" xfId="8169" xr:uid="{00000000-0005-0000-0000-0000CA1F0000}"/>
    <cellStyle name="Calculation 12 14 7 2" xfId="8170" xr:uid="{00000000-0005-0000-0000-0000CB1F0000}"/>
    <cellStyle name="Calculation 12 14 7 3" xfId="8171" xr:uid="{00000000-0005-0000-0000-0000CC1F0000}"/>
    <cellStyle name="Calculation 12 14 7 4" xfId="8172" xr:uid="{00000000-0005-0000-0000-0000CD1F0000}"/>
    <cellStyle name="Calculation 12 14 7 5" xfId="8173" xr:uid="{00000000-0005-0000-0000-0000CE1F0000}"/>
    <cellStyle name="Calculation 12 14 7 6" xfId="8174" xr:uid="{00000000-0005-0000-0000-0000CF1F0000}"/>
    <cellStyle name="Calculation 12 14 8" xfId="8175" xr:uid="{00000000-0005-0000-0000-0000D01F0000}"/>
    <cellStyle name="Calculation 12 14 9" xfId="8176" xr:uid="{00000000-0005-0000-0000-0000D11F0000}"/>
    <cellStyle name="Calculation 12 15" xfId="8177" xr:uid="{00000000-0005-0000-0000-0000D21F0000}"/>
    <cellStyle name="Calculation 12 15 10" xfId="8178" xr:uid="{00000000-0005-0000-0000-0000D31F0000}"/>
    <cellStyle name="Calculation 12 15 2" xfId="8179" xr:uid="{00000000-0005-0000-0000-0000D41F0000}"/>
    <cellStyle name="Calculation 12 15 2 2" xfId="8180" xr:uid="{00000000-0005-0000-0000-0000D51F0000}"/>
    <cellStyle name="Calculation 12 15 2 3" xfId="8181" xr:uid="{00000000-0005-0000-0000-0000D61F0000}"/>
    <cellStyle name="Calculation 12 15 2 4" xfId="8182" xr:uid="{00000000-0005-0000-0000-0000D71F0000}"/>
    <cellStyle name="Calculation 12 15 2 5" xfId="8183" xr:uid="{00000000-0005-0000-0000-0000D81F0000}"/>
    <cellStyle name="Calculation 12 15 2 6" xfId="8184" xr:uid="{00000000-0005-0000-0000-0000D91F0000}"/>
    <cellStyle name="Calculation 12 15 3" xfId="8185" xr:uid="{00000000-0005-0000-0000-0000DA1F0000}"/>
    <cellStyle name="Calculation 12 15 3 2" xfId="8186" xr:uid="{00000000-0005-0000-0000-0000DB1F0000}"/>
    <cellStyle name="Calculation 12 15 3 3" xfId="8187" xr:uid="{00000000-0005-0000-0000-0000DC1F0000}"/>
    <cellStyle name="Calculation 12 15 3 4" xfId="8188" xr:uid="{00000000-0005-0000-0000-0000DD1F0000}"/>
    <cellStyle name="Calculation 12 15 3 5" xfId="8189" xr:uid="{00000000-0005-0000-0000-0000DE1F0000}"/>
    <cellStyle name="Calculation 12 15 3 6" xfId="8190" xr:uid="{00000000-0005-0000-0000-0000DF1F0000}"/>
    <cellStyle name="Calculation 12 15 4" xfId="8191" xr:uid="{00000000-0005-0000-0000-0000E01F0000}"/>
    <cellStyle name="Calculation 12 15 4 2" xfId="8192" xr:uid="{00000000-0005-0000-0000-0000E11F0000}"/>
    <cellStyle name="Calculation 12 15 4 3" xfId="8193" xr:uid="{00000000-0005-0000-0000-0000E21F0000}"/>
    <cellStyle name="Calculation 12 15 4 4" xfId="8194" xr:uid="{00000000-0005-0000-0000-0000E31F0000}"/>
    <cellStyle name="Calculation 12 15 4 5" xfId="8195" xr:uid="{00000000-0005-0000-0000-0000E41F0000}"/>
    <cellStyle name="Calculation 12 15 4 6" xfId="8196" xr:uid="{00000000-0005-0000-0000-0000E51F0000}"/>
    <cellStyle name="Calculation 12 15 5" xfId="8197" xr:uid="{00000000-0005-0000-0000-0000E61F0000}"/>
    <cellStyle name="Calculation 12 15 5 2" xfId="8198" xr:uid="{00000000-0005-0000-0000-0000E71F0000}"/>
    <cellStyle name="Calculation 12 15 5 3" xfId="8199" xr:uid="{00000000-0005-0000-0000-0000E81F0000}"/>
    <cellStyle name="Calculation 12 15 5 4" xfId="8200" xr:uid="{00000000-0005-0000-0000-0000E91F0000}"/>
    <cellStyle name="Calculation 12 15 5 5" xfId="8201" xr:uid="{00000000-0005-0000-0000-0000EA1F0000}"/>
    <cellStyle name="Calculation 12 15 5 6" xfId="8202" xr:uid="{00000000-0005-0000-0000-0000EB1F0000}"/>
    <cellStyle name="Calculation 12 15 6" xfId="8203" xr:uid="{00000000-0005-0000-0000-0000EC1F0000}"/>
    <cellStyle name="Calculation 12 15 6 2" xfId="8204" xr:uid="{00000000-0005-0000-0000-0000ED1F0000}"/>
    <cellStyle name="Calculation 12 15 6 3" xfId="8205" xr:uid="{00000000-0005-0000-0000-0000EE1F0000}"/>
    <cellStyle name="Calculation 12 15 6 4" xfId="8206" xr:uid="{00000000-0005-0000-0000-0000EF1F0000}"/>
    <cellStyle name="Calculation 12 15 6 5" xfId="8207" xr:uid="{00000000-0005-0000-0000-0000F01F0000}"/>
    <cellStyle name="Calculation 12 15 6 6" xfId="8208" xr:uid="{00000000-0005-0000-0000-0000F11F0000}"/>
    <cellStyle name="Calculation 12 15 7" xfId="8209" xr:uid="{00000000-0005-0000-0000-0000F21F0000}"/>
    <cellStyle name="Calculation 12 15 7 2" xfId="8210" xr:uid="{00000000-0005-0000-0000-0000F31F0000}"/>
    <cellStyle name="Calculation 12 15 7 3" xfId="8211" xr:uid="{00000000-0005-0000-0000-0000F41F0000}"/>
    <cellStyle name="Calculation 12 15 7 4" xfId="8212" xr:uid="{00000000-0005-0000-0000-0000F51F0000}"/>
    <cellStyle name="Calculation 12 15 7 5" xfId="8213" xr:uid="{00000000-0005-0000-0000-0000F61F0000}"/>
    <cellStyle name="Calculation 12 15 7 6" xfId="8214" xr:uid="{00000000-0005-0000-0000-0000F71F0000}"/>
    <cellStyle name="Calculation 12 15 8" xfId="8215" xr:uid="{00000000-0005-0000-0000-0000F81F0000}"/>
    <cellStyle name="Calculation 12 15 9" xfId="8216" xr:uid="{00000000-0005-0000-0000-0000F91F0000}"/>
    <cellStyle name="Calculation 12 16" xfId="8217" xr:uid="{00000000-0005-0000-0000-0000FA1F0000}"/>
    <cellStyle name="Calculation 12 16 10" xfId="8218" xr:uid="{00000000-0005-0000-0000-0000FB1F0000}"/>
    <cellStyle name="Calculation 12 16 2" xfId="8219" xr:uid="{00000000-0005-0000-0000-0000FC1F0000}"/>
    <cellStyle name="Calculation 12 16 2 2" xfId="8220" xr:uid="{00000000-0005-0000-0000-0000FD1F0000}"/>
    <cellStyle name="Calculation 12 16 2 3" xfId="8221" xr:uid="{00000000-0005-0000-0000-0000FE1F0000}"/>
    <cellStyle name="Calculation 12 16 2 4" xfId="8222" xr:uid="{00000000-0005-0000-0000-0000FF1F0000}"/>
    <cellStyle name="Calculation 12 16 2 5" xfId="8223" xr:uid="{00000000-0005-0000-0000-000000200000}"/>
    <cellStyle name="Calculation 12 16 2 6" xfId="8224" xr:uid="{00000000-0005-0000-0000-000001200000}"/>
    <cellStyle name="Calculation 12 16 3" xfId="8225" xr:uid="{00000000-0005-0000-0000-000002200000}"/>
    <cellStyle name="Calculation 12 16 3 2" xfId="8226" xr:uid="{00000000-0005-0000-0000-000003200000}"/>
    <cellStyle name="Calculation 12 16 3 3" xfId="8227" xr:uid="{00000000-0005-0000-0000-000004200000}"/>
    <cellStyle name="Calculation 12 16 3 4" xfId="8228" xr:uid="{00000000-0005-0000-0000-000005200000}"/>
    <cellStyle name="Calculation 12 16 3 5" xfId="8229" xr:uid="{00000000-0005-0000-0000-000006200000}"/>
    <cellStyle name="Calculation 12 16 3 6" xfId="8230" xr:uid="{00000000-0005-0000-0000-000007200000}"/>
    <cellStyle name="Calculation 12 16 4" xfId="8231" xr:uid="{00000000-0005-0000-0000-000008200000}"/>
    <cellStyle name="Calculation 12 16 4 2" xfId="8232" xr:uid="{00000000-0005-0000-0000-000009200000}"/>
    <cellStyle name="Calculation 12 16 4 3" xfId="8233" xr:uid="{00000000-0005-0000-0000-00000A200000}"/>
    <cellStyle name="Calculation 12 16 4 4" xfId="8234" xr:uid="{00000000-0005-0000-0000-00000B200000}"/>
    <cellStyle name="Calculation 12 16 4 5" xfId="8235" xr:uid="{00000000-0005-0000-0000-00000C200000}"/>
    <cellStyle name="Calculation 12 16 4 6" xfId="8236" xr:uid="{00000000-0005-0000-0000-00000D200000}"/>
    <cellStyle name="Calculation 12 16 5" xfId="8237" xr:uid="{00000000-0005-0000-0000-00000E200000}"/>
    <cellStyle name="Calculation 12 16 5 2" xfId="8238" xr:uid="{00000000-0005-0000-0000-00000F200000}"/>
    <cellStyle name="Calculation 12 16 5 3" xfId="8239" xr:uid="{00000000-0005-0000-0000-000010200000}"/>
    <cellStyle name="Calculation 12 16 5 4" xfId="8240" xr:uid="{00000000-0005-0000-0000-000011200000}"/>
    <cellStyle name="Calculation 12 16 5 5" xfId="8241" xr:uid="{00000000-0005-0000-0000-000012200000}"/>
    <cellStyle name="Calculation 12 16 5 6" xfId="8242" xr:uid="{00000000-0005-0000-0000-000013200000}"/>
    <cellStyle name="Calculation 12 16 6" xfId="8243" xr:uid="{00000000-0005-0000-0000-000014200000}"/>
    <cellStyle name="Calculation 12 16 6 2" xfId="8244" xr:uid="{00000000-0005-0000-0000-000015200000}"/>
    <cellStyle name="Calculation 12 16 6 3" xfId="8245" xr:uid="{00000000-0005-0000-0000-000016200000}"/>
    <cellStyle name="Calculation 12 16 6 4" xfId="8246" xr:uid="{00000000-0005-0000-0000-000017200000}"/>
    <cellStyle name="Calculation 12 16 6 5" xfId="8247" xr:uid="{00000000-0005-0000-0000-000018200000}"/>
    <cellStyle name="Calculation 12 16 6 6" xfId="8248" xr:uid="{00000000-0005-0000-0000-000019200000}"/>
    <cellStyle name="Calculation 12 16 7" xfId="8249" xr:uid="{00000000-0005-0000-0000-00001A200000}"/>
    <cellStyle name="Calculation 12 16 7 2" xfId="8250" xr:uid="{00000000-0005-0000-0000-00001B200000}"/>
    <cellStyle name="Calculation 12 16 7 3" xfId="8251" xr:uid="{00000000-0005-0000-0000-00001C200000}"/>
    <cellStyle name="Calculation 12 16 7 4" xfId="8252" xr:uid="{00000000-0005-0000-0000-00001D200000}"/>
    <cellStyle name="Calculation 12 16 7 5" xfId="8253" xr:uid="{00000000-0005-0000-0000-00001E200000}"/>
    <cellStyle name="Calculation 12 16 7 6" xfId="8254" xr:uid="{00000000-0005-0000-0000-00001F200000}"/>
    <cellStyle name="Calculation 12 16 8" xfId="8255" xr:uid="{00000000-0005-0000-0000-000020200000}"/>
    <cellStyle name="Calculation 12 16 9" xfId="8256" xr:uid="{00000000-0005-0000-0000-000021200000}"/>
    <cellStyle name="Calculation 12 17" xfId="8257" xr:uid="{00000000-0005-0000-0000-000022200000}"/>
    <cellStyle name="Calculation 12 17 10" xfId="8258" xr:uid="{00000000-0005-0000-0000-000023200000}"/>
    <cellStyle name="Calculation 12 17 2" xfId="8259" xr:uid="{00000000-0005-0000-0000-000024200000}"/>
    <cellStyle name="Calculation 12 17 2 2" xfId="8260" xr:uid="{00000000-0005-0000-0000-000025200000}"/>
    <cellStyle name="Calculation 12 17 2 3" xfId="8261" xr:uid="{00000000-0005-0000-0000-000026200000}"/>
    <cellStyle name="Calculation 12 17 2 4" xfId="8262" xr:uid="{00000000-0005-0000-0000-000027200000}"/>
    <cellStyle name="Calculation 12 17 2 5" xfId="8263" xr:uid="{00000000-0005-0000-0000-000028200000}"/>
    <cellStyle name="Calculation 12 17 2 6" xfId="8264" xr:uid="{00000000-0005-0000-0000-000029200000}"/>
    <cellStyle name="Calculation 12 17 3" xfId="8265" xr:uid="{00000000-0005-0000-0000-00002A200000}"/>
    <cellStyle name="Calculation 12 17 3 2" xfId="8266" xr:uid="{00000000-0005-0000-0000-00002B200000}"/>
    <cellStyle name="Calculation 12 17 3 3" xfId="8267" xr:uid="{00000000-0005-0000-0000-00002C200000}"/>
    <cellStyle name="Calculation 12 17 3 4" xfId="8268" xr:uid="{00000000-0005-0000-0000-00002D200000}"/>
    <cellStyle name="Calculation 12 17 3 5" xfId="8269" xr:uid="{00000000-0005-0000-0000-00002E200000}"/>
    <cellStyle name="Calculation 12 17 3 6" xfId="8270" xr:uid="{00000000-0005-0000-0000-00002F200000}"/>
    <cellStyle name="Calculation 12 17 4" xfId="8271" xr:uid="{00000000-0005-0000-0000-000030200000}"/>
    <cellStyle name="Calculation 12 17 4 2" xfId="8272" xr:uid="{00000000-0005-0000-0000-000031200000}"/>
    <cellStyle name="Calculation 12 17 4 3" xfId="8273" xr:uid="{00000000-0005-0000-0000-000032200000}"/>
    <cellStyle name="Calculation 12 17 4 4" xfId="8274" xr:uid="{00000000-0005-0000-0000-000033200000}"/>
    <cellStyle name="Calculation 12 17 4 5" xfId="8275" xr:uid="{00000000-0005-0000-0000-000034200000}"/>
    <cellStyle name="Calculation 12 17 4 6" xfId="8276" xr:uid="{00000000-0005-0000-0000-000035200000}"/>
    <cellStyle name="Calculation 12 17 5" xfId="8277" xr:uid="{00000000-0005-0000-0000-000036200000}"/>
    <cellStyle name="Calculation 12 17 5 2" xfId="8278" xr:uid="{00000000-0005-0000-0000-000037200000}"/>
    <cellStyle name="Calculation 12 17 5 3" xfId="8279" xr:uid="{00000000-0005-0000-0000-000038200000}"/>
    <cellStyle name="Calculation 12 17 5 4" xfId="8280" xr:uid="{00000000-0005-0000-0000-000039200000}"/>
    <cellStyle name="Calculation 12 17 5 5" xfId="8281" xr:uid="{00000000-0005-0000-0000-00003A200000}"/>
    <cellStyle name="Calculation 12 17 5 6" xfId="8282" xr:uid="{00000000-0005-0000-0000-00003B200000}"/>
    <cellStyle name="Calculation 12 17 6" xfId="8283" xr:uid="{00000000-0005-0000-0000-00003C200000}"/>
    <cellStyle name="Calculation 12 17 6 2" xfId="8284" xr:uid="{00000000-0005-0000-0000-00003D200000}"/>
    <cellStyle name="Calculation 12 17 6 3" xfId="8285" xr:uid="{00000000-0005-0000-0000-00003E200000}"/>
    <cellStyle name="Calculation 12 17 6 4" xfId="8286" xr:uid="{00000000-0005-0000-0000-00003F200000}"/>
    <cellStyle name="Calculation 12 17 6 5" xfId="8287" xr:uid="{00000000-0005-0000-0000-000040200000}"/>
    <cellStyle name="Calculation 12 17 6 6" xfId="8288" xr:uid="{00000000-0005-0000-0000-000041200000}"/>
    <cellStyle name="Calculation 12 17 7" xfId="8289" xr:uid="{00000000-0005-0000-0000-000042200000}"/>
    <cellStyle name="Calculation 12 17 7 2" xfId="8290" xr:uid="{00000000-0005-0000-0000-000043200000}"/>
    <cellStyle name="Calculation 12 17 7 3" xfId="8291" xr:uid="{00000000-0005-0000-0000-000044200000}"/>
    <cellStyle name="Calculation 12 17 7 4" xfId="8292" xr:uid="{00000000-0005-0000-0000-000045200000}"/>
    <cellStyle name="Calculation 12 17 7 5" xfId="8293" xr:uid="{00000000-0005-0000-0000-000046200000}"/>
    <cellStyle name="Calculation 12 17 7 6" xfId="8294" xr:uid="{00000000-0005-0000-0000-000047200000}"/>
    <cellStyle name="Calculation 12 17 8" xfId="8295" xr:uid="{00000000-0005-0000-0000-000048200000}"/>
    <cellStyle name="Calculation 12 17 9" xfId="8296" xr:uid="{00000000-0005-0000-0000-000049200000}"/>
    <cellStyle name="Calculation 12 18" xfId="8297" xr:uid="{00000000-0005-0000-0000-00004A200000}"/>
    <cellStyle name="Calculation 12 18 10" xfId="8298" xr:uid="{00000000-0005-0000-0000-00004B200000}"/>
    <cellStyle name="Calculation 12 18 2" xfId="8299" xr:uid="{00000000-0005-0000-0000-00004C200000}"/>
    <cellStyle name="Calculation 12 18 2 2" xfId="8300" xr:uid="{00000000-0005-0000-0000-00004D200000}"/>
    <cellStyle name="Calculation 12 18 2 3" xfId="8301" xr:uid="{00000000-0005-0000-0000-00004E200000}"/>
    <cellStyle name="Calculation 12 18 2 4" xfId="8302" xr:uid="{00000000-0005-0000-0000-00004F200000}"/>
    <cellStyle name="Calculation 12 18 2 5" xfId="8303" xr:uid="{00000000-0005-0000-0000-000050200000}"/>
    <cellStyle name="Calculation 12 18 2 6" xfId="8304" xr:uid="{00000000-0005-0000-0000-000051200000}"/>
    <cellStyle name="Calculation 12 18 3" xfId="8305" xr:uid="{00000000-0005-0000-0000-000052200000}"/>
    <cellStyle name="Calculation 12 18 3 2" xfId="8306" xr:uid="{00000000-0005-0000-0000-000053200000}"/>
    <cellStyle name="Calculation 12 18 3 3" xfId="8307" xr:uid="{00000000-0005-0000-0000-000054200000}"/>
    <cellStyle name="Calculation 12 18 3 4" xfId="8308" xr:uid="{00000000-0005-0000-0000-000055200000}"/>
    <cellStyle name="Calculation 12 18 3 5" xfId="8309" xr:uid="{00000000-0005-0000-0000-000056200000}"/>
    <cellStyle name="Calculation 12 18 3 6" xfId="8310" xr:uid="{00000000-0005-0000-0000-000057200000}"/>
    <cellStyle name="Calculation 12 18 4" xfId="8311" xr:uid="{00000000-0005-0000-0000-000058200000}"/>
    <cellStyle name="Calculation 12 18 4 2" xfId="8312" xr:uid="{00000000-0005-0000-0000-000059200000}"/>
    <cellStyle name="Calculation 12 18 4 3" xfId="8313" xr:uid="{00000000-0005-0000-0000-00005A200000}"/>
    <cellStyle name="Calculation 12 18 4 4" xfId="8314" xr:uid="{00000000-0005-0000-0000-00005B200000}"/>
    <cellStyle name="Calculation 12 18 4 5" xfId="8315" xr:uid="{00000000-0005-0000-0000-00005C200000}"/>
    <cellStyle name="Calculation 12 18 4 6" xfId="8316" xr:uid="{00000000-0005-0000-0000-00005D200000}"/>
    <cellStyle name="Calculation 12 18 5" xfId="8317" xr:uid="{00000000-0005-0000-0000-00005E200000}"/>
    <cellStyle name="Calculation 12 18 5 2" xfId="8318" xr:uid="{00000000-0005-0000-0000-00005F200000}"/>
    <cellStyle name="Calculation 12 18 5 3" xfId="8319" xr:uid="{00000000-0005-0000-0000-000060200000}"/>
    <cellStyle name="Calculation 12 18 5 4" xfId="8320" xr:uid="{00000000-0005-0000-0000-000061200000}"/>
    <cellStyle name="Calculation 12 18 5 5" xfId="8321" xr:uid="{00000000-0005-0000-0000-000062200000}"/>
    <cellStyle name="Calculation 12 18 5 6" xfId="8322" xr:uid="{00000000-0005-0000-0000-000063200000}"/>
    <cellStyle name="Calculation 12 18 6" xfId="8323" xr:uid="{00000000-0005-0000-0000-000064200000}"/>
    <cellStyle name="Calculation 12 18 6 2" xfId="8324" xr:uid="{00000000-0005-0000-0000-000065200000}"/>
    <cellStyle name="Calculation 12 18 6 3" xfId="8325" xr:uid="{00000000-0005-0000-0000-000066200000}"/>
    <cellStyle name="Calculation 12 18 6 4" xfId="8326" xr:uid="{00000000-0005-0000-0000-000067200000}"/>
    <cellStyle name="Calculation 12 18 6 5" xfId="8327" xr:uid="{00000000-0005-0000-0000-000068200000}"/>
    <cellStyle name="Calculation 12 18 6 6" xfId="8328" xr:uid="{00000000-0005-0000-0000-000069200000}"/>
    <cellStyle name="Calculation 12 18 7" xfId="8329" xr:uid="{00000000-0005-0000-0000-00006A200000}"/>
    <cellStyle name="Calculation 12 18 7 2" xfId="8330" xr:uid="{00000000-0005-0000-0000-00006B200000}"/>
    <cellStyle name="Calculation 12 18 7 3" xfId="8331" xr:uid="{00000000-0005-0000-0000-00006C200000}"/>
    <cellStyle name="Calculation 12 18 7 4" xfId="8332" xr:uid="{00000000-0005-0000-0000-00006D200000}"/>
    <cellStyle name="Calculation 12 18 7 5" xfId="8333" xr:uid="{00000000-0005-0000-0000-00006E200000}"/>
    <cellStyle name="Calculation 12 18 7 6" xfId="8334" xr:uid="{00000000-0005-0000-0000-00006F200000}"/>
    <cellStyle name="Calculation 12 18 8" xfId="8335" xr:uid="{00000000-0005-0000-0000-000070200000}"/>
    <cellStyle name="Calculation 12 18 9" xfId="8336" xr:uid="{00000000-0005-0000-0000-000071200000}"/>
    <cellStyle name="Calculation 12 19" xfId="8337" xr:uid="{00000000-0005-0000-0000-000072200000}"/>
    <cellStyle name="Calculation 12 19 10" xfId="8338" xr:uid="{00000000-0005-0000-0000-000073200000}"/>
    <cellStyle name="Calculation 12 19 2" xfId="8339" xr:uid="{00000000-0005-0000-0000-000074200000}"/>
    <cellStyle name="Calculation 12 19 2 2" xfId="8340" xr:uid="{00000000-0005-0000-0000-000075200000}"/>
    <cellStyle name="Calculation 12 19 2 3" xfId="8341" xr:uid="{00000000-0005-0000-0000-000076200000}"/>
    <cellStyle name="Calculation 12 19 2 4" xfId="8342" xr:uid="{00000000-0005-0000-0000-000077200000}"/>
    <cellStyle name="Calculation 12 19 2 5" xfId="8343" xr:uid="{00000000-0005-0000-0000-000078200000}"/>
    <cellStyle name="Calculation 12 19 2 6" xfId="8344" xr:uid="{00000000-0005-0000-0000-000079200000}"/>
    <cellStyle name="Calculation 12 19 3" xfId="8345" xr:uid="{00000000-0005-0000-0000-00007A200000}"/>
    <cellStyle name="Calculation 12 19 3 2" xfId="8346" xr:uid="{00000000-0005-0000-0000-00007B200000}"/>
    <cellStyle name="Calculation 12 19 3 3" xfId="8347" xr:uid="{00000000-0005-0000-0000-00007C200000}"/>
    <cellStyle name="Calculation 12 19 3 4" xfId="8348" xr:uid="{00000000-0005-0000-0000-00007D200000}"/>
    <cellStyle name="Calculation 12 19 3 5" xfId="8349" xr:uid="{00000000-0005-0000-0000-00007E200000}"/>
    <cellStyle name="Calculation 12 19 3 6" xfId="8350" xr:uid="{00000000-0005-0000-0000-00007F200000}"/>
    <cellStyle name="Calculation 12 19 4" xfId="8351" xr:uid="{00000000-0005-0000-0000-000080200000}"/>
    <cellStyle name="Calculation 12 19 4 2" xfId="8352" xr:uid="{00000000-0005-0000-0000-000081200000}"/>
    <cellStyle name="Calculation 12 19 4 3" xfId="8353" xr:uid="{00000000-0005-0000-0000-000082200000}"/>
    <cellStyle name="Calculation 12 19 4 4" xfId="8354" xr:uid="{00000000-0005-0000-0000-000083200000}"/>
    <cellStyle name="Calculation 12 19 4 5" xfId="8355" xr:uid="{00000000-0005-0000-0000-000084200000}"/>
    <cellStyle name="Calculation 12 19 4 6" xfId="8356" xr:uid="{00000000-0005-0000-0000-000085200000}"/>
    <cellStyle name="Calculation 12 19 5" xfId="8357" xr:uid="{00000000-0005-0000-0000-000086200000}"/>
    <cellStyle name="Calculation 12 19 5 2" xfId="8358" xr:uid="{00000000-0005-0000-0000-000087200000}"/>
    <cellStyle name="Calculation 12 19 5 3" xfId="8359" xr:uid="{00000000-0005-0000-0000-000088200000}"/>
    <cellStyle name="Calculation 12 19 5 4" xfId="8360" xr:uid="{00000000-0005-0000-0000-000089200000}"/>
    <cellStyle name="Calculation 12 19 5 5" xfId="8361" xr:uid="{00000000-0005-0000-0000-00008A200000}"/>
    <cellStyle name="Calculation 12 19 5 6" xfId="8362" xr:uid="{00000000-0005-0000-0000-00008B200000}"/>
    <cellStyle name="Calculation 12 19 6" xfId="8363" xr:uid="{00000000-0005-0000-0000-00008C200000}"/>
    <cellStyle name="Calculation 12 19 6 2" xfId="8364" xr:uid="{00000000-0005-0000-0000-00008D200000}"/>
    <cellStyle name="Calculation 12 19 6 3" xfId="8365" xr:uid="{00000000-0005-0000-0000-00008E200000}"/>
    <cellStyle name="Calculation 12 19 6 4" xfId="8366" xr:uid="{00000000-0005-0000-0000-00008F200000}"/>
    <cellStyle name="Calculation 12 19 6 5" xfId="8367" xr:uid="{00000000-0005-0000-0000-000090200000}"/>
    <cellStyle name="Calculation 12 19 6 6" xfId="8368" xr:uid="{00000000-0005-0000-0000-000091200000}"/>
    <cellStyle name="Calculation 12 19 7" xfId="8369" xr:uid="{00000000-0005-0000-0000-000092200000}"/>
    <cellStyle name="Calculation 12 19 7 2" xfId="8370" xr:uid="{00000000-0005-0000-0000-000093200000}"/>
    <cellStyle name="Calculation 12 19 7 3" xfId="8371" xr:uid="{00000000-0005-0000-0000-000094200000}"/>
    <cellStyle name="Calculation 12 19 7 4" xfId="8372" xr:uid="{00000000-0005-0000-0000-000095200000}"/>
    <cellStyle name="Calculation 12 19 7 5" xfId="8373" xr:uid="{00000000-0005-0000-0000-000096200000}"/>
    <cellStyle name="Calculation 12 19 7 6" xfId="8374" xr:uid="{00000000-0005-0000-0000-000097200000}"/>
    <cellStyle name="Calculation 12 19 8" xfId="8375" xr:uid="{00000000-0005-0000-0000-000098200000}"/>
    <cellStyle name="Calculation 12 19 9" xfId="8376" xr:uid="{00000000-0005-0000-0000-000099200000}"/>
    <cellStyle name="Calculation 12 2" xfId="8377" xr:uid="{00000000-0005-0000-0000-00009A200000}"/>
    <cellStyle name="Calculation 12 2 10" xfId="8378" xr:uid="{00000000-0005-0000-0000-00009B200000}"/>
    <cellStyle name="Calculation 12 2 10 10" xfId="8379" xr:uid="{00000000-0005-0000-0000-00009C200000}"/>
    <cellStyle name="Calculation 12 2 10 2" xfId="8380" xr:uid="{00000000-0005-0000-0000-00009D200000}"/>
    <cellStyle name="Calculation 12 2 10 2 2" xfId="8381" xr:uid="{00000000-0005-0000-0000-00009E200000}"/>
    <cellStyle name="Calculation 12 2 10 2 3" xfId="8382" xr:uid="{00000000-0005-0000-0000-00009F200000}"/>
    <cellStyle name="Calculation 12 2 10 2 4" xfId="8383" xr:uid="{00000000-0005-0000-0000-0000A0200000}"/>
    <cellStyle name="Calculation 12 2 10 2 5" xfId="8384" xr:uid="{00000000-0005-0000-0000-0000A1200000}"/>
    <cellStyle name="Calculation 12 2 10 2 6" xfId="8385" xr:uid="{00000000-0005-0000-0000-0000A2200000}"/>
    <cellStyle name="Calculation 12 2 10 3" xfId="8386" xr:uid="{00000000-0005-0000-0000-0000A3200000}"/>
    <cellStyle name="Calculation 12 2 10 3 2" xfId="8387" xr:uid="{00000000-0005-0000-0000-0000A4200000}"/>
    <cellStyle name="Calculation 12 2 10 3 3" xfId="8388" xr:uid="{00000000-0005-0000-0000-0000A5200000}"/>
    <cellStyle name="Calculation 12 2 10 3 4" xfId="8389" xr:uid="{00000000-0005-0000-0000-0000A6200000}"/>
    <cellStyle name="Calculation 12 2 10 3 5" xfId="8390" xr:uid="{00000000-0005-0000-0000-0000A7200000}"/>
    <cellStyle name="Calculation 12 2 10 3 6" xfId="8391" xr:uid="{00000000-0005-0000-0000-0000A8200000}"/>
    <cellStyle name="Calculation 12 2 10 4" xfId="8392" xr:uid="{00000000-0005-0000-0000-0000A9200000}"/>
    <cellStyle name="Calculation 12 2 10 4 2" xfId="8393" xr:uid="{00000000-0005-0000-0000-0000AA200000}"/>
    <cellStyle name="Calculation 12 2 10 4 3" xfId="8394" xr:uid="{00000000-0005-0000-0000-0000AB200000}"/>
    <cellStyle name="Calculation 12 2 10 4 4" xfId="8395" xr:uid="{00000000-0005-0000-0000-0000AC200000}"/>
    <cellStyle name="Calculation 12 2 10 4 5" xfId="8396" xr:uid="{00000000-0005-0000-0000-0000AD200000}"/>
    <cellStyle name="Calculation 12 2 10 4 6" xfId="8397" xr:uid="{00000000-0005-0000-0000-0000AE200000}"/>
    <cellStyle name="Calculation 12 2 10 5" xfId="8398" xr:uid="{00000000-0005-0000-0000-0000AF200000}"/>
    <cellStyle name="Calculation 12 2 10 5 2" xfId="8399" xr:uid="{00000000-0005-0000-0000-0000B0200000}"/>
    <cellStyle name="Calculation 12 2 10 5 3" xfId="8400" xr:uid="{00000000-0005-0000-0000-0000B1200000}"/>
    <cellStyle name="Calculation 12 2 10 5 4" xfId="8401" xr:uid="{00000000-0005-0000-0000-0000B2200000}"/>
    <cellStyle name="Calculation 12 2 10 5 5" xfId="8402" xr:uid="{00000000-0005-0000-0000-0000B3200000}"/>
    <cellStyle name="Calculation 12 2 10 5 6" xfId="8403" xr:uid="{00000000-0005-0000-0000-0000B4200000}"/>
    <cellStyle name="Calculation 12 2 10 6" xfId="8404" xr:uid="{00000000-0005-0000-0000-0000B5200000}"/>
    <cellStyle name="Calculation 12 2 10 6 2" xfId="8405" xr:uid="{00000000-0005-0000-0000-0000B6200000}"/>
    <cellStyle name="Calculation 12 2 10 6 3" xfId="8406" xr:uid="{00000000-0005-0000-0000-0000B7200000}"/>
    <cellStyle name="Calculation 12 2 10 6 4" xfId="8407" xr:uid="{00000000-0005-0000-0000-0000B8200000}"/>
    <cellStyle name="Calculation 12 2 10 6 5" xfId="8408" xr:uid="{00000000-0005-0000-0000-0000B9200000}"/>
    <cellStyle name="Calculation 12 2 10 6 6" xfId="8409" xr:uid="{00000000-0005-0000-0000-0000BA200000}"/>
    <cellStyle name="Calculation 12 2 10 7" xfId="8410" xr:uid="{00000000-0005-0000-0000-0000BB200000}"/>
    <cellStyle name="Calculation 12 2 10 7 2" xfId="8411" xr:uid="{00000000-0005-0000-0000-0000BC200000}"/>
    <cellStyle name="Calculation 12 2 10 7 3" xfId="8412" xr:uid="{00000000-0005-0000-0000-0000BD200000}"/>
    <cellStyle name="Calculation 12 2 10 7 4" xfId="8413" xr:uid="{00000000-0005-0000-0000-0000BE200000}"/>
    <cellStyle name="Calculation 12 2 10 7 5" xfId="8414" xr:uid="{00000000-0005-0000-0000-0000BF200000}"/>
    <cellStyle name="Calculation 12 2 10 7 6" xfId="8415" xr:uid="{00000000-0005-0000-0000-0000C0200000}"/>
    <cellStyle name="Calculation 12 2 10 8" xfId="8416" xr:uid="{00000000-0005-0000-0000-0000C1200000}"/>
    <cellStyle name="Calculation 12 2 10 9" xfId="8417" xr:uid="{00000000-0005-0000-0000-0000C2200000}"/>
    <cellStyle name="Calculation 12 2 11" xfId="8418" xr:uid="{00000000-0005-0000-0000-0000C3200000}"/>
    <cellStyle name="Calculation 12 2 11 10" xfId="8419" xr:uid="{00000000-0005-0000-0000-0000C4200000}"/>
    <cellStyle name="Calculation 12 2 11 2" xfId="8420" xr:uid="{00000000-0005-0000-0000-0000C5200000}"/>
    <cellStyle name="Calculation 12 2 11 2 2" xfId="8421" xr:uid="{00000000-0005-0000-0000-0000C6200000}"/>
    <cellStyle name="Calculation 12 2 11 2 3" xfId="8422" xr:uid="{00000000-0005-0000-0000-0000C7200000}"/>
    <cellStyle name="Calculation 12 2 11 2 4" xfId="8423" xr:uid="{00000000-0005-0000-0000-0000C8200000}"/>
    <cellStyle name="Calculation 12 2 11 2 5" xfId="8424" xr:uid="{00000000-0005-0000-0000-0000C9200000}"/>
    <cellStyle name="Calculation 12 2 11 2 6" xfId="8425" xr:uid="{00000000-0005-0000-0000-0000CA200000}"/>
    <cellStyle name="Calculation 12 2 11 3" xfId="8426" xr:uid="{00000000-0005-0000-0000-0000CB200000}"/>
    <cellStyle name="Calculation 12 2 11 3 2" xfId="8427" xr:uid="{00000000-0005-0000-0000-0000CC200000}"/>
    <cellStyle name="Calculation 12 2 11 3 3" xfId="8428" xr:uid="{00000000-0005-0000-0000-0000CD200000}"/>
    <cellStyle name="Calculation 12 2 11 3 4" xfId="8429" xr:uid="{00000000-0005-0000-0000-0000CE200000}"/>
    <cellStyle name="Calculation 12 2 11 3 5" xfId="8430" xr:uid="{00000000-0005-0000-0000-0000CF200000}"/>
    <cellStyle name="Calculation 12 2 11 3 6" xfId="8431" xr:uid="{00000000-0005-0000-0000-0000D0200000}"/>
    <cellStyle name="Calculation 12 2 11 4" xfId="8432" xr:uid="{00000000-0005-0000-0000-0000D1200000}"/>
    <cellStyle name="Calculation 12 2 11 4 2" xfId="8433" xr:uid="{00000000-0005-0000-0000-0000D2200000}"/>
    <cellStyle name="Calculation 12 2 11 4 3" xfId="8434" xr:uid="{00000000-0005-0000-0000-0000D3200000}"/>
    <cellStyle name="Calculation 12 2 11 4 4" xfId="8435" xr:uid="{00000000-0005-0000-0000-0000D4200000}"/>
    <cellStyle name="Calculation 12 2 11 4 5" xfId="8436" xr:uid="{00000000-0005-0000-0000-0000D5200000}"/>
    <cellStyle name="Calculation 12 2 11 4 6" xfId="8437" xr:uid="{00000000-0005-0000-0000-0000D6200000}"/>
    <cellStyle name="Calculation 12 2 11 5" xfId="8438" xr:uid="{00000000-0005-0000-0000-0000D7200000}"/>
    <cellStyle name="Calculation 12 2 11 5 2" xfId="8439" xr:uid="{00000000-0005-0000-0000-0000D8200000}"/>
    <cellStyle name="Calculation 12 2 11 5 3" xfId="8440" xr:uid="{00000000-0005-0000-0000-0000D9200000}"/>
    <cellStyle name="Calculation 12 2 11 5 4" xfId="8441" xr:uid="{00000000-0005-0000-0000-0000DA200000}"/>
    <cellStyle name="Calculation 12 2 11 5 5" xfId="8442" xr:uid="{00000000-0005-0000-0000-0000DB200000}"/>
    <cellStyle name="Calculation 12 2 11 5 6" xfId="8443" xr:uid="{00000000-0005-0000-0000-0000DC200000}"/>
    <cellStyle name="Calculation 12 2 11 6" xfId="8444" xr:uid="{00000000-0005-0000-0000-0000DD200000}"/>
    <cellStyle name="Calculation 12 2 11 6 2" xfId="8445" xr:uid="{00000000-0005-0000-0000-0000DE200000}"/>
    <cellStyle name="Calculation 12 2 11 6 3" xfId="8446" xr:uid="{00000000-0005-0000-0000-0000DF200000}"/>
    <cellStyle name="Calculation 12 2 11 6 4" xfId="8447" xr:uid="{00000000-0005-0000-0000-0000E0200000}"/>
    <cellStyle name="Calculation 12 2 11 6 5" xfId="8448" xr:uid="{00000000-0005-0000-0000-0000E1200000}"/>
    <cellStyle name="Calculation 12 2 11 6 6" xfId="8449" xr:uid="{00000000-0005-0000-0000-0000E2200000}"/>
    <cellStyle name="Calculation 12 2 11 7" xfId="8450" xr:uid="{00000000-0005-0000-0000-0000E3200000}"/>
    <cellStyle name="Calculation 12 2 11 7 2" xfId="8451" xr:uid="{00000000-0005-0000-0000-0000E4200000}"/>
    <cellStyle name="Calculation 12 2 11 7 3" xfId="8452" xr:uid="{00000000-0005-0000-0000-0000E5200000}"/>
    <cellStyle name="Calculation 12 2 11 7 4" xfId="8453" xr:uid="{00000000-0005-0000-0000-0000E6200000}"/>
    <cellStyle name="Calculation 12 2 11 7 5" xfId="8454" xr:uid="{00000000-0005-0000-0000-0000E7200000}"/>
    <cellStyle name="Calculation 12 2 11 7 6" xfId="8455" xr:uid="{00000000-0005-0000-0000-0000E8200000}"/>
    <cellStyle name="Calculation 12 2 11 8" xfId="8456" xr:uid="{00000000-0005-0000-0000-0000E9200000}"/>
    <cellStyle name="Calculation 12 2 11 9" xfId="8457" xr:uid="{00000000-0005-0000-0000-0000EA200000}"/>
    <cellStyle name="Calculation 12 2 12" xfId="8458" xr:uid="{00000000-0005-0000-0000-0000EB200000}"/>
    <cellStyle name="Calculation 12 2 12 10" xfId="8459" xr:uid="{00000000-0005-0000-0000-0000EC200000}"/>
    <cellStyle name="Calculation 12 2 12 2" xfId="8460" xr:uid="{00000000-0005-0000-0000-0000ED200000}"/>
    <cellStyle name="Calculation 12 2 12 2 2" xfId="8461" xr:uid="{00000000-0005-0000-0000-0000EE200000}"/>
    <cellStyle name="Calculation 12 2 12 2 3" xfId="8462" xr:uid="{00000000-0005-0000-0000-0000EF200000}"/>
    <cellStyle name="Calculation 12 2 12 2 4" xfId="8463" xr:uid="{00000000-0005-0000-0000-0000F0200000}"/>
    <cellStyle name="Calculation 12 2 12 2 5" xfId="8464" xr:uid="{00000000-0005-0000-0000-0000F1200000}"/>
    <cellStyle name="Calculation 12 2 12 2 6" xfId="8465" xr:uid="{00000000-0005-0000-0000-0000F2200000}"/>
    <cellStyle name="Calculation 12 2 12 3" xfId="8466" xr:uid="{00000000-0005-0000-0000-0000F3200000}"/>
    <cellStyle name="Calculation 12 2 12 3 2" xfId="8467" xr:uid="{00000000-0005-0000-0000-0000F4200000}"/>
    <cellStyle name="Calculation 12 2 12 3 3" xfId="8468" xr:uid="{00000000-0005-0000-0000-0000F5200000}"/>
    <cellStyle name="Calculation 12 2 12 3 4" xfId="8469" xr:uid="{00000000-0005-0000-0000-0000F6200000}"/>
    <cellStyle name="Calculation 12 2 12 3 5" xfId="8470" xr:uid="{00000000-0005-0000-0000-0000F7200000}"/>
    <cellStyle name="Calculation 12 2 12 3 6" xfId="8471" xr:uid="{00000000-0005-0000-0000-0000F8200000}"/>
    <cellStyle name="Calculation 12 2 12 4" xfId="8472" xr:uid="{00000000-0005-0000-0000-0000F9200000}"/>
    <cellStyle name="Calculation 12 2 12 4 2" xfId="8473" xr:uid="{00000000-0005-0000-0000-0000FA200000}"/>
    <cellStyle name="Calculation 12 2 12 4 3" xfId="8474" xr:uid="{00000000-0005-0000-0000-0000FB200000}"/>
    <cellStyle name="Calculation 12 2 12 4 4" xfId="8475" xr:uid="{00000000-0005-0000-0000-0000FC200000}"/>
    <cellStyle name="Calculation 12 2 12 4 5" xfId="8476" xr:uid="{00000000-0005-0000-0000-0000FD200000}"/>
    <cellStyle name="Calculation 12 2 12 4 6" xfId="8477" xr:uid="{00000000-0005-0000-0000-0000FE200000}"/>
    <cellStyle name="Calculation 12 2 12 5" xfId="8478" xr:uid="{00000000-0005-0000-0000-0000FF200000}"/>
    <cellStyle name="Calculation 12 2 12 5 2" xfId="8479" xr:uid="{00000000-0005-0000-0000-000000210000}"/>
    <cellStyle name="Calculation 12 2 12 5 3" xfId="8480" xr:uid="{00000000-0005-0000-0000-000001210000}"/>
    <cellStyle name="Calculation 12 2 12 5 4" xfId="8481" xr:uid="{00000000-0005-0000-0000-000002210000}"/>
    <cellStyle name="Calculation 12 2 12 5 5" xfId="8482" xr:uid="{00000000-0005-0000-0000-000003210000}"/>
    <cellStyle name="Calculation 12 2 12 5 6" xfId="8483" xr:uid="{00000000-0005-0000-0000-000004210000}"/>
    <cellStyle name="Calculation 12 2 12 6" xfId="8484" xr:uid="{00000000-0005-0000-0000-000005210000}"/>
    <cellStyle name="Calculation 12 2 12 6 2" xfId="8485" xr:uid="{00000000-0005-0000-0000-000006210000}"/>
    <cellStyle name="Calculation 12 2 12 6 3" xfId="8486" xr:uid="{00000000-0005-0000-0000-000007210000}"/>
    <cellStyle name="Calculation 12 2 12 6 4" xfId="8487" xr:uid="{00000000-0005-0000-0000-000008210000}"/>
    <cellStyle name="Calculation 12 2 12 6 5" xfId="8488" xr:uid="{00000000-0005-0000-0000-000009210000}"/>
    <cellStyle name="Calculation 12 2 12 6 6" xfId="8489" xr:uid="{00000000-0005-0000-0000-00000A210000}"/>
    <cellStyle name="Calculation 12 2 12 7" xfId="8490" xr:uid="{00000000-0005-0000-0000-00000B210000}"/>
    <cellStyle name="Calculation 12 2 12 7 2" xfId="8491" xr:uid="{00000000-0005-0000-0000-00000C210000}"/>
    <cellStyle name="Calculation 12 2 12 7 3" xfId="8492" xr:uid="{00000000-0005-0000-0000-00000D210000}"/>
    <cellStyle name="Calculation 12 2 12 7 4" xfId="8493" xr:uid="{00000000-0005-0000-0000-00000E210000}"/>
    <cellStyle name="Calculation 12 2 12 7 5" xfId="8494" xr:uid="{00000000-0005-0000-0000-00000F210000}"/>
    <cellStyle name="Calculation 12 2 12 7 6" xfId="8495" xr:uid="{00000000-0005-0000-0000-000010210000}"/>
    <cellStyle name="Calculation 12 2 12 8" xfId="8496" xr:uid="{00000000-0005-0000-0000-000011210000}"/>
    <cellStyle name="Calculation 12 2 12 9" xfId="8497" xr:uid="{00000000-0005-0000-0000-000012210000}"/>
    <cellStyle name="Calculation 12 2 13" xfId="8498" xr:uid="{00000000-0005-0000-0000-000013210000}"/>
    <cellStyle name="Calculation 12 2 13 10" xfId="8499" xr:uid="{00000000-0005-0000-0000-000014210000}"/>
    <cellStyle name="Calculation 12 2 13 2" xfId="8500" xr:uid="{00000000-0005-0000-0000-000015210000}"/>
    <cellStyle name="Calculation 12 2 13 2 2" xfId="8501" xr:uid="{00000000-0005-0000-0000-000016210000}"/>
    <cellStyle name="Calculation 12 2 13 2 3" xfId="8502" xr:uid="{00000000-0005-0000-0000-000017210000}"/>
    <cellStyle name="Calculation 12 2 13 2 4" xfId="8503" xr:uid="{00000000-0005-0000-0000-000018210000}"/>
    <cellStyle name="Calculation 12 2 13 2 5" xfId="8504" xr:uid="{00000000-0005-0000-0000-000019210000}"/>
    <cellStyle name="Calculation 12 2 13 2 6" xfId="8505" xr:uid="{00000000-0005-0000-0000-00001A210000}"/>
    <cellStyle name="Calculation 12 2 13 3" xfId="8506" xr:uid="{00000000-0005-0000-0000-00001B210000}"/>
    <cellStyle name="Calculation 12 2 13 3 2" xfId="8507" xr:uid="{00000000-0005-0000-0000-00001C210000}"/>
    <cellStyle name="Calculation 12 2 13 3 3" xfId="8508" xr:uid="{00000000-0005-0000-0000-00001D210000}"/>
    <cellStyle name="Calculation 12 2 13 3 4" xfId="8509" xr:uid="{00000000-0005-0000-0000-00001E210000}"/>
    <cellStyle name="Calculation 12 2 13 3 5" xfId="8510" xr:uid="{00000000-0005-0000-0000-00001F210000}"/>
    <cellStyle name="Calculation 12 2 13 3 6" xfId="8511" xr:uid="{00000000-0005-0000-0000-000020210000}"/>
    <cellStyle name="Calculation 12 2 13 4" xfId="8512" xr:uid="{00000000-0005-0000-0000-000021210000}"/>
    <cellStyle name="Calculation 12 2 13 4 2" xfId="8513" xr:uid="{00000000-0005-0000-0000-000022210000}"/>
    <cellStyle name="Calculation 12 2 13 4 3" xfId="8514" xr:uid="{00000000-0005-0000-0000-000023210000}"/>
    <cellStyle name="Calculation 12 2 13 4 4" xfId="8515" xr:uid="{00000000-0005-0000-0000-000024210000}"/>
    <cellStyle name="Calculation 12 2 13 4 5" xfId="8516" xr:uid="{00000000-0005-0000-0000-000025210000}"/>
    <cellStyle name="Calculation 12 2 13 4 6" xfId="8517" xr:uid="{00000000-0005-0000-0000-000026210000}"/>
    <cellStyle name="Calculation 12 2 13 5" xfId="8518" xr:uid="{00000000-0005-0000-0000-000027210000}"/>
    <cellStyle name="Calculation 12 2 13 5 2" xfId="8519" xr:uid="{00000000-0005-0000-0000-000028210000}"/>
    <cellStyle name="Calculation 12 2 13 5 3" xfId="8520" xr:uid="{00000000-0005-0000-0000-000029210000}"/>
    <cellStyle name="Calculation 12 2 13 5 4" xfId="8521" xr:uid="{00000000-0005-0000-0000-00002A210000}"/>
    <cellStyle name="Calculation 12 2 13 5 5" xfId="8522" xr:uid="{00000000-0005-0000-0000-00002B210000}"/>
    <cellStyle name="Calculation 12 2 13 5 6" xfId="8523" xr:uid="{00000000-0005-0000-0000-00002C210000}"/>
    <cellStyle name="Calculation 12 2 13 6" xfId="8524" xr:uid="{00000000-0005-0000-0000-00002D210000}"/>
    <cellStyle name="Calculation 12 2 13 6 2" xfId="8525" xr:uid="{00000000-0005-0000-0000-00002E210000}"/>
    <cellStyle name="Calculation 12 2 13 6 3" xfId="8526" xr:uid="{00000000-0005-0000-0000-00002F210000}"/>
    <cellStyle name="Calculation 12 2 13 6 4" xfId="8527" xr:uid="{00000000-0005-0000-0000-000030210000}"/>
    <cellStyle name="Calculation 12 2 13 6 5" xfId="8528" xr:uid="{00000000-0005-0000-0000-000031210000}"/>
    <cellStyle name="Calculation 12 2 13 6 6" xfId="8529" xr:uid="{00000000-0005-0000-0000-000032210000}"/>
    <cellStyle name="Calculation 12 2 13 7" xfId="8530" xr:uid="{00000000-0005-0000-0000-000033210000}"/>
    <cellStyle name="Calculation 12 2 13 7 2" xfId="8531" xr:uid="{00000000-0005-0000-0000-000034210000}"/>
    <cellStyle name="Calculation 12 2 13 7 3" xfId="8532" xr:uid="{00000000-0005-0000-0000-000035210000}"/>
    <cellStyle name="Calculation 12 2 13 7 4" xfId="8533" xr:uid="{00000000-0005-0000-0000-000036210000}"/>
    <cellStyle name="Calculation 12 2 13 7 5" xfId="8534" xr:uid="{00000000-0005-0000-0000-000037210000}"/>
    <cellStyle name="Calculation 12 2 13 7 6" xfId="8535" xr:uid="{00000000-0005-0000-0000-000038210000}"/>
    <cellStyle name="Calculation 12 2 13 8" xfId="8536" xr:uid="{00000000-0005-0000-0000-000039210000}"/>
    <cellStyle name="Calculation 12 2 13 9" xfId="8537" xr:uid="{00000000-0005-0000-0000-00003A210000}"/>
    <cellStyle name="Calculation 12 2 14" xfId="8538" xr:uid="{00000000-0005-0000-0000-00003B210000}"/>
    <cellStyle name="Calculation 12 2 14 10" xfId="8539" xr:uid="{00000000-0005-0000-0000-00003C210000}"/>
    <cellStyle name="Calculation 12 2 14 2" xfId="8540" xr:uid="{00000000-0005-0000-0000-00003D210000}"/>
    <cellStyle name="Calculation 12 2 14 2 2" xfId="8541" xr:uid="{00000000-0005-0000-0000-00003E210000}"/>
    <cellStyle name="Calculation 12 2 14 2 3" xfId="8542" xr:uid="{00000000-0005-0000-0000-00003F210000}"/>
    <cellStyle name="Calculation 12 2 14 2 4" xfId="8543" xr:uid="{00000000-0005-0000-0000-000040210000}"/>
    <cellStyle name="Calculation 12 2 14 2 5" xfId="8544" xr:uid="{00000000-0005-0000-0000-000041210000}"/>
    <cellStyle name="Calculation 12 2 14 2 6" xfId="8545" xr:uid="{00000000-0005-0000-0000-000042210000}"/>
    <cellStyle name="Calculation 12 2 14 3" xfId="8546" xr:uid="{00000000-0005-0000-0000-000043210000}"/>
    <cellStyle name="Calculation 12 2 14 3 2" xfId="8547" xr:uid="{00000000-0005-0000-0000-000044210000}"/>
    <cellStyle name="Calculation 12 2 14 3 3" xfId="8548" xr:uid="{00000000-0005-0000-0000-000045210000}"/>
    <cellStyle name="Calculation 12 2 14 3 4" xfId="8549" xr:uid="{00000000-0005-0000-0000-000046210000}"/>
    <cellStyle name="Calculation 12 2 14 3 5" xfId="8550" xr:uid="{00000000-0005-0000-0000-000047210000}"/>
    <cellStyle name="Calculation 12 2 14 3 6" xfId="8551" xr:uid="{00000000-0005-0000-0000-000048210000}"/>
    <cellStyle name="Calculation 12 2 14 4" xfId="8552" xr:uid="{00000000-0005-0000-0000-000049210000}"/>
    <cellStyle name="Calculation 12 2 14 4 2" xfId="8553" xr:uid="{00000000-0005-0000-0000-00004A210000}"/>
    <cellStyle name="Calculation 12 2 14 4 3" xfId="8554" xr:uid="{00000000-0005-0000-0000-00004B210000}"/>
    <cellStyle name="Calculation 12 2 14 4 4" xfId="8555" xr:uid="{00000000-0005-0000-0000-00004C210000}"/>
    <cellStyle name="Calculation 12 2 14 4 5" xfId="8556" xr:uid="{00000000-0005-0000-0000-00004D210000}"/>
    <cellStyle name="Calculation 12 2 14 4 6" xfId="8557" xr:uid="{00000000-0005-0000-0000-00004E210000}"/>
    <cellStyle name="Calculation 12 2 14 5" xfId="8558" xr:uid="{00000000-0005-0000-0000-00004F210000}"/>
    <cellStyle name="Calculation 12 2 14 5 2" xfId="8559" xr:uid="{00000000-0005-0000-0000-000050210000}"/>
    <cellStyle name="Calculation 12 2 14 5 3" xfId="8560" xr:uid="{00000000-0005-0000-0000-000051210000}"/>
    <cellStyle name="Calculation 12 2 14 5 4" xfId="8561" xr:uid="{00000000-0005-0000-0000-000052210000}"/>
    <cellStyle name="Calculation 12 2 14 5 5" xfId="8562" xr:uid="{00000000-0005-0000-0000-000053210000}"/>
    <cellStyle name="Calculation 12 2 14 5 6" xfId="8563" xr:uid="{00000000-0005-0000-0000-000054210000}"/>
    <cellStyle name="Calculation 12 2 14 6" xfId="8564" xr:uid="{00000000-0005-0000-0000-000055210000}"/>
    <cellStyle name="Calculation 12 2 14 6 2" xfId="8565" xr:uid="{00000000-0005-0000-0000-000056210000}"/>
    <cellStyle name="Calculation 12 2 14 6 3" xfId="8566" xr:uid="{00000000-0005-0000-0000-000057210000}"/>
    <cellStyle name="Calculation 12 2 14 6 4" xfId="8567" xr:uid="{00000000-0005-0000-0000-000058210000}"/>
    <cellStyle name="Calculation 12 2 14 6 5" xfId="8568" xr:uid="{00000000-0005-0000-0000-000059210000}"/>
    <cellStyle name="Calculation 12 2 14 6 6" xfId="8569" xr:uid="{00000000-0005-0000-0000-00005A210000}"/>
    <cellStyle name="Calculation 12 2 14 7" xfId="8570" xr:uid="{00000000-0005-0000-0000-00005B210000}"/>
    <cellStyle name="Calculation 12 2 14 7 2" xfId="8571" xr:uid="{00000000-0005-0000-0000-00005C210000}"/>
    <cellStyle name="Calculation 12 2 14 7 3" xfId="8572" xr:uid="{00000000-0005-0000-0000-00005D210000}"/>
    <cellStyle name="Calculation 12 2 14 7 4" xfId="8573" xr:uid="{00000000-0005-0000-0000-00005E210000}"/>
    <cellStyle name="Calculation 12 2 14 7 5" xfId="8574" xr:uid="{00000000-0005-0000-0000-00005F210000}"/>
    <cellStyle name="Calculation 12 2 14 7 6" xfId="8575" xr:uid="{00000000-0005-0000-0000-000060210000}"/>
    <cellStyle name="Calculation 12 2 14 8" xfId="8576" xr:uid="{00000000-0005-0000-0000-000061210000}"/>
    <cellStyle name="Calculation 12 2 14 9" xfId="8577" xr:uid="{00000000-0005-0000-0000-000062210000}"/>
    <cellStyle name="Calculation 12 2 15" xfId="8578" xr:uid="{00000000-0005-0000-0000-000063210000}"/>
    <cellStyle name="Calculation 12 2 15 10" xfId="8579" xr:uid="{00000000-0005-0000-0000-000064210000}"/>
    <cellStyle name="Calculation 12 2 15 2" xfId="8580" xr:uid="{00000000-0005-0000-0000-000065210000}"/>
    <cellStyle name="Calculation 12 2 15 2 2" xfId="8581" xr:uid="{00000000-0005-0000-0000-000066210000}"/>
    <cellStyle name="Calculation 12 2 15 2 3" xfId="8582" xr:uid="{00000000-0005-0000-0000-000067210000}"/>
    <cellStyle name="Calculation 12 2 15 2 4" xfId="8583" xr:uid="{00000000-0005-0000-0000-000068210000}"/>
    <cellStyle name="Calculation 12 2 15 2 5" xfId="8584" xr:uid="{00000000-0005-0000-0000-000069210000}"/>
    <cellStyle name="Calculation 12 2 15 2 6" xfId="8585" xr:uid="{00000000-0005-0000-0000-00006A210000}"/>
    <cellStyle name="Calculation 12 2 15 3" xfId="8586" xr:uid="{00000000-0005-0000-0000-00006B210000}"/>
    <cellStyle name="Calculation 12 2 15 3 2" xfId="8587" xr:uid="{00000000-0005-0000-0000-00006C210000}"/>
    <cellStyle name="Calculation 12 2 15 3 3" xfId="8588" xr:uid="{00000000-0005-0000-0000-00006D210000}"/>
    <cellStyle name="Calculation 12 2 15 3 4" xfId="8589" xr:uid="{00000000-0005-0000-0000-00006E210000}"/>
    <cellStyle name="Calculation 12 2 15 3 5" xfId="8590" xr:uid="{00000000-0005-0000-0000-00006F210000}"/>
    <cellStyle name="Calculation 12 2 15 3 6" xfId="8591" xr:uid="{00000000-0005-0000-0000-000070210000}"/>
    <cellStyle name="Calculation 12 2 15 4" xfId="8592" xr:uid="{00000000-0005-0000-0000-000071210000}"/>
    <cellStyle name="Calculation 12 2 15 4 2" xfId="8593" xr:uid="{00000000-0005-0000-0000-000072210000}"/>
    <cellStyle name="Calculation 12 2 15 4 3" xfId="8594" xr:uid="{00000000-0005-0000-0000-000073210000}"/>
    <cellStyle name="Calculation 12 2 15 4 4" xfId="8595" xr:uid="{00000000-0005-0000-0000-000074210000}"/>
    <cellStyle name="Calculation 12 2 15 4 5" xfId="8596" xr:uid="{00000000-0005-0000-0000-000075210000}"/>
    <cellStyle name="Calculation 12 2 15 4 6" xfId="8597" xr:uid="{00000000-0005-0000-0000-000076210000}"/>
    <cellStyle name="Calculation 12 2 15 5" xfId="8598" xr:uid="{00000000-0005-0000-0000-000077210000}"/>
    <cellStyle name="Calculation 12 2 15 5 2" xfId="8599" xr:uid="{00000000-0005-0000-0000-000078210000}"/>
    <cellStyle name="Calculation 12 2 15 5 3" xfId="8600" xr:uid="{00000000-0005-0000-0000-000079210000}"/>
    <cellStyle name="Calculation 12 2 15 5 4" xfId="8601" xr:uid="{00000000-0005-0000-0000-00007A210000}"/>
    <cellStyle name="Calculation 12 2 15 5 5" xfId="8602" xr:uid="{00000000-0005-0000-0000-00007B210000}"/>
    <cellStyle name="Calculation 12 2 15 5 6" xfId="8603" xr:uid="{00000000-0005-0000-0000-00007C210000}"/>
    <cellStyle name="Calculation 12 2 15 6" xfId="8604" xr:uid="{00000000-0005-0000-0000-00007D210000}"/>
    <cellStyle name="Calculation 12 2 15 6 2" xfId="8605" xr:uid="{00000000-0005-0000-0000-00007E210000}"/>
    <cellStyle name="Calculation 12 2 15 6 3" xfId="8606" xr:uid="{00000000-0005-0000-0000-00007F210000}"/>
    <cellStyle name="Calculation 12 2 15 6 4" xfId="8607" xr:uid="{00000000-0005-0000-0000-000080210000}"/>
    <cellStyle name="Calculation 12 2 15 6 5" xfId="8608" xr:uid="{00000000-0005-0000-0000-000081210000}"/>
    <cellStyle name="Calculation 12 2 15 6 6" xfId="8609" xr:uid="{00000000-0005-0000-0000-000082210000}"/>
    <cellStyle name="Calculation 12 2 15 7" xfId="8610" xr:uid="{00000000-0005-0000-0000-000083210000}"/>
    <cellStyle name="Calculation 12 2 15 7 2" xfId="8611" xr:uid="{00000000-0005-0000-0000-000084210000}"/>
    <cellStyle name="Calculation 12 2 15 7 3" xfId="8612" xr:uid="{00000000-0005-0000-0000-000085210000}"/>
    <cellStyle name="Calculation 12 2 15 7 4" xfId="8613" xr:uid="{00000000-0005-0000-0000-000086210000}"/>
    <cellStyle name="Calculation 12 2 15 7 5" xfId="8614" xr:uid="{00000000-0005-0000-0000-000087210000}"/>
    <cellStyle name="Calculation 12 2 15 7 6" xfId="8615" xr:uid="{00000000-0005-0000-0000-000088210000}"/>
    <cellStyle name="Calculation 12 2 15 8" xfId="8616" xr:uid="{00000000-0005-0000-0000-000089210000}"/>
    <cellStyle name="Calculation 12 2 15 9" xfId="8617" xr:uid="{00000000-0005-0000-0000-00008A210000}"/>
    <cellStyle name="Calculation 12 2 16" xfId="8618" xr:uid="{00000000-0005-0000-0000-00008B210000}"/>
    <cellStyle name="Calculation 12 2 16 10" xfId="8619" xr:uid="{00000000-0005-0000-0000-00008C210000}"/>
    <cellStyle name="Calculation 12 2 16 2" xfId="8620" xr:uid="{00000000-0005-0000-0000-00008D210000}"/>
    <cellStyle name="Calculation 12 2 16 2 2" xfId="8621" xr:uid="{00000000-0005-0000-0000-00008E210000}"/>
    <cellStyle name="Calculation 12 2 16 2 3" xfId="8622" xr:uid="{00000000-0005-0000-0000-00008F210000}"/>
    <cellStyle name="Calculation 12 2 16 2 4" xfId="8623" xr:uid="{00000000-0005-0000-0000-000090210000}"/>
    <cellStyle name="Calculation 12 2 16 2 5" xfId="8624" xr:uid="{00000000-0005-0000-0000-000091210000}"/>
    <cellStyle name="Calculation 12 2 16 2 6" xfId="8625" xr:uid="{00000000-0005-0000-0000-000092210000}"/>
    <cellStyle name="Calculation 12 2 16 3" xfId="8626" xr:uid="{00000000-0005-0000-0000-000093210000}"/>
    <cellStyle name="Calculation 12 2 16 3 2" xfId="8627" xr:uid="{00000000-0005-0000-0000-000094210000}"/>
    <cellStyle name="Calculation 12 2 16 3 3" xfId="8628" xr:uid="{00000000-0005-0000-0000-000095210000}"/>
    <cellStyle name="Calculation 12 2 16 3 4" xfId="8629" xr:uid="{00000000-0005-0000-0000-000096210000}"/>
    <cellStyle name="Calculation 12 2 16 3 5" xfId="8630" xr:uid="{00000000-0005-0000-0000-000097210000}"/>
    <cellStyle name="Calculation 12 2 16 3 6" xfId="8631" xr:uid="{00000000-0005-0000-0000-000098210000}"/>
    <cellStyle name="Calculation 12 2 16 4" xfId="8632" xr:uid="{00000000-0005-0000-0000-000099210000}"/>
    <cellStyle name="Calculation 12 2 16 4 2" xfId="8633" xr:uid="{00000000-0005-0000-0000-00009A210000}"/>
    <cellStyle name="Calculation 12 2 16 4 3" xfId="8634" xr:uid="{00000000-0005-0000-0000-00009B210000}"/>
    <cellStyle name="Calculation 12 2 16 4 4" xfId="8635" xr:uid="{00000000-0005-0000-0000-00009C210000}"/>
    <cellStyle name="Calculation 12 2 16 4 5" xfId="8636" xr:uid="{00000000-0005-0000-0000-00009D210000}"/>
    <cellStyle name="Calculation 12 2 16 4 6" xfId="8637" xr:uid="{00000000-0005-0000-0000-00009E210000}"/>
    <cellStyle name="Calculation 12 2 16 5" xfId="8638" xr:uid="{00000000-0005-0000-0000-00009F210000}"/>
    <cellStyle name="Calculation 12 2 16 5 2" xfId="8639" xr:uid="{00000000-0005-0000-0000-0000A0210000}"/>
    <cellStyle name="Calculation 12 2 16 5 3" xfId="8640" xr:uid="{00000000-0005-0000-0000-0000A1210000}"/>
    <cellStyle name="Calculation 12 2 16 5 4" xfId="8641" xr:uid="{00000000-0005-0000-0000-0000A2210000}"/>
    <cellStyle name="Calculation 12 2 16 5 5" xfId="8642" xr:uid="{00000000-0005-0000-0000-0000A3210000}"/>
    <cellStyle name="Calculation 12 2 16 5 6" xfId="8643" xr:uid="{00000000-0005-0000-0000-0000A4210000}"/>
    <cellStyle name="Calculation 12 2 16 6" xfId="8644" xr:uid="{00000000-0005-0000-0000-0000A5210000}"/>
    <cellStyle name="Calculation 12 2 16 6 2" xfId="8645" xr:uid="{00000000-0005-0000-0000-0000A6210000}"/>
    <cellStyle name="Calculation 12 2 16 6 3" xfId="8646" xr:uid="{00000000-0005-0000-0000-0000A7210000}"/>
    <cellStyle name="Calculation 12 2 16 6 4" xfId="8647" xr:uid="{00000000-0005-0000-0000-0000A8210000}"/>
    <cellStyle name="Calculation 12 2 16 6 5" xfId="8648" xr:uid="{00000000-0005-0000-0000-0000A9210000}"/>
    <cellStyle name="Calculation 12 2 16 6 6" xfId="8649" xr:uid="{00000000-0005-0000-0000-0000AA210000}"/>
    <cellStyle name="Calculation 12 2 16 7" xfId="8650" xr:uid="{00000000-0005-0000-0000-0000AB210000}"/>
    <cellStyle name="Calculation 12 2 16 7 2" xfId="8651" xr:uid="{00000000-0005-0000-0000-0000AC210000}"/>
    <cellStyle name="Calculation 12 2 16 7 3" xfId="8652" xr:uid="{00000000-0005-0000-0000-0000AD210000}"/>
    <cellStyle name="Calculation 12 2 16 7 4" xfId="8653" xr:uid="{00000000-0005-0000-0000-0000AE210000}"/>
    <cellStyle name="Calculation 12 2 16 7 5" xfId="8654" xr:uid="{00000000-0005-0000-0000-0000AF210000}"/>
    <cellStyle name="Calculation 12 2 16 7 6" xfId="8655" xr:uid="{00000000-0005-0000-0000-0000B0210000}"/>
    <cellStyle name="Calculation 12 2 16 8" xfId="8656" xr:uid="{00000000-0005-0000-0000-0000B1210000}"/>
    <cellStyle name="Calculation 12 2 16 9" xfId="8657" xr:uid="{00000000-0005-0000-0000-0000B2210000}"/>
    <cellStyle name="Calculation 12 2 17" xfId="8658" xr:uid="{00000000-0005-0000-0000-0000B3210000}"/>
    <cellStyle name="Calculation 12 2 17 10" xfId="8659" xr:uid="{00000000-0005-0000-0000-0000B4210000}"/>
    <cellStyle name="Calculation 12 2 17 2" xfId="8660" xr:uid="{00000000-0005-0000-0000-0000B5210000}"/>
    <cellStyle name="Calculation 12 2 17 2 2" xfId="8661" xr:uid="{00000000-0005-0000-0000-0000B6210000}"/>
    <cellStyle name="Calculation 12 2 17 2 3" xfId="8662" xr:uid="{00000000-0005-0000-0000-0000B7210000}"/>
    <cellStyle name="Calculation 12 2 17 2 4" xfId="8663" xr:uid="{00000000-0005-0000-0000-0000B8210000}"/>
    <cellStyle name="Calculation 12 2 17 2 5" xfId="8664" xr:uid="{00000000-0005-0000-0000-0000B9210000}"/>
    <cellStyle name="Calculation 12 2 17 2 6" xfId="8665" xr:uid="{00000000-0005-0000-0000-0000BA210000}"/>
    <cellStyle name="Calculation 12 2 17 3" xfId="8666" xr:uid="{00000000-0005-0000-0000-0000BB210000}"/>
    <cellStyle name="Calculation 12 2 17 3 2" xfId="8667" xr:uid="{00000000-0005-0000-0000-0000BC210000}"/>
    <cellStyle name="Calculation 12 2 17 3 3" xfId="8668" xr:uid="{00000000-0005-0000-0000-0000BD210000}"/>
    <cellStyle name="Calculation 12 2 17 3 4" xfId="8669" xr:uid="{00000000-0005-0000-0000-0000BE210000}"/>
    <cellStyle name="Calculation 12 2 17 3 5" xfId="8670" xr:uid="{00000000-0005-0000-0000-0000BF210000}"/>
    <cellStyle name="Calculation 12 2 17 3 6" xfId="8671" xr:uid="{00000000-0005-0000-0000-0000C0210000}"/>
    <cellStyle name="Calculation 12 2 17 4" xfId="8672" xr:uid="{00000000-0005-0000-0000-0000C1210000}"/>
    <cellStyle name="Calculation 12 2 17 4 2" xfId="8673" xr:uid="{00000000-0005-0000-0000-0000C2210000}"/>
    <cellStyle name="Calculation 12 2 17 4 3" xfId="8674" xr:uid="{00000000-0005-0000-0000-0000C3210000}"/>
    <cellStyle name="Calculation 12 2 17 4 4" xfId="8675" xr:uid="{00000000-0005-0000-0000-0000C4210000}"/>
    <cellStyle name="Calculation 12 2 17 4 5" xfId="8676" xr:uid="{00000000-0005-0000-0000-0000C5210000}"/>
    <cellStyle name="Calculation 12 2 17 4 6" xfId="8677" xr:uid="{00000000-0005-0000-0000-0000C6210000}"/>
    <cellStyle name="Calculation 12 2 17 5" xfId="8678" xr:uid="{00000000-0005-0000-0000-0000C7210000}"/>
    <cellStyle name="Calculation 12 2 17 5 2" xfId="8679" xr:uid="{00000000-0005-0000-0000-0000C8210000}"/>
    <cellStyle name="Calculation 12 2 17 5 3" xfId="8680" xr:uid="{00000000-0005-0000-0000-0000C9210000}"/>
    <cellStyle name="Calculation 12 2 17 5 4" xfId="8681" xr:uid="{00000000-0005-0000-0000-0000CA210000}"/>
    <cellStyle name="Calculation 12 2 17 5 5" xfId="8682" xr:uid="{00000000-0005-0000-0000-0000CB210000}"/>
    <cellStyle name="Calculation 12 2 17 5 6" xfId="8683" xr:uid="{00000000-0005-0000-0000-0000CC210000}"/>
    <cellStyle name="Calculation 12 2 17 6" xfId="8684" xr:uid="{00000000-0005-0000-0000-0000CD210000}"/>
    <cellStyle name="Calculation 12 2 17 6 2" xfId="8685" xr:uid="{00000000-0005-0000-0000-0000CE210000}"/>
    <cellStyle name="Calculation 12 2 17 6 3" xfId="8686" xr:uid="{00000000-0005-0000-0000-0000CF210000}"/>
    <cellStyle name="Calculation 12 2 17 6 4" xfId="8687" xr:uid="{00000000-0005-0000-0000-0000D0210000}"/>
    <cellStyle name="Calculation 12 2 17 6 5" xfId="8688" xr:uid="{00000000-0005-0000-0000-0000D1210000}"/>
    <cellStyle name="Calculation 12 2 17 6 6" xfId="8689" xr:uid="{00000000-0005-0000-0000-0000D2210000}"/>
    <cellStyle name="Calculation 12 2 17 7" xfId="8690" xr:uid="{00000000-0005-0000-0000-0000D3210000}"/>
    <cellStyle name="Calculation 12 2 17 7 2" xfId="8691" xr:uid="{00000000-0005-0000-0000-0000D4210000}"/>
    <cellStyle name="Calculation 12 2 17 7 3" xfId="8692" xr:uid="{00000000-0005-0000-0000-0000D5210000}"/>
    <cellStyle name="Calculation 12 2 17 7 4" xfId="8693" xr:uid="{00000000-0005-0000-0000-0000D6210000}"/>
    <cellStyle name="Calculation 12 2 17 7 5" xfId="8694" xr:uid="{00000000-0005-0000-0000-0000D7210000}"/>
    <cellStyle name="Calculation 12 2 17 7 6" xfId="8695" xr:uid="{00000000-0005-0000-0000-0000D8210000}"/>
    <cellStyle name="Calculation 12 2 17 8" xfId="8696" xr:uid="{00000000-0005-0000-0000-0000D9210000}"/>
    <cellStyle name="Calculation 12 2 17 9" xfId="8697" xr:uid="{00000000-0005-0000-0000-0000DA210000}"/>
    <cellStyle name="Calculation 12 2 18" xfId="8698" xr:uid="{00000000-0005-0000-0000-0000DB210000}"/>
    <cellStyle name="Calculation 12 2 18 10" xfId="8699" xr:uid="{00000000-0005-0000-0000-0000DC210000}"/>
    <cellStyle name="Calculation 12 2 18 2" xfId="8700" xr:uid="{00000000-0005-0000-0000-0000DD210000}"/>
    <cellStyle name="Calculation 12 2 18 2 2" xfId="8701" xr:uid="{00000000-0005-0000-0000-0000DE210000}"/>
    <cellStyle name="Calculation 12 2 18 2 3" xfId="8702" xr:uid="{00000000-0005-0000-0000-0000DF210000}"/>
    <cellStyle name="Calculation 12 2 18 2 4" xfId="8703" xr:uid="{00000000-0005-0000-0000-0000E0210000}"/>
    <cellStyle name="Calculation 12 2 18 2 5" xfId="8704" xr:uid="{00000000-0005-0000-0000-0000E1210000}"/>
    <cellStyle name="Calculation 12 2 18 2 6" xfId="8705" xr:uid="{00000000-0005-0000-0000-0000E2210000}"/>
    <cellStyle name="Calculation 12 2 18 3" xfId="8706" xr:uid="{00000000-0005-0000-0000-0000E3210000}"/>
    <cellStyle name="Calculation 12 2 18 3 2" xfId="8707" xr:uid="{00000000-0005-0000-0000-0000E4210000}"/>
    <cellStyle name="Calculation 12 2 18 3 3" xfId="8708" xr:uid="{00000000-0005-0000-0000-0000E5210000}"/>
    <cellStyle name="Calculation 12 2 18 3 4" xfId="8709" xr:uid="{00000000-0005-0000-0000-0000E6210000}"/>
    <cellStyle name="Calculation 12 2 18 3 5" xfId="8710" xr:uid="{00000000-0005-0000-0000-0000E7210000}"/>
    <cellStyle name="Calculation 12 2 18 3 6" xfId="8711" xr:uid="{00000000-0005-0000-0000-0000E8210000}"/>
    <cellStyle name="Calculation 12 2 18 4" xfId="8712" xr:uid="{00000000-0005-0000-0000-0000E9210000}"/>
    <cellStyle name="Calculation 12 2 18 4 2" xfId="8713" xr:uid="{00000000-0005-0000-0000-0000EA210000}"/>
    <cellStyle name="Calculation 12 2 18 4 3" xfId="8714" xr:uid="{00000000-0005-0000-0000-0000EB210000}"/>
    <cellStyle name="Calculation 12 2 18 4 4" xfId="8715" xr:uid="{00000000-0005-0000-0000-0000EC210000}"/>
    <cellStyle name="Calculation 12 2 18 4 5" xfId="8716" xr:uid="{00000000-0005-0000-0000-0000ED210000}"/>
    <cellStyle name="Calculation 12 2 18 4 6" xfId="8717" xr:uid="{00000000-0005-0000-0000-0000EE210000}"/>
    <cellStyle name="Calculation 12 2 18 5" xfId="8718" xr:uid="{00000000-0005-0000-0000-0000EF210000}"/>
    <cellStyle name="Calculation 12 2 18 5 2" xfId="8719" xr:uid="{00000000-0005-0000-0000-0000F0210000}"/>
    <cellStyle name="Calculation 12 2 18 5 3" xfId="8720" xr:uid="{00000000-0005-0000-0000-0000F1210000}"/>
    <cellStyle name="Calculation 12 2 18 5 4" xfId="8721" xr:uid="{00000000-0005-0000-0000-0000F2210000}"/>
    <cellStyle name="Calculation 12 2 18 5 5" xfId="8722" xr:uid="{00000000-0005-0000-0000-0000F3210000}"/>
    <cellStyle name="Calculation 12 2 18 5 6" xfId="8723" xr:uid="{00000000-0005-0000-0000-0000F4210000}"/>
    <cellStyle name="Calculation 12 2 18 6" xfId="8724" xr:uid="{00000000-0005-0000-0000-0000F5210000}"/>
    <cellStyle name="Calculation 12 2 18 6 2" xfId="8725" xr:uid="{00000000-0005-0000-0000-0000F6210000}"/>
    <cellStyle name="Calculation 12 2 18 6 3" xfId="8726" xr:uid="{00000000-0005-0000-0000-0000F7210000}"/>
    <cellStyle name="Calculation 12 2 18 6 4" xfId="8727" xr:uid="{00000000-0005-0000-0000-0000F8210000}"/>
    <cellStyle name="Calculation 12 2 18 6 5" xfId="8728" xr:uid="{00000000-0005-0000-0000-0000F9210000}"/>
    <cellStyle name="Calculation 12 2 18 6 6" xfId="8729" xr:uid="{00000000-0005-0000-0000-0000FA210000}"/>
    <cellStyle name="Calculation 12 2 18 7" xfId="8730" xr:uid="{00000000-0005-0000-0000-0000FB210000}"/>
    <cellStyle name="Calculation 12 2 18 7 2" xfId="8731" xr:uid="{00000000-0005-0000-0000-0000FC210000}"/>
    <cellStyle name="Calculation 12 2 18 7 3" xfId="8732" xr:uid="{00000000-0005-0000-0000-0000FD210000}"/>
    <cellStyle name="Calculation 12 2 18 7 4" xfId="8733" xr:uid="{00000000-0005-0000-0000-0000FE210000}"/>
    <cellStyle name="Calculation 12 2 18 7 5" xfId="8734" xr:uid="{00000000-0005-0000-0000-0000FF210000}"/>
    <cellStyle name="Calculation 12 2 18 7 6" xfId="8735" xr:uid="{00000000-0005-0000-0000-000000220000}"/>
    <cellStyle name="Calculation 12 2 18 8" xfId="8736" xr:uid="{00000000-0005-0000-0000-000001220000}"/>
    <cellStyle name="Calculation 12 2 18 9" xfId="8737" xr:uid="{00000000-0005-0000-0000-000002220000}"/>
    <cellStyle name="Calculation 12 2 19" xfId="8738" xr:uid="{00000000-0005-0000-0000-000003220000}"/>
    <cellStyle name="Calculation 12 2 19 10" xfId="8739" xr:uid="{00000000-0005-0000-0000-000004220000}"/>
    <cellStyle name="Calculation 12 2 19 2" xfId="8740" xr:uid="{00000000-0005-0000-0000-000005220000}"/>
    <cellStyle name="Calculation 12 2 19 2 2" xfId="8741" xr:uid="{00000000-0005-0000-0000-000006220000}"/>
    <cellStyle name="Calculation 12 2 19 2 3" xfId="8742" xr:uid="{00000000-0005-0000-0000-000007220000}"/>
    <cellStyle name="Calculation 12 2 19 2 4" xfId="8743" xr:uid="{00000000-0005-0000-0000-000008220000}"/>
    <cellStyle name="Calculation 12 2 19 2 5" xfId="8744" xr:uid="{00000000-0005-0000-0000-000009220000}"/>
    <cellStyle name="Calculation 12 2 19 2 6" xfId="8745" xr:uid="{00000000-0005-0000-0000-00000A220000}"/>
    <cellStyle name="Calculation 12 2 19 3" xfId="8746" xr:uid="{00000000-0005-0000-0000-00000B220000}"/>
    <cellStyle name="Calculation 12 2 19 3 2" xfId="8747" xr:uid="{00000000-0005-0000-0000-00000C220000}"/>
    <cellStyle name="Calculation 12 2 19 3 3" xfId="8748" xr:uid="{00000000-0005-0000-0000-00000D220000}"/>
    <cellStyle name="Calculation 12 2 19 3 4" xfId="8749" xr:uid="{00000000-0005-0000-0000-00000E220000}"/>
    <cellStyle name="Calculation 12 2 19 3 5" xfId="8750" xr:uid="{00000000-0005-0000-0000-00000F220000}"/>
    <cellStyle name="Calculation 12 2 19 3 6" xfId="8751" xr:uid="{00000000-0005-0000-0000-000010220000}"/>
    <cellStyle name="Calculation 12 2 19 4" xfId="8752" xr:uid="{00000000-0005-0000-0000-000011220000}"/>
    <cellStyle name="Calculation 12 2 19 4 2" xfId="8753" xr:uid="{00000000-0005-0000-0000-000012220000}"/>
    <cellStyle name="Calculation 12 2 19 4 3" xfId="8754" xr:uid="{00000000-0005-0000-0000-000013220000}"/>
    <cellStyle name="Calculation 12 2 19 4 4" xfId="8755" xr:uid="{00000000-0005-0000-0000-000014220000}"/>
    <cellStyle name="Calculation 12 2 19 4 5" xfId="8756" xr:uid="{00000000-0005-0000-0000-000015220000}"/>
    <cellStyle name="Calculation 12 2 19 4 6" xfId="8757" xr:uid="{00000000-0005-0000-0000-000016220000}"/>
    <cellStyle name="Calculation 12 2 19 5" xfId="8758" xr:uid="{00000000-0005-0000-0000-000017220000}"/>
    <cellStyle name="Calculation 12 2 19 5 2" xfId="8759" xr:uid="{00000000-0005-0000-0000-000018220000}"/>
    <cellStyle name="Calculation 12 2 19 5 3" xfId="8760" xr:uid="{00000000-0005-0000-0000-000019220000}"/>
    <cellStyle name="Calculation 12 2 19 5 4" xfId="8761" xr:uid="{00000000-0005-0000-0000-00001A220000}"/>
    <cellStyle name="Calculation 12 2 19 5 5" xfId="8762" xr:uid="{00000000-0005-0000-0000-00001B220000}"/>
    <cellStyle name="Calculation 12 2 19 5 6" xfId="8763" xr:uid="{00000000-0005-0000-0000-00001C220000}"/>
    <cellStyle name="Calculation 12 2 19 6" xfId="8764" xr:uid="{00000000-0005-0000-0000-00001D220000}"/>
    <cellStyle name="Calculation 12 2 19 6 2" xfId="8765" xr:uid="{00000000-0005-0000-0000-00001E220000}"/>
    <cellStyle name="Calculation 12 2 19 6 3" xfId="8766" xr:uid="{00000000-0005-0000-0000-00001F220000}"/>
    <cellStyle name="Calculation 12 2 19 6 4" xfId="8767" xr:uid="{00000000-0005-0000-0000-000020220000}"/>
    <cellStyle name="Calculation 12 2 19 6 5" xfId="8768" xr:uid="{00000000-0005-0000-0000-000021220000}"/>
    <cellStyle name="Calculation 12 2 19 6 6" xfId="8769" xr:uid="{00000000-0005-0000-0000-000022220000}"/>
    <cellStyle name="Calculation 12 2 19 7" xfId="8770" xr:uid="{00000000-0005-0000-0000-000023220000}"/>
    <cellStyle name="Calculation 12 2 19 7 2" xfId="8771" xr:uid="{00000000-0005-0000-0000-000024220000}"/>
    <cellStyle name="Calculation 12 2 19 7 3" xfId="8772" xr:uid="{00000000-0005-0000-0000-000025220000}"/>
    <cellStyle name="Calculation 12 2 19 7 4" xfId="8773" xr:uid="{00000000-0005-0000-0000-000026220000}"/>
    <cellStyle name="Calculation 12 2 19 7 5" xfId="8774" xr:uid="{00000000-0005-0000-0000-000027220000}"/>
    <cellStyle name="Calculation 12 2 19 7 6" xfId="8775" xr:uid="{00000000-0005-0000-0000-000028220000}"/>
    <cellStyle name="Calculation 12 2 19 8" xfId="8776" xr:uid="{00000000-0005-0000-0000-000029220000}"/>
    <cellStyle name="Calculation 12 2 19 9" xfId="8777" xr:uid="{00000000-0005-0000-0000-00002A220000}"/>
    <cellStyle name="Calculation 12 2 2" xfId="8778" xr:uid="{00000000-0005-0000-0000-00002B220000}"/>
    <cellStyle name="Calculation 12 2 2 10" xfId="8779" xr:uid="{00000000-0005-0000-0000-00002C220000}"/>
    <cellStyle name="Calculation 12 2 2 2" xfId="8780" xr:uid="{00000000-0005-0000-0000-00002D220000}"/>
    <cellStyle name="Calculation 12 2 2 2 2" xfId="8781" xr:uid="{00000000-0005-0000-0000-00002E220000}"/>
    <cellStyle name="Calculation 12 2 2 2 3" xfId="8782" xr:uid="{00000000-0005-0000-0000-00002F220000}"/>
    <cellStyle name="Calculation 12 2 2 2 4" xfId="8783" xr:uid="{00000000-0005-0000-0000-000030220000}"/>
    <cellStyle name="Calculation 12 2 2 2 5" xfId="8784" xr:uid="{00000000-0005-0000-0000-000031220000}"/>
    <cellStyle name="Calculation 12 2 2 2 6" xfId="8785" xr:uid="{00000000-0005-0000-0000-000032220000}"/>
    <cellStyle name="Calculation 12 2 2 3" xfId="8786" xr:uid="{00000000-0005-0000-0000-000033220000}"/>
    <cellStyle name="Calculation 12 2 2 3 2" xfId="8787" xr:uid="{00000000-0005-0000-0000-000034220000}"/>
    <cellStyle name="Calculation 12 2 2 3 3" xfId="8788" xr:uid="{00000000-0005-0000-0000-000035220000}"/>
    <cellStyle name="Calculation 12 2 2 3 4" xfId="8789" xr:uid="{00000000-0005-0000-0000-000036220000}"/>
    <cellStyle name="Calculation 12 2 2 3 5" xfId="8790" xr:uid="{00000000-0005-0000-0000-000037220000}"/>
    <cellStyle name="Calculation 12 2 2 3 6" xfId="8791" xr:uid="{00000000-0005-0000-0000-000038220000}"/>
    <cellStyle name="Calculation 12 2 2 4" xfId="8792" xr:uid="{00000000-0005-0000-0000-000039220000}"/>
    <cellStyle name="Calculation 12 2 2 4 2" xfId="8793" xr:uid="{00000000-0005-0000-0000-00003A220000}"/>
    <cellStyle name="Calculation 12 2 2 4 3" xfId="8794" xr:uid="{00000000-0005-0000-0000-00003B220000}"/>
    <cellStyle name="Calculation 12 2 2 4 4" xfId="8795" xr:uid="{00000000-0005-0000-0000-00003C220000}"/>
    <cellStyle name="Calculation 12 2 2 4 5" xfId="8796" xr:uid="{00000000-0005-0000-0000-00003D220000}"/>
    <cellStyle name="Calculation 12 2 2 4 6" xfId="8797" xr:uid="{00000000-0005-0000-0000-00003E220000}"/>
    <cellStyle name="Calculation 12 2 2 5" xfId="8798" xr:uid="{00000000-0005-0000-0000-00003F220000}"/>
    <cellStyle name="Calculation 12 2 2 5 2" xfId="8799" xr:uid="{00000000-0005-0000-0000-000040220000}"/>
    <cellStyle name="Calculation 12 2 2 5 3" xfId="8800" xr:uid="{00000000-0005-0000-0000-000041220000}"/>
    <cellStyle name="Calculation 12 2 2 5 4" xfId="8801" xr:uid="{00000000-0005-0000-0000-000042220000}"/>
    <cellStyle name="Calculation 12 2 2 5 5" xfId="8802" xr:uid="{00000000-0005-0000-0000-000043220000}"/>
    <cellStyle name="Calculation 12 2 2 5 6" xfId="8803" xr:uid="{00000000-0005-0000-0000-000044220000}"/>
    <cellStyle name="Calculation 12 2 2 6" xfId="8804" xr:uid="{00000000-0005-0000-0000-000045220000}"/>
    <cellStyle name="Calculation 12 2 2 6 2" xfId="8805" xr:uid="{00000000-0005-0000-0000-000046220000}"/>
    <cellStyle name="Calculation 12 2 2 6 3" xfId="8806" xr:uid="{00000000-0005-0000-0000-000047220000}"/>
    <cellStyle name="Calculation 12 2 2 6 4" xfId="8807" xr:uid="{00000000-0005-0000-0000-000048220000}"/>
    <cellStyle name="Calculation 12 2 2 6 5" xfId="8808" xr:uid="{00000000-0005-0000-0000-000049220000}"/>
    <cellStyle name="Calculation 12 2 2 6 6" xfId="8809" xr:uid="{00000000-0005-0000-0000-00004A220000}"/>
    <cellStyle name="Calculation 12 2 2 7" xfId="8810" xr:uid="{00000000-0005-0000-0000-00004B220000}"/>
    <cellStyle name="Calculation 12 2 2 7 2" xfId="8811" xr:uid="{00000000-0005-0000-0000-00004C220000}"/>
    <cellStyle name="Calculation 12 2 2 7 3" xfId="8812" xr:uid="{00000000-0005-0000-0000-00004D220000}"/>
    <cellStyle name="Calculation 12 2 2 7 4" xfId="8813" xr:uid="{00000000-0005-0000-0000-00004E220000}"/>
    <cellStyle name="Calculation 12 2 2 7 5" xfId="8814" xr:uid="{00000000-0005-0000-0000-00004F220000}"/>
    <cellStyle name="Calculation 12 2 2 7 6" xfId="8815" xr:uid="{00000000-0005-0000-0000-000050220000}"/>
    <cellStyle name="Calculation 12 2 2 8" xfId="8816" xr:uid="{00000000-0005-0000-0000-000051220000}"/>
    <cellStyle name="Calculation 12 2 2 9" xfId="8817" xr:uid="{00000000-0005-0000-0000-000052220000}"/>
    <cellStyle name="Calculation 12 2 20" xfId="8818" xr:uid="{00000000-0005-0000-0000-000053220000}"/>
    <cellStyle name="Calculation 12 2 20 10" xfId="8819" xr:uid="{00000000-0005-0000-0000-000054220000}"/>
    <cellStyle name="Calculation 12 2 20 2" xfId="8820" xr:uid="{00000000-0005-0000-0000-000055220000}"/>
    <cellStyle name="Calculation 12 2 20 2 2" xfId="8821" xr:uid="{00000000-0005-0000-0000-000056220000}"/>
    <cellStyle name="Calculation 12 2 20 2 3" xfId="8822" xr:uid="{00000000-0005-0000-0000-000057220000}"/>
    <cellStyle name="Calculation 12 2 20 2 4" xfId="8823" xr:uid="{00000000-0005-0000-0000-000058220000}"/>
    <cellStyle name="Calculation 12 2 20 2 5" xfId="8824" xr:uid="{00000000-0005-0000-0000-000059220000}"/>
    <cellStyle name="Calculation 12 2 20 2 6" xfId="8825" xr:uid="{00000000-0005-0000-0000-00005A220000}"/>
    <cellStyle name="Calculation 12 2 20 3" xfId="8826" xr:uid="{00000000-0005-0000-0000-00005B220000}"/>
    <cellStyle name="Calculation 12 2 20 3 2" xfId="8827" xr:uid="{00000000-0005-0000-0000-00005C220000}"/>
    <cellStyle name="Calculation 12 2 20 3 3" xfId="8828" xr:uid="{00000000-0005-0000-0000-00005D220000}"/>
    <cellStyle name="Calculation 12 2 20 3 4" xfId="8829" xr:uid="{00000000-0005-0000-0000-00005E220000}"/>
    <cellStyle name="Calculation 12 2 20 3 5" xfId="8830" xr:uid="{00000000-0005-0000-0000-00005F220000}"/>
    <cellStyle name="Calculation 12 2 20 3 6" xfId="8831" xr:uid="{00000000-0005-0000-0000-000060220000}"/>
    <cellStyle name="Calculation 12 2 20 4" xfId="8832" xr:uid="{00000000-0005-0000-0000-000061220000}"/>
    <cellStyle name="Calculation 12 2 20 4 2" xfId="8833" xr:uid="{00000000-0005-0000-0000-000062220000}"/>
    <cellStyle name="Calculation 12 2 20 4 3" xfId="8834" xr:uid="{00000000-0005-0000-0000-000063220000}"/>
    <cellStyle name="Calculation 12 2 20 4 4" xfId="8835" xr:uid="{00000000-0005-0000-0000-000064220000}"/>
    <cellStyle name="Calculation 12 2 20 4 5" xfId="8836" xr:uid="{00000000-0005-0000-0000-000065220000}"/>
    <cellStyle name="Calculation 12 2 20 4 6" xfId="8837" xr:uid="{00000000-0005-0000-0000-000066220000}"/>
    <cellStyle name="Calculation 12 2 20 5" xfId="8838" xr:uid="{00000000-0005-0000-0000-000067220000}"/>
    <cellStyle name="Calculation 12 2 20 5 2" xfId="8839" xr:uid="{00000000-0005-0000-0000-000068220000}"/>
    <cellStyle name="Calculation 12 2 20 5 3" xfId="8840" xr:uid="{00000000-0005-0000-0000-000069220000}"/>
    <cellStyle name="Calculation 12 2 20 5 4" xfId="8841" xr:uid="{00000000-0005-0000-0000-00006A220000}"/>
    <cellStyle name="Calculation 12 2 20 5 5" xfId="8842" xr:uid="{00000000-0005-0000-0000-00006B220000}"/>
    <cellStyle name="Calculation 12 2 20 5 6" xfId="8843" xr:uid="{00000000-0005-0000-0000-00006C220000}"/>
    <cellStyle name="Calculation 12 2 20 6" xfId="8844" xr:uid="{00000000-0005-0000-0000-00006D220000}"/>
    <cellStyle name="Calculation 12 2 20 6 2" xfId="8845" xr:uid="{00000000-0005-0000-0000-00006E220000}"/>
    <cellStyle name="Calculation 12 2 20 6 3" xfId="8846" xr:uid="{00000000-0005-0000-0000-00006F220000}"/>
    <cellStyle name="Calculation 12 2 20 6 4" xfId="8847" xr:uid="{00000000-0005-0000-0000-000070220000}"/>
    <cellStyle name="Calculation 12 2 20 6 5" xfId="8848" xr:uid="{00000000-0005-0000-0000-000071220000}"/>
    <cellStyle name="Calculation 12 2 20 6 6" xfId="8849" xr:uid="{00000000-0005-0000-0000-000072220000}"/>
    <cellStyle name="Calculation 12 2 20 7" xfId="8850" xr:uid="{00000000-0005-0000-0000-000073220000}"/>
    <cellStyle name="Calculation 12 2 20 7 2" xfId="8851" xr:uid="{00000000-0005-0000-0000-000074220000}"/>
    <cellStyle name="Calculation 12 2 20 7 3" xfId="8852" xr:uid="{00000000-0005-0000-0000-000075220000}"/>
    <cellStyle name="Calculation 12 2 20 7 4" xfId="8853" xr:uid="{00000000-0005-0000-0000-000076220000}"/>
    <cellStyle name="Calculation 12 2 20 7 5" xfId="8854" xr:uid="{00000000-0005-0000-0000-000077220000}"/>
    <cellStyle name="Calculation 12 2 20 7 6" xfId="8855" xr:uid="{00000000-0005-0000-0000-000078220000}"/>
    <cellStyle name="Calculation 12 2 20 8" xfId="8856" xr:uid="{00000000-0005-0000-0000-000079220000}"/>
    <cellStyle name="Calculation 12 2 20 9" xfId="8857" xr:uid="{00000000-0005-0000-0000-00007A220000}"/>
    <cellStyle name="Calculation 12 2 21" xfId="8858" xr:uid="{00000000-0005-0000-0000-00007B220000}"/>
    <cellStyle name="Calculation 12 2 21 10" xfId="8859" xr:uid="{00000000-0005-0000-0000-00007C220000}"/>
    <cellStyle name="Calculation 12 2 21 2" xfId="8860" xr:uid="{00000000-0005-0000-0000-00007D220000}"/>
    <cellStyle name="Calculation 12 2 21 2 2" xfId="8861" xr:uid="{00000000-0005-0000-0000-00007E220000}"/>
    <cellStyle name="Calculation 12 2 21 2 3" xfId="8862" xr:uid="{00000000-0005-0000-0000-00007F220000}"/>
    <cellStyle name="Calculation 12 2 21 2 4" xfId="8863" xr:uid="{00000000-0005-0000-0000-000080220000}"/>
    <cellStyle name="Calculation 12 2 21 2 5" xfId="8864" xr:uid="{00000000-0005-0000-0000-000081220000}"/>
    <cellStyle name="Calculation 12 2 21 2 6" xfId="8865" xr:uid="{00000000-0005-0000-0000-000082220000}"/>
    <cellStyle name="Calculation 12 2 21 3" xfId="8866" xr:uid="{00000000-0005-0000-0000-000083220000}"/>
    <cellStyle name="Calculation 12 2 21 3 2" xfId="8867" xr:uid="{00000000-0005-0000-0000-000084220000}"/>
    <cellStyle name="Calculation 12 2 21 3 3" xfId="8868" xr:uid="{00000000-0005-0000-0000-000085220000}"/>
    <cellStyle name="Calculation 12 2 21 3 4" xfId="8869" xr:uid="{00000000-0005-0000-0000-000086220000}"/>
    <cellStyle name="Calculation 12 2 21 3 5" xfId="8870" xr:uid="{00000000-0005-0000-0000-000087220000}"/>
    <cellStyle name="Calculation 12 2 21 3 6" xfId="8871" xr:uid="{00000000-0005-0000-0000-000088220000}"/>
    <cellStyle name="Calculation 12 2 21 4" xfId="8872" xr:uid="{00000000-0005-0000-0000-000089220000}"/>
    <cellStyle name="Calculation 12 2 21 4 2" xfId="8873" xr:uid="{00000000-0005-0000-0000-00008A220000}"/>
    <cellStyle name="Calculation 12 2 21 4 3" xfId="8874" xr:uid="{00000000-0005-0000-0000-00008B220000}"/>
    <cellStyle name="Calculation 12 2 21 4 4" xfId="8875" xr:uid="{00000000-0005-0000-0000-00008C220000}"/>
    <cellStyle name="Calculation 12 2 21 4 5" xfId="8876" xr:uid="{00000000-0005-0000-0000-00008D220000}"/>
    <cellStyle name="Calculation 12 2 21 4 6" xfId="8877" xr:uid="{00000000-0005-0000-0000-00008E220000}"/>
    <cellStyle name="Calculation 12 2 21 5" xfId="8878" xr:uid="{00000000-0005-0000-0000-00008F220000}"/>
    <cellStyle name="Calculation 12 2 21 5 2" xfId="8879" xr:uid="{00000000-0005-0000-0000-000090220000}"/>
    <cellStyle name="Calculation 12 2 21 5 3" xfId="8880" xr:uid="{00000000-0005-0000-0000-000091220000}"/>
    <cellStyle name="Calculation 12 2 21 5 4" xfId="8881" xr:uid="{00000000-0005-0000-0000-000092220000}"/>
    <cellStyle name="Calculation 12 2 21 5 5" xfId="8882" xr:uid="{00000000-0005-0000-0000-000093220000}"/>
    <cellStyle name="Calculation 12 2 21 5 6" xfId="8883" xr:uid="{00000000-0005-0000-0000-000094220000}"/>
    <cellStyle name="Calculation 12 2 21 6" xfId="8884" xr:uid="{00000000-0005-0000-0000-000095220000}"/>
    <cellStyle name="Calculation 12 2 21 6 2" xfId="8885" xr:uid="{00000000-0005-0000-0000-000096220000}"/>
    <cellStyle name="Calculation 12 2 21 6 3" xfId="8886" xr:uid="{00000000-0005-0000-0000-000097220000}"/>
    <cellStyle name="Calculation 12 2 21 6 4" xfId="8887" xr:uid="{00000000-0005-0000-0000-000098220000}"/>
    <cellStyle name="Calculation 12 2 21 6 5" xfId="8888" xr:uid="{00000000-0005-0000-0000-000099220000}"/>
    <cellStyle name="Calculation 12 2 21 6 6" xfId="8889" xr:uid="{00000000-0005-0000-0000-00009A220000}"/>
    <cellStyle name="Calculation 12 2 21 7" xfId="8890" xr:uid="{00000000-0005-0000-0000-00009B220000}"/>
    <cellStyle name="Calculation 12 2 21 7 2" xfId="8891" xr:uid="{00000000-0005-0000-0000-00009C220000}"/>
    <cellStyle name="Calculation 12 2 21 7 3" xfId="8892" xr:uid="{00000000-0005-0000-0000-00009D220000}"/>
    <cellStyle name="Calculation 12 2 21 7 4" xfId="8893" xr:uid="{00000000-0005-0000-0000-00009E220000}"/>
    <cellStyle name="Calculation 12 2 21 7 5" xfId="8894" xr:uid="{00000000-0005-0000-0000-00009F220000}"/>
    <cellStyle name="Calculation 12 2 21 7 6" xfId="8895" xr:uid="{00000000-0005-0000-0000-0000A0220000}"/>
    <cellStyle name="Calculation 12 2 21 8" xfId="8896" xr:uid="{00000000-0005-0000-0000-0000A1220000}"/>
    <cellStyle name="Calculation 12 2 21 9" xfId="8897" xr:uid="{00000000-0005-0000-0000-0000A2220000}"/>
    <cellStyle name="Calculation 12 2 22" xfId="8898" xr:uid="{00000000-0005-0000-0000-0000A3220000}"/>
    <cellStyle name="Calculation 12 2 22 10" xfId="8899" xr:uid="{00000000-0005-0000-0000-0000A4220000}"/>
    <cellStyle name="Calculation 12 2 22 2" xfId="8900" xr:uid="{00000000-0005-0000-0000-0000A5220000}"/>
    <cellStyle name="Calculation 12 2 22 2 2" xfId="8901" xr:uid="{00000000-0005-0000-0000-0000A6220000}"/>
    <cellStyle name="Calculation 12 2 22 2 3" xfId="8902" xr:uid="{00000000-0005-0000-0000-0000A7220000}"/>
    <cellStyle name="Calculation 12 2 22 2 4" xfId="8903" xr:uid="{00000000-0005-0000-0000-0000A8220000}"/>
    <cellStyle name="Calculation 12 2 22 2 5" xfId="8904" xr:uid="{00000000-0005-0000-0000-0000A9220000}"/>
    <cellStyle name="Calculation 12 2 22 2 6" xfId="8905" xr:uid="{00000000-0005-0000-0000-0000AA220000}"/>
    <cellStyle name="Calculation 12 2 22 3" xfId="8906" xr:uid="{00000000-0005-0000-0000-0000AB220000}"/>
    <cellStyle name="Calculation 12 2 22 3 2" xfId="8907" xr:uid="{00000000-0005-0000-0000-0000AC220000}"/>
    <cellStyle name="Calculation 12 2 22 3 3" xfId="8908" xr:uid="{00000000-0005-0000-0000-0000AD220000}"/>
    <cellStyle name="Calculation 12 2 22 3 4" xfId="8909" xr:uid="{00000000-0005-0000-0000-0000AE220000}"/>
    <cellStyle name="Calculation 12 2 22 3 5" xfId="8910" xr:uid="{00000000-0005-0000-0000-0000AF220000}"/>
    <cellStyle name="Calculation 12 2 22 3 6" xfId="8911" xr:uid="{00000000-0005-0000-0000-0000B0220000}"/>
    <cellStyle name="Calculation 12 2 22 4" xfId="8912" xr:uid="{00000000-0005-0000-0000-0000B1220000}"/>
    <cellStyle name="Calculation 12 2 22 4 2" xfId="8913" xr:uid="{00000000-0005-0000-0000-0000B2220000}"/>
    <cellStyle name="Calculation 12 2 22 4 3" xfId="8914" xr:uid="{00000000-0005-0000-0000-0000B3220000}"/>
    <cellStyle name="Calculation 12 2 22 4 4" xfId="8915" xr:uid="{00000000-0005-0000-0000-0000B4220000}"/>
    <cellStyle name="Calculation 12 2 22 4 5" xfId="8916" xr:uid="{00000000-0005-0000-0000-0000B5220000}"/>
    <cellStyle name="Calculation 12 2 22 4 6" xfId="8917" xr:uid="{00000000-0005-0000-0000-0000B6220000}"/>
    <cellStyle name="Calculation 12 2 22 5" xfId="8918" xr:uid="{00000000-0005-0000-0000-0000B7220000}"/>
    <cellStyle name="Calculation 12 2 22 5 2" xfId="8919" xr:uid="{00000000-0005-0000-0000-0000B8220000}"/>
    <cellStyle name="Calculation 12 2 22 5 3" xfId="8920" xr:uid="{00000000-0005-0000-0000-0000B9220000}"/>
    <cellStyle name="Calculation 12 2 22 5 4" xfId="8921" xr:uid="{00000000-0005-0000-0000-0000BA220000}"/>
    <cellStyle name="Calculation 12 2 22 5 5" xfId="8922" xr:uid="{00000000-0005-0000-0000-0000BB220000}"/>
    <cellStyle name="Calculation 12 2 22 5 6" xfId="8923" xr:uid="{00000000-0005-0000-0000-0000BC220000}"/>
    <cellStyle name="Calculation 12 2 22 6" xfId="8924" xr:uid="{00000000-0005-0000-0000-0000BD220000}"/>
    <cellStyle name="Calculation 12 2 22 6 2" xfId="8925" xr:uid="{00000000-0005-0000-0000-0000BE220000}"/>
    <cellStyle name="Calculation 12 2 22 6 3" xfId="8926" xr:uid="{00000000-0005-0000-0000-0000BF220000}"/>
    <cellStyle name="Calculation 12 2 22 6 4" xfId="8927" xr:uid="{00000000-0005-0000-0000-0000C0220000}"/>
    <cellStyle name="Calculation 12 2 22 6 5" xfId="8928" xr:uid="{00000000-0005-0000-0000-0000C1220000}"/>
    <cellStyle name="Calculation 12 2 22 6 6" xfId="8929" xr:uid="{00000000-0005-0000-0000-0000C2220000}"/>
    <cellStyle name="Calculation 12 2 22 7" xfId="8930" xr:uid="{00000000-0005-0000-0000-0000C3220000}"/>
    <cellStyle name="Calculation 12 2 22 7 2" xfId="8931" xr:uid="{00000000-0005-0000-0000-0000C4220000}"/>
    <cellStyle name="Calculation 12 2 22 7 3" xfId="8932" xr:uid="{00000000-0005-0000-0000-0000C5220000}"/>
    <cellStyle name="Calculation 12 2 22 7 4" xfId="8933" xr:uid="{00000000-0005-0000-0000-0000C6220000}"/>
    <cellStyle name="Calculation 12 2 22 7 5" xfId="8934" xr:uid="{00000000-0005-0000-0000-0000C7220000}"/>
    <cellStyle name="Calculation 12 2 22 7 6" xfId="8935" xr:uid="{00000000-0005-0000-0000-0000C8220000}"/>
    <cellStyle name="Calculation 12 2 22 8" xfId="8936" xr:uid="{00000000-0005-0000-0000-0000C9220000}"/>
    <cellStyle name="Calculation 12 2 22 9" xfId="8937" xr:uid="{00000000-0005-0000-0000-0000CA220000}"/>
    <cellStyle name="Calculation 12 2 23" xfId="8938" xr:uid="{00000000-0005-0000-0000-0000CB220000}"/>
    <cellStyle name="Calculation 12 2 23 10" xfId="8939" xr:uid="{00000000-0005-0000-0000-0000CC220000}"/>
    <cellStyle name="Calculation 12 2 23 2" xfId="8940" xr:uid="{00000000-0005-0000-0000-0000CD220000}"/>
    <cellStyle name="Calculation 12 2 23 2 2" xfId="8941" xr:uid="{00000000-0005-0000-0000-0000CE220000}"/>
    <cellStyle name="Calculation 12 2 23 2 3" xfId="8942" xr:uid="{00000000-0005-0000-0000-0000CF220000}"/>
    <cellStyle name="Calculation 12 2 23 2 4" xfId="8943" xr:uid="{00000000-0005-0000-0000-0000D0220000}"/>
    <cellStyle name="Calculation 12 2 23 2 5" xfId="8944" xr:uid="{00000000-0005-0000-0000-0000D1220000}"/>
    <cellStyle name="Calculation 12 2 23 2 6" xfId="8945" xr:uid="{00000000-0005-0000-0000-0000D2220000}"/>
    <cellStyle name="Calculation 12 2 23 3" xfId="8946" xr:uid="{00000000-0005-0000-0000-0000D3220000}"/>
    <cellStyle name="Calculation 12 2 23 3 2" xfId="8947" xr:uid="{00000000-0005-0000-0000-0000D4220000}"/>
    <cellStyle name="Calculation 12 2 23 3 3" xfId="8948" xr:uid="{00000000-0005-0000-0000-0000D5220000}"/>
    <cellStyle name="Calculation 12 2 23 3 4" xfId="8949" xr:uid="{00000000-0005-0000-0000-0000D6220000}"/>
    <cellStyle name="Calculation 12 2 23 3 5" xfId="8950" xr:uid="{00000000-0005-0000-0000-0000D7220000}"/>
    <cellStyle name="Calculation 12 2 23 3 6" xfId="8951" xr:uid="{00000000-0005-0000-0000-0000D8220000}"/>
    <cellStyle name="Calculation 12 2 23 4" xfId="8952" xr:uid="{00000000-0005-0000-0000-0000D9220000}"/>
    <cellStyle name="Calculation 12 2 23 4 2" xfId="8953" xr:uid="{00000000-0005-0000-0000-0000DA220000}"/>
    <cellStyle name="Calculation 12 2 23 4 3" xfId="8954" xr:uid="{00000000-0005-0000-0000-0000DB220000}"/>
    <cellStyle name="Calculation 12 2 23 4 4" xfId="8955" xr:uid="{00000000-0005-0000-0000-0000DC220000}"/>
    <cellStyle name="Calculation 12 2 23 4 5" xfId="8956" xr:uid="{00000000-0005-0000-0000-0000DD220000}"/>
    <cellStyle name="Calculation 12 2 23 4 6" xfId="8957" xr:uid="{00000000-0005-0000-0000-0000DE220000}"/>
    <cellStyle name="Calculation 12 2 23 5" xfId="8958" xr:uid="{00000000-0005-0000-0000-0000DF220000}"/>
    <cellStyle name="Calculation 12 2 23 5 2" xfId="8959" xr:uid="{00000000-0005-0000-0000-0000E0220000}"/>
    <cellStyle name="Calculation 12 2 23 5 3" xfId="8960" xr:uid="{00000000-0005-0000-0000-0000E1220000}"/>
    <cellStyle name="Calculation 12 2 23 5 4" xfId="8961" xr:uid="{00000000-0005-0000-0000-0000E2220000}"/>
    <cellStyle name="Calculation 12 2 23 5 5" xfId="8962" xr:uid="{00000000-0005-0000-0000-0000E3220000}"/>
    <cellStyle name="Calculation 12 2 23 5 6" xfId="8963" xr:uid="{00000000-0005-0000-0000-0000E4220000}"/>
    <cellStyle name="Calculation 12 2 23 6" xfId="8964" xr:uid="{00000000-0005-0000-0000-0000E5220000}"/>
    <cellStyle name="Calculation 12 2 23 6 2" xfId="8965" xr:uid="{00000000-0005-0000-0000-0000E6220000}"/>
    <cellStyle name="Calculation 12 2 23 6 3" xfId="8966" xr:uid="{00000000-0005-0000-0000-0000E7220000}"/>
    <cellStyle name="Calculation 12 2 23 6 4" xfId="8967" xr:uid="{00000000-0005-0000-0000-0000E8220000}"/>
    <cellStyle name="Calculation 12 2 23 6 5" xfId="8968" xr:uid="{00000000-0005-0000-0000-0000E9220000}"/>
    <cellStyle name="Calculation 12 2 23 6 6" xfId="8969" xr:uid="{00000000-0005-0000-0000-0000EA220000}"/>
    <cellStyle name="Calculation 12 2 23 7" xfId="8970" xr:uid="{00000000-0005-0000-0000-0000EB220000}"/>
    <cellStyle name="Calculation 12 2 23 7 2" xfId="8971" xr:uid="{00000000-0005-0000-0000-0000EC220000}"/>
    <cellStyle name="Calculation 12 2 23 7 3" xfId="8972" xr:uid="{00000000-0005-0000-0000-0000ED220000}"/>
    <cellStyle name="Calculation 12 2 23 7 4" xfId="8973" xr:uid="{00000000-0005-0000-0000-0000EE220000}"/>
    <cellStyle name="Calculation 12 2 23 7 5" xfId="8974" xr:uid="{00000000-0005-0000-0000-0000EF220000}"/>
    <cellStyle name="Calculation 12 2 23 7 6" xfId="8975" xr:uid="{00000000-0005-0000-0000-0000F0220000}"/>
    <cellStyle name="Calculation 12 2 23 8" xfId="8976" xr:uid="{00000000-0005-0000-0000-0000F1220000}"/>
    <cellStyle name="Calculation 12 2 23 9" xfId="8977" xr:uid="{00000000-0005-0000-0000-0000F2220000}"/>
    <cellStyle name="Calculation 12 2 24" xfId="8978" xr:uid="{00000000-0005-0000-0000-0000F3220000}"/>
    <cellStyle name="Calculation 12 2 24 10" xfId="8979" xr:uid="{00000000-0005-0000-0000-0000F4220000}"/>
    <cellStyle name="Calculation 12 2 24 2" xfId="8980" xr:uid="{00000000-0005-0000-0000-0000F5220000}"/>
    <cellStyle name="Calculation 12 2 24 2 2" xfId="8981" xr:uid="{00000000-0005-0000-0000-0000F6220000}"/>
    <cellStyle name="Calculation 12 2 24 2 3" xfId="8982" xr:uid="{00000000-0005-0000-0000-0000F7220000}"/>
    <cellStyle name="Calculation 12 2 24 2 4" xfId="8983" xr:uid="{00000000-0005-0000-0000-0000F8220000}"/>
    <cellStyle name="Calculation 12 2 24 2 5" xfId="8984" xr:uid="{00000000-0005-0000-0000-0000F9220000}"/>
    <cellStyle name="Calculation 12 2 24 2 6" xfId="8985" xr:uid="{00000000-0005-0000-0000-0000FA220000}"/>
    <cellStyle name="Calculation 12 2 24 3" xfId="8986" xr:uid="{00000000-0005-0000-0000-0000FB220000}"/>
    <cellStyle name="Calculation 12 2 24 3 2" xfId="8987" xr:uid="{00000000-0005-0000-0000-0000FC220000}"/>
    <cellStyle name="Calculation 12 2 24 3 3" xfId="8988" xr:uid="{00000000-0005-0000-0000-0000FD220000}"/>
    <cellStyle name="Calculation 12 2 24 3 4" xfId="8989" xr:uid="{00000000-0005-0000-0000-0000FE220000}"/>
    <cellStyle name="Calculation 12 2 24 3 5" xfId="8990" xr:uid="{00000000-0005-0000-0000-0000FF220000}"/>
    <cellStyle name="Calculation 12 2 24 3 6" xfId="8991" xr:uid="{00000000-0005-0000-0000-000000230000}"/>
    <cellStyle name="Calculation 12 2 24 4" xfId="8992" xr:uid="{00000000-0005-0000-0000-000001230000}"/>
    <cellStyle name="Calculation 12 2 24 4 2" xfId="8993" xr:uid="{00000000-0005-0000-0000-000002230000}"/>
    <cellStyle name="Calculation 12 2 24 4 3" xfId="8994" xr:uid="{00000000-0005-0000-0000-000003230000}"/>
    <cellStyle name="Calculation 12 2 24 4 4" xfId="8995" xr:uid="{00000000-0005-0000-0000-000004230000}"/>
    <cellStyle name="Calculation 12 2 24 4 5" xfId="8996" xr:uid="{00000000-0005-0000-0000-000005230000}"/>
    <cellStyle name="Calculation 12 2 24 4 6" xfId="8997" xr:uid="{00000000-0005-0000-0000-000006230000}"/>
    <cellStyle name="Calculation 12 2 24 5" xfId="8998" xr:uid="{00000000-0005-0000-0000-000007230000}"/>
    <cellStyle name="Calculation 12 2 24 5 2" xfId="8999" xr:uid="{00000000-0005-0000-0000-000008230000}"/>
    <cellStyle name="Calculation 12 2 24 5 3" xfId="9000" xr:uid="{00000000-0005-0000-0000-000009230000}"/>
    <cellStyle name="Calculation 12 2 24 5 4" xfId="9001" xr:uid="{00000000-0005-0000-0000-00000A230000}"/>
    <cellStyle name="Calculation 12 2 24 5 5" xfId="9002" xr:uid="{00000000-0005-0000-0000-00000B230000}"/>
    <cellStyle name="Calculation 12 2 24 5 6" xfId="9003" xr:uid="{00000000-0005-0000-0000-00000C230000}"/>
    <cellStyle name="Calculation 12 2 24 6" xfId="9004" xr:uid="{00000000-0005-0000-0000-00000D230000}"/>
    <cellStyle name="Calculation 12 2 24 6 2" xfId="9005" xr:uid="{00000000-0005-0000-0000-00000E230000}"/>
    <cellStyle name="Calculation 12 2 24 6 3" xfId="9006" xr:uid="{00000000-0005-0000-0000-00000F230000}"/>
    <cellStyle name="Calculation 12 2 24 6 4" xfId="9007" xr:uid="{00000000-0005-0000-0000-000010230000}"/>
    <cellStyle name="Calculation 12 2 24 6 5" xfId="9008" xr:uid="{00000000-0005-0000-0000-000011230000}"/>
    <cellStyle name="Calculation 12 2 24 6 6" xfId="9009" xr:uid="{00000000-0005-0000-0000-000012230000}"/>
    <cellStyle name="Calculation 12 2 24 7" xfId="9010" xr:uid="{00000000-0005-0000-0000-000013230000}"/>
    <cellStyle name="Calculation 12 2 24 7 2" xfId="9011" xr:uid="{00000000-0005-0000-0000-000014230000}"/>
    <cellStyle name="Calculation 12 2 24 7 3" xfId="9012" xr:uid="{00000000-0005-0000-0000-000015230000}"/>
    <cellStyle name="Calculation 12 2 24 7 4" xfId="9013" xr:uid="{00000000-0005-0000-0000-000016230000}"/>
    <cellStyle name="Calculation 12 2 24 7 5" xfId="9014" xr:uid="{00000000-0005-0000-0000-000017230000}"/>
    <cellStyle name="Calculation 12 2 24 7 6" xfId="9015" xr:uid="{00000000-0005-0000-0000-000018230000}"/>
    <cellStyle name="Calculation 12 2 24 8" xfId="9016" xr:uid="{00000000-0005-0000-0000-000019230000}"/>
    <cellStyle name="Calculation 12 2 24 9" xfId="9017" xr:uid="{00000000-0005-0000-0000-00001A230000}"/>
    <cellStyle name="Calculation 12 2 25" xfId="9018" xr:uid="{00000000-0005-0000-0000-00001B230000}"/>
    <cellStyle name="Calculation 12 2 25 10" xfId="9019" xr:uid="{00000000-0005-0000-0000-00001C230000}"/>
    <cellStyle name="Calculation 12 2 25 2" xfId="9020" xr:uid="{00000000-0005-0000-0000-00001D230000}"/>
    <cellStyle name="Calculation 12 2 25 2 2" xfId="9021" xr:uid="{00000000-0005-0000-0000-00001E230000}"/>
    <cellStyle name="Calculation 12 2 25 2 3" xfId="9022" xr:uid="{00000000-0005-0000-0000-00001F230000}"/>
    <cellStyle name="Calculation 12 2 25 2 4" xfId="9023" xr:uid="{00000000-0005-0000-0000-000020230000}"/>
    <cellStyle name="Calculation 12 2 25 2 5" xfId="9024" xr:uid="{00000000-0005-0000-0000-000021230000}"/>
    <cellStyle name="Calculation 12 2 25 2 6" xfId="9025" xr:uid="{00000000-0005-0000-0000-000022230000}"/>
    <cellStyle name="Calculation 12 2 25 3" xfId="9026" xr:uid="{00000000-0005-0000-0000-000023230000}"/>
    <cellStyle name="Calculation 12 2 25 3 2" xfId="9027" xr:uid="{00000000-0005-0000-0000-000024230000}"/>
    <cellStyle name="Calculation 12 2 25 3 3" xfId="9028" xr:uid="{00000000-0005-0000-0000-000025230000}"/>
    <cellStyle name="Calculation 12 2 25 3 4" xfId="9029" xr:uid="{00000000-0005-0000-0000-000026230000}"/>
    <cellStyle name="Calculation 12 2 25 3 5" xfId="9030" xr:uid="{00000000-0005-0000-0000-000027230000}"/>
    <cellStyle name="Calculation 12 2 25 3 6" xfId="9031" xr:uid="{00000000-0005-0000-0000-000028230000}"/>
    <cellStyle name="Calculation 12 2 25 4" xfId="9032" xr:uid="{00000000-0005-0000-0000-000029230000}"/>
    <cellStyle name="Calculation 12 2 25 4 2" xfId="9033" xr:uid="{00000000-0005-0000-0000-00002A230000}"/>
    <cellStyle name="Calculation 12 2 25 4 3" xfId="9034" xr:uid="{00000000-0005-0000-0000-00002B230000}"/>
    <cellStyle name="Calculation 12 2 25 4 4" xfId="9035" xr:uid="{00000000-0005-0000-0000-00002C230000}"/>
    <cellStyle name="Calculation 12 2 25 4 5" xfId="9036" xr:uid="{00000000-0005-0000-0000-00002D230000}"/>
    <cellStyle name="Calculation 12 2 25 4 6" xfId="9037" xr:uid="{00000000-0005-0000-0000-00002E230000}"/>
    <cellStyle name="Calculation 12 2 25 5" xfId="9038" xr:uid="{00000000-0005-0000-0000-00002F230000}"/>
    <cellStyle name="Calculation 12 2 25 5 2" xfId="9039" xr:uid="{00000000-0005-0000-0000-000030230000}"/>
    <cellStyle name="Calculation 12 2 25 5 3" xfId="9040" xr:uid="{00000000-0005-0000-0000-000031230000}"/>
    <cellStyle name="Calculation 12 2 25 5 4" xfId="9041" xr:uid="{00000000-0005-0000-0000-000032230000}"/>
    <cellStyle name="Calculation 12 2 25 5 5" xfId="9042" xr:uid="{00000000-0005-0000-0000-000033230000}"/>
    <cellStyle name="Calculation 12 2 25 5 6" xfId="9043" xr:uid="{00000000-0005-0000-0000-000034230000}"/>
    <cellStyle name="Calculation 12 2 25 6" xfId="9044" xr:uid="{00000000-0005-0000-0000-000035230000}"/>
    <cellStyle name="Calculation 12 2 25 6 2" xfId="9045" xr:uid="{00000000-0005-0000-0000-000036230000}"/>
    <cellStyle name="Calculation 12 2 25 6 3" xfId="9046" xr:uid="{00000000-0005-0000-0000-000037230000}"/>
    <cellStyle name="Calculation 12 2 25 6 4" xfId="9047" xr:uid="{00000000-0005-0000-0000-000038230000}"/>
    <cellStyle name="Calculation 12 2 25 6 5" xfId="9048" xr:uid="{00000000-0005-0000-0000-000039230000}"/>
    <cellStyle name="Calculation 12 2 25 6 6" xfId="9049" xr:uid="{00000000-0005-0000-0000-00003A230000}"/>
    <cellStyle name="Calculation 12 2 25 7" xfId="9050" xr:uid="{00000000-0005-0000-0000-00003B230000}"/>
    <cellStyle name="Calculation 12 2 25 7 2" xfId="9051" xr:uid="{00000000-0005-0000-0000-00003C230000}"/>
    <cellStyle name="Calculation 12 2 25 7 3" xfId="9052" xr:uid="{00000000-0005-0000-0000-00003D230000}"/>
    <cellStyle name="Calculation 12 2 25 7 4" xfId="9053" xr:uid="{00000000-0005-0000-0000-00003E230000}"/>
    <cellStyle name="Calculation 12 2 25 7 5" xfId="9054" xr:uid="{00000000-0005-0000-0000-00003F230000}"/>
    <cellStyle name="Calculation 12 2 25 7 6" xfId="9055" xr:uid="{00000000-0005-0000-0000-000040230000}"/>
    <cellStyle name="Calculation 12 2 25 8" xfId="9056" xr:uid="{00000000-0005-0000-0000-000041230000}"/>
    <cellStyle name="Calculation 12 2 25 9" xfId="9057" xr:uid="{00000000-0005-0000-0000-000042230000}"/>
    <cellStyle name="Calculation 12 2 26" xfId="9058" xr:uid="{00000000-0005-0000-0000-000043230000}"/>
    <cellStyle name="Calculation 12 2 26 10" xfId="9059" xr:uid="{00000000-0005-0000-0000-000044230000}"/>
    <cellStyle name="Calculation 12 2 26 2" xfId="9060" xr:uid="{00000000-0005-0000-0000-000045230000}"/>
    <cellStyle name="Calculation 12 2 26 2 2" xfId="9061" xr:uid="{00000000-0005-0000-0000-000046230000}"/>
    <cellStyle name="Calculation 12 2 26 2 3" xfId="9062" xr:uid="{00000000-0005-0000-0000-000047230000}"/>
    <cellStyle name="Calculation 12 2 26 2 4" xfId="9063" xr:uid="{00000000-0005-0000-0000-000048230000}"/>
    <cellStyle name="Calculation 12 2 26 2 5" xfId="9064" xr:uid="{00000000-0005-0000-0000-000049230000}"/>
    <cellStyle name="Calculation 12 2 26 2 6" xfId="9065" xr:uid="{00000000-0005-0000-0000-00004A230000}"/>
    <cellStyle name="Calculation 12 2 26 3" xfId="9066" xr:uid="{00000000-0005-0000-0000-00004B230000}"/>
    <cellStyle name="Calculation 12 2 26 3 2" xfId="9067" xr:uid="{00000000-0005-0000-0000-00004C230000}"/>
    <cellStyle name="Calculation 12 2 26 3 3" xfId="9068" xr:uid="{00000000-0005-0000-0000-00004D230000}"/>
    <cellStyle name="Calculation 12 2 26 3 4" xfId="9069" xr:uid="{00000000-0005-0000-0000-00004E230000}"/>
    <cellStyle name="Calculation 12 2 26 3 5" xfId="9070" xr:uid="{00000000-0005-0000-0000-00004F230000}"/>
    <cellStyle name="Calculation 12 2 26 3 6" xfId="9071" xr:uid="{00000000-0005-0000-0000-000050230000}"/>
    <cellStyle name="Calculation 12 2 26 4" xfId="9072" xr:uid="{00000000-0005-0000-0000-000051230000}"/>
    <cellStyle name="Calculation 12 2 26 4 2" xfId="9073" xr:uid="{00000000-0005-0000-0000-000052230000}"/>
    <cellStyle name="Calculation 12 2 26 4 3" xfId="9074" xr:uid="{00000000-0005-0000-0000-000053230000}"/>
    <cellStyle name="Calculation 12 2 26 4 4" xfId="9075" xr:uid="{00000000-0005-0000-0000-000054230000}"/>
    <cellStyle name="Calculation 12 2 26 4 5" xfId="9076" xr:uid="{00000000-0005-0000-0000-000055230000}"/>
    <cellStyle name="Calculation 12 2 26 4 6" xfId="9077" xr:uid="{00000000-0005-0000-0000-000056230000}"/>
    <cellStyle name="Calculation 12 2 26 5" xfId="9078" xr:uid="{00000000-0005-0000-0000-000057230000}"/>
    <cellStyle name="Calculation 12 2 26 5 2" xfId="9079" xr:uid="{00000000-0005-0000-0000-000058230000}"/>
    <cellStyle name="Calculation 12 2 26 5 3" xfId="9080" xr:uid="{00000000-0005-0000-0000-000059230000}"/>
    <cellStyle name="Calculation 12 2 26 5 4" xfId="9081" xr:uid="{00000000-0005-0000-0000-00005A230000}"/>
    <cellStyle name="Calculation 12 2 26 5 5" xfId="9082" xr:uid="{00000000-0005-0000-0000-00005B230000}"/>
    <cellStyle name="Calculation 12 2 26 5 6" xfId="9083" xr:uid="{00000000-0005-0000-0000-00005C230000}"/>
    <cellStyle name="Calculation 12 2 26 6" xfId="9084" xr:uid="{00000000-0005-0000-0000-00005D230000}"/>
    <cellStyle name="Calculation 12 2 26 6 2" xfId="9085" xr:uid="{00000000-0005-0000-0000-00005E230000}"/>
    <cellStyle name="Calculation 12 2 26 6 3" xfId="9086" xr:uid="{00000000-0005-0000-0000-00005F230000}"/>
    <cellStyle name="Calculation 12 2 26 6 4" xfId="9087" xr:uid="{00000000-0005-0000-0000-000060230000}"/>
    <cellStyle name="Calculation 12 2 26 6 5" xfId="9088" xr:uid="{00000000-0005-0000-0000-000061230000}"/>
    <cellStyle name="Calculation 12 2 26 6 6" xfId="9089" xr:uid="{00000000-0005-0000-0000-000062230000}"/>
    <cellStyle name="Calculation 12 2 26 7" xfId="9090" xr:uid="{00000000-0005-0000-0000-000063230000}"/>
    <cellStyle name="Calculation 12 2 26 7 2" xfId="9091" xr:uid="{00000000-0005-0000-0000-000064230000}"/>
    <cellStyle name="Calculation 12 2 26 7 3" xfId="9092" xr:uid="{00000000-0005-0000-0000-000065230000}"/>
    <cellStyle name="Calculation 12 2 26 7 4" xfId="9093" xr:uid="{00000000-0005-0000-0000-000066230000}"/>
    <cellStyle name="Calculation 12 2 26 7 5" xfId="9094" xr:uid="{00000000-0005-0000-0000-000067230000}"/>
    <cellStyle name="Calculation 12 2 26 7 6" xfId="9095" xr:uid="{00000000-0005-0000-0000-000068230000}"/>
    <cellStyle name="Calculation 12 2 26 8" xfId="9096" xr:uid="{00000000-0005-0000-0000-000069230000}"/>
    <cellStyle name="Calculation 12 2 26 9" xfId="9097" xr:uid="{00000000-0005-0000-0000-00006A230000}"/>
    <cellStyle name="Calculation 12 2 27" xfId="9098" xr:uid="{00000000-0005-0000-0000-00006B230000}"/>
    <cellStyle name="Calculation 12 2 27 2" xfId="9099" xr:uid="{00000000-0005-0000-0000-00006C230000}"/>
    <cellStyle name="Calculation 12 2 27 3" xfId="9100" xr:uid="{00000000-0005-0000-0000-00006D230000}"/>
    <cellStyle name="Calculation 12 2 27 4" xfId="9101" xr:uid="{00000000-0005-0000-0000-00006E230000}"/>
    <cellStyle name="Calculation 12 2 27 5" xfId="9102" xr:uid="{00000000-0005-0000-0000-00006F230000}"/>
    <cellStyle name="Calculation 12 2 27 6" xfId="9103" xr:uid="{00000000-0005-0000-0000-000070230000}"/>
    <cellStyle name="Calculation 12 2 28" xfId="9104" xr:uid="{00000000-0005-0000-0000-000071230000}"/>
    <cellStyle name="Calculation 12 2 28 2" xfId="9105" xr:uid="{00000000-0005-0000-0000-000072230000}"/>
    <cellStyle name="Calculation 12 2 28 3" xfId="9106" xr:uid="{00000000-0005-0000-0000-000073230000}"/>
    <cellStyle name="Calculation 12 2 28 4" xfId="9107" xr:uid="{00000000-0005-0000-0000-000074230000}"/>
    <cellStyle name="Calculation 12 2 28 5" xfId="9108" xr:uid="{00000000-0005-0000-0000-000075230000}"/>
    <cellStyle name="Calculation 12 2 28 6" xfId="9109" xr:uid="{00000000-0005-0000-0000-000076230000}"/>
    <cellStyle name="Calculation 12 2 29" xfId="9110" xr:uid="{00000000-0005-0000-0000-000077230000}"/>
    <cellStyle name="Calculation 12 2 29 2" xfId="9111" xr:uid="{00000000-0005-0000-0000-000078230000}"/>
    <cellStyle name="Calculation 12 2 29 3" xfId="9112" xr:uid="{00000000-0005-0000-0000-000079230000}"/>
    <cellStyle name="Calculation 12 2 29 4" xfId="9113" xr:uid="{00000000-0005-0000-0000-00007A230000}"/>
    <cellStyle name="Calculation 12 2 29 5" xfId="9114" xr:uid="{00000000-0005-0000-0000-00007B230000}"/>
    <cellStyle name="Calculation 12 2 29 6" xfId="9115" xr:uid="{00000000-0005-0000-0000-00007C230000}"/>
    <cellStyle name="Calculation 12 2 3" xfId="9116" xr:uid="{00000000-0005-0000-0000-00007D230000}"/>
    <cellStyle name="Calculation 12 2 3 10" xfId="9117" xr:uid="{00000000-0005-0000-0000-00007E230000}"/>
    <cellStyle name="Calculation 12 2 3 2" xfId="9118" xr:uid="{00000000-0005-0000-0000-00007F230000}"/>
    <cellStyle name="Calculation 12 2 3 2 2" xfId="9119" xr:uid="{00000000-0005-0000-0000-000080230000}"/>
    <cellStyle name="Calculation 12 2 3 2 3" xfId="9120" xr:uid="{00000000-0005-0000-0000-000081230000}"/>
    <cellStyle name="Calculation 12 2 3 2 4" xfId="9121" xr:uid="{00000000-0005-0000-0000-000082230000}"/>
    <cellStyle name="Calculation 12 2 3 2 5" xfId="9122" xr:uid="{00000000-0005-0000-0000-000083230000}"/>
    <cellStyle name="Calculation 12 2 3 2 6" xfId="9123" xr:uid="{00000000-0005-0000-0000-000084230000}"/>
    <cellStyle name="Calculation 12 2 3 3" xfId="9124" xr:uid="{00000000-0005-0000-0000-000085230000}"/>
    <cellStyle name="Calculation 12 2 3 3 2" xfId="9125" xr:uid="{00000000-0005-0000-0000-000086230000}"/>
    <cellStyle name="Calculation 12 2 3 3 3" xfId="9126" xr:uid="{00000000-0005-0000-0000-000087230000}"/>
    <cellStyle name="Calculation 12 2 3 3 4" xfId="9127" xr:uid="{00000000-0005-0000-0000-000088230000}"/>
    <cellStyle name="Calculation 12 2 3 3 5" xfId="9128" xr:uid="{00000000-0005-0000-0000-000089230000}"/>
    <cellStyle name="Calculation 12 2 3 3 6" xfId="9129" xr:uid="{00000000-0005-0000-0000-00008A230000}"/>
    <cellStyle name="Calculation 12 2 3 4" xfId="9130" xr:uid="{00000000-0005-0000-0000-00008B230000}"/>
    <cellStyle name="Calculation 12 2 3 4 2" xfId="9131" xr:uid="{00000000-0005-0000-0000-00008C230000}"/>
    <cellStyle name="Calculation 12 2 3 4 3" xfId="9132" xr:uid="{00000000-0005-0000-0000-00008D230000}"/>
    <cellStyle name="Calculation 12 2 3 4 4" xfId="9133" xr:uid="{00000000-0005-0000-0000-00008E230000}"/>
    <cellStyle name="Calculation 12 2 3 4 5" xfId="9134" xr:uid="{00000000-0005-0000-0000-00008F230000}"/>
    <cellStyle name="Calculation 12 2 3 4 6" xfId="9135" xr:uid="{00000000-0005-0000-0000-000090230000}"/>
    <cellStyle name="Calculation 12 2 3 5" xfId="9136" xr:uid="{00000000-0005-0000-0000-000091230000}"/>
    <cellStyle name="Calculation 12 2 3 5 2" xfId="9137" xr:uid="{00000000-0005-0000-0000-000092230000}"/>
    <cellStyle name="Calculation 12 2 3 5 3" xfId="9138" xr:uid="{00000000-0005-0000-0000-000093230000}"/>
    <cellStyle name="Calculation 12 2 3 5 4" xfId="9139" xr:uid="{00000000-0005-0000-0000-000094230000}"/>
    <cellStyle name="Calculation 12 2 3 5 5" xfId="9140" xr:uid="{00000000-0005-0000-0000-000095230000}"/>
    <cellStyle name="Calculation 12 2 3 5 6" xfId="9141" xr:uid="{00000000-0005-0000-0000-000096230000}"/>
    <cellStyle name="Calculation 12 2 3 6" xfId="9142" xr:uid="{00000000-0005-0000-0000-000097230000}"/>
    <cellStyle name="Calculation 12 2 3 6 2" xfId="9143" xr:uid="{00000000-0005-0000-0000-000098230000}"/>
    <cellStyle name="Calculation 12 2 3 6 3" xfId="9144" xr:uid="{00000000-0005-0000-0000-000099230000}"/>
    <cellStyle name="Calculation 12 2 3 6 4" xfId="9145" xr:uid="{00000000-0005-0000-0000-00009A230000}"/>
    <cellStyle name="Calculation 12 2 3 6 5" xfId="9146" xr:uid="{00000000-0005-0000-0000-00009B230000}"/>
    <cellStyle name="Calculation 12 2 3 6 6" xfId="9147" xr:uid="{00000000-0005-0000-0000-00009C230000}"/>
    <cellStyle name="Calculation 12 2 3 7" xfId="9148" xr:uid="{00000000-0005-0000-0000-00009D230000}"/>
    <cellStyle name="Calculation 12 2 3 7 2" xfId="9149" xr:uid="{00000000-0005-0000-0000-00009E230000}"/>
    <cellStyle name="Calculation 12 2 3 7 3" xfId="9150" xr:uid="{00000000-0005-0000-0000-00009F230000}"/>
    <cellStyle name="Calculation 12 2 3 7 4" xfId="9151" xr:uid="{00000000-0005-0000-0000-0000A0230000}"/>
    <cellStyle name="Calculation 12 2 3 7 5" xfId="9152" xr:uid="{00000000-0005-0000-0000-0000A1230000}"/>
    <cellStyle name="Calculation 12 2 3 7 6" xfId="9153" xr:uid="{00000000-0005-0000-0000-0000A2230000}"/>
    <cellStyle name="Calculation 12 2 3 8" xfId="9154" xr:uid="{00000000-0005-0000-0000-0000A3230000}"/>
    <cellStyle name="Calculation 12 2 3 9" xfId="9155" xr:uid="{00000000-0005-0000-0000-0000A4230000}"/>
    <cellStyle name="Calculation 12 2 30" xfId="9156" xr:uid="{00000000-0005-0000-0000-0000A5230000}"/>
    <cellStyle name="Calculation 12 2 30 2" xfId="9157" xr:uid="{00000000-0005-0000-0000-0000A6230000}"/>
    <cellStyle name="Calculation 12 2 30 3" xfId="9158" xr:uid="{00000000-0005-0000-0000-0000A7230000}"/>
    <cellStyle name="Calculation 12 2 30 4" xfId="9159" xr:uid="{00000000-0005-0000-0000-0000A8230000}"/>
    <cellStyle name="Calculation 12 2 30 5" xfId="9160" xr:uid="{00000000-0005-0000-0000-0000A9230000}"/>
    <cellStyle name="Calculation 12 2 30 6" xfId="9161" xr:uid="{00000000-0005-0000-0000-0000AA230000}"/>
    <cellStyle name="Calculation 12 2 31" xfId="9162" xr:uid="{00000000-0005-0000-0000-0000AB230000}"/>
    <cellStyle name="Calculation 12 2 31 2" xfId="9163" xr:uid="{00000000-0005-0000-0000-0000AC230000}"/>
    <cellStyle name="Calculation 12 2 31 3" xfId="9164" xr:uid="{00000000-0005-0000-0000-0000AD230000}"/>
    <cellStyle name="Calculation 12 2 31 4" xfId="9165" xr:uid="{00000000-0005-0000-0000-0000AE230000}"/>
    <cellStyle name="Calculation 12 2 31 5" xfId="9166" xr:uid="{00000000-0005-0000-0000-0000AF230000}"/>
    <cellStyle name="Calculation 12 2 31 6" xfId="9167" xr:uid="{00000000-0005-0000-0000-0000B0230000}"/>
    <cellStyle name="Calculation 12 2 32" xfId="9168" xr:uid="{00000000-0005-0000-0000-0000B1230000}"/>
    <cellStyle name="Calculation 12 2 32 2" xfId="9169" xr:uid="{00000000-0005-0000-0000-0000B2230000}"/>
    <cellStyle name="Calculation 12 2 32 3" xfId="9170" xr:uid="{00000000-0005-0000-0000-0000B3230000}"/>
    <cellStyle name="Calculation 12 2 32 4" xfId="9171" xr:uid="{00000000-0005-0000-0000-0000B4230000}"/>
    <cellStyle name="Calculation 12 2 32 5" xfId="9172" xr:uid="{00000000-0005-0000-0000-0000B5230000}"/>
    <cellStyle name="Calculation 12 2 32 6" xfId="9173" xr:uid="{00000000-0005-0000-0000-0000B6230000}"/>
    <cellStyle name="Calculation 12 2 33" xfId="9174" xr:uid="{00000000-0005-0000-0000-0000B7230000}"/>
    <cellStyle name="Calculation 12 2 34" xfId="9175" xr:uid="{00000000-0005-0000-0000-0000B8230000}"/>
    <cellStyle name="Calculation 12 2 35" xfId="9176" xr:uid="{00000000-0005-0000-0000-0000B9230000}"/>
    <cellStyle name="Calculation 12 2 4" xfId="9177" xr:uid="{00000000-0005-0000-0000-0000BA230000}"/>
    <cellStyle name="Calculation 12 2 4 10" xfId="9178" xr:uid="{00000000-0005-0000-0000-0000BB230000}"/>
    <cellStyle name="Calculation 12 2 4 2" xfId="9179" xr:uid="{00000000-0005-0000-0000-0000BC230000}"/>
    <cellStyle name="Calculation 12 2 4 2 2" xfId="9180" xr:uid="{00000000-0005-0000-0000-0000BD230000}"/>
    <cellStyle name="Calculation 12 2 4 2 3" xfId="9181" xr:uid="{00000000-0005-0000-0000-0000BE230000}"/>
    <cellStyle name="Calculation 12 2 4 2 4" xfId="9182" xr:uid="{00000000-0005-0000-0000-0000BF230000}"/>
    <cellStyle name="Calculation 12 2 4 2 5" xfId="9183" xr:uid="{00000000-0005-0000-0000-0000C0230000}"/>
    <cellStyle name="Calculation 12 2 4 2 6" xfId="9184" xr:uid="{00000000-0005-0000-0000-0000C1230000}"/>
    <cellStyle name="Calculation 12 2 4 3" xfId="9185" xr:uid="{00000000-0005-0000-0000-0000C2230000}"/>
    <cellStyle name="Calculation 12 2 4 3 2" xfId="9186" xr:uid="{00000000-0005-0000-0000-0000C3230000}"/>
    <cellStyle name="Calculation 12 2 4 3 3" xfId="9187" xr:uid="{00000000-0005-0000-0000-0000C4230000}"/>
    <cellStyle name="Calculation 12 2 4 3 4" xfId="9188" xr:uid="{00000000-0005-0000-0000-0000C5230000}"/>
    <cellStyle name="Calculation 12 2 4 3 5" xfId="9189" xr:uid="{00000000-0005-0000-0000-0000C6230000}"/>
    <cellStyle name="Calculation 12 2 4 3 6" xfId="9190" xr:uid="{00000000-0005-0000-0000-0000C7230000}"/>
    <cellStyle name="Calculation 12 2 4 4" xfId="9191" xr:uid="{00000000-0005-0000-0000-0000C8230000}"/>
    <cellStyle name="Calculation 12 2 4 4 2" xfId="9192" xr:uid="{00000000-0005-0000-0000-0000C9230000}"/>
    <cellStyle name="Calculation 12 2 4 4 3" xfId="9193" xr:uid="{00000000-0005-0000-0000-0000CA230000}"/>
    <cellStyle name="Calculation 12 2 4 4 4" xfId="9194" xr:uid="{00000000-0005-0000-0000-0000CB230000}"/>
    <cellStyle name="Calculation 12 2 4 4 5" xfId="9195" xr:uid="{00000000-0005-0000-0000-0000CC230000}"/>
    <cellStyle name="Calculation 12 2 4 4 6" xfId="9196" xr:uid="{00000000-0005-0000-0000-0000CD230000}"/>
    <cellStyle name="Calculation 12 2 4 5" xfId="9197" xr:uid="{00000000-0005-0000-0000-0000CE230000}"/>
    <cellStyle name="Calculation 12 2 4 5 2" xfId="9198" xr:uid="{00000000-0005-0000-0000-0000CF230000}"/>
    <cellStyle name="Calculation 12 2 4 5 3" xfId="9199" xr:uid="{00000000-0005-0000-0000-0000D0230000}"/>
    <cellStyle name="Calculation 12 2 4 5 4" xfId="9200" xr:uid="{00000000-0005-0000-0000-0000D1230000}"/>
    <cellStyle name="Calculation 12 2 4 5 5" xfId="9201" xr:uid="{00000000-0005-0000-0000-0000D2230000}"/>
    <cellStyle name="Calculation 12 2 4 5 6" xfId="9202" xr:uid="{00000000-0005-0000-0000-0000D3230000}"/>
    <cellStyle name="Calculation 12 2 4 6" xfId="9203" xr:uid="{00000000-0005-0000-0000-0000D4230000}"/>
    <cellStyle name="Calculation 12 2 4 6 2" xfId="9204" xr:uid="{00000000-0005-0000-0000-0000D5230000}"/>
    <cellStyle name="Calculation 12 2 4 6 3" xfId="9205" xr:uid="{00000000-0005-0000-0000-0000D6230000}"/>
    <cellStyle name="Calculation 12 2 4 6 4" xfId="9206" xr:uid="{00000000-0005-0000-0000-0000D7230000}"/>
    <cellStyle name="Calculation 12 2 4 6 5" xfId="9207" xr:uid="{00000000-0005-0000-0000-0000D8230000}"/>
    <cellStyle name="Calculation 12 2 4 6 6" xfId="9208" xr:uid="{00000000-0005-0000-0000-0000D9230000}"/>
    <cellStyle name="Calculation 12 2 4 7" xfId="9209" xr:uid="{00000000-0005-0000-0000-0000DA230000}"/>
    <cellStyle name="Calculation 12 2 4 7 2" xfId="9210" xr:uid="{00000000-0005-0000-0000-0000DB230000}"/>
    <cellStyle name="Calculation 12 2 4 7 3" xfId="9211" xr:uid="{00000000-0005-0000-0000-0000DC230000}"/>
    <cellStyle name="Calculation 12 2 4 7 4" xfId="9212" xr:uid="{00000000-0005-0000-0000-0000DD230000}"/>
    <cellStyle name="Calculation 12 2 4 7 5" xfId="9213" xr:uid="{00000000-0005-0000-0000-0000DE230000}"/>
    <cellStyle name="Calculation 12 2 4 7 6" xfId="9214" xr:uid="{00000000-0005-0000-0000-0000DF230000}"/>
    <cellStyle name="Calculation 12 2 4 8" xfId="9215" xr:uid="{00000000-0005-0000-0000-0000E0230000}"/>
    <cellStyle name="Calculation 12 2 4 9" xfId="9216" xr:uid="{00000000-0005-0000-0000-0000E1230000}"/>
    <cellStyle name="Calculation 12 2 5" xfId="9217" xr:uid="{00000000-0005-0000-0000-0000E2230000}"/>
    <cellStyle name="Calculation 12 2 5 10" xfId="9218" xr:uid="{00000000-0005-0000-0000-0000E3230000}"/>
    <cellStyle name="Calculation 12 2 5 2" xfId="9219" xr:uid="{00000000-0005-0000-0000-0000E4230000}"/>
    <cellStyle name="Calculation 12 2 5 2 2" xfId="9220" xr:uid="{00000000-0005-0000-0000-0000E5230000}"/>
    <cellStyle name="Calculation 12 2 5 2 3" xfId="9221" xr:uid="{00000000-0005-0000-0000-0000E6230000}"/>
    <cellStyle name="Calculation 12 2 5 2 4" xfId="9222" xr:uid="{00000000-0005-0000-0000-0000E7230000}"/>
    <cellStyle name="Calculation 12 2 5 2 5" xfId="9223" xr:uid="{00000000-0005-0000-0000-0000E8230000}"/>
    <cellStyle name="Calculation 12 2 5 2 6" xfId="9224" xr:uid="{00000000-0005-0000-0000-0000E9230000}"/>
    <cellStyle name="Calculation 12 2 5 3" xfId="9225" xr:uid="{00000000-0005-0000-0000-0000EA230000}"/>
    <cellStyle name="Calculation 12 2 5 3 2" xfId="9226" xr:uid="{00000000-0005-0000-0000-0000EB230000}"/>
    <cellStyle name="Calculation 12 2 5 3 3" xfId="9227" xr:uid="{00000000-0005-0000-0000-0000EC230000}"/>
    <cellStyle name="Calculation 12 2 5 3 4" xfId="9228" xr:uid="{00000000-0005-0000-0000-0000ED230000}"/>
    <cellStyle name="Calculation 12 2 5 3 5" xfId="9229" xr:uid="{00000000-0005-0000-0000-0000EE230000}"/>
    <cellStyle name="Calculation 12 2 5 3 6" xfId="9230" xr:uid="{00000000-0005-0000-0000-0000EF230000}"/>
    <cellStyle name="Calculation 12 2 5 4" xfId="9231" xr:uid="{00000000-0005-0000-0000-0000F0230000}"/>
    <cellStyle name="Calculation 12 2 5 4 2" xfId="9232" xr:uid="{00000000-0005-0000-0000-0000F1230000}"/>
    <cellStyle name="Calculation 12 2 5 4 3" xfId="9233" xr:uid="{00000000-0005-0000-0000-0000F2230000}"/>
    <cellStyle name="Calculation 12 2 5 4 4" xfId="9234" xr:uid="{00000000-0005-0000-0000-0000F3230000}"/>
    <cellStyle name="Calculation 12 2 5 4 5" xfId="9235" xr:uid="{00000000-0005-0000-0000-0000F4230000}"/>
    <cellStyle name="Calculation 12 2 5 4 6" xfId="9236" xr:uid="{00000000-0005-0000-0000-0000F5230000}"/>
    <cellStyle name="Calculation 12 2 5 5" xfId="9237" xr:uid="{00000000-0005-0000-0000-0000F6230000}"/>
    <cellStyle name="Calculation 12 2 5 5 2" xfId="9238" xr:uid="{00000000-0005-0000-0000-0000F7230000}"/>
    <cellStyle name="Calculation 12 2 5 5 3" xfId="9239" xr:uid="{00000000-0005-0000-0000-0000F8230000}"/>
    <cellStyle name="Calculation 12 2 5 5 4" xfId="9240" xr:uid="{00000000-0005-0000-0000-0000F9230000}"/>
    <cellStyle name="Calculation 12 2 5 5 5" xfId="9241" xr:uid="{00000000-0005-0000-0000-0000FA230000}"/>
    <cellStyle name="Calculation 12 2 5 5 6" xfId="9242" xr:uid="{00000000-0005-0000-0000-0000FB230000}"/>
    <cellStyle name="Calculation 12 2 5 6" xfId="9243" xr:uid="{00000000-0005-0000-0000-0000FC230000}"/>
    <cellStyle name="Calculation 12 2 5 6 2" xfId="9244" xr:uid="{00000000-0005-0000-0000-0000FD230000}"/>
    <cellStyle name="Calculation 12 2 5 6 3" xfId="9245" xr:uid="{00000000-0005-0000-0000-0000FE230000}"/>
    <cellStyle name="Calculation 12 2 5 6 4" xfId="9246" xr:uid="{00000000-0005-0000-0000-0000FF230000}"/>
    <cellStyle name="Calculation 12 2 5 6 5" xfId="9247" xr:uid="{00000000-0005-0000-0000-000000240000}"/>
    <cellStyle name="Calculation 12 2 5 6 6" xfId="9248" xr:uid="{00000000-0005-0000-0000-000001240000}"/>
    <cellStyle name="Calculation 12 2 5 7" xfId="9249" xr:uid="{00000000-0005-0000-0000-000002240000}"/>
    <cellStyle name="Calculation 12 2 5 7 2" xfId="9250" xr:uid="{00000000-0005-0000-0000-000003240000}"/>
    <cellStyle name="Calculation 12 2 5 7 3" xfId="9251" xr:uid="{00000000-0005-0000-0000-000004240000}"/>
    <cellStyle name="Calculation 12 2 5 7 4" xfId="9252" xr:uid="{00000000-0005-0000-0000-000005240000}"/>
    <cellStyle name="Calculation 12 2 5 7 5" xfId="9253" xr:uid="{00000000-0005-0000-0000-000006240000}"/>
    <cellStyle name="Calculation 12 2 5 7 6" xfId="9254" xr:uid="{00000000-0005-0000-0000-000007240000}"/>
    <cellStyle name="Calculation 12 2 5 8" xfId="9255" xr:uid="{00000000-0005-0000-0000-000008240000}"/>
    <cellStyle name="Calculation 12 2 5 9" xfId="9256" xr:uid="{00000000-0005-0000-0000-000009240000}"/>
    <cellStyle name="Calculation 12 2 6" xfId="9257" xr:uid="{00000000-0005-0000-0000-00000A240000}"/>
    <cellStyle name="Calculation 12 2 6 10" xfId="9258" xr:uid="{00000000-0005-0000-0000-00000B240000}"/>
    <cellStyle name="Calculation 12 2 6 2" xfId="9259" xr:uid="{00000000-0005-0000-0000-00000C240000}"/>
    <cellStyle name="Calculation 12 2 6 2 2" xfId="9260" xr:uid="{00000000-0005-0000-0000-00000D240000}"/>
    <cellStyle name="Calculation 12 2 6 2 3" xfId="9261" xr:uid="{00000000-0005-0000-0000-00000E240000}"/>
    <cellStyle name="Calculation 12 2 6 2 4" xfId="9262" xr:uid="{00000000-0005-0000-0000-00000F240000}"/>
    <cellStyle name="Calculation 12 2 6 2 5" xfId="9263" xr:uid="{00000000-0005-0000-0000-000010240000}"/>
    <cellStyle name="Calculation 12 2 6 2 6" xfId="9264" xr:uid="{00000000-0005-0000-0000-000011240000}"/>
    <cellStyle name="Calculation 12 2 6 3" xfId="9265" xr:uid="{00000000-0005-0000-0000-000012240000}"/>
    <cellStyle name="Calculation 12 2 6 3 2" xfId="9266" xr:uid="{00000000-0005-0000-0000-000013240000}"/>
    <cellStyle name="Calculation 12 2 6 3 3" xfId="9267" xr:uid="{00000000-0005-0000-0000-000014240000}"/>
    <cellStyle name="Calculation 12 2 6 3 4" xfId="9268" xr:uid="{00000000-0005-0000-0000-000015240000}"/>
    <cellStyle name="Calculation 12 2 6 3 5" xfId="9269" xr:uid="{00000000-0005-0000-0000-000016240000}"/>
    <cellStyle name="Calculation 12 2 6 3 6" xfId="9270" xr:uid="{00000000-0005-0000-0000-000017240000}"/>
    <cellStyle name="Calculation 12 2 6 4" xfId="9271" xr:uid="{00000000-0005-0000-0000-000018240000}"/>
    <cellStyle name="Calculation 12 2 6 4 2" xfId="9272" xr:uid="{00000000-0005-0000-0000-000019240000}"/>
    <cellStyle name="Calculation 12 2 6 4 3" xfId="9273" xr:uid="{00000000-0005-0000-0000-00001A240000}"/>
    <cellStyle name="Calculation 12 2 6 4 4" xfId="9274" xr:uid="{00000000-0005-0000-0000-00001B240000}"/>
    <cellStyle name="Calculation 12 2 6 4 5" xfId="9275" xr:uid="{00000000-0005-0000-0000-00001C240000}"/>
    <cellStyle name="Calculation 12 2 6 4 6" xfId="9276" xr:uid="{00000000-0005-0000-0000-00001D240000}"/>
    <cellStyle name="Calculation 12 2 6 5" xfId="9277" xr:uid="{00000000-0005-0000-0000-00001E240000}"/>
    <cellStyle name="Calculation 12 2 6 5 2" xfId="9278" xr:uid="{00000000-0005-0000-0000-00001F240000}"/>
    <cellStyle name="Calculation 12 2 6 5 3" xfId="9279" xr:uid="{00000000-0005-0000-0000-000020240000}"/>
    <cellStyle name="Calculation 12 2 6 5 4" xfId="9280" xr:uid="{00000000-0005-0000-0000-000021240000}"/>
    <cellStyle name="Calculation 12 2 6 5 5" xfId="9281" xr:uid="{00000000-0005-0000-0000-000022240000}"/>
    <cellStyle name="Calculation 12 2 6 5 6" xfId="9282" xr:uid="{00000000-0005-0000-0000-000023240000}"/>
    <cellStyle name="Calculation 12 2 6 6" xfId="9283" xr:uid="{00000000-0005-0000-0000-000024240000}"/>
    <cellStyle name="Calculation 12 2 6 6 2" xfId="9284" xr:uid="{00000000-0005-0000-0000-000025240000}"/>
    <cellStyle name="Calculation 12 2 6 6 3" xfId="9285" xr:uid="{00000000-0005-0000-0000-000026240000}"/>
    <cellStyle name="Calculation 12 2 6 6 4" xfId="9286" xr:uid="{00000000-0005-0000-0000-000027240000}"/>
    <cellStyle name="Calculation 12 2 6 6 5" xfId="9287" xr:uid="{00000000-0005-0000-0000-000028240000}"/>
    <cellStyle name="Calculation 12 2 6 6 6" xfId="9288" xr:uid="{00000000-0005-0000-0000-000029240000}"/>
    <cellStyle name="Calculation 12 2 6 7" xfId="9289" xr:uid="{00000000-0005-0000-0000-00002A240000}"/>
    <cellStyle name="Calculation 12 2 6 7 2" xfId="9290" xr:uid="{00000000-0005-0000-0000-00002B240000}"/>
    <cellStyle name="Calculation 12 2 6 7 3" xfId="9291" xr:uid="{00000000-0005-0000-0000-00002C240000}"/>
    <cellStyle name="Calculation 12 2 6 7 4" xfId="9292" xr:uid="{00000000-0005-0000-0000-00002D240000}"/>
    <cellStyle name="Calculation 12 2 6 7 5" xfId="9293" xr:uid="{00000000-0005-0000-0000-00002E240000}"/>
    <cellStyle name="Calculation 12 2 6 7 6" xfId="9294" xr:uid="{00000000-0005-0000-0000-00002F240000}"/>
    <cellStyle name="Calculation 12 2 6 8" xfId="9295" xr:uid="{00000000-0005-0000-0000-000030240000}"/>
    <cellStyle name="Calculation 12 2 6 9" xfId="9296" xr:uid="{00000000-0005-0000-0000-000031240000}"/>
    <cellStyle name="Calculation 12 2 7" xfId="9297" xr:uid="{00000000-0005-0000-0000-000032240000}"/>
    <cellStyle name="Calculation 12 2 7 10" xfId="9298" xr:uid="{00000000-0005-0000-0000-000033240000}"/>
    <cellStyle name="Calculation 12 2 7 2" xfId="9299" xr:uid="{00000000-0005-0000-0000-000034240000}"/>
    <cellStyle name="Calculation 12 2 7 2 2" xfId="9300" xr:uid="{00000000-0005-0000-0000-000035240000}"/>
    <cellStyle name="Calculation 12 2 7 2 3" xfId="9301" xr:uid="{00000000-0005-0000-0000-000036240000}"/>
    <cellStyle name="Calculation 12 2 7 2 4" xfId="9302" xr:uid="{00000000-0005-0000-0000-000037240000}"/>
    <cellStyle name="Calculation 12 2 7 2 5" xfId="9303" xr:uid="{00000000-0005-0000-0000-000038240000}"/>
    <cellStyle name="Calculation 12 2 7 2 6" xfId="9304" xr:uid="{00000000-0005-0000-0000-000039240000}"/>
    <cellStyle name="Calculation 12 2 7 3" xfId="9305" xr:uid="{00000000-0005-0000-0000-00003A240000}"/>
    <cellStyle name="Calculation 12 2 7 3 2" xfId="9306" xr:uid="{00000000-0005-0000-0000-00003B240000}"/>
    <cellStyle name="Calculation 12 2 7 3 3" xfId="9307" xr:uid="{00000000-0005-0000-0000-00003C240000}"/>
    <cellStyle name="Calculation 12 2 7 3 4" xfId="9308" xr:uid="{00000000-0005-0000-0000-00003D240000}"/>
    <cellStyle name="Calculation 12 2 7 3 5" xfId="9309" xr:uid="{00000000-0005-0000-0000-00003E240000}"/>
    <cellStyle name="Calculation 12 2 7 3 6" xfId="9310" xr:uid="{00000000-0005-0000-0000-00003F240000}"/>
    <cellStyle name="Calculation 12 2 7 4" xfId="9311" xr:uid="{00000000-0005-0000-0000-000040240000}"/>
    <cellStyle name="Calculation 12 2 7 4 2" xfId="9312" xr:uid="{00000000-0005-0000-0000-000041240000}"/>
    <cellStyle name="Calculation 12 2 7 4 3" xfId="9313" xr:uid="{00000000-0005-0000-0000-000042240000}"/>
    <cellStyle name="Calculation 12 2 7 4 4" xfId="9314" xr:uid="{00000000-0005-0000-0000-000043240000}"/>
    <cellStyle name="Calculation 12 2 7 4 5" xfId="9315" xr:uid="{00000000-0005-0000-0000-000044240000}"/>
    <cellStyle name="Calculation 12 2 7 4 6" xfId="9316" xr:uid="{00000000-0005-0000-0000-000045240000}"/>
    <cellStyle name="Calculation 12 2 7 5" xfId="9317" xr:uid="{00000000-0005-0000-0000-000046240000}"/>
    <cellStyle name="Calculation 12 2 7 5 2" xfId="9318" xr:uid="{00000000-0005-0000-0000-000047240000}"/>
    <cellStyle name="Calculation 12 2 7 5 3" xfId="9319" xr:uid="{00000000-0005-0000-0000-000048240000}"/>
    <cellStyle name="Calculation 12 2 7 5 4" xfId="9320" xr:uid="{00000000-0005-0000-0000-000049240000}"/>
    <cellStyle name="Calculation 12 2 7 5 5" xfId="9321" xr:uid="{00000000-0005-0000-0000-00004A240000}"/>
    <cellStyle name="Calculation 12 2 7 5 6" xfId="9322" xr:uid="{00000000-0005-0000-0000-00004B240000}"/>
    <cellStyle name="Calculation 12 2 7 6" xfId="9323" xr:uid="{00000000-0005-0000-0000-00004C240000}"/>
    <cellStyle name="Calculation 12 2 7 6 2" xfId="9324" xr:uid="{00000000-0005-0000-0000-00004D240000}"/>
    <cellStyle name="Calculation 12 2 7 6 3" xfId="9325" xr:uid="{00000000-0005-0000-0000-00004E240000}"/>
    <cellStyle name="Calculation 12 2 7 6 4" xfId="9326" xr:uid="{00000000-0005-0000-0000-00004F240000}"/>
    <cellStyle name="Calculation 12 2 7 6 5" xfId="9327" xr:uid="{00000000-0005-0000-0000-000050240000}"/>
    <cellStyle name="Calculation 12 2 7 6 6" xfId="9328" xr:uid="{00000000-0005-0000-0000-000051240000}"/>
    <cellStyle name="Calculation 12 2 7 7" xfId="9329" xr:uid="{00000000-0005-0000-0000-000052240000}"/>
    <cellStyle name="Calculation 12 2 7 7 2" xfId="9330" xr:uid="{00000000-0005-0000-0000-000053240000}"/>
    <cellStyle name="Calculation 12 2 7 7 3" xfId="9331" xr:uid="{00000000-0005-0000-0000-000054240000}"/>
    <cellStyle name="Calculation 12 2 7 7 4" xfId="9332" xr:uid="{00000000-0005-0000-0000-000055240000}"/>
    <cellStyle name="Calculation 12 2 7 7 5" xfId="9333" xr:uid="{00000000-0005-0000-0000-000056240000}"/>
    <cellStyle name="Calculation 12 2 7 7 6" xfId="9334" xr:uid="{00000000-0005-0000-0000-000057240000}"/>
    <cellStyle name="Calculation 12 2 7 8" xfId="9335" xr:uid="{00000000-0005-0000-0000-000058240000}"/>
    <cellStyle name="Calculation 12 2 7 9" xfId="9336" xr:uid="{00000000-0005-0000-0000-000059240000}"/>
    <cellStyle name="Calculation 12 2 8" xfId="9337" xr:uid="{00000000-0005-0000-0000-00005A240000}"/>
    <cellStyle name="Calculation 12 2 8 10" xfId="9338" xr:uid="{00000000-0005-0000-0000-00005B240000}"/>
    <cellStyle name="Calculation 12 2 8 2" xfId="9339" xr:uid="{00000000-0005-0000-0000-00005C240000}"/>
    <cellStyle name="Calculation 12 2 8 2 2" xfId="9340" xr:uid="{00000000-0005-0000-0000-00005D240000}"/>
    <cellStyle name="Calculation 12 2 8 2 3" xfId="9341" xr:uid="{00000000-0005-0000-0000-00005E240000}"/>
    <cellStyle name="Calculation 12 2 8 2 4" xfId="9342" xr:uid="{00000000-0005-0000-0000-00005F240000}"/>
    <cellStyle name="Calculation 12 2 8 2 5" xfId="9343" xr:uid="{00000000-0005-0000-0000-000060240000}"/>
    <cellStyle name="Calculation 12 2 8 2 6" xfId="9344" xr:uid="{00000000-0005-0000-0000-000061240000}"/>
    <cellStyle name="Calculation 12 2 8 3" xfId="9345" xr:uid="{00000000-0005-0000-0000-000062240000}"/>
    <cellStyle name="Calculation 12 2 8 3 2" xfId="9346" xr:uid="{00000000-0005-0000-0000-000063240000}"/>
    <cellStyle name="Calculation 12 2 8 3 3" xfId="9347" xr:uid="{00000000-0005-0000-0000-000064240000}"/>
    <cellStyle name="Calculation 12 2 8 3 4" xfId="9348" xr:uid="{00000000-0005-0000-0000-000065240000}"/>
    <cellStyle name="Calculation 12 2 8 3 5" xfId="9349" xr:uid="{00000000-0005-0000-0000-000066240000}"/>
    <cellStyle name="Calculation 12 2 8 3 6" xfId="9350" xr:uid="{00000000-0005-0000-0000-000067240000}"/>
    <cellStyle name="Calculation 12 2 8 4" xfId="9351" xr:uid="{00000000-0005-0000-0000-000068240000}"/>
    <cellStyle name="Calculation 12 2 8 4 2" xfId="9352" xr:uid="{00000000-0005-0000-0000-000069240000}"/>
    <cellStyle name="Calculation 12 2 8 4 3" xfId="9353" xr:uid="{00000000-0005-0000-0000-00006A240000}"/>
    <cellStyle name="Calculation 12 2 8 4 4" xfId="9354" xr:uid="{00000000-0005-0000-0000-00006B240000}"/>
    <cellStyle name="Calculation 12 2 8 4 5" xfId="9355" xr:uid="{00000000-0005-0000-0000-00006C240000}"/>
    <cellStyle name="Calculation 12 2 8 4 6" xfId="9356" xr:uid="{00000000-0005-0000-0000-00006D240000}"/>
    <cellStyle name="Calculation 12 2 8 5" xfId="9357" xr:uid="{00000000-0005-0000-0000-00006E240000}"/>
    <cellStyle name="Calculation 12 2 8 5 2" xfId="9358" xr:uid="{00000000-0005-0000-0000-00006F240000}"/>
    <cellStyle name="Calculation 12 2 8 5 3" xfId="9359" xr:uid="{00000000-0005-0000-0000-000070240000}"/>
    <cellStyle name="Calculation 12 2 8 5 4" xfId="9360" xr:uid="{00000000-0005-0000-0000-000071240000}"/>
    <cellStyle name="Calculation 12 2 8 5 5" xfId="9361" xr:uid="{00000000-0005-0000-0000-000072240000}"/>
    <cellStyle name="Calculation 12 2 8 5 6" xfId="9362" xr:uid="{00000000-0005-0000-0000-000073240000}"/>
    <cellStyle name="Calculation 12 2 8 6" xfId="9363" xr:uid="{00000000-0005-0000-0000-000074240000}"/>
    <cellStyle name="Calculation 12 2 8 6 2" xfId="9364" xr:uid="{00000000-0005-0000-0000-000075240000}"/>
    <cellStyle name="Calculation 12 2 8 6 3" xfId="9365" xr:uid="{00000000-0005-0000-0000-000076240000}"/>
    <cellStyle name="Calculation 12 2 8 6 4" xfId="9366" xr:uid="{00000000-0005-0000-0000-000077240000}"/>
    <cellStyle name="Calculation 12 2 8 6 5" xfId="9367" xr:uid="{00000000-0005-0000-0000-000078240000}"/>
    <cellStyle name="Calculation 12 2 8 6 6" xfId="9368" xr:uid="{00000000-0005-0000-0000-000079240000}"/>
    <cellStyle name="Calculation 12 2 8 7" xfId="9369" xr:uid="{00000000-0005-0000-0000-00007A240000}"/>
    <cellStyle name="Calculation 12 2 8 7 2" xfId="9370" xr:uid="{00000000-0005-0000-0000-00007B240000}"/>
    <cellStyle name="Calculation 12 2 8 7 3" xfId="9371" xr:uid="{00000000-0005-0000-0000-00007C240000}"/>
    <cellStyle name="Calculation 12 2 8 7 4" xfId="9372" xr:uid="{00000000-0005-0000-0000-00007D240000}"/>
    <cellStyle name="Calculation 12 2 8 7 5" xfId="9373" xr:uid="{00000000-0005-0000-0000-00007E240000}"/>
    <cellStyle name="Calculation 12 2 8 7 6" xfId="9374" xr:uid="{00000000-0005-0000-0000-00007F240000}"/>
    <cellStyle name="Calculation 12 2 8 8" xfId="9375" xr:uid="{00000000-0005-0000-0000-000080240000}"/>
    <cellStyle name="Calculation 12 2 8 9" xfId="9376" xr:uid="{00000000-0005-0000-0000-000081240000}"/>
    <cellStyle name="Calculation 12 2 9" xfId="9377" xr:uid="{00000000-0005-0000-0000-000082240000}"/>
    <cellStyle name="Calculation 12 2 9 10" xfId="9378" xr:uid="{00000000-0005-0000-0000-000083240000}"/>
    <cellStyle name="Calculation 12 2 9 2" xfId="9379" xr:uid="{00000000-0005-0000-0000-000084240000}"/>
    <cellStyle name="Calculation 12 2 9 2 2" xfId="9380" xr:uid="{00000000-0005-0000-0000-000085240000}"/>
    <cellStyle name="Calculation 12 2 9 2 3" xfId="9381" xr:uid="{00000000-0005-0000-0000-000086240000}"/>
    <cellStyle name="Calculation 12 2 9 2 4" xfId="9382" xr:uid="{00000000-0005-0000-0000-000087240000}"/>
    <cellStyle name="Calculation 12 2 9 2 5" xfId="9383" xr:uid="{00000000-0005-0000-0000-000088240000}"/>
    <cellStyle name="Calculation 12 2 9 2 6" xfId="9384" xr:uid="{00000000-0005-0000-0000-000089240000}"/>
    <cellStyle name="Calculation 12 2 9 3" xfId="9385" xr:uid="{00000000-0005-0000-0000-00008A240000}"/>
    <cellStyle name="Calculation 12 2 9 3 2" xfId="9386" xr:uid="{00000000-0005-0000-0000-00008B240000}"/>
    <cellStyle name="Calculation 12 2 9 3 3" xfId="9387" xr:uid="{00000000-0005-0000-0000-00008C240000}"/>
    <cellStyle name="Calculation 12 2 9 3 4" xfId="9388" xr:uid="{00000000-0005-0000-0000-00008D240000}"/>
    <cellStyle name="Calculation 12 2 9 3 5" xfId="9389" xr:uid="{00000000-0005-0000-0000-00008E240000}"/>
    <cellStyle name="Calculation 12 2 9 3 6" xfId="9390" xr:uid="{00000000-0005-0000-0000-00008F240000}"/>
    <cellStyle name="Calculation 12 2 9 4" xfId="9391" xr:uid="{00000000-0005-0000-0000-000090240000}"/>
    <cellStyle name="Calculation 12 2 9 4 2" xfId="9392" xr:uid="{00000000-0005-0000-0000-000091240000}"/>
    <cellStyle name="Calculation 12 2 9 4 3" xfId="9393" xr:uid="{00000000-0005-0000-0000-000092240000}"/>
    <cellStyle name="Calculation 12 2 9 4 4" xfId="9394" xr:uid="{00000000-0005-0000-0000-000093240000}"/>
    <cellStyle name="Calculation 12 2 9 4 5" xfId="9395" xr:uid="{00000000-0005-0000-0000-000094240000}"/>
    <cellStyle name="Calculation 12 2 9 4 6" xfId="9396" xr:uid="{00000000-0005-0000-0000-000095240000}"/>
    <cellStyle name="Calculation 12 2 9 5" xfId="9397" xr:uid="{00000000-0005-0000-0000-000096240000}"/>
    <cellStyle name="Calculation 12 2 9 5 2" xfId="9398" xr:uid="{00000000-0005-0000-0000-000097240000}"/>
    <cellStyle name="Calculation 12 2 9 5 3" xfId="9399" xr:uid="{00000000-0005-0000-0000-000098240000}"/>
    <cellStyle name="Calculation 12 2 9 5 4" xfId="9400" xr:uid="{00000000-0005-0000-0000-000099240000}"/>
    <cellStyle name="Calculation 12 2 9 5 5" xfId="9401" xr:uid="{00000000-0005-0000-0000-00009A240000}"/>
    <cellStyle name="Calculation 12 2 9 5 6" xfId="9402" xr:uid="{00000000-0005-0000-0000-00009B240000}"/>
    <cellStyle name="Calculation 12 2 9 6" xfId="9403" xr:uid="{00000000-0005-0000-0000-00009C240000}"/>
    <cellStyle name="Calculation 12 2 9 6 2" xfId="9404" xr:uid="{00000000-0005-0000-0000-00009D240000}"/>
    <cellStyle name="Calculation 12 2 9 6 3" xfId="9405" xr:uid="{00000000-0005-0000-0000-00009E240000}"/>
    <cellStyle name="Calculation 12 2 9 6 4" xfId="9406" xr:uid="{00000000-0005-0000-0000-00009F240000}"/>
    <cellStyle name="Calculation 12 2 9 6 5" xfId="9407" xr:uid="{00000000-0005-0000-0000-0000A0240000}"/>
    <cellStyle name="Calculation 12 2 9 6 6" xfId="9408" xr:uid="{00000000-0005-0000-0000-0000A1240000}"/>
    <cellStyle name="Calculation 12 2 9 7" xfId="9409" xr:uid="{00000000-0005-0000-0000-0000A2240000}"/>
    <cellStyle name="Calculation 12 2 9 7 2" xfId="9410" xr:uid="{00000000-0005-0000-0000-0000A3240000}"/>
    <cellStyle name="Calculation 12 2 9 7 3" xfId="9411" xr:uid="{00000000-0005-0000-0000-0000A4240000}"/>
    <cellStyle name="Calculation 12 2 9 7 4" xfId="9412" xr:uid="{00000000-0005-0000-0000-0000A5240000}"/>
    <cellStyle name="Calculation 12 2 9 7 5" xfId="9413" xr:uid="{00000000-0005-0000-0000-0000A6240000}"/>
    <cellStyle name="Calculation 12 2 9 7 6" xfId="9414" xr:uid="{00000000-0005-0000-0000-0000A7240000}"/>
    <cellStyle name="Calculation 12 2 9 8" xfId="9415" xr:uid="{00000000-0005-0000-0000-0000A8240000}"/>
    <cellStyle name="Calculation 12 2 9 9" xfId="9416" xr:uid="{00000000-0005-0000-0000-0000A9240000}"/>
    <cellStyle name="Calculation 12 20" xfId="9417" xr:uid="{00000000-0005-0000-0000-0000AA240000}"/>
    <cellStyle name="Calculation 12 20 10" xfId="9418" xr:uid="{00000000-0005-0000-0000-0000AB240000}"/>
    <cellStyle name="Calculation 12 20 2" xfId="9419" xr:uid="{00000000-0005-0000-0000-0000AC240000}"/>
    <cellStyle name="Calculation 12 20 2 2" xfId="9420" xr:uid="{00000000-0005-0000-0000-0000AD240000}"/>
    <cellStyle name="Calculation 12 20 2 3" xfId="9421" xr:uid="{00000000-0005-0000-0000-0000AE240000}"/>
    <cellStyle name="Calculation 12 20 2 4" xfId="9422" xr:uid="{00000000-0005-0000-0000-0000AF240000}"/>
    <cellStyle name="Calculation 12 20 2 5" xfId="9423" xr:uid="{00000000-0005-0000-0000-0000B0240000}"/>
    <cellStyle name="Calculation 12 20 2 6" xfId="9424" xr:uid="{00000000-0005-0000-0000-0000B1240000}"/>
    <cellStyle name="Calculation 12 20 3" xfId="9425" xr:uid="{00000000-0005-0000-0000-0000B2240000}"/>
    <cellStyle name="Calculation 12 20 3 2" xfId="9426" xr:uid="{00000000-0005-0000-0000-0000B3240000}"/>
    <cellStyle name="Calculation 12 20 3 3" xfId="9427" xr:uid="{00000000-0005-0000-0000-0000B4240000}"/>
    <cellStyle name="Calculation 12 20 3 4" xfId="9428" xr:uid="{00000000-0005-0000-0000-0000B5240000}"/>
    <cellStyle name="Calculation 12 20 3 5" xfId="9429" xr:uid="{00000000-0005-0000-0000-0000B6240000}"/>
    <cellStyle name="Calculation 12 20 3 6" xfId="9430" xr:uid="{00000000-0005-0000-0000-0000B7240000}"/>
    <cellStyle name="Calculation 12 20 4" xfId="9431" xr:uid="{00000000-0005-0000-0000-0000B8240000}"/>
    <cellStyle name="Calculation 12 20 4 2" xfId="9432" xr:uid="{00000000-0005-0000-0000-0000B9240000}"/>
    <cellStyle name="Calculation 12 20 4 3" xfId="9433" xr:uid="{00000000-0005-0000-0000-0000BA240000}"/>
    <cellStyle name="Calculation 12 20 4 4" xfId="9434" xr:uid="{00000000-0005-0000-0000-0000BB240000}"/>
    <cellStyle name="Calculation 12 20 4 5" xfId="9435" xr:uid="{00000000-0005-0000-0000-0000BC240000}"/>
    <cellStyle name="Calculation 12 20 4 6" xfId="9436" xr:uid="{00000000-0005-0000-0000-0000BD240000}"/>
    <cellStyle name="Calculation 12 20 5" xfId="9437" xr:uid="{00000000-0005-0000-0000-0000BE240000}"/>
    <cellStyle name="Calculation 12 20 5 2" xfId="9438" xr:uid="{00000000-0005-0000-0000-0000BF240000}"/>
    <cellStyle name="Calculation 12 20 5 3" xfId="9439" xr:uid="{00000000-0005-0000-0000-0000C0240000}"/>
    <cellStyle name="Calculation 12 20 5 4" xfId="9440" xr:uid="{00000000-0005-0000-0000-0000C1240000}"/>
    <cellStyle name="Calculation 12 20 5 5" xfId="9441" xr:uid="{00000000-0005-0000-0000-0000C2240000}"/>
    <cellStyle name="Calculation 12 20 5 6" xfId="9442" xr:uid="{00000000-0005-0000-0000-0000C3240000}"/>
    <cellStyle name="Calculation 12 20 6" xfId="9443" xr:uid="{00000000-0005-0000-0000-0000C4240000}"/>
    <cellStyle name="Calculation 12 20 6 2" xfId="9444" xr:uid="{00000000-0005-0000-0000-0000C5240000}"/>
    <cellStyle name="Calculation 12 20 6 3" xfId="9445" xr:uid="{00000000-0005-0000-0000-0000C6240000}"/>
    <cellStyle name="Calculation 12 20 6 4" xfId="9446" xr:uid="{00000000-0005-0000-0000-0000C7240000}"/>
    <cellStyle name="Calculation 12 20 6 5" xfId="9447" xr:uid="{00000000-0005-0000-0000-0000C8240000}"/>
    <cellStyle name="Calculation 12 20 6 6" xfId="9448" xr:uid="{00000000-0005-0000-0000-0000C9240000}"/>
    <cellStyle name="Calculation 12 20 7" xfId="9449" xr:uid="{00000000-0005-0000-0000-0000CA240000}"/>
    <cellStyle name="Calculation 12 20 7 2" xfId="9450" xr:uid="{00000000-0005-0000-0000-0000CB240000}"/>
    <cellStyle name="Calculation 12 20 7 3" xfId="9451" xr:uid="{00000000-0005-0000-0000-0000CC240000}"/>
    <cellStyle name="Calculation 12 20 7 4" xfId="9452" xr:uid="{00000000-0005-0000-0000-0000CD240000}"/>
    <cellStyle name="Calculation 12 20 7 5" xfId="9453" xr:uid="{00000000-0005-0000-0000-0000CE240000}"/>
    <cellStyle name="Calculation 12 20 7 6" xfId="9454" xr:uid="{00000000-0005-0000-0000-0000CF240000}"/>
    <cellStyle name="Calculation 12 20 8" xfId="9455" xr:uid="{00000000-0005-0000-0000-0000D0240000}"/>
    <cellStyle name="Calculation 12 20 9" xfId="9456" xr:uid="{00000000-0005-0000-0000-0000D1240000}"/>
    <cellStyle name="Calculation 12 21" xfId="9457" xr:uid="{00000000-0005-0000-0000-0000D2240000}"/>
    <cellStyle name="Calculation 12 21 10" xfId="9458" xr:uid="{00000000-0005-0000-0000-0000D3240000}"/>
    <cellStyle name="Calculation 12 21 2" xfId="9459" xr:uid="{00000000-0005-0000-0000-0000D4240000}"/>
    <cellStyle name="Calculation 12 21 2 2" xfId="9460" xr:uid="{00000000-0005-0000-0000-0000D5240000}"/>
    <cellStyle name="Calculation 12 21 2 3" xfId="9461" xr:uid="{00000000-0005-0000-0000-0000D6240000}"/>
    <cellStyle name="Calculation 12 21 2 4" xfId="9462" xr:uid="{00000000-0005-0000-0000-0000D7240000}"/>
    <cellStyle name="Calculation 12 21 2 5" xfId="9463" xr:uid="{00000000-0005-0000-0000-0000D8240000}"/>
    <cellStyle name="Calculation 12 21 2 6" xfId="9464" xr:uid="{00000000-0005-0000-0000-0000D9240000}"/>
    <cellStyle name="Calculation 12 21 3" xfId="9465" xr:uid="{00000000-0005-0000-0000-0000DA240000}"/>
    <cellStyle name="Calculation 12 21 3 2" xfId="9466" xr:uid="{00000000-0005-0000-0000-0000DB240000}"/>
    <cellStyle name="Calculation 12 21 3 3" xfId="9467" xr:uid="{00000000-0005-0000-0000-0000DC240000}"/>
    <cellStyle name="Calculation 12 21 3 4" xfId="9468" xr:uid="{00000000-0005-0000-0000-0000DD240000}"/>
    <cellStyle name="Calculation 12 21 3 5" xfId="9469" xr:uid="{00000000-0005-0000-0000-0000DE240000}"/>
    <cellStyle name="Calculation 12 21 3 6" xfId="9470" xr:uid="{00000000-0005-0000-0000-0000DF240000}"/>
    <cellStyle name="Calculation 12 21 4" xfId="9471" xr:uid="{00000000-0005-0000-0000-0000E0240000}"/>
    <cellStyle name="Calculation 12 21 4 2" xfId="9472" xr:uid="{00000000-0005-0000-0000-0000E1240000}"/>
    <cellStyle name="Calculation 12 21 4 3" xfId="9473" xr:uid="{00000000-0005-0000-0000-0000E2240000}"/>
    <cellStyle name="Calculation 12 21 4 4" xfId="9474" xr:uid="{00000000-0005-0000-0000-0000E3240000}"/>
    <cellStyle name="Calculation 12 21 4 5" xfId="9475" xr:uid="{00000000-0005-0000-0000-0000E4240000}"/>
    <cellStyle name="Calculation 12 21 4 6" xfId="9476" xr:uid="{00000000-0005-0000-0000-0000E5240000}"/>
    <cellStyle name="Calculation 12 21 5" xfId="9477" xr:uid="{00000000-0005-0000-0000-0000E6240000}"/>
    <cellStyle name="Calculation 12 21 5 2" xfId="9478" xr:uid="{00000000-0005-0000-0000-0000E7240000}"/>
    <cellStyle name="Calculation 12 21 5 3" xfId="9479" xr:uid="{00000000-0005-0000-0000-0000E8240000}"/>
    <cellStyle name="Calculation 12 21 5 4" xfId="9480" xr:uid="{00000000-0005-0000-0000-0000E9240000}"/>
    <cellStyle name="Calculation 12 21 5 5" xfId="9481" xr:uid="{00000000-0005-0000-0000-0000EA240000}"/>
    <cellStyle name="Calculation 12 21 5 6" xfId="9482" xr:uid="{00000000-0005-0000-0000-0000EB240000}"/>
    <cellStyle name="Calculation 12 21 6" xfId="9483" xr:uid="{00000000-0005-0000-0000-0000EC240000}"/>
    <cellStyle name="Calculation 12 21 6 2" xfId="9484" xr:uid="{00000000-0005-0000-0000-0000ED240000}"/>
    <cellStyle name="Calculation 12 21 6 3" xfId="9485" xr:uid="{00000000-0005-0000-0000-0000EE240000}"/>
    <cellStyle name="Calculation 12 21 6 4" xfId="9486" xr:uid="{00000000-0005-0000-0000-0000EF240000}"/>
    <cellStyle name="Calculation 12 21 6 5" xfId="9487" xr:uid="{00000000-0005-0000-0000-0000F0240000}"/>
    <cellStyle name="Calculation 12 21 6 6" xfId="9488" xr:uid="{00000000-0005-0000-0000-0000F1240000}"/>
    <cellStyle name="Calculation 12 21 7" xfId="9489" xr:uid="{00000000-0005-0000-0000-0000F2240000}"/>
    <cellStyle name="Calculation 12 21 7 2" xfId="9490" xr:uid="{00000000-0005-0000-0000-0000F3240000}"/>
    <cellStyle name="Calculation 12 21 7 3" xfId="9491" xr:uid="{00000000-0005-0000-0000-0000F4240000}"/>
    <cellStyle name="Calculation 12 21 7 4" xfId="9492" xr:uid="{00000000-0005-0000-0000-0000F5240000}"/>
    <cellStyle name="Calculation 12 21 7 5" xfId="9493" xr:uid="{00000000-0005-0000-0000-0000F6240000}"/>
    <cellStyle name="Calculation 12 21 7 6" xfId="9494" xr:uid="{00000000-0005-0000-0000-0000F7240000}"/>
    <cellStyle name="Calculation 12 21 8" xfId="9495" xr:uid="{00000000-0005-0000-0000-0000F8240000}"/>
    <cellStyle name="Calculation 12 21 9" xfId="9496" xr:uid="{00000000-0005-0000-0000-0000F9240000}"/>
    <cellStyle name="Calculation 12 22" xfId="9497" xr:uid="{00000000-0005-0000-0000-0000FA240000}"/>
    <cellStyle name="Calculation 12 22 10" xfId="9498" xr:uid="{00000000-0005-0000-0000-0000FB240000}"/>
    <cellStyle name="Calculation 12 22 2" xfId="9499" xr:uid="{00000000-0005-0000-0000-0000FC240000}"/>
    <cellStyle name="Calculation 12 22 2 2" xfId="9500" xr:uid="{00000000-0005-0000-0000-0000FD240000}"/>
    <cellStyle name="Calculation 12 22 2 3" xfId="9501" xr:uid="{00000000-0005-0000-0000-0000FE240000}"/>
    <cellStyle name="Calculation 12 22 2 4" xfId="9502" xr:uid="{00000000-0005-0000-0000-0000FF240000}"/>
    <cellStyle name="Calculation 12 22 2 5" xfId="9503" xr:uid="{00000000-0005-0000-0000-000000250000}"/>
    <cellStyle name="Calculation 12 22 2 6" xfId="9504" xr:uid="{00000000-0005-0000-0000-000001250000}"/>
    <cellStyle name="Calculation 12 22 3" xfId="9505" xr:uid="{00000000-0005-0000-0000-000002250000}"/>
    <cellStyle name="Calculation 12 22 3 2" xfId="9506" xr:uid="{00000000-0005-0000-0000-000003250000}"/>
    <cellStyle name="Calculation 12 22 3 3" xfId="9507" xr:uid="{00000000-0005-0000-0000-000004250000}"/>
    <cellStyle name="Calculation 12 22 3 4" xfId="9508" xr:uid="{00000000-0005-0000-0000-000005250000}"/>
    <cellStyle name="Calculation 12 22 3 5" xfId="9509" xr:uid="{00000000-0005-0000-0000-000006250000}"/>
    <cellStyle name="Calculation 12 22 3 6" xfId="9510" xr:uid="{00000000-0005-0000-0000-000007250000}"/>
    <cellStyle name="Calculation 12 22 4" xfId="9511" xr:uid="{00000000-0005-0000-0000-000008250000}"/>
    <cellStyle name="Calculation 12 22 4 2" xfId="9512" xr:uid="{00000000-0005-0000-0000-000009250000}"/>
    <cellStyle name="Calculation 12 22 4 3" xfId="9513" xr:uid="{00000000-0005-0000-0000-00000A250000}"/>
    <cellStyle name="Calculation 12 22 4 4" xfId="9514" xr:uid="{00000000-0005-0000-0000-00000B250000}"/>
    <cellStyle name="Calculation 12 22 4 5" xfId="9515" xr:uid="{00000000-0005-0000-0000-00000C250000}"/>
    <cellStyle name="Calculation 12 22 4 6" xfId="9516" xr:uid="{00000000-0005-0000-0000-00000D250000}"/>
    <cellStyle name="Calculation 12 22 5" xfId="9517" xr:uid="{00000000-0005-0000-0000-00000E250000}"/>
    <cellStyle name="Calculation 12 22 5 2" xfId="9518" xr:uid="{00000000-0005-0000-0000-00000F250000}"/>
    <cellStyle name="Calculation 12 22 5 3" xfId="9519" xr:uid="{00000000-0005-0000-0000-000010250000}"/>
    <cellStyle name="Calculation 12 22 5 4" xfId="9520" xr:uid="{00000000-0005-0000-0000-000011250000}"/>
    <cellStyle name="Calculation 12 22 5 5" xfId="9521" xr:uid="{00000000-0005-0000-0000-000012250000}"/>
    <cellStyle name="Calculation 12 22 5 6" xfId="9522" xr:uid="{00000000-0005-0000-0000-000013250000}"/>
    <cellStyle name="Calculation 12 22 6" xfId="9523" xr:uid="{00000000-0005-0000-0000-000014250000}"/>
    <cellStyle name="Calculation 12 22 6 2" xfId="9524" xr:uid="{00000000-0005-0000-0000-000015250000}"/>
    <cellStyle name="Calculation 12 22 6 3" xfId="9525" xr:uid="{00000000-0005-0000-0000-000016250000}"/>
    <cellStyle name="Calculation 12 22 6 4" xfId="9526" xr:uid="{00000000-0005-0000-0000-000017250000}"/>
    <cellStyle name="Calculation 12 22 6 5" xfId="9527" xr:uid="{00000000-0005-0000-0000-000018250000}"/>
    <cellStyle name="Calculation 12 22 6 6" xfId="9528" xr:uid="{00000000-0005-0000-0000-000019250000}"/>
    <cellStyle name="Calculation 12 22 7" xfId="9529" xr:uid="{00000000-0005-0000-0000-00001A250000}"/>
    <cellStyle name="Calculation 12 22 7 2" xfId="9530" xr:uid="{00000000-0005-0000-0000-00001B250000}"/>
    <cellStyle name="Calculation 12 22 7 3" xfId="9531" xr:uid="{00000000-0005-0000-0000-00001C250000}"/>
    <cellStyle name="Calculation 12 22 7 4" xfId="9532" xr:uid="{00000000-0005-0000-0000-00001D250000}"/>
    <cellStyle name="Calculation 12 22 7 5" xfId="9533" xr:uid="{00000000-0005-0000-0000-00001E250000}"/>
    <cellStyle name="Calculation 12 22 7 6" xfId="9534" xr:uid="{00000000-0005-0000-0000-00001F250000}"/>
    <cellStyle name="Calculation 12 22 8" xfId="9535" xr:uid="{00000000-0005-0000-0000-000020250000}"/>
    <cellStyle name="Calculation 12 22 9" xfId="9536" xr:uid="{00000000-0005-0000-0000-000021250000}"/>
    <cellStyle name="Calculation 12 23" xfId="9537" xr:uid="{00000000-0005-0000-0000-000022250000}"/>
    <cellStyle name="Calculation 12 23 10" xfId="9538" xr:uid="{00000000-0005-0000-0000-000023250000}"/>
    <cellStyle name="Calculation 12 23 2" xfId="9539" xr:uid="{00000000-0005-0000-0000-000024250000}"/>
    <cellStyle name="Calculation 12 23 2 2" xfId="9540" xr:uid="{00000000-0005-0000-0000-000025250000}"/>
    <cellStyle name="Calculation 12 23 2 3" xfId="9541" xr:uid="{00000000-0005-0000-0000-000026250000}"/>
    <cellStyle name="Calculation 12 23 2 4" xfId="9542" xr:uid="{00000000-0005-0000-0000-000027250000}"/>
    <cellStyle name="Calculation 12 23 2 5" xfId="9543" xr:uid="{00000000-0005-0000-0000-000028250000}"/>
    <cellStyle name="Calculation 12 23 2 6" xfId="9544" xr:uid="{00000000-0005-0000-0000-000029250000}"/>
    <cellStyle name="Calculation 12 23 3" xfId="9545" xr:uid="{00000000-0005-0000-0000-00002A250000}"/>
    <cellStyle name="Calculation 12 23 3 2" xfId="9546" xr:uid="{00000000-0005-0000-0000-00002B250000}"/>
    <cellStyle name="Calculation 12 23 3 3" xfId="9547" xr:uid="{00000000-0005-0000-0000-00002C250000}"/>
    <cellStyle name="Calculation 12 23 3 4" xfId="9548" xr:uid="{00000000-0005-0000-0000-00002D250000}"/>
    <cellStyle name="Calculation 12 23 3 5" xfId="9549" xr:uid="{00000000-0005-0000-0000-00002E250000}"/>
    <cellStyle name="Calculation 12 23 3 6" xfId="9550" xr:uid="{00000000-0005-0000-0000-00002F250000}"/>
    <cellStyle name="Calculation 12 23 4" xfId="9551" xr:uid="{00000000-0005-0000-0000-000030250000}"/>
    <cellStyle name="Calculation 12 23 4 2" xfId="9552" xr:uid="{00000000-0005-0000-0000-000031250000}"/>
    <cellStyle name="Calculation 12 23 4 3" xfId="9553" xr:uid="{00000000-0005-0000-0000-000032250000}"/>
    <cellStyle name="Calculation 12 23 4 4" xfId="9554" xr:uid="{00000000-0005-0000-0000-000033250000}"/>
    <cellStyle name="Calculation 12 23 4 5" xfId="9555" xr:uid="{00000000-0005-0000-0000-000034250000}"/>
    <cellStyle name="Calculation 12 23 4 6" xfId="9556" xr:uid="{00000000-0005-0000-0000-000035250000}"/>
    <cellStyle name="Calculation 12 23 5" xfId="9557" xr:uid="{00000000-0005-0000-0000-000036250000}"/>
    <cellStyle name="Calculation 12 23 5 2" xfId="9558" xr:uid="{00000000-0005-0000-0000-000037250000}"/>
    <cellStyle name="Calculation 12 23 5 3" xfId="9559" xr:uid="{00000000-0005-0000-0000-000038250000}"/>
    <cellStyle name="Calculation 12 23 5 4" xfId="9560" xr:uid="{00000000-0005-0000-0000-000039250000}"/>
    <cellStyle name="Calculation 12 23 5 5" xfId="9561" xr:uid="{00000000-0005-0000-0000-00003A250000}"/>
    <cellStyle name="Calculation 12 23 5 6" xfId="9562" xr:uid="{00000000-0005-0000-0000-00003B250000}"/>
    <cellStyle name="Calculation 12 23 6" xfId="9563" xr:uid="{00000000-0005-0000-0000-00003C250000}"/>
    <cellStyle name="Calculation 12 23 6 2" xfId="9564" xr:uid="{00000000-0005-0000-0000-00003D250000}"/>
    <cellStyle name="Calculation 12 23 6 3" xfId="9565" xr:uid="{00000000-0005-0000-0000-00003E250000}"/>
    <cellStyle name="Calculation 12 23 6 4" xfId="9566" xr:uid="{00000000-0005-0000-0000-00003F250000}"/>
    <cellStyle name="Calculation 12 23 6 5" xfId="9567" xr:uid="{00000000-0005-0000-0000-000040250000}"/>
    <cellStyle name="Calculation 12 23 6 6" xfId="9568" xr:uid="{00000000-0005-0000-0000-000041250000}"/>
    <cellStyle name="Calculation 12 23 7" xfId="9569" xr:uid="{00000000-0005-0000-0000-000042250000}"/>
    <cellStyle name="Calculation 12 23 7 2" xfId="9570" xr:uid="{00000000-0005-0000-0000-000043250000}"/>
    <cellStyle name="Calculation 12 23 7 3" xfId="9571" xr:uid="{00000000-0005-0000-0000-000044250000}"/>
    <cellStyle name="Calculation 12 23 7 4" xfId="9572" xr:uid="{00000000-0005-0000-0000-000045250000}"/>
    <cellStyle name="Calculation 12 23 7 5" xfId="9573" xr:uid="{00000000-0005-0000-0000-000046250000}"/>
    <cellStyle name="Calculation 12 23 7 6" xfId="9574" xr:uid="{00000000-0005-0000-0000-000047250000}"/>
    <cellStyle name="Calculation 12 23 8" xfId="9575" xr:uid="{00000000-0005-0000-0000-000048250000}"/>
    <cellStyle name="Calculation 12 23 9" xfId="9576" xr:uid="{00000000-0005-0000-0000-000049250000}"/>
    <cellStyle name="Calculation 12 24" xfId="9577" xr:uid="{00000000-0005-0000-0000-00004A250000}"/>
    <cellStyle name="Calculation 12 24 10" xfId="9578" xr:uid="{00000000-0005-0000-0000-00004B250000}"/>
    <cellStyle name="Calculation 12 24 2" xfId="9579" xr:uid="{00000000-0005-0000-0000-00004C250000}"/>
    <cellStyle name="Calculation 12 24 2 2" xfId="9580" xr:uid="{00000000-0005-0000-0000-00004D250000}"/>
    <cellStyle name="Calculation 12 24 2 3" xfId="9581" xr:uid="{00000000-0005-0000-0000-00004E250000}"/>
    <cellStyle name="Calculation 12 24 2 4" xfId="9582" xr:uid="{00000000-0005-0000-0000-00004F250000}"/>
    <cellStyle name="Calculation 12 24 2 5" xfId="9583" xr:uid="{00000000-0005-0000-0000-000050250000}"/>
    <cellStyle name="Calculation 12 24 2 6" xfId="9584" xr:uid="{00000000-0005-0000-0000-000051250000}"/>
    <cellStyle name="Calculation 12 24 3" xfId="9585" xr:uid="{00000000-0005-0000-0000-000052250000}"/>
    <cellStyle name="Calculation 12 24 3 2" xfId="9586" xr:uid="{00000000-0005-0000-0000-000053250000}"/>
    <cellStyle name="Calculation 12 24 3 3" xfId="9587" xr:uid="{00000000-0005-0000-0000-000054250000}"/>
    <cellStyle name="Calculation 12 24 3 4" xfId="9588" xr:uid="{00000000-0005-0000-0000-000055250000}"/>
    <cellStyle name="Calculation 12 24 3 5" xfId="9589" xr:uid="{00000000-0005-0000-0000-000056250000}"/>
    <cellStyle name="Calculation 12 24 3 6" xfId="9590" xr:uid="{00000000-0005-0000-0000-000057250000}"/>
    <cellStyle name="Calculation 12 24 4" xfId="9591" xr:uid="{00000000-0005-0000-0000-000058250000}"/>
    <cellStyle name="Calculation 12 24 4 2" xfId="9592" xr:uid="{00000000-0005-0000-0000-000059250000}"/>
    <cellStyle name="Calculation 12 24 4 3" xfId="9593" xr:uid="{00000000-0005-0000-0000-00005A250000}"/>
    <cellStyle name="Calculation 12 24 4 4" xfId="9594" xr:uid="{00000000-0005-0000-0000-00005B250000}"/>
    <cellStyle name="Calculation 12 24 4 5" xfId="9595" xr:uid="{00000000-0005-0000-0000-00005C250000}"/>
    <cellStyle name="Calculation 12 24 4 6" xfId="9596" xr:uid="{00000000-0005-0000-0000-00005D250000}"/>
    <cellStyle name="Calculation 12 24 5" xfId="9597" xr:uid="{00000000-0005-0000-0000-00005E250000}"/>
    <cellStyle name="Calculation 12 24 5 2" xfId="9598" xr:uid="{00000000-0005-0000-0000-00005F250000}"/>
    <cellStyle name="Calculation 12 24 5 3" xfId="9599" xr:uid="{00000000-0005-0000-0000-000060250000}"/>
    <cellStyle name="Calculation 12 24 5 4" xfId="9600" xr:uid="{00000000-0005-0000-0000-000061250000}"/>
    <cellStyle name="Calculation 12 24 5 5" xfId="9601" xr:uid="{00000000-0005-0000-0000-000062250000}"/>
    <cellStyle name="Calculation 12 24 5 6" xfId="9602" xr:uid="{00000000-0005-0000-0000-000063250000}"/>
    <cellStyle name="Calculation 12 24 6" xfId="9603" xr:uid="{00000000-0005-0000-0000-000064250000}"/>
    <cellStyle name="Calculation 12 24 6 2" xfId="9604" xr:uid="{00000000-0005-0000-0000-000065250000}"/>
    <cellStyle name="Calculation 12 24 6 3" xfId="9605" xr:uid="{00000000-0005-0000-0000-000066250000}"/>
    <cellStyle name="Calculation 12 24 6 4" xfId="9606" xr:uid="{00000000-0005-0000-0000-000067250000}"/>
    <cellStyle name="Calculation 12 24 6 5" xfId="9607" xr:uid="{00000000-0005-0000-0000-000068250000}"/>
    <cellStyle name="Calculation 12 24 6 6" xfId="9608" xr:uid="{00000000-0005-0000-0000-000069250000}"/>
    <cellStyle name="Calculation 12 24 7" xfId="9609" xr:uid="{00000000-0005-0000-0000-00006A250000}"/>
    <cellStyle name="Calculation 12 24 7 2" xfId="9610" xr:uid="{00000000-0005-0000-0000-00006B250000}"/>
    <cellStyle name="Calculation 12 24 7 3" xfId="9611" xr:uid="{00000000-0005-0000-0000-00006C250000}"/>
    <cellStyle name="Calculation 12 24 7 4" xfId="9612" xr:uid="{00000000-0005-0000-0000-00006D250000}"/>
    <cellStyle name="Calculation 12 24 7 5" xfId="9613" xr:uid="{00000000-0005-0000-0000-00006E250000}"/>
    <cellStyle name="Calculation 12 24 7 6" xfId="9614" xr:uid="{00000000-0005-0000-0000-00006F250000}"/>
    <cellStyle name="Calculation 12 24 8" xfId="9615" xr:uid="{00000000-0005-0000-0000-000070250000}"/>
    <cellStyle name="Calculation 12 24 9" xfId="9616" xr:uid="{00000000-0005-0000-0000-000071250000}"/>
    <cellStyle name="Calculation 12 25" xfId="9617" xr:uid="{00000000-0005-0000-0000-000072250000}"/>
    <cellStyle name="Calculation 12 25 10" xfId="9618" xr:uid="{00000000-0005-0000-0000-000073250000}"/>
    <cellStyle name="Calculation 12 25 2" xfId="9619" xr:uid="{00000000-0005-0000-0000-000074250000}"/>
    <cellStyle name="Calculation 12 25 2 2" xfId="9620" xr:uid="{00000000-0005-0000-0000-000075250000}"/>
    <cellStyle name="Calculation 12 25 2 3" xfId="9621" xr:uid="{00000000-0005-0000-0000-000076250000}"/>
    <cellStyle name="Calculation 12 25 2 4" xfId="9622" xr:uid="{00000000-0005-0000-0000-000077250000}"/>
    <cellStyle name="Calculation 12 25 2 5" xfId="9623" xr:uid="{00000000-0005-0000-0000-000078250000}"/>
    <cellStyle name="Calculation 12 25 2 6" xfId="9624" xr:uid="{00000000-0005-0000-0000-000079250000}"/>
    <cellStyle name="Calculation 12 25 3" xfId="9625" xr:uid="{00000000-0005-0000-0000-00007A250000}"/>
    <cellStyle name="Calculation 12 25 3 2" xfId="9626" xr:uid="{00000000-0005-0000-0000-00007B250000}"/>
    <cellStyle name="Calculation 12 25 3 3" xfId="9627" xr:uid="{00000000-0005-0000-0000-00007C250000}"/>
    <cellStyle name="Calculation 12 25 3 4" xfId="9628" xr:uid="{00000000-0005-0000-0000-00007D250000}"/>
    <cellStyle name="Calculation 12 25 3 5" xfId="9629" xr:uid="{00000000-0005-0000-0000-00007E250000}"/>
    <cellStyle name="Calculation 12 25 3 6" xfId="9630" xr:uid="{00000000-0005-0000-0000-00007F250000}"/>
    <cellStyle name="Calculation 12 25 4" xfId="9631" xr:uid="{00000000-0005-0000-0000-000080250000}"/>
    <cellStyle name="Calculation 12 25 4 2" xfId="9632" xr:uid="{00000000-0005-0000-0000-000081250000}"/>
    <cellStyle name="Calculation 12 25 4 3" xfId="9633" xr:uid="{00000000-0005-0000-0000-000082250000}"/>
    <cellStyle name="Calculation 12 25 4 4" xfId="9634" xr:uid="{00000000-0005-0000-0000-000083250000}"/>
    <cellStyle name="Calculation 12 25 4 5" xfId="9635" xr:uid="{00000000-0005-0000-0000-000084250000}"/>
    <cellStyle name="Calculation 12 25 4 6" xfId="9636" xr:uid="{00000000-0005-0000-0000-000085250000}"/>
    <cellStyle name="Calculation 12 25 5" xfId="9637" xr:uid="{00000000-0005-0000-0000-000086250000}"/>
    <cellStyle name="Calculation 12 25 5 2" xfId="9638" xr:uid="{00000000-0005-0000-0000-000087250000}"/>
    <cellStyle name="Calculation 12 25 5 3" xfId="9639" xr:uid="{00000000-0005-0000-0000-000088250000}"/>
    <cellStyle name="Calculation 12 25 5 4" xfId="9640" xr:uid="{00000000-0005-0000-0000-000089250000}"/>
    <cellStyle name="Calculation 12 25 5 5" xfId="9641" xr:uid="{00000000-0005-0000-0000-00008A250000}"/>
    <cellStyle name="Calculation 12 25 5 6" xfId="9642" xr:uid="{00000000-0005-0000-0000-00008B250000}"/>
    <cellStyle name="Calculation 12 25 6" xfId="9643" xr:uid="{00000000-0005-0000-0000-00008C250000}"/>
    <cellStyle name="Calculation 12 25 6 2" xfId="9644" xr:uid="{00000000-0005-0000-0000-00008D250000}"/>
    <cellStyle name="Calculation 12 25 6 3" xfId="9645" xr:uid="{00000000-0005-0000-0000-00008E250000}"/>
    <cellStyle name="Calculation 12 25 6 4" xfId="9646" xr:uid="{00000000-0005-0000-0000-00008F250000}"/>
    <cellStyle name="Calculation 12 25 6 5" xfId="9647" xr:uid="{00000000-0005-0000-0000-000090250000}"/>
    <cellStyle name="Calculation 12 25 6 6" xfId="9648" xr:uid="{00000000-0005-0000-0000-000091250000}"/>
    <cellStyle name="Calculation 12 25 7" xfId="9649" xr:uid="{00000000-0005-0000-0000-000092250000}"/>
    <cellStyle name="Calculation 12 25 7 2" xfId="9650" xr:uid="{00000000-0005-0000-0000-000093250000}"/>
    <cellStyle name="Calculation 12 25 7 3" xfId="9651" xr:uid="{00000000-0005-0000-0000-000094250000}"/>
    <cellStyle name="Calculation 12 25 7 4" xfId="9652" xr:uid="{00000000-0005-0000-0000-000095250000}"/>
    <cellStyle name="Calculation 12 25 7 5" xfId="9653" xr:uid="{00000000-0005-0000-0000-000096250000}"/>
    <cellStyle name="Calculation 12 25 7 6" xfId="9654" xr:uid="{00000000-0005-0000-0000-000097250000}"/>
    <cellStyle name="Calculation 12 25 8" xfId="9655" xr:uid="{00000000-0005-0000-0000-000098250000}"/>
    <cellStyle name="Calculation 12 25 9" xfId="9656" xr:uid="{00000000-0005-0000-0000-000099250000}"/>
    <cellStyle name="Calculation 12 26" xfId="9657" xr:uid="{00000000-0005-0000-0000-00009A250000}"/>
    <cellStyle name="Calculation 12 26 2" xfId="9658" xr:uid="{00000000-0005-0000-0000-00009B250000}"/>
    <cellStyle name="Calculation 12 26 3" xfId="9659" xr:uid="{00000000-0005-0000-0000-00009C250000}"/>
    <cellStyle name="Calculation 12 26 4" xfId="9660" xr:uid="{00000000-0005-0000-0000-00009D250000}"/>
    <cellStyle name="Calculation 12 26 5" xfId="9661" xr:uid="{00000000-0005-0000-0000-00009E250000}"/>
    <cellStyle name="Calculation 12 26 6" xfId="9662" xr:uid="{00000000-0005-0000-0000-00009F250000}"/>
    <cellStyle name="Calculation 12 27" xfId="9663" xr:uid="{00000000-0005-0000-0000-0000A0250000}"/>
    <cellStyle name="Calculation 12 27 2" xfId="9664" xr:uid="{00000000-0005-0000-0000-0000A1250000}"/>
    <cellStyle name="Calculation 12 27 3" xfId="9665" xr:uid="{00000000-0005-0000-0000-0000A2250000}"/>
    <cellStyle name="Calculation 12 27 4" xfId="9666" xr:uid="{00000000-0005-0000-0000-0000A3250000}"/>
    <cellStyle name="Calculation 12 27 5" xfId="9667" xr:uid="{00000000-0005-0000-0000-0000A4250000}"/>
    <cellStyle name="Calculation 12 27 6" xfId="9668" xr:uid="{00000000-0005-0000-0000-0000A5250000}"/>
    <cellStyle name="Calculation 12 28" xfId="9669" xr:uid="{00000000-0005-0000-0000-0000A6250000}"/>
    <cellStyle name="Calculation 12 28 2" xfId="9670" xr:uid="{00000000-0005-0000-0000-0000A7250000}"/>
    <cellStyle name="Calculation 12 28 3" xfId="9671" xr:uid="{00000000-0005-0000-0000-0000A8250000}"/>
    <cellStyle name="Calculation 12 28 4" xfId="9672" xr:uid="{00000000-0005-0000-0000-0000A9250000}"/>
    <cellStyle name="Calculation 12 28 5" xfId="9673" xr:uid="{00000000-0005-0000-0000-0000AA250000}"/>
    <cellStyle name="Calculation 12 28 6" xfId="9674" xr:uid="{00000000-0005-0000-0000-0000AB250000}"/>
    <cellStyle name="Calculation 12 29" xfId="9675" xr:uid="{00000000-0005-0000-0000-0000AC250000}"/>
    <cellStyle name="Calculation 12 29 2" xfId="9676" xr:uid="{00000000-0005-0000-0000-0000AD250000}"/>
    <cellStyle name="Calculation 12 29 3" xfId="9677" xr:uid="{00000000-0005-0000-0000-0000AE250000}"/>
    <cellStyle name="Calculation 12 29 4" xfId="9678" xr:uid="{00000000-0005-0000-0000-0000AF250000}"/>
    <cellStyle name="Calculation 12 29 5" xfId="9679" xr:uid="{00000000-0005-0000-0000-0000B0250000}"/>
    <cellStyle name="Calculation 12 29 6" xfId="9680" xr:uid="{00000000-0005-0000-0000-0000B1250000}"/>
    <cellStyle name="Calculation 12 3" xfId="9681" xr:uid="{00000000-0005-0000-0000-0000B2250000}"/>
    <cellStyle name="Calculation 12 3 10" xfId="9682" xr:uid="{00000000-0005-0000-0000-0000B3250000}"/>
    <cellStyle name="Calculation 12 3 10 10" xfId="9683" xr:uid="{00000000-0005-0000-0000-0000B4250000}"/>
    <cellStyle name="Calculation 12 3 10 2" xfId="9684" xr:uid="{00000000-0005-0000-0000-0000B5250000}"/>
    <cellStyle name="Calculation 12 3 10 2 2" xfId="9685" xr:uid="{00000000-0005-0000-0000-0000B6250000}"/>
    <cellStyle name="Calculation 12 3 10 2 3" xfId="9686" xr:uid="{00000000-0005-0000-0000-0000B7250000}"/>
    <cellStyle name="Calculation 12 3 10 2 4" xfId="9687" xr:uid="{00000000-0005-0000-0000-0000B8250000}"/>
    <cellStyle name="Calculation 12 3 10 2 5" xfId="9688" xr:uid="{00000000-0005-0000-0000-0000B9250000}"/>
    <cellStyle name="Calculation 12 3 10 2 6" xfId="9689" xr:uid="{00000000-0005-0000-0000-0000BA250000}"/>
    <cellStyle name="Calculation 12 3 10 3" xfId="9690" xr:uid="{00000000-0005-0000-0000-0000BB250000}"/>
    <cellStyle name="Calculation 12 3 10 3 2" xfId="9691" xr:uid="{00000000-0005-0000-0000-0000BC250000}"/>
    <cellStyle name="Calculation 12 3 10 3 3" xfId="9692" xr:uid="{00000000-0005-0000-0000-0000BD250000}"/>
    <cellStyle name="Calculation 12 3 10 3 4" xfId="9693" xr:uid="{00000000-0005-0000-0000-0000BE250000}"/>
    <cellStyle name="Calculation 12 3 10 3 5" xfId="9694" xr:uid="{00000000-0005-0000-0000-0000BF250000}"/>
    <cellStyle name="Calculation 12 3 10 3 6" xfId="9695" xr:uid="{00000000-0005-0000-0000-0000C0250000}"/>
    <cellStyle name="Calculation 12 3 10 4" xfId="9696" xr:uid="{00000000-0005-0000-0000-0000C1250000}"/>
    <cellStyle name="Calculation 12 3 10 4 2" xfId="9697" xr:uid="{00000000-0005-0000-0000-0000C2250000}"/>
    <cellStyle name="Calculation 12 3 10 4 3" xfId="9698" xr:uid="{00000000-0005-0000-0000-0000C3250000}"/>
    <cellStyle name="Calculation 12 3 10 4 4" xfId="9699" xr:uid="{00000000-0005-0000-0000-0000C4250000}"/>
    <cellStyle name="Calculation 12 3 10 4 5" xfId="9700" xr:uid="{00000000-0005-0000-0000-0000C5250000}"/>
    <cellStyle name="Calculation 12 3 10 4 6" xfId="9701" xr:uid="{00000000-0005-0000-0000-0000C6250000}"/>
    <cellStyle name="Calculation 12 3 10 5" xfId="9702" xr:uid="{00000000-0005-0000-0000-0000C7250000}"/>
    <cellStyle name="Calculation 12 3 10 5 2" xfId="9703" xr:uid="{00000000-0005-0000-0000-0000C8250000}"/>
    <cellStyle name="Calculation 12 3 10 5 3" xfId="9704" xr:uid="{00000000-0005-0000-0000-0000C9250000}"/>
    <cellStyle name="Calculation 12 3 10 5 4" xfId="9705" xr:uid="{00000000-0005-0000-0000-0000CA250000}"/>
    <cellStyle name="Calculation 12 3 10 5 5" xfId="9706" xr:uid="{00000000-0005-0000-0000-0000CB250000}"/>
    <cellStyle name="Calculation 12 3 10 5 6" xfId="9707" xr:uid="{00000000-0005-0000-0000-0000CC250000}"/>
    <cellStyle name="Calculation 12 3 10 6" xfId="9708" xr:uid="{00000000-0005-0000-0000-0000CD250000}"/>
    <cellStyle name="Calculation 12 3 10 6 2" xfId="9709" xr:uid="{00000000-0005-0000-0000-0000CE250000}"/>
    <cellStyle name="Calculation 12 3 10 6 3" xfId="9710" xr:uid="{00000000-0005-0000-0000-0000CF250000}"/>
    <cellStyle name="Calculation 12 3 10 6 4" xfId="9711" xr:uid="{00000000-0005-0000-0000-0000D0250000}"/>
    <cellStyle name="Calculation 12 3 10 6 5" xfId="9712" xr:uid="{00000000-0005-0000-0000-0000D1250000}"/>
    <cellStyle name="Calculation 12 3 10 6 6" xfId="9713" xr:uid="{00000000-0005-0000-0000-0000D2250000}"/>
    <cellStyle name="Calculation 12 3 10 7" xfId="9714" xr:uid="{00000000-0005-0000-0000-0000D3250000}"/>
    <cellStyle name="Calculation 12 3 10 7 2" xfId="9715" xr:uid="{00000000-0005-0000-0000-0000D4250000}"/>
    <cellStyle name="Calculation 12 3 10 7 3" xfId="9716" xr:uid="{00000000-0005-0000-0000-0000D5250000}"/>
    <cellStyle name="Calculation 12 3 10 7 4" xfId="9717" xr:uid="{00000000-0005-0000-0000-0000D6250000}"/>
    <cellStyle name="Calculation 12 3 10 7 5" xfId="9718" xr:uid="{00000000-0005-0000-0000-0000D7250000}"/>
    <cellStyle name="Calculation 12 3 10 7 6" xfId="9719" xr:uid="{00000000-0005-0000-0000-0000D8250000}"/>
    <cellStyle name="Calculation 12 3 10 8" xfId="9720" xr:uid="{00000000-0005-0000-0000-0000D9250000}"/>
    <cellStyle name="Calculation 12 3 10 9" xfId="9721" xr:uid="{00000000-0005-0000-0000-0000DA250000}"/>
    <cellStyle name="Calculation 12 3 11" xfId="9722" xr:uid="{00000000-0005-0000-0000-0000DB250000}"/>
    <cellStyle name="Calculation 12 3 11 10" xfId="9723" xr:uid="{00000000-0005-0000-0000-0000DC250000}"/>
    <cellStyle name="Calculation 12 3 11 2" xfId="9724" xr:uid="{00000000-0005-0000-0000-0000DD250000}"/>
    <cellStyle name="Calculation 12 3 11 2 2" xfId="9725" xr:uid="{00000000-0005-0000-0000-0000DE250000}"/>
    <cellStyle name="Calculation 12 3 11 2 3" xfId="9726" xr:uid="{00000000-0005-0000-0000-0000DF250000}"/>
    <cellStyle name="Calculation 12 3 11 2 4" xfId="9727" xr:uid="{00000000-0005-0000-0000-0000E0250000}"/>
    <cellStyle name="Calculation 12 3 11 2 5" xfId="9728" xr:uid="{00000000-0005-0000-0000-0000E1250000}"/>
    <cellStyle name="Calculation 12 3 11 2 6" xfId="9729" xr:uid="{00000000-0005-0000-0000-0000E2250000}"/>
    <cellStyle name="Calculation 12 3 11 3" xfId="9730" xr:uid="{00000000-0005-0000-0000-0000E3250000}"/>
    <cellStyle name="Calculation 12 3 11 3 2" xfId="9731" xr:uid="{00000000-0005-0000-0000-0000E4250000}"/>
    <cellStyle name="Calculation 12 3 11 3 3" xfId="9732" xr:uid="{00000000-0005-0000-0000-0000E5250000}"/>
    <cellStyle name="Calculation 12 3 11 3 4" xfId="9733" xr:uid="{00000000-0005-0000-0000-0000E6250000}"/>
    <cellStyle name="Calculation 12 3 11 3 5" xfId="9734" xr:uid="{00000000-0005-0000-0000-0000E7250000}"/>
    <cellStyle name="Calculation 12 3 11 3 6" xfId="9735" xr:uid="{00000000-0005-0000-0000-0000E8250000}"/>
    <cellStyle name="Calculation 12 3 11 4" xfId="9736" xr:uid="{00000000-0005-0000-0000-0000E9250000}"/>
    <cellStyle name="Calculation 12 3 11 4 2" xfId="9737" xr:uid="{00000000-0005-0000-0000-0000EA250000}"/>
    <cellStyle name="Calculation 12 3 11 4 3" xfId="9738" xr:uid="{00000000-0005-0000-0000-0000EB250000}"/>
    <cellStyle name="Calculation 12 3 11 4 4" xfId="9739" xr:uid="{00000000-0005-0000-0000-0000EC250000}"/>
    <cellStyle name="Calculation 12 3 11 4 5" xfId="9740" xr:uid="{00000000-0005-0000-0000-0000ED250000}"/>
    <cellStyle name="Calculation 12 3 11 4 6" xfId="9741" xr:uid="{00000000-0005-0000-0000-0000EE250000}"/>
    <cellStyle name="Calculation 12 3 11 5" xfId="9742" xr:uid="{00000000-0005-0000-0000-0000EF250000}"/>
    <cellStyle name="Calculation 12 3 11 5 2" xfId="9743" xr:uid="{00000000-0005-0000-0000-0000F0250000}"/>
    <cellStyle name="Calculation 12 3 11 5 3" xfId="9744" xr:uid="{00000000-0005-0000-0000-0000F1250000}"/>
    <cellStyle name="Calculation 12 3 11 5 4" xfId="9745" xr:uid="{00000000-0005-0000-0000-0000F2250000}"/>
    <cellStyle name="Calculation 12 3 11 5 5" xfId="9746" xr:uid="{00000000-0005-0000-0000-0000F3250000}"/>
    <cellStyle name="Calculation 12 3 11 5 6" xfId="9747" xr:uid="{00000000-0005-0000-0000-0000F4250000}"/>
    <cellStyle name="Calculation 12 3 11 6" xfId="9748" xr:uid="{00000000-0005-0000-0000-0000F5250000}"/>
    <cellStyle name="Calculation 12 3 11 6 2" xfId="9749" xr:uid="{00000000-0005-0000-0000-0000F6250000}"/>
    <cellStyle name="Calculation 12 3 11 6 3" xfId="9750" xr:uid="{00000000-0005-0000-0000-0000F7250000}"/>
    <cellStyle name="Calculation 12 3 11 6 4" xfId="9751" xr:uid="{00000000-0005-0000-0000-0000F8250000}"/>
    <cellStyle name="Calculation 12 3 11 6 5" xfId="9752" xr:uid="{00000000-0005-0000-0000-0000F9250000}"/>
    <cellStyle name="Calculation 12 3 11 6 6" xfId="9753" xr:uid="{00000000-0005-0000-0000-0000FA250000}"/>
    <cellStyle name="Calculation 12 3 11 7" xfId="9754" xr:uid="{00000000-0005-0000-0000-0000FB250000}"/>
    <cellStyle name="Calculation 12 3 11 7 2" xfId="9755" xr:uid="{00000000-0005-0000-0000-0000FC250000}"/>
    <cellStyle name="Calculation 12 3 11 7 3" xfId="9756" xr:uid="{00000000-0005-0000-0000-0000FD250000}"/>
    <cellStyle name="Calculation 12 3 11 7 4" xfId="9757" xr:uid="{00000000-0005-0000-0000-0000FE250000}"/>
    <cellStyle name="Calculation 12 3 11 7 5" xfId="9758" xr:uid="{00000000-0005-0000-0000-0000FF250000}"/>
    <cellStyle name="Calculation 12 3 11 7 6" xfId="9759" xr:uid="{00000000-0005-0000-0000-000000260000}"/>
    <cellStyle name="Calculation 12 3 11 8" xfId="9760" xr:uid="{00000000-0005-0000-0000-000001260000}"/>
    <cellStyle name="Calculation 12 3 11 9" xfId="9761" xr:uid="{00000000-0005-0000-0000-000002260000}"/>
    <cellStyle name="Calculation 12 3 12" xfId="9762" xr:uid="{00000000-0005-0000-0000-000003260000}"/>
    <cellStyle name="Calculation 12 3 12 10" xfId="9763" xr:uid="{00000000-0005-0000-0000-000004260000}"/>
    <cellStyle name="Calculation 12 3 12 2" xfId="9764" xr:uid="{00000000-0005-0000-0000-000005260000}"/>
    <cellStyle name="Calculation 12 3 12 2 2" xfId="9765" xr:uid="{00000000-0005-0000-0000-000006260000}"/>
    <cellStyle name="Calculation 12 3 12 2 3" xfId="9766" xr:uid="{00000000-0005-0000-0000-000007260000}"/>
    <cellStyle name="Calculation 12 3 12 2 4" xfId="9767" xr:uid="{00000000-0005-0000-0000-000008260000}"/>
    <cellStyle name="Calculation 12 3 12 2 5" xfId="9768" xr:uid="{00000000-0005-0000-0000-000009260000}"/>
    <cellStyle name="Calculation 12 3 12 2 6" xfId="9769" xr:uid="{00000000-0005-0000-0000-00000A260000}"/>
    <cellStyle name="Calculation 12 3 12 3" xfId="9770" xr:uid="{00000000-0005-0000-0000-00000B260000}"/>
    <cellStyle name="Calculation 12 3 12 3 2" xfId="9771" xr:uid="{00000000-0005-0000-0000-00000C260000}"/>
    <cellStyle name="Calculation 12 3 12 3 3" xfId="9772" xr:uid="{00000000-0005-0000-0000-00000D260000}"/>
    <cellStyle name="Calculation 12 3 12 3 4" xfId="9773" xr:uid="{00000000-0005-0000-0000-00000E260000}"/>
    <cellStyle name="Calculation 12 3 12 3 5" xfId="9774" xr:uid="{00000000-0005-0000-0000-00000F260000}"/>
    <cellStyle name="Calculation 12 3 12 3 6" xfId="9775" xr:uid="{00000000-0005-0000-0000-000010260000}"/>
    <cellStyle name="Calculation 12 3 12 4" xfId="9776" xr:uid="{00000000-0005-0000-0000-000011260000}"/>
    <cellStyle name="Calculation 12 3 12 4 2" xfId="9777" xr:uid="{00000000-0005-0000-0000-000012260000}"/>
    <cellStyle name="Calculation 12 3 12 4 3" xfId="9778" xr:uid="{00000000-0005-0000-0000-000013260000}"/>
    <cellStyle name="Calculation 12 3 12 4 4" xfId="9779" xr:uid="{00000000-0005-0000-0000-000014260000}"/>
    <cellStyle name="Calculation 12 3 12 4 5" xfId="9780" xr:uid="{00000000-0005-0000-0000-000015260000}"/>
    <cellStyle name="Calculation 12 3 12 4 6" xfId="9781" xr:uid="{00000000-0005-0000-0000-000016260000}"/>
    <cellStyle name="Calculation 12 3 12 5" xfId="9782" xr:uid="{00000000-0005-0000-0000-000017260000}"/>
    <cellStyle name="Calculation 12 3 12 5 2" xfId="9783" xr:uid="{00000000-0005-0000-0000-000018260000}"/>
    <cellStyle name="Calculation 12 3 12 5 3" xfId="9784" xr:uid="{00000000-0005-0000-0000-000019260000}"/>
    <cellStyle name="Calculation 12 3 12 5 4" xfId="9785" xr:uid="{00000000-0005-0000-0000-00001A260000}"/>
    <cellStyle name="Calculation 12 3 12 5 5" xfId="9786" xr:uid="{00000000-0005-0000-0000-00001B260000}"/>
    <cellStyle name="Calculation 12 3 12 5 6" xfId="9787" xr:uid="{00000000-0005-0000-0000-00001C260000}"/>
    <cellStyle name="Calculation 12 3 12 6" xfId="9788" xr:uid="{00000000-0005-0000-0000-00001D260000}"/>
    <cellStyle name="Calculation 12 3 12 6 2" xfId="9789" xr:uid="{00000000-0005-0000-0000-00001E260000}"/>
    <cellStyle name="Calculation 12 3 12 6 3" xfId="9790" xr:uid="{00000000-0005-0000-0000-00001F260000}"/>
    <cellStyle name="Calculation 12 3 12 6 4" xfId="9791" xr:uid="{00000000-0005-0000-0000-000020260000}"/>
    <cellStyle name="Calculation 12 3 12 6 5" xfId="9792" xr:uid="{00000000-0005-0000-0000-000021260000}"/>
    <cellStyle name="Calculation 12 3 12 6 6" xfId="9793" xr:uid="{00000000-0005-0000-0000-000022260000}"/>
    <cellStyle name="Calculation 12 3 12 7" xfId="9794" xr:uid="{00000000-0005-0000-0000-000023260000}"/>
    <cellStyle name="Calculation 12 3 12 7 2" xfId="9795" xr:uid="{00000000-0005-0000-0000-000024260000}"/>
    <cellStyle name="Calculation 12 3 12 7 3" xfId="9796" xr:uid="{00000000-0005-0000-0000-000025260000}"/>
    <cellStyle name="Calculation 12 3 12 7 4" xfId="9797" xr:uid="{00000000-0005-0000-0000-000026260000}"/>
    <cellStyle name="Calculation 12 3 12 7 5" xfId="9798" xr:uid="{00000000-0005-0000-0000-000027260000}"/>
    <cellStyle name="Calculation 12 3 12 7 6" xfId="9799" xr:uid="{00000000-0005-0000-0000-000028260000}"/>
    <cellStyle name="Calculation 12 3 12 8" xfId="9800" xr:uid="{00000000-0005-0000-0000-000029260000}"/>
    <cellStyle name="Calculation 12 3 12 9" xfId="9801" xr:uid="{00000000-0005-0000-0000-00002A260000}"/>
    <cellStyle name="Calculation 12 3 13" xfId="9802" xr:uid="{00000000-0005-0000-0000-00002B260000}"/>
    <cellStyle name="Calculation 12 3 13 10" xfId="9803" xr:uid="{00000000-0005-0000-0000-00002C260000}"/>
    <cellStyle name="Calculation 12 3 13 2" xfId="9804" xr:uid="{00000000-0005-0000-0000-00002D260000}"/>
    <cellStyle name="Calculation 12 3 13 2 2" xfId="9805" xr:uid="{00000000-0005-0000-0000-00002E260000}"/>
    <cellStyle name="Calculation 12 3 13 2 3" xfId="9806" xr:uid="{00000000-0005-0000-0000-00002F260000}"/>
    <cellStyle name="Calculation 12 3 13 2 4" xfId="9807" xr:uid="{00000000-0005-0000-0000-000030260000}"/>
    <cellStyle name="Calculation 12 3 13 2 5" xfId="9808" xr:uid="{00000000-0005-0000-0000-000031260000}"/>
    <cellStyle name="Calculation 12 3 13 2 6" xfId="9809" xr:uid="{00000000-0005-0000-0000-000032260000}"/>
    <cellStyle name="Calculation 12 3 13 3" xfId="9810" xr:uid="{00000000-0005-0000-0000-000033260000}"/>
    <cellStyle name="Calculation 12 3 13 3 2" xfId="9811" xr:uid="{00000000-0005-0000-0000-000034260000}"/>
    <cellStyle name="Calculation 12 3 13 3 3" xfId="9812" xr:uid="{00000000-0005-0000-0000-000035260000}"/>
    <cellStyle name="Calculation 12 3 13 3 4" xfId="9813" xr:uid="{00000000-0005-0000-0000-000036260000}"/>
    <cellStyle name="Calculation 12 3 13 3 5" xfId="9814" xr:uid="{00000000-0005-0000-0000-000037260000}"/>
    <cellStyle name="Calculation 12 3 13 3 6" xfId="9815" xr:uid="{00000000-0005-0000-0000-000038260000}"/>
    <cellStyle name="Calculation 12 3 13 4" xfId="9816" xr:uid="{00000000-0005-0000-0000-000039260000}"/>
    <cellStyle name="Calculation 12 3 13 4 2" xfId="9817" xr:uid="{00000000-0005-0000-0000-00003A260000}"/>
    <cellStyle name="Calculation 12 3 13 4 3" xfId="9818" xr:uid="{00000000-0005-0000-0000-00003B260000}"/>
    <cellStyle name="Calculation 12 3 13 4 4" xfId="9819" xr:uid="{00000000-0005-0000-0000-00003C260000}"/>
    <cellStyle name="Calculation 12 3 13 4 5" xfId="9820" xr:uid="{00000000-0005-0000-0000-00003D260000}"/>
    <cellStyle name="Calculation 12 3 13 4 6" xfId="9821" xr:uid="{00000000-0005-0000-0000-00003E260000}"/>
    <cellStyle name="Calculation 12 3 13 5" xfId="9822" xr:uid="{00000000-0005-0000-0000-00003F260000}"/>
    <cellStyle name="Calculation 12 3 13 5 2" xfId="9823" xr:uid="{00000000-0005-0000-0000-000040260000}"/>
    <cellStyle name="Calculation 12 3 13 5 3" xfId="9824" xr:uid="{00000000-0005-0000-0000-000041260000}"/>
    <cellStyle name="Calculation 12 3 13 5 4" xfId="9825" xr:uid="{00000000-0005-0000-0000-000042260000}"/>
    <cellStyle name="Calculation 12 3 13 5 5" xfId="9826" xr:uid="{00000000-0005-0000-0000-000043260000}"/>
    <cellStyle name="Calculation 12 3 13 5 6" xfId="9827" xr:uid="{00000000-0005-0000-0000-000044260000}"/>
    <cellStyle name="Calculation 12 3 13 6" xfId="9828" xr:uid="{00000000-0005-0000-0000-000045260000}"/>
    <cellStyle name="Calculation 12 3 13 6 2" xfId="9829" xr:uid="{00000000-0005-0000-0000-000046260000}"/>
    <cellStyle name="Calculation 12 3 13 6 3" xfId="9830" xr:uid="{00000000-0005-0000-0000-000047260000}"/>
    <cellStyle name="Calculation 12 3 13 6 4" xfId="9831" xr:uid="{00000000-0005-0000-0000-000048260000}"/>
    <cellStyle name="Calculation 12 3 13 6 5" xfId="9832" xr:uid="{00000000-0005-0000-0000-000049260000}"/>
    <cellStyle name="Calculation 12 3 13 6 6" xfId="9833" xr:uid="{00000000-0005-0000-0000-00004A260000}"/>
    <cellStyle name="Calculation 12 3 13 7" xfId="9834" xr:uid="{00000000-0005-0000-0000-00004B260000}"/>
    <cellStyle name="Calculation 12 3 13 7 2" xfId="9835" xr:uid="{00000000-0005-0000-0000-00004C260000}"/>
    <cellStyle name="Calculation 12 3 13 7 3" xfId="9836" xr:uid="{00000000-0005-0000-0000-00004D260000}"/>
    <cellStyle name="Calculation 12 3 13 7 4" xfId="9837" xr:uid="{00000000-0005-0000-0000-00004E260000}"/>
    <cellStyle name="Calculation 12 3 13 7 5" xfId="9838" xr:uid="{00000000-0005-0000-0000-00004F260000}"/>
    <cellStyle name="Calculation 12 3 13 7 6" xfId="9839" xr:uid="{00000000-0005-0000-0000-000050260000}"/>
    <cellStyle name="Calculation 12 3 13 8" xfId="9840" xr:uid="{00000000-0005-0000-0000-000051260000}"/>
    <cellStyle name="Calculation 12 3 13 9" xfId="9841" xr:uid="{00000000-0005-0000-0000-000052260000}"/>
    <cellStyle name="Calculation 12 3 14" xfId="9842" xr:uid="{00000000-0005-0000-0000-000053260000}"/>
    <cellStyle name="Calculation 12 3 14 10" xfId="9843" xr:uid="{00000000-0005-0000-0000-000054260000}"/>
    <cellStyle name="Calculation 12 3 14 2" xfId="9844" xr:uid="{00000000-0005-0000-0000-000055260000}"/>
    <cellStyle name="Calculation 12 3 14 2 2" xfId="9845" xr:uid="{00000000-0005-0000-0000-000056260000}"/>
    <cellStyle name="Calculation 12 3 14 2 3" xfId="9846" xr:uid="{00000000-0005-0000-0000-000057260000}"/>
    <cellStyle name="Calculation 12 3 14 2 4" xfId="9847" xr:uid="{00000000-0005-0000-0000-000058260000}"/>
    <cellStyle name="Calculation 12 3 14 2 5" xfId="9848" xr:uid="{00000000-0005-0000-0000-000059260000}"/>
    <cellStyle name="Calculation 12 3 14 2 6" xfId="9849" xr:uid="{00000000-0005-0000-0000-00005A260000}"/>
    <cellStyle name="Calculation 12 3 14 3" xfId="9850" xr:uid="{00000000-0005-0000-0000-00005B260000}"/>
    <cellStyle name="Calculation 12 3 14 3 2" xfId="9851" xr:uid="{00000000-0005-0000-0000-00005C260000}"/>
    <cellStyle name="Calculation 12 3 14 3 3" xfId="9852" xr:uid="{00000000-0005-0000-0000-00005D260000}"/>
    <cellStyle name="Calculation 12 3 14 3 4" xfId="9853" xr:uid="{00000000-0005-0000-0000-00005E260000}"/>
    <cellStyle name="Calculation 12 3 14 3 5" xfId="9854" xr:uid="{00000000-0005-0000-0000-00005F260000}"/>
    <cellStyle name="Calculation 12 3 14 3 6" xfId="9855" xr:uid="{00000000-0005-0000-0000-000060260000}"/>
    <cellStyle name="Calculation 12 3 14 4" xfId="9856" xr:uid="{00000000-0005-0000-0000-000061260000}"/>
    <cellStyle name="Calculation 12 3 14 4 2" xfId="9857" xr:uid="{00000000-0005-0000-0000-000062260000}"/>
    <cellStyle name="Calculation 12 3 14 4 3" xfId="9858" xr:uid="{00000000-0005-0000-0000-000063260000}"/>
    <cellStyle name="Calculation 12 3 14 4 4" xfId="9859" xr:uid="{00000000-0005-0000-0000-000064260000}"/>
    <cellStyle name="Calculation 12 3 14 4 5" xfId="9860" xr:uid="{00000000-0005-0000-0000-000065260000}"/>
    <cellStyle name="Calculation 12 3 14 4 6" xfId="9861" xr:uid="{00000000-0005-0000-0000-000066260000}"/>
    <cellStyle name="Calculation 12 3 14 5" xfId="9862" xr:uid="{00000000-0005-0000-0000-000067260000}"/>
    <cellStyle name="Calculation 12 3 14 5 2" xfId="9863" xr:uid="{00000000-0005-0000-0000-000068260000}"/>
    <cellStyle name="Calculation 12 3 14 5 3" xfId="9864" xr:uid="{00000000-0005-0000-0000-000069260000}"/>
    <cellStyle name="Calculation 12 3 14 5 4" xfId="9865" xr:uid="{00000000-0005-0000-0000-00006A260000}"/>
    <cellStyle name="Calculation 12 3 14 5 5" xfId="9866" xr:uid="{00000000-0005-0000-0000-00006B260000}"/>
    <cellStyle name="Calculation 12 3 14 5 6" xfId="9867" xr:uid="{00000000-0005-0000-0000-00006C260000}"/>
    <cellStyle name="Calculation 12 3 14 6" xfId="9868" xr:uid="{00000000-0005-0000-0000-00006D260000}"/>
    <cellStyle name="Calculation 12 3 14 6 2" xfId="9869" xr:uid="{00000000-0005-0000-0000-00006E260000}"/>
    <cellStyle name="Calculation 12 3 14 6 3" xfId="9870" xr:uid="{00000000-0005-0000-0000-00006F260000}"/>
    <cellStyle name="Calculation 12 3 14 6 4" xfId="9871" xr:uid="{00000000-0005-0000-0000-000070260000}"/>
    <cellStyle name="Calculation 12 3 14 6 5" xfId="9872" xr:uid="{00000000-0005-0000-0000-000071260000}"/>
    <cellStyle name="Calculation 12 3 14 6 6" xfId="9873" xr:uid="{00000000-0005-0000-0000-000072260000}"/>
    <cellStyle name="Calculation 12 3 14 7" xfId="9874" xr:uid="{00000000-0005-0000-0000-000073260000}"/>
    <cellStyle name="Calculation 12 3 14 7 2" xfId="9875" xr:uid="{00000000-0005-0000-0000-000074260000}"/>
    <cellStyle name="Calculation 12 3 14 7 3" xfId="9876" xr:uid="{00000000-0005-0000-0000-000075260000}"/>
    <cellStyle name="Calculation 12 3 14 7 4" xfId="9877" xr:uid="{00000000-0005-0000-0000-000076260000}"/>
    <cellStyle name="Calculation 12 3 14 7 5" xfId="9878" xr:uid="{00000000-0005-0000-0000-000077260000}"/>
    <cellStyle name="Calculation 12 3 14 7 6" xfId="9879" xr:uid="{00000000-0005-0000-0000-000078260000}"/>
    <cellStyle name="Calculation 12 3 14 8" xfId="9880" xr:uid="{00000000-0005-0000-0000-000079260000}"/>
    <cellStyle name="Calculation 12 3 14 9" xfId="9881" xr:uid="{00000000-0005-0000-0000-00007A260000}"/>
    <cellStyle name="Calculation 12 3 15" xfId="9882" xr:uid="{00000000-0005-0000-0000-00007B260000}"/>
    <cellStyle name="Calculation 12 3 15 10" xfId="9883" xr:uid="{00000000-0005-0000-0000-00007C260000}"/>
    <cellStyle name="Calculation 12 3 15 2" xfId="9884" xr:uid="{00000000-0005-0000-0000-00007D260000}"/>
    <cellStyle name="Calculation 12 3 15 2 2" xfId="9885" xr:uid="{00000000-0005-0000-0000-00007E260000}"/>
    <cellStyle name="Calculation 12 3 15 2 3" xfId="9886" xr:uid="{00000000-0005-0000-0000-00007F260000}"/>
    <cellStyle name="Calculation 12 3 15 2 4" xfId="9887" xr:uid="{00000000-0005-0000-0000-000080260000}"/>
    <cellStyle name="Calculation 12 3 15 2 5" xfId="9888" xr:uid="{00000000-0005-0000-0000-000081260000}"/>
    <cellStyle name="Calculation 12 3 15 2 6" xfId="9889" xr:uid="{00000000-0005-0000-0000-000082260000}"/>
    <cellStyle name="Calculation 12 3 15 3" xfId="9890" xr:uid="{00000000-0005-0000-0000-000083260000}"/>
    <cellStyle name="Calculation 12 3 15 3 2" xfId="9891" xr:uid="{00000000-0005-0000-0000-000084260000}"/>
    <cellStyle name="Calculation 12 3 15 3 3" xfId="9892" xr:uid="{00000000-0005-0000-0000-000085260000}"/>
    <cellStyle name="Calculation 12 3 15 3 4" xfId="9893" xr:uid="{00000000-0005-0000-0000-000086260000}"/>
    <cellStyle name="Calculation 12 3 15 3 5" xfId="9894" xr:uid="{00000000-0005-0000-0000-000087260000}"/>
    <cellStyle name="Calculation 12 3 15 3 6" xfId="9895" xr:uid="{00000000-0005-0000-0000-000088260000}"/>
    <cellStyle name="Calculation 12 3 15 4" xfId="9896" xr:uid="{00000000-0005-0000-0000-000089260000}"/>
    <cellStyle name="Calculation 12 3 15 4 2" xfId="9897" xr:uid="{00000000-0005-0000-0000-00008A260000}"/>
    <cellStyle name="Calculation 12 3 15 4 3" xfId="9898" xr:uid="{00000000-0005-0000-0000-00008B260000}"/>
    <cellStyle name="Calculation 12 3 15 4 4" xfId="9899" xr:uid="{00000000-0005-0000-0000-00008C260000}"/>
    <cellStyle name="Calculation 12 3 15 4 5" xfId="9900" xr:uid="{00000000-0005-0000-0000-00008D260000}"/>
    <cellStyle name="Calculation 12 3 15 4 6" xfId="9901" xr:uid="{00000000-0005-0000-0000-00008E260000}"/>
    <cellStyle name="Calculation 12 3 15 5" xfId="9902" xr:uid="{00000000-0005-0000-0000-00008F260000}"/>
    <cellStyle name="Calculation 12 3 15 5 2" xfId="9903" xr:uid="{00000000-0005-0000-0000-000090260000}"/>
    <cellStyle name="Calculation 12 3 15 5 3" xfId="9904" xr:uid="{00000000-0005-0000-0000-000091260000}"/>
    <cellStyle name="Calculation 12 3 15 5 4" xfId="9905" xr:uid="{00000000-0005-0000-0000-000092260000}"/>
    <cellStyle name="Calculation 12 3 15 5 5" xfId="9906" xr:uid="{00000000-0005-0000-0000-000093260000}"/>
    <cellStyle name="Calculation 12 3 15 5 6" xfId="9907" xr:uid="{00000000-0005-0000-0000-000094260000}"/>
    <cellStyle name="Calculation 12 3 15 6" xfId="9908" xr:uid="{00000000-0005-0000-0000-000095260000}"/>
    <cellStyle name="Calculation 12 3 15 6 2" xfId="9909" xr:uid="{00000000-0005-0000-0000-000096260000}"/>
    <cellStyle name="Calculation 12 3 15 6 3" xfId="9910" xr:uid="{00000000-0005-0000-0000-000097260000}"/>
    <cellStyle name="Calculation 12 3 15 6 4" xfId="9911" xr:uid="{00000000-0005-0000-0000-000098260000}"/>
    <cellStyle name="Calculation 12 3 15 6 5" xfId="9912" xr:uid="{00000000-0005-0000-0000-000099260000}"/>
    <cellStyle name="Calculation 12 3 15 6 6" xfId="9913" xr:uid="{00000000-0005-0000-0000-00009A260000}"/>
    <cellStyle name="Calculation 12 3 15 7" xfId="9914" xr:uid="{00000000-0005-0000-0000-00009B260000}"/>
    <cellStyle name="Calculation 12 3 15 7 2" xfId="9915" xr:uid="{00000000-0005-0000-0000-00009C260000}"/>
    <cellStyle name="Calculation 12 3 15 7 3" xfId="9916" xr:uid="{00000000-0005-0000-0000-00009D260000}"/>
    <cellStyle name="Calculation 12 3 15 7 4" xfId="9917" xr:uid="{00000000-0005-0000-0000-00009E260000}"/>
    <cellStyle name="Calculation 12 3 15 7 5" xfId="9918" xr:uid="{00000000-0005-0000-0000-00009F260000}"/>
    <cellStyle name="Calculation 12 3 15 7 6" xfId="9919" xr:uid="{00000000-0005-0000-0000-0000A0260000}"/>
    <cellStyle name="Calculation 12 3 15 8" xfId="9920" xr:uid="{00000000-0005-0000-0000-0000A1260000}"/>
    <cellStyle name="Calculation 12 3 15 9" xfId="9921" xr:uid="{00000000-0005-0000-0000-0000A2260000}"/>
    <cellStyle name="Calculation 12 3 16" xfId="9922" xr:uid="{00000000-0005-0000-0000-0000A3260000}"/>
    <cellStyle name="Calculation 12 3 16 10" xfId="9923" xr:uid="{00000000-0005-0000-0000-0000A4260000}"/>
    <cellStyle name="Calculation 12 3 16 2" xfId="9924" xr:uid="{00000000-0005-0000-0000-0000A5260000}"/>
    <cellStyle name="Calculation 12 3 16 2 2" xfId="9925" xr:uid="{00000000-0005-0000-0000-0000A6260000}"/>
    <cellStyle name="Calculation 12 3 16 2 3" xfId="9926" xr:uid="{00000000-0005-0000-0000-0000A7260000}"/>
    <cellStyle name="Calculation 12 3 16 2 4" xfId="9927" xr:uid="{00000000-0005-0000-0000-0000A8260000}"/>
    <cellStyle name="Calculation 12 3 16 2 5" xfId="9928" xr:uid="{00000000-0005-0000-0000-0000A9260000}"/>
    <cellStyle name="Calculation 12 3 16 2 6" xfId="9929" xr:uid="{00000000-0005-0000-0000-0000AA260000}"/>
    <cellStyle name="Calculation 12 3 16 3" xfId="9930" xr:uid="{00000000-0005-0000-0000-0000AB260000}"/>
    <cellStyle name="Calculation 12 3 16 3 2" xfId="9931" xr:uid="{00000000-0005-0000-0000-0000AC260000}"/>
    <cellStyle name="Calculation 12 3 16 3 3" xfId="9932" xr:uid="{00000000-0005-0000-0000-0000AD260000}"/>
    <cellStyle name="Calculation 12 3 16 3 4" xfId="9933" xr:uid="{00000000-0005-0000-0000-0000AE260000}"/>
    <cellStyle name="Calculation 12 3 16 3 5" xfId="9934" xr:uid="{00000000-0005-0000-0000-0000AF260000}"/>
    <cellStyle name="Calculation 12 3 16 3 6" xfId="9935" xr:uid="{00000000-0005-0000-0000-0000B0260000}"/>
    <cellStyle name="Calculation 12 3 16 4" xfId="9936" xr:uid="{00000000-0005-0000-0000-0000B1260000}"/>
    <cellStyle name="Calculation 12 3 16 4 2" xfId="9937" xr:uid="{00000000-0005-0000-0000-0000B2260000}"/>
    <cellStyle name="Calculation 12 3 16 4 3" xfId="9938" xr:uid="{00000000-0005-0000-0000-0000B3260000}"/>
    <cellStyle name="Calculation 12 3 16 4 4" xfId="9939" xr:uid="{00000000-0005-0000-0000-0000B4260000}"/>
    <cellStyle name="Calculation 12 3 16 4 5" xfId="9940" xr:uid="{00000000-0005-0000-0000-0000B5260000}"/>
    <cellStyle name="Calculation 12 3 16 4 6" xfId="9941" xr:uid="{00000000-0005-0000-0000-0000B6260000}"/>
    <cellStyle name="Calculation 12 3 16 5" xfId="9942" xr:uid="{00000000-0005-0000-0000-0000B7260000}"/>
    <cellStyle name="Calculation 12 3 16 5 2" xfId="9943" xr:uid="{00000000-0005-0000-0000-0000B8260000}"/>
    <cellStyle name="Calculation 12 3 16 5 3" xfId="9944" xr:uid="{00000000-0005-0000-0000-0000B9260000}"/>
    <cellStyle name="Calculation 12 3 16 5 4" xfId="9945" xr:uid="{00000000-0005-0000-0000-0000BA260000}"/>
    <cellStyle name="Calculation 12 3 16 5 5" xfId="9946" xr:uid="{00000000-0005-0000-0000-0000BB260000}"/>
    <cellStyle name="Calculation 12 3 16 5 6" xfId="9947" xr:uid="{00000000-0005-0000-0000-0000BC260000}"/>
    <cellStyle name="Calculation 12 3 16 6" xfId="9948" xr:uid="{00000000-0005-0000-0000-0000BD260000}"/>
    <cellStyle name="Calculation 12 3 16 6 2" xfId="9949" xr:uid="{00000000-0005-0000-0000-0000BE260000}"/>
    <cellStyle name="Calculation 12 3 16 6 3" xfId="9950" xr:uid="{00000000-0005-0000-0000-0000BF260000}"/>
    <cellStyle name="Calculation 12 3 16 6 4" xfId="9951" xr:uid="{00000000-0005-0000-0000-0000C0260000}"/>
    <cellStyle name="Calculation 12 3 16 6 5" xfId="9952" xr:uid="{00000000-0005-0000-0000-0000C1260000}"/>
    <cellStyle name="Calculation 12 3 16 6 6" xfId="9953" xr:uid="{00000000-0005-0000-0000-0000C2260000}"/>
    <cellStyle name="Calculation 12 3 16 7" xfId="9954" xr:uid="{00000000-0005-0000-0000-0000C3260000}"/>
    <cellStyle name="Calculation 12 3 16 7 2" xfId="9955" xr:uid="{00000000-0005-0000-0000-0000C4260000}"/>
    <cellStyle name="Calculation 12 3 16 7 3" xfId="9956" xr:uid="{00000000-0005-0000-0000-0000C5260000}"/>
    <cellStyle name="Calculation 12 3 16 7 4" xfId="9957" xr:uid="{00000000-0005-0000-0000-0000C6260000}"/>
    <cellStyle name="Calculation 12 3 16 7 5" xfId="9958" xr:uid="{00000000-0005-0000-0000-0000C7260000}"/>
    <cellStyle name="Calculation 12 3 16 7 6" xfId="9959" xr:uid="{00000000-0005-0000-0000-0000C8260000}"/>
    <cellStyle name="Calculation 12 3 16 8" xfId="9960" xr:uid="{00000000-0005-0000-0000-0000C9260000}"/>
    <cellStyle name="Calculation 12 3 16 9" xfId="9961" xr:uid="{00000000-0005-0000-0000-0000CA260000}"/>
    <cellStyle name="Calculation 12 3 17" xfId="9962" xr:uid="{00000000-0005-0000-0000-0000CB260000}"/>
    <cellStyle name="Calculation 12 3 17 10" xfId="9963" xr:uid="{00000000-0005-0000-0000-0000CC260000}"/>
    <cellStyle name="Calculation 12 3 17 2" xfId="9964" xr:uid="{00000000-0005-0000-0000-0000CD260000}"/>
    <cellStyle name="Calculation 12 3 17 2 2" xfId="9965" xr:uid="{00000000-0005-0000-0000-0000CE260000}"/>
    <cellStyle name="Calculation 12 3 17 2 3" xfId="9966" xr:uid="{00000000-0005-0000-0000-0000CF260000}"/>
    <cellStyle name="Calculation 12 3 17 2 4" xfId="9967" xr:uid="{00000000-0005-0000-0000-0000D0260000}"/>
    <cellStyle name="Calculation 12 3 17 2 5" xfId="9968" xr:uid="{00000000-0005-0000-0000-0000D1260000}"/>
    <cellStyle name="Calculation 12 3 17 2 6" xfId="9969" xr:uid="{00000000-0005-0000-0000-0000D2260000}"/>
    <cellStyle name="Calculation 12 3 17 3" xfId="9970" xr:uid="{00000000-0005-0000-0000-0000D3260000}"/>
    <cellStyle name="Calculation 12 3 17 3 2" xfId="9971" xr:uid="{00000000-0005-0000-0000-0000D4260000}"/>
    <cellStyle name="Calculation 12 3 17 3 3" xfId="9972" xr:uid="{00000000-0005-0000-0000-0000D5260000}"/>
    <cellStyle name="Calculation 12 3 17 3 4" xfId="9973" xr:uid="{00000000-0005-0000-0000-0000D6260000}"/>
    <cellStyle name="Calculation 12 3 17 3 5" xfId="9974" xr:uid="{00000000-0005-0000-0000-0000D7260000}"/>
    <cellStyle name="Calculation 12 3 17 3 6" xfId="9975" xr:uid="{00000000-0005-0000-0000-0000D8260000}"/>
    <cellStyle name="Calculation 12 3 17 4" xfId="9976" xr:uid="{00000000-0005-0000-0000-0000D9260000}"/>
    <cellStyle name="Calculation 12 3 17 4 2" xfId="9977" xr:uid="{00000000-0005-0000-0000-0000DA260000}"/>
    <cellStyle name="Calculation 12 3 17 4 3" xfId="9978" xr:uid="{00000000-0005-0000-0000-0000DB260000}"/>
    <cellStyle name="Calculation 12 3 17 4 4" xfId="9979" xr:uid="{00000000-0005-0000-0000-0000DC260000}"/>
    <cellStyle name="Calculation 12 3 17 4 5" xfId="9980" xr:uid="{00000000-0005-0000-0000-0000DD260000}"/>
    <cellStyle name="Calculation 12 3 17 4 6" xfId="9981" xr:uid="{00000000-0005-0000-0000-0000DE260000}"/>
    <cellStyle name="Calculation 12 3 17 5" xfId="9982" xr:uid="{00000000-0005-0000-0000-0000DF260000}"/>
    <cellStyle name="Calculation 12 3 17 5 2" xfId="9983" xr:uid="{00000000-0005-0000-0000-0000E0260000}"/>
    <cellStyle name="Calculation 12 3 17 5 3" xfId="9984" xr:uid="{00000000-0005-0000-0000-0000E1260000}"/>
    <cellStyle name="Calculation 12 3 17 5 4" xfId="9985" xr:uid="{00000000-0005-0000-0000-0000E2260000}"/>
    <cellStyle name="Calculation 12 3 17 5 5" xfId="9986" xr:uid="{00000000-0005-0000-0000-0000E3260000}"/>
    <cellStyle name="Calculation 12 3 17 5 6" xfId="9987" xr:uid="{00000000-0005-0000-0000-0000E4260000}"/>
    <cellStyle name="Calculation 12 3 17 6" xfId="9988" xr:uid="{00000000-0005-0000-0000-0000E5260000}"/>
    <cellStyle name="Calculation 12 3 17 6 2" xfId="9989" xr:uid="{00000000-0005-0000-0000-0000E6260000}"/>
    <cellStyle name="Calculation 12 3 17 6 3" xfId="9990" xr:uid="{00000000-0005-0000-0000-0000E7260000}"/>
    <cellStyle name="Calculation 12 3 17 6 4" xfId="9991" xr:uid="{00000000-0005-0000-0000-0000E8260000}"/>
    <cellStyle name="Calculation 12 3 17 6 5" xfId="9992" xr:uid="{00000000-0005-0000-0000-0000E9260000}"/>
    <cellStyle name="Calculation 12 3 17 6 6" xfId="9993" xr:uid="{00000000-0005-0000-0000-0000EA260000}"/>
    <cellStyle name="Calculation 12 3 17 7" xfId="9994" xr:uid="{00000000-0005-0000-0000-0000EB260000}"/>
    <cellStyle name="Calculation 12 3 17 7 2" xfId="9995" xr:uid="{00000000-0005-0000-0000-0000EC260000}"/>
    <cellStyle name="Calculation 12 3 17 7 3" xfId="9996" xr:uid="{00000000-0005-0000-0000-0000ED260000}"/>
    <cellStyle name="Calculation 12 3 17 7 4" xfId="9997" xr:uid="{00000000-0005-0000-0000-0000EE260000}"/>
    <cellStyle name="Calculation 12 3 17 7 5" xfId="9998" xr:uid="{00000000-0005-0000-0000-0000EF260000}"/>
    <cellStyle name="Calculation 12 3 17 7 6" xfId="9999" xr:uid="{00000000-0005-0000-0000-0000F0260000}"/>
    <cellStyle name="Calculation 12 3 17 8" xfId="10000" xr:uid="{00000000-0005-0000-0000-0000F1260000}"/>
    <cellStyle name="Calculation 12 3 17 9" xfId="10001" xr:uid="{00000000-0005-0000-0000-0000F2260000}"/>
    <cellStyle name="Calculation 12 3 18" xfId="10002" xr:uid="{00000000-0005-0000-0000-0000F3260000}"/>
    <cellStyle name="Calculation 12 3 18 10" xfId="10003" xr:uid="{00000000-0005-0000-0000-0000F4260000}"/>
    <cellStyle name="Calculation 12 3 18 2" xfId="10004" xr:uid="{00000000-0005-0000-0000-0000F5260000}"/>
    <cellStyle name="Calculation 12 3 18 2 2" xfId="10005" xr:uid="{00000000-0005-0000-0000-0000F6260000}"/>
    <cellStyle name="Calculation 12 3 18 2 3" xfId="10006" xr:uid="{00000000-0005-0000-0000-0000F7260000}"/>
    <cellStyle name="Calculation 12 3 18 2 4" xfId="10007" xr:uid="{00000000-0005-0000-0000-0000F8260000}"/>
    <cellStyle name="Calculation 12 3 18 2 5" xfId="10008" xr:uid="{00000000-0005-0000-0000-0000F9260000}"/>
    <cellStyle name="Calculation 12 3 18 2 6" xfId="10009" xr:uid="{00000000-0005-0000-0000-0000FA260000}"/>
    <cellStyle name="Calculation 12 3 18 3" xfId="10010" xr:uid="{00000000-0005-0000-0000-0000FB260000}"/>
    <cellStyle name="Calculation 12 3 18 3 2" xfId="10011" xr:uid="{00000000-0005-0000-0000-0000FC260000}"/>
    <cellStyle name="Calculation 12 3 18 3 3" xfId="10012" xr:uid="{00000000-0005-0000-0000-0000FD260000}"/>
    <cellStyle name="Calculation 12 3 18 3 4" xfId="10013" xr:uid="{00000000-0005-0000-0000-0000FE260000}"/>
    <cellStyle name="Calculation 12 3 18 3 5" xfId="10014" xr:uid="{00000000-0005-0000-0000-0000FF260000}"/>
    <cellStyle name="Calculation 12 3 18 3 6" xfId="10015" xr:uid="{00000000-0005-0000-0000-000000270000}"/>
    <cellStyle name="Calculation 12 3 18 4" xfId="10016" xr:uid="{00000000-0005-0000-0000-000001270000}"/>
    <cellStyle name="Calculation 12 3 18 4 2" xfId="10017" xr:uid="{00000000-0005-0000-0000-000002270000}"/>
    <cellStyle name="Calculation 12 3 18 4 3" xfId="10018" xr:uid="{00000000-0005-0000-0000-000003270000}"/>
    <cellStyle name="Calculation 12 3 18 4 4" xfId="10019" xr:uid="{00000000-0005-0000-0000-000004270000}"/>
    <cellStyle name="Calculation 12 3 18 4 5" xfId="10020" xr:uid="{00000000-0005-0000-0000-000005270000}"/>
    <cellStyle name="Calculation 12 3 18 4 6" xfId="10021" xr:uid="{00000000-0005-0000-0000-000006270000}"/>
    <cellStyle name="Calculation 12 3 18 5" xfId="10022" xr:uid="{00000000-0005-0000-0000-000007270000}"/>
    <cellStyle name="Calculation 12 3 18 5 2" xfId="10023" xr:uid="{00000000-0005-0000-0000-000008270000}"/>
    <cellStyle name="Calculation 12 3 18 5 3" xfId="10024" xr:uid="{00000000-0005-0000-0000-000009270000}"/>
    <cellStyle name="Calculation 12 3 18 5 4" xfId="10025" xr:uid="{00000000-0005-0000-0000-00000A270000}"/>
    <cellStyle name="Calculation 12 3 18 5 5" xfId="10026" xr:uid="{00000000-0005-0000-0000-00000B270000}"/>
    <cellStyle name="Calculation 12 3 18 5 6" xfId="10027" xr:uid="{00000000-0005-0000-0000-00000C270000}"/>
    <cellStyle name="Calculation 12 3 18 6" xfId="10028" xr:uid="{00000000-0005-0000-0000-00000D270000}"/>
    <cellStyle name="Calculation 12 3 18 6 2" xfId="10029" xr:uid="{00000000-0005-0000-0000-00000E270000}"/>
    <cellStyle name="Calculation 12 3 18 6 3" xfId="10030" xr:uid="{00000000-0005-0000-0000-00000F270000}"/>
    <cellStyle name="Calculation 12 3 18 6 4" xfId="10031" xr:uid="{00000000-0005-0000-0000-000010270000}"/>
    <cellStyle name="Calculation 12 3 18 6 5" xfId="10032" xr:uid="{00000000-0005-0000-0000-000011270000}"/>
    <cellStyle name="Calculation 12 3 18 6 6" xfId="10033" xr:uid="{00000000-0005-0000-0000-000012270000}"/>
    <cellStyle name="Calculation 12 3 18 7" xfId="10034" xr:uid="{00000000-0005-0000-0000-000013270000}"/>
    <cellStyle name="Calculation 12 3 18 7 2" xfId="10035" xr:uid="{00000000-0005-0000-0000-000014270000}"/>
    <cellStyle name="Calculation 12 3 18 7 3" xfId="10036" xr:uid="{00000000-0005-0000-0000-000015270000}"/>
    <cellStyle name="Calculation 12 3 18 7 4" xfId="10037" xr:uid="{00000000-0005-0000-0000-000016270000}"/>
    <cellStyle name="Calculation 12 3 18 7 5" xfId="10038" xr:uid="{00000000-0005-0000-0000-000017270000}"/>
    <cellStyle name="Calculation 12 3 18 7 6" xfId="10039" xr:uid="{00000000-0005-0000-0000-000018270000}"/>
    <cellStyle name="Calculation 12 3 18 8" xfId="10040" xr:uid="{00000000-0005-0000-0000-000019270000}"/>
    <cellStyle name="Calculation 12 3 18 9" xfId="10041" xr:uid="{00000000-0005-0000-0000-00001A270000}"/>
    <cellStyle name="Calculation 12 3 19" xfId="10042" xr:uid="{00000000-0005-0000-0000-00001B270000}"/>
    <cellStyle name="Calculation 12 3 19 10" xfId="10043" xr:uid="{00000000-0005-0000-0000-00001C270000}"/>
    <cellStyle name="Calculation 12 3 19 2" xfId="10044" xr:uid="{00000000-0005-0000-0000-00001D270000}"/>
    <cellStyle name="Calculation 12 3 19 2 2" xfId="10045" xr:uid="{00000000-0005-0000-0000-00001E270000}"/>
    <cellStyle name="Calculation 12 3 19 2 3" xfId="10046" xr:uid="{00000000-0005-0000-0000-00001F270000}"/>
    <cellStyle name="Calculation 12 3 19 2 4" xfId="10047" xr:uid="{00000000-0005-0000-0000-000020270000}"/>
    <cellStyle name="Calculation 12 3 19 2 5" xfId="10048" xr:uid="{00000000-0005-0000-0000-000021270000}"/>
    <cellStyle name="Calculation 12 3 19 2 6" xfId="10049" xr:uid="{00000000-0005-0000-0000-000022270000}"/>
    <cellStyle name="Calculation 12 3 19 3" xfId="10050" xr:uid="{00000000-0005-0000-0000-000023270000}"/>
    <cellStyle name="Calculation 12 3 19 3 2" xfId="10051" xr:uid="{00000000-0005-0000-0000-000024270000}"/>
    <cellStyle name="Calculation 12 3 19 3 3" xfId="10052" xr:uid="{00000000-0005-0000-0000-000025270000}"/>
    <cellStyle name="Calculation 12 3 19 3 4" xfId="10053" xr:uid="{00000000-0005-0000-0000-000026270000}"/>
    <cellStyle name="Calculation 12 3 19 3 5" xfId="10054" xr:uid="{00000000-0005-0000-0000-000027270000}"/>
    <cellStyle name="Calculation 12 3 19 3 6" xfId="10055" xr:uid="{00000000-0005-0000-0000-000028270000}"/>
    <cellStyle name="Calculation 12 3 19 4" xfId="10056" xr:uid="{00000000-0005-0000-0000-000029270000}"/>
    <cellStyle name="Calculation 12 3 19 4 2" xfId="10057" xr:uid="{00000000-0005-0000-0000-00002A270000}"/>
    <cellStyle name="Calculation 12 3 19 4 3" xfId="10058" xr:uid="{00000000-0005-0000-0000-00002B270000}"/>
    <cellStyle name="Calculation 12 3 19 4 4" xfId="10059" xr:uid="{00000000-0005-0000-0000-00002C270000}"/>
    <cellStyle name="Calculation 12 3 19 4 5" xfId="10060" xr:uid="{00000000-0005-0000-0000-00002D270000}"/>
    <cellStyle name="Calculation 12 3 19 4 6" xfId="10061" xr:uid="{00000000-0005-0000-0000-00002E270000}"/>
    <cellStyle name="Calculation 12 3 19 5" xfId="10062" xr:uid="{00000000-0005-0000-0000-00002F270000}"/>
    <cellStyle name="Calculation 12 3 19 5 2" xfId="10063" xr:uid="{00000000-0005-0000-0000-000030270000}"/>
    <cellStyle name="Calculation 12 3 19 5 3" xfId="10064" xr:uid="{00000000-0005-0000-0000-000031270000}"/>
    <cellStyle name="Calculation 12 3 19 5 4" xfId="10065" xr:uid="{00000000-0005-0000-0000-000032270000}"/>
    <cellStyle name="Calculation 12 3 19 5 5" xfId="10066" xr:uid="{00000000-0005-0000-0000-000033270000}"/>
    <cellStyle name="Calculation 12 3 19 5 6" xfId="10067" xr:uid="{00000000-0005-0000-0000-000034270000}"/>
    <cellStyle name="Calculation 12 3 19 6" xfId="10068" xr:uid="{00000000-0005-0000-0000-000035270000}"/>
    <cellStyle name="Calculation 12 3 19 6 2" xfId="10069" xr:uid="{00000000-0005-0000-0000-000036270000}"/>
    <cellStyle name="Calculation 12 3 19 6 3" xfId="10070" xr:uid="{00000000-0005-0000-0000-000037270000}"/>
    <cellStyle name="Calculation 12 3 19 6 4" xfId="10071" xr:uid="{00000000-0005-0000-0000-000038270000}"/>
    <cellStyle name="Calculation 12 3 19 6 5" xfId="10072" xr:uid="{00000000-0005-0000-0000-000039270000}"/>
    <cellStyle name="Calculation 12 3 19 6 6" xfId="10073" xr:uid="{00000000-0005-0000-0000-00003A270000}"/>
    <cellStyle name="Calculation 12 3 19 7" xfId="10074" xr:uid="{00000000-0005-0000-0000-00003B270000}"/>
    <cellStyle name="Calculation 12 3 19 7 2" xfId="10075" xr:uid="{00000000-0005-0000-0000-00003C270000}"/>
    <cellStyle name="Calculation 12 3 19 7 3" xfId="10076" xr:uid="{00000000-0005-0000-0000-00003D270000}"/>
    <cellStyle name="Calculation 12 3 19 7 4" xfId="10077" xr:uid="{00000000-0005-0000-0000-00003E270000}"/>
    <cellStyle name="Calculation 12 3 19 7 5" xfId="10078" xr:uid="{00000000-0005-0000-0000-00003F270000}"/>
    <cellStyle name="Calculation 12 3 19 7 6" xfId="10079" xr:uid="{00000000-0005-0000-0000-000040270000}"/>
    <cellStyle name="Calculation 12 3 19 8" xfId="10080" xr:uid="{00000000-0005-0000-0000-000041270000}"/>
    <cellStyle name="Calculation 12 3 19 9" xfId="10081" xr:uid="{00000000-0005-0000-0000-000042270000}"/>
    <cellStyle name="Calculation 12 3 2" xfId="10082" xr:uid="{00000000-0005-0000-0000-000043270000}"/>
    <cellStyle name="Calculation 12 3 2 10" xfId="10083" xr:uid="{00000000-0005-0000-0000-000044270000}"/>
    <cellStyle name="Calculation 12 3 2 2" xfId="10084" xr:uid="{00000000-0005-0000-0000-000045270000}"/>
    <cellStyle name="Calculation 12 3 2 2 2" xfId="10085" xr:uid="{00000000-0005-0000-0000-000046270000}"/>
    <cellStyle name="Calculation 12 3 2 2 3" xfId="10086" xr:uid="{00000000-0005-0000-0000-000047270000}"/>
    <cellStyle name="Calculation 12 3 2 2 4" xfId="10087" xr:uid="{00000000-0005-0000-0000-000048270000}"/>
    <cellStyle name="Calculation 12 3 2 2 5" xfId="10088" xr:uid="{00000000-0005-0000-0000-000049270000}"/>
    <cellStyle name="Calculation 12 3 2 2 6" xfId="10089" xr:uid="{00000000-0005-0000-0000-00004A270000}"/>
    <cellStyle name="Calculation 12 3 2 3" xfId="10090" xr:uid="{00000000-0005-0000-0000-00004B270000}"/>
    <cellStyle name="Calculation 12 3 2 3 2" xfId="10091" xr:uid="{00000000-0005-0000-0000-00004C270000}"/>
    <cellStyle name="Calculation 12 3 2 3 3" xfId="10092" xr:uid="{00000000-0005-0000-0000-00004D270000}"/>
    <cellStyle name="Calculation 12 3 2 3 4" xfId="10093" xr:uid="{00000000-0005-0000-0000-00004E270000}"/>
    <cellStyle name="Calculation 12 3 2 3 5" xfId="10094" xr:uid="{00000000-0005-0000-0000-00004F270000}"/>
    <cellStyle name="Calculation 12 3 2 3 6" xfId="10095" xr:uid="{00000000-0005-0000-0000-000050270000}"/>
    <cellStyle name="Calculation 12 3 2 4" xfId="10096" xr:uid="{00000000-0005-0000-0000-000051270000}"/>
    <cellStyle name="Calculation 12 3 2 4 2" xfId="10097" xr:uid="{00000000-0005-0000-0000-000052270000}"/>
    <cellStyle name="Calculation 12 3 2 4 3" xfId="10098" xr:uid="{00000000-0005-0000-0000-000053270000}"/>
    <cellStyle name="Calculation 12 3 2 4 4" xfId="10099" xr:uid="{00000000-0005-0000-0000-000054270000}"/>
    <cellStyle name="Calculation 12 3 2 4 5" xfId="10100" xr:uid="{00000000-0005-0000-0000-000055270000}"/>
    <cellStyle name="Calculation 12 3 2 4 6" xfId="10101" xr:uid="{00000000-0005-0000-0000-000056270000}"/>
    <cellStyle name="Calculation 12 3 2 5" xfId="10102" xr:uid="{00000000-0005-0000-0000-000057270000}"/>
    <cellStyle name="Calculation 12 3 2 5 2" xfId="10103" xr:uid="{00000000-0005-0000-0000-000058270000}"/>
    <cellStyle name="Calculation 12 3 2 5 3" xfId="10104" xr:uid="{00000000-0005-0000-0000-000059270000}"/>
    <cellStyle name="Calculation 12 3 2 5 4" xfId="10105" xr:uid="{00000000-0005-0000-0000-00005A270000}"/>
    <cellStyle name="Calculation 12 3 2 5 5" xfId="10106" xr:uid="{00000000-0005-0000-0000-00005B270000}"/>
    <cellStyle name="Calculation 12 3 2 5 6" xfId="10107" xr:uid="{00000000-0005-0000-0000-00005C270000}"/>
    <cellStyle name="Calculation 12 3 2 6" xfId="10108" xr:uid="{00000000-0005-0000-0000-00005D270000}"/>
    <cellStyle name="Calculation 12 3 2 6 2" xfId="10109" xr:uid="{00000000-0005-0000-0000-00005E270000}"/>
    <cellStyle name="Calculation 12 3 2 6 3" xfId="10110" xr:uid="{00000000-0005-0000-0000-00005F270000}"/>
    <cellStyle name="Calculation 12 3 2 6 4" xfId="10111" xr:uid="{00000000-0005-0000-0000-000060270000}"/>
    <cellStyle name="Calculation 12 3 2 6 5" xfId="10112" xr:uid="{00000000-0005-0000-0000-000061270000}"/>
    <cellStyle name="Calculation 12 3 2 6 6" xfId="10113" xr:uid="{00000000-0005-0000-0000-000062270000}"/>
    <cellStyle name="Calculation 12 3 2 7" xfId="10114" xr:uid="{00000000-0005-0000-0000-000063270000}"/>
    <cellStyle name="Calculation 12 3 2 7 2" xfId="10115" xr:uid="{00000000-0005-0000-0000-000064270000}"/>
    <cellStyle name="Calculation 12 3 2 7 3" xfId="10116" xr:uid="{00000000-0005-0000-0000-000065270000}"/>
    <cellStyle name="Calculation 12 3 2 7 4" xfId="10117" xr:uid="{00000000-0005-0000-0000-000066270000}"/>
    <cellStyle name="Calculation 12 3 2 7 5" xfId="10118" xr:uid="{00000000-0005-0000-0000-000067270000}"/>
    <cellStyle name="Calculation 12 3 2 7 6" xfId="10119" xr:uid="{00000000-0005-0000-0000-000068270000}"/>
    <cellStyle name="Calculation 12 3 2 8" xfId="10120" xr:uid="{00000000-0005-0000-0000-000069270000}"/>
    <cellStyle name="Calculation 12 3 2 9" xfId="10121" xr:uid="{00000000-0005-0000-0000-00006A270000}"/>
    <cellStyle name="Calculation 12 3 20" xfId="10122" xr:uid="{00000000-0005-0000-0000-00006B270000}"/>
    <cellStyle name="Calculation 12 3 20 10" xfId="10123" xr:uid="{00000000-0005-0000-0000-00006C270000}"/>
    <cellStyle name="Calculation 12 3 20 2" xfId="10124" xr:uid="{00000000-0005-0000-0000-00006D270000}"/>
    <cellStyle name="Calculation 12 3 20 2 2" xfId="10125" xr:uid="{00000000-0005-0000-0000-00006E270000}"/>
    <cellStyle name="Calculation 12 3 20 2 3" xfId="10126" xr:uid="{00000000-0005-0000-0000-00006F270000}"/>
    <cellStyle name="Calculation 12 3 20 2 4" xfId="10127" xr:uid="{00000000-0005-0000-0000-000070270000}"/>
    <cellStyle name="Calculation 12 3 20 2 5" xfId="10128" xr:uid="{00000000-0005-0000-0000-000071270000}"/>
    <cellStyle name="Calculation 12 3 20 2 6" xfId="10129" xr:uid="{00000000-0005-0000-0000-000072270000}"/>
    <cellStyle name="Calculation 12 3 20 3" xfId="10130" xr:uid="{00000000-0005-0000-0000-000073270000}"/>
    <cellStyle name="Calculation 12 3 20 3 2" xfId="10131" xr:uid="{00000000-0005-0000-0000-000074270000}"/>
    <cellStyle name="Calculation 12 3 20 3 3" xfId="10132" xr:uid="{00000000-0005-0000-0000-000075270000}"/>
    <cellStyle name="Calculation 12 3 20 3 4" xfId="10133" xr:uid="{00000000-0005-0000-0000-000076270000}"/>
    <cellStyle name="Calculation 12 3 20 3 5" xfId="10134" xr:uid="{00000000-0005-0000-0000-000077270000}"/>
    <cellStyle name="Calculation 12 3 20 3 6" xfId="10135" xr:uid="{00000000-0005-0000-0000-000078270000}"/>
    <cellStyle name="Calculation 12 3 20 4" xfId="10136" xr:uid="{00000000-0005-0000-0000-000079270000}"/>
    <cellStyle name="Calculation 12 3 20 4 2" xfId="10137" xr:uid="{00000000-0005-0000-0000-00007A270000}"/>
    <cellStyle name="Calculation 12 3 20 4 3" xfId="10138" xr:uid="{00000000-0005-0000-0000-00007B270000}"/>
    <cellStyle name="Calculation 12 3 20 4 4" xfId="10139" xr:uid="{00000000-0005-0000-0000-00007C270000}"/>
    <cellStyle name="Calculation 12 3 20 4 5" xfId="10140" xr:uid="{00000000-0005-0000-0000-00007D270000}"/>
    <cellStyle name="Calculation 12 3 20 4 6" xfId="10141" xr:uid="{00000000-0005-0000-0000-00007E270000}"/>
    <cellStyle name="Calculation 12 3 20 5" xfId="10142" xr:uid="{00000000-0005-0000-0000-00007F270000}"/>
    <cellStyle name="Calculation 12 3 20 5 2" xfId="10143" xr:uid="{00000000-0005-0000-0000-000080270000}"/>
    <cellStyle name="Calculation 12 3 20 5 3" xfId="10144" xr:uid="{00000000-0005-0000-0000-000081270000}"/>
    <cellStyle name="Calculation 12 3 20 5 4" xfId="10145" xr:uid="{00000000-0005-0000-0000-000082270000}"/>
    <cellStyle name="Calculation 12 3 20 5 5" xfId="10146" xr:uid="{00000000-0005-0000-0000-000083270000}"/>
    <cellStyle name="Calculation 12 3 20 5 6" xfId="10147" xr:uid="{00000000-0005-0000-0000-000084270000}"/>
    <cellStyle name="Calculation 12 3 20 6" xfId="10148" xr:uid="{00000000-0005-0000-0000-000085270000}"/>
    <cellStyle name="Calculation 12 3 20 6 2" xfId="10149" xr:uid="{00000000-0005-0000-0000-000086270000}"/>
    <cellStyle name="Calculation 12 3 20 6 3" xfId="10150" xr:uid="{00000000-0005-0000-0000-000087270000}"/>
    <cellStyle name="Calculation 12 3 20 6 4" xfId="10151" xr:uid="{00000000-0005-0000-0000-000088270000}"/>
    <cellStyle name="Calculation 12 3 20 6 5" xfId="10152" xr:uid="{00000000-0005-0000-0000-000089270000}"/>
    <cellStyle name="Calculation 12 3 20 6 6" xfId="10153" xr:uid="{00000000-0005-0000-0000-00008A270000}"/>
    <cellStyle name="Calculation 12 3 20 7" xfId="10154" xr:uid="{00000000-0005-0000-0000-00008B270000}"/>
    <cellStyle name="Calculation 12 3 20 7 2" xfId="10155" xr:uid="{00000000-0005-0000-0000-00008C270000}"/>
    <cellStyle name="Calculation 12 3 20 7 3" xfId="10156" xr:uid="{00000000-0005-0000-0000-00008D270000}"/>
    <cellStyle name="Calculation 12 3 20 7 4" xfId="10157" xr:uid="{00000000-0005-0000-0000-00008E270000}"/>
    <cellStyle name="Calculation 12 3 20 7 5" xfId="10158" xr:uid="{00000000-0005-0000-0000-00008F270000}"/>
    <cellStyle name="Calculation 12 3 20 7 6" xfId="10159" xr:uid="{00000000-0005-0000-0000-000090270000}"/>
    <cellStyle name="Calculation 12 3 20 8" xfId="10160" xr:uid="{00000000-0005-0000-0000-000091270000}"/>
    <cellStyle name="Calculation 12 3 20 9" xfId="10161" xr:uid="{00000000-0005-0000-0000-000092270000}"/>
    <cellStyle name="Calculation 12 3 21" xfId="10162" xr:uid="{00000000-0005-0000-0000-000093270000}"/>
    <cellStyle name="Calculation 12 3 21 10" xfId="10163" xr:uid="{00000000-0005-0000-0000-000094270000}"/>
    <cellStyle name="Calculation 12 3 21 2" xfId="10164" xr:uid="{00000000-0005-0000-0000-000095270000}"/>
    <cellStyle name="Calculation 12 3 21 2 2" xfId="10165" xr:uid="{00000000-0005-0000-0000-000096270000}"/>
    <cellStyle name="Calculation 12 3 21 2 3" xfId="10166" xr:uid="{00000000-0005-0000-0000-000097270000}"/>
    <cellStyle name="Calculation 12 3 21 2 4" xfId="10167" xr:uid="{00000000-0005-0000-0000-000098270000}"/>
    <cellStyle name="Calculation 12 3 21 2 5" xfId="10168" xr:uid="{00000000-0005-0000-0000-000099270000}"/>
    <cellStyle name="Calculation 12 3 21 2 6" xfId="10169" xr:uid="{00000000-0005-0000-0000-00009A270000}"/>
    <cellStyle name="Calculation 12 3 21 3" xfId="10170" xr:uid="{00000000-0005-0000-0000-00009B270000}"/>
    <cellStyle name="Calculation 12 3 21 3 2" xfId="10171" xr:uid="{00000000-0005-0000-0000-00009C270000}"/>
    <cellStyle name="Calculation 12 3 21 3 3" xfId="10172" xr:uid="{00000000-0005-0000-0000-00009D270000}"/>
    <cellStyle name="Calculation 12 3 21 3 4" xfId="10173" xr:uid="{00000000-0005-0000-0000-00009E270000}"/>
    <cellStyle name="Calculation 12 3 21 3 5" xfId="10174" xr:uid="{00000000-0005-0000-0000-00009F270000}"/>
    <cellStyle name="Calculation 12 3 21 3 6" xfId="10175" xr:uid="{00000000-0005-0000-0000-0000A0270000}"/>
    <cellStyle name="Calculation 12 3 21 4" xfId="10176" xr:uid="{00000000-0005-0000-0000-0000A1270000}"/>
    <cellStyle name="Calculation 12 3 21 4 2" xfId="10177" xr:uid="{00000000-0005-0000-0000-0000A2270000}"/>
    <cellStyle name="Calculation 12 3 21 4 3" xfId="10178" xr:uid="{00000000-0005-0000-0000-0000A3270000}"/>
    <cellStyle name="Calculation 12 3 21 4 4" xfId="10179" xr:uid="{00000000-0005-0000-0000-0000A4270000}"/>
    <cellStyle name="Calculation 12 3 21 4 5" xfId="10180" xr:uid="{00000000-0005-0000-0000-0000A5270000}"/>
    <cellStyle name="Calculation 12 3 21 4 6" xfId="10181" xr:uid="{00000000-0005-0000-0000-0000A6270000}"/>
    <cellStyle name="Calculation 12 3 21 5" xfId="10182" xr:uid="{00000000-0005-0000-0000-0000A7270000}"/>
    <cellStyle name="Calculation 12 3 21 5 2" xfId="10183" xr:uid="{00000000-0005-0000-0000-0000A8270000}"/>
    <cellStyle name="Calculation 12 3 21 5 3" xfId="10184" xr:uid="{00000000-0005-0000-0000-0000A9270000}"/>
    <cellStyle name="Calculation 12 3 21 5 4" xfId="10185" xr:uid="{00000000-0005-0000-0000-0000AA270000}"/>
    <cellStyle name="Calculation 12 3 21 5 5" xfId="10186" xr:uid="{00000000-0005-0000-0000-0000AB270000}"/>
    <cellStyle name="Calculation 12 3 21 5 6" xfId="10187" xr:uid="{00000000-0005-0000-0000-0000AC270000}"/>
    <cellStyle name="Calculation 12 3 21 6" xfId="10188" xr:uid="{00000000-0005-0000-0000-0000AD270000}"/>
    <cellStyle name="Calculation 12 3 21 6 2" xfId="10189" xr:uid="{00000000-0005-0000-0000-0000AE270000}"/>
    <cellStyle name="Calculation 12 3 21 6 3" xfId="10190" xr:uid="{00000000-0005-0000-0000-0000AF270000}"/>
    <cellStyle name="Calculation 12 3 21 6 4" xfId="10191" xr:uid="{00000000-0005-0000-0000-0000B0270000}"/>
    <cellStyle name="Calculation 12 3 21 6 5" xfId="10192" xr:uid="{00000000-0005-0000-0000-0000B1270000}"/>
    <cellStyle name="Calculation 12 3 21 6 6" xfId="10193" xr:uid="{00000000-0005-0000-0000-0000B2270000}"/>
    <cellStyle name="Calculation 12 3 21 7" xfId="10194" xr:uid="{00000000-0005-0000-0000-0000B3270000}"/>
    <cellStyle name="Calculation 12 3 21 7 2" xfId="10195" xr:uid="{00000000-0005-0000-0000-0000B4270000}"/>
    <cellStyle name="Calculation 12 3 21 7 3" xfId="10196" xr:uid="{00000000-0005-0000-0000-0000B5270000}"/>
    <cellStyle name="Calculation 12 3 21 7 4" xfId="10197" xr:uid="{00000000-0005-0000-0000-0000B6270000}"/>
    <cellStyle name="Calculation 12 3 21 7 5" xfId="10198" xr:uid="{00000000-0005-0000-0000-0000B7270000}"/>
    <cellStyle name="Calculation 12 3 21 7 6" xfId="10199" xr:uid="{00000000-0005-0000-0000-0000B8270000}"/>
    <cellStyle name="Calculation 12 3 21 8" xfId="10200" xr:uid="{00000000-0005-0000-0000-0000B9270000}"/>
    <cellStyle name="Calculation 12 3 21 9" xfId="10201" xr:uid="{00000000-0005-0000-0000-0000BA270000}"/>
    <cellStyle name="Calculation 12 3 22" xfId="10202" xr:uid="{00000000-0005-0000-0000-0000BB270000}"/>
    <cellStyle name="Calculation 12 3 22 10" xfId="10203" xr:uid="{00000000-0005-0000-0000-0000BC270000}"/>
    <cellStyle name="Calculation 12 3 22 2" xfId="10204" xr:uid="{00000000-0005-0000-0000-0000BD270000}"/>
    <cellStyle name="Calculation 12 3 22 2 2" xfId="10205" xr:uid="{00000000-0005-0000-0000-0000BE270000}"/>
    <cellStyle name="Calculation 12 3 22 2 3" xfId="10206" xr:uid="{00000000-0005-0000-0000-0000BF270000}"/>
    <cellStyle name="Calculation 12 3 22 2 4" xfId="10207" xr:uid="{00000000-0005-0000-0000-0000C0270000}"/>
    <cellStyle name="Calculation 12 3 22 2 5" xfId="10208" xr:uid="{00000000-0005-0000-0000-0000C1270000}"/>
    <cellStyle name="Calculation 12 3 22 2 6" xfId="10209" xr:uid="{00000000-0005-0000-0000-0000C2270000}"/>
    <cellStyle name="Calculation 12 3 22 3" xfId="10210" xr:uid="{00000000-0005-0000-0000-0000C3270000}"/>
    <cellStyle name="Calculation 12 3 22 3 2" xfId="10211" xr:uid="{00000000-0005-0000-0000-0000C4270000}"/>
    <cellStyle name="Calculation 12 3 22 3 3" xfId="10212" xr:uid="{00000000-0005-0000-0000-0000C5270000}"/>
    <cellStyle name="Calculation 12 3 22 3 4" xfId="10213" xr:uid="{00000000-0005-0000-0000-0000C6270000}"/>
    <cellStyle name="Calculation 12 3 22 3 5" xfId="10214" xr:uid="{00000000-0005-0000-0000-0000C7270000}"/>
    <cellStyle name="Calculation 12 3 22 3 6" xfId="10215" xr:uid="{00000000-0005-0000-0000-0000C8270000}"/>
    <cellStyle name="Calculation 12 3 22 4" xfId="10216" xr:uid="{00000000-0005-0000-0000-0000C9270000}"/>
    <cellStyle name="Calculation 12 3 22 4 2" xfId="10217" xr:uid="{00000000-0005-0000-0000-0000CA270000}"/>
    <cellStyle name="Calculation 12 3 22 4 3" xfId="10218" xr:uid="{00000000-0005-0000-0000-0000CB270000}"/>
    <cellStyle name="Calculation 12 3 22 4 4" xfId="10219" xr:uid="{00000000-0005-0000-0000-0000CC270000}"/>
    <cellStyle name="Calculation 12 3 22 4 5" xfId="10220" xr:uid="{00000000-0005-0000-0000-0000CD270000}"/>
    <cellStyle name="Calculation 12 3 22 4 6" xfId="10221" xr:uid="{00000000-0005-0000-0000-0000CE270000}"/>
    <cellStyle name="Calculation 12 3 22 5" xfId="10222" xr:uid="{00000000-0005-0000-0000-0000CF270000}"/>
    <cellStyle name="Calculation 12 3 22 5 2" xfId="10223" xr:uid="{00000000-0005-0000-0000-0000D0270000}"/>
    <cellStyle name="Calculation 12 3 22 5 3" xfId="10224" xr:uid="{00000000-0005-0000-0000-0000D1270000}"/>
    <cellStyle name="Calculation 12 3 22 5 4" xfId="10225" xr:uid="{00000000-0005-0000-0000-0000D2270000}"/>
    <cellStyle name="Calculation 12 3 22 5 5" xfId="10226" xr:uid="{00000000-0005-0000-0000-0000D3270000}"/>
    <cellStyle name="Calculation 12 3 22 5 6" xfId="10227" xr:uid="{00000000-0005-0000-0000-0000D4270000}"/>
    <cellStyle name="Calculation 12 3 22 6" xfId="10228" xr:uid="{00000000-0005-0000-0000-0000D5270000}"/>
    <cellStyle name="Calculation 12 3 22 6 2" xfId="10229" xr:uid="{00000000-0005-0000-0000-0000D6270000}"/>
    <cellStyle name="Calculation 12 3 22 6 3" xfId="10230" xr:uid="{00000000-0005-0000-0000-0000D7270000}"/>
    <cellStyle name="Calculation 12 3 22 6 4" xfId="10231" xr:uid="{00000000-0005-0000-0000-0000D8270000}"/>
    <cellStyle name="Calculation 12 3 22 6 5" xfId="10232" xr:uid="{00000000-0005-0000-0000-0000D9270000}"/>
    <cellStyle name="Calculation 12 3 22 6 6" xfId="10233" xr:uid="{00000000-0005-0000-0000-0000DA270000}"/>
    <cellStyle name="Calculation 12 3 22 7" xfId="10234" xr:uid="{00000000-0005-0000-0000-0000DB270000}"/>
    <cellStyle name="Calculation 12 3 22 7 2" xfId="10235" xr:uid="{00000000-0005-0000-0000-0000DC270000}"/>
    <cellStyle name="Calculation 12 3 22 7 3" xfId="10236" xr:uid="{00000000-0005-0000-0000-0000DD270000}"/>
    <cellStyle name="Calculation 12 3 22 7 4" xfId="10237" xr:uid="{00000000-0005-0000-0000-0000DE270000}"/>
    <cellStyle name="Calculation 12 3 22 7 5" xfId="10238" xr:uid="{00000000-0005-0000-0000-0000DF270000}"/>
    <cellStyle name="Calculation 12 3 22 7 6" xfId="10239" xr:uid="{00000000-0005-0000-0000-0000E0270000}"/>
    <cellStyle name="Calculation 12 3 22 8" xfId="10240" xr:uid="{00000000-0005-0000-0000-0000E1270000}"/>
    <cellStyle name="Calculation 12 3 22 9" xfId="10241" xr:uid="{00000000-0005-0000-0000-0000E2270000}"/>
    <cellStyle name="Calculation 12 3 23" xfId="10242" xr:uid="{00000000-0005-0000-0000-0000E3270000}"/>
    <cellStyle name="Calculation 12 3 23 10" xfId="10243" xr:uid="{00000000-0005-0000-0000-0000E4270000}"/>
    <cellStyle name="Calculation 12 3 23 2" xfId="10244" xr:uid="{00000000-0005-0000-0000-0000E5270000}"/>
    <cellStyle name="Calculation 12 3 23 2 2" xfId="10245" xr:uid="{00000000-0005-0000-0000-0000E6270000}"/>
    <cellStyle name="Calculation 12 3 23 2 3" xfId="10246" xr:uid="{00000000-0005-0000-0000-0000E7270000}"/>
    <cellStyle name="Calculation 12 3 23 2 4" xfId="10247" xr:uid="{00000000-0005-0000-0000-0000E8270000}"/>
    <cellStyle name="Calculation 12 3 23 2 5" xfId="10248" xr:uid="{00000000-0005-0000-0000-0000E9270000}"/>
    <cellStyle name="Calculation 12 3 23 2 6" xfId="10249" xr:uid="{00000000-0005-0000-0000-0000EA270000}"/>
    <cellStyle name="Calculation 12 3 23 3" xfId="10250" xr:uid="{00000000-0005-0000-0000-0000EB270000}"/>
    <cellStyle name="Calculation 12 3 23 3 2" xfId="10251" xr:uid="{00000000-0005-0000-0000-0000EC270000}"/>
    <cellStyle name="Calculation 12 3 23 3 3" xfId="10252" xr:uid="{00000000-0005-0000-0000-0000ED270000}"/>
    <cellStyle name="Calculation 12 3 23 3 4" xfId="10253" xr:uid="{00000000-0005-0000-0000-0000EE270000}"/>
    <cellStyle name="Calculation 12 3 23 3 5" xfId="10254" xr:uid="{00000000-0005-0000-0000-0000EF270000}"/>
    <cellStyle name="Calculation 12 3 23 3 6" xfId="10255" xr:uid="{00000000-0005-0000-0000-0000F0270000}"/>
    <cellStyle name="Calculation 12 3 23 4" xfId="10256" xr:uid="{00000000-0005-0000-0000-0000F1270000}"/>
    <cellStyle name="Calculation 12 3 23 4 2" xfId="10257" xr:uid="{00000000-0005-0000-0000-0000F2270000}"/>
    <cellStyle name="Calculation 12 3 23 4 3" xfId="10258" xr:uid="{00000000-0005-0000-0000-0000F3270000}"/>
    <cellStyle name="Calculation 12 3 23 4 4" xfId="10259" xr:uid="{00000000-0005-0000-0000-0000F4270000}"/>
    <cellStyle name="Calculation 12 3 23 4 5" xfId="10260" xr:uid="{00000000-0005-0000-0000-0000F5270000}"/>
    <cellStyle name="Calculation 12 3 23 4 6" xfId="10261" xr:uid="{00000000-0005-0000-0000-0000F6270000}"/>
    <cellStyle name="Calculation 12 3 23 5" xfId="10262" xr:uid="{00000000-0005-0000-0000-0000F7270000}"/>
    <cellStyle name="Calculation 12 3 23 5 2" xfId="10263" xr:uid="{00000000-0005-0000-0000-0000F8270000}"/>
    <cellStyle name="Calculation 12 3 23 5 3" xfId="10264" xr:uid="{00000000-0005-0000-0000-0000F9270000}"/>
    <cellStyle name="Calculation 12 3 23 5 4" xfId="10265" xr:uid="{00000000-0005-0000-0000-0000FA270000}"/>
    <cellStyle name="Calculation 12 3 23 5 5" xfId="10266" xr:uid="{00000000-0005-0000-0000-0000FB270000}"/>
    <cellStyle name="Calculation 12 3 23 5 6" xfId="10267" xr:uid="{00000000-0005-0000-0000-0000FC270000}"/>
    <cellStyle name="Calculation 12 3 23 6" xfId="10268" xr:uid="{00000000-0005-0000-0000-0000FD270000}"/>
    <cellStyle name="Calculation 12 3 23 6 2" xfId="10269" xr:uid="{00000000-0005-0000-0000-0000FE270000}"/>
    <cellStyle name="Calculation 12 3 23 6 3" xfId="10270" xr:uid="{00000000-0005-0000-0000-0000FF270000}"/>
    <cellStyle name="Calculation 12 3 23 6 4" xfId="10271" xr:uid="{00000000-0005-0000-0000-000000280000}"/>
    <cellStyle name="Calculation 12 3 23 6 5" xfId="10272" xr:uid="{00000000-0005-0000-0000-000001280000}"/>
    <cellStyle name="Calculation 12 3 23 6 6" xfId="10273" xr:uid="{00000000-0005-0000-0000-000002280000}"/>
    <cellStyle name="Calculation 12 3 23 7" xfId="10274" xr:uid="{00000000-0005-0000-0000-000003280000}"/>
    <cellStyle name="Calculation 12 3 23 7 2" xfId="10275" xr:uid="{00000000-0005-0000-0000-000004280000}"/>
    <cellStyle name="Calculation 12 3 23 7 3" xfId="10276" xr:uid="{00000000-0005-0000-0000-000005280000}"/>
    <cellStyle name="Calculation 12 3 23 7 4" xfId="10277" xr:uid="{00000000-0005-0000-0000-000006280000}"/>
    <cellStyle name="Calculation 12 3 23 7 5" xfId="10278" xr:uid="{00000000-0005-0000-0000-000007280000}"/>
    <cellStyle name="Calculation 12 3 23 7 6" xfId="10279" xr:uid="{00000000-0005-0000-0000-000008280000}"/>
    <cellStyle name="Calculation 12 3 23 8" xfId="10280" xr:uid="{00000000-0005-0000-0000-000009280000}"/>
    <cellStyle name="Calculation 12 3 23 9" xfId="10281" xr:uid="{00000000-0005-0000-0000-00000A280000}"/>
    <cellStyle name="Calculation 12 3 24" xfId="10282" xr:uid="{00000000-0005-0000-0000-00000B280000}"/>
    <cellStyle name="Calculation 12 3 24 10" xfId="10283" xr:uid="{00000000-0005-0000-0000-00000C280000}"/>
    <cellStyle name="Calculation 12 3 24 2" xfId="10284" xr:uid="{00000000-0005-0000-0000-00000D280000}"/>
    <cellStyle name="Calculation 12 3 24 2 2" xfId="10285" xr:uid="{00000000-0005-0000-0000-00000E280000}"/>
    <cellStyle name="Calculation 12 3 24 2 3" xfId="10286" xr:uid="{00000000-0005-0000-0000-00000F280000}"/>
    <cellStyle name="Calculation 12 3 24 2 4" xfId="10287" xr:uid="{00000000-0005-0000-0000-000010280000}"/>
    <cellStyle name="Calculation 12 3 24 2 5" xfId="10288" xr:uid="{00000000-0005-0000-0000-000011280000}"/>
    <cellStyle name="Calculation 12 3 24 2 6" xfId="10289" xr:uid="{00000000-0005-0000-0000-000012280000}"/>
    <cellStyle name="Calculation 12 3 24 3" xfId="10290" xr:uid="{00000000-0005-0000-0000-000013280000}"/>
    <cellStyle name="Calculation 12 3 24 3 2" xfId="10291" xr:uid="{00000000-0005-0000-0000-000014280000}"/>
    <cellStyle name="Calculation 12 3 24 3 3" xfId="10292" xr:uid="{00000000-0005-0000-0000-000015280000}"/>
    <cellStyle name="Calculation 12 3 24 3 4" xfId="10293" xr:uid="{00000000-0005-0000-0000-000016280000}"/>
    <cellStyle name="Calculation 12 3 24 3 5" xfId="10294" xr:uid="{00000000-0005-0000-0000-000017280000}"/>
    <cellStyle name="Calculation 12 3 24 3 6" xfId="10295" xr:uid="{00000000-0005-0000-0000-000018280000}"/>
    <cellStyle name="Calculation 12 3 24 4" xfId="10296" xr:uid="{00000000-0005-0000-0000-000019280000}"/>
    <cellStyle name="Calculation 12 3 24 4 2" xfId="10297" xr:uid="{00000000-0005-0000-0000-00001A280000}"/>
    <cellStyle name="Calculation 12 3 24 4 3" xfId="10298" xr:uid="{00000000-0005-0000-0000-00001B280000}"/>
    <cellStyle name="Calculation 12 3 24 4 4" xfId="10299" xr:uid="{00000000-0005-0000-0000-00001C280000}"/>
    <cellStyle name="Calculation 12 3 24 4 5" xfId="10300" xr:uid="{00000000-0005-0000-0000-00001D280000}"/>
    <cellStyle name="Calculation 12 3 24 4 6" xfId="10301" xr:uid="{00000000-0005-0000-0000-00001E280000}"/>
    <cellStyle name="Calculation 12 3 24 5" xfId="10302" xr:uid="{00000000-0005-0000-0000-00001F280000}"/>
    <cellStyle name="Calculation 12 3 24 5 2" xfId="10303" xr:uid="{00000000-0005-0000-0000-000020280000}"/>
    <cellStyle name="Calculation 12 3 24 5 3" xfId="10304" xr:uid="{00000000-0005-0000-0000-000021280000}"/>
    <cellStyle name="Calculation 12 3 24 5 4" xfId="10305" xr:uid="{00000000-0005-0000-0000-000022280000}"/>
    <cellStyle name="Calculation 12 3 24 5 5" xfId="10306" xr:uid="{00000000-0005-0000-0000-000023280000}"/>
    <cellStyle name="Calculation 12 3 24 5 6" xfId="10307" xr:uid="{00000000-0005-0000-0000-000024280000}"/>
    <cellStyle name="Calculation 12 3 24 6" xfId="10308" xr:uid="{00000000-0005-0000-0000-000025280000}"/>
    <cellStyle name="Calculation 12 3 24 6 2" xfId="10309" xr:uid="{00000000-0005-0000-0000-000026280000}"/>
    <cellStyle name="Calculation 12 3 24 6 3" xfId="10310" xr:uid="{00000000-0005-0000-0000-000027280000}"/>
    <cellStyle name="Calculation 12 3 24 6 4" xfId="10311" xr:uid="{00000000-0005-0000-0000-000028280000}"/>
    <cellStyle name="Calculation 12 3 24 6 5" xfId="10312" xr:uid="{00000000-0005-0000-0000-000029280000}"/>
    <cellStyle name="Calculation 12 3 24 6 6" xfId="10313" xr:uid="{00000000-0005-0000-0000-00002A280000}"/>
    <cellStyle name="Calculation 12 3 24 7" xfId="10314" xr:uid="{00000000-0005-0000-0000-00002B280000}"/>
    <cellStyle name="Calculation 12 3 24 7 2" xfId="10315" xr:uid="{00000000-0005-0000-0000-00002C280000}"/>
    <cellStyle name="Calculation 12 3 24 7 3" xfId="10316" xr:uid="{00000000-0005-0000-0000-00002D280000}"/>
    <cellStyle name="Calculation 12 3 24 7 4" xfId="10317" xr:uid="{00000000-0005-0000-0000-00002E280000}"/>
    <cellStyle name="Calculation 12 3 24 7 5" xfId="10318" xr:uid="{00000000-0005-0000-0000-00002F280000}"/>
    <cellStyle name="Calculation 12 3 24 7 6" xfId="10319" xr:uid="{00000000-0005-0000-0000-000030280000}"/>
    <cellStyle name="Calculation 12 3 24 8" xfId="10320" xr:uid="{00000000-0005-0000-0000-000031280000}"/>
    <cellStyle name="Calculation 12 3 24 9" xfId="10321" xr:uid="{00000000-0005-0000-0000-000032280000}"/>
    <cellStyle name="Calculation 12 3 25" xfId="10322" xr:uid="{00000000-0005-0000-0000-000033280000}"/>
    <cellStyle name="Calculation 12 3 25 10" xfId="10323" xr:uid="{00000000-0005-0000-0000-000034280000}"/>
    <cellStyle name="Calculation 12 3 25 2" xfId="10324" xr:uid="{00000000-0005-0000-0000-000035280000}"/>
    <cellStyle name="Calculation 12 3 25 2 2" xfId="10325" xr:uid="{00000000-0005-0000-0000-000036280000}"/>
    <cellStyle name="Calculation 12 3 25 2 3" xfId="10326" xr:uid="{00000000-0005-0000-0000-000037280000}"/>
    <cellStyle name="Calculation 12 3 25 2 4" xfId="10327" xr:uid="{00000000-0005-0000-0000-000038280000}"/>
    <cellStyle name="Calculation 12 3 25 2 5" xfId="10328" xr:uid="{00000000-0005-0000-0000-000039280000}"/>
    <cellStyle name="Calculation 12 3 25 2 6" xfId="10329" xr:uid="{00000000-0005-0000-0000-00003A280000}"/>
    <cellStyle name="Calculation 12 3 25 3" xfId="10330" xr:uid="{00000000-0005-0000-0000-00003B280000}"/>
    <cellStyle name="Calculation 12 3 25 3 2" xfId="10331" xr:uid="{00000000-0005-0000-0000-00003C280000}"/>
    <cellStyle name="Calculation 12 3 25 3 3" xfId="10332" xr:uid="{00000000-0005-0000-0000-00003D280000}"/>
    <cellStyle name="Calculation 12 3 25 3 4" xfId="10333" xr:uid="{00000000-0005-0000-0000-00003E280000}"/>
    <cellStyle name="Calculation 12 3 25 3 5" xfId="10334" xr:uid="{00000000-0005-0000-0000-00003F280000}"/>
    <cellStyle name="Calculation 12 3 25 3 6" xfId="10335" xr:uid="{00000000-0005-0000-0000-000040280000}"/>
    <cellStyle name="Calculation 12 3 25 4" xfId="10336" xr:uid="{00000000-0005-0000-0000-000041280000}"/>
    <cellStyle name="Calculation 12 3 25 4 2" xfId="10337" xr:uid="{00000000-0005-0000-0000-000042280000}"/>
    <cellStyle name="Calculation 12 3 25 4 3" xfId="10338" xr:uid="{00000000-0005-0000-0000-000043280000}"/>
    <cellStyle name="Calculation 12 3 25 4 4" xfId="10339" xr:uid="{00000000-0005-0000-0000-000044280000}"/>
    <cellStyle name="Calculation 12 3 25 4 5" xfId="10340" xr:uid="{00000000-0005-0000-0000-000045280000}"/>
    <cellStyle name="Calculation 12 3 25 4 6" xfId="10341" xr:uid="{00000000-0005-0000-0000-000046280000}"/>
    <cellStyle name="Calculation 12 3 25 5" xfId="10342" xr:uid="{00000000-0005-0000-0000-000047280000}"/>
    <cellStyle name="Calculation 12 3 25 5 2" xfId="10343" xr:uid="{00000000-0005-0000-0000-000048280000}"/>
    <cellStyle name="Calculation 12 3 25 5 3" xfId="10344" xr:uid="{00000000-0005-0000-0000-000049280000}"/>
    <cellStyle name="Calculation 12 3 25 5 4" xfId="10345" xr:uid="{00000000-0005-0000-0000-00004A280000}"/>
    <cellStyle name="Calculation 12 3 25 5 5" xfId="10346" xr:uid="{00000000-0005-0000-0000-00004B280000}"/>
    <cellStyle name="Calculation 12 3 25 5 6" xfId="10347" xr:uid="{00000000-0005-0000-0000-00004C280000}"/>
    <cellStyle name="Calculation 12 3 25 6" xfId="10348" xr:uid="{00000000-0005-0000-0000-00004D280000}"/>
    <cellStyle name="Calculation 12 3 25 6 2" xfId="10349" xr:uid="{00000000-0005-0000-0000-00004E280000}"/>
    <cellStyle name="Calculation 12 3 25 6 3" xfId="10350" xr:uid="{00000000-0005-0000-0000-00004F280000}"/>
    <cellStyle name="Calculation 12 3 25 6 4" xfId="10351" xr:uid="{00000000-0005-0000-0000-000050280000}"/>
    <cellStyle name="Calculation 12 3 25 6 5" xfId="10352" xr:uid="{00000000-0005-0000-0000-000051280000}"/>
    <cellStyle name="Calculation 12 3 25 6 6" xfId="10353" xr:uid="{00000000-0005-0000-0000-000052280000}"/>
    <cellStyle name="Calculation 12 3 25 7" xfId="10354" xr:uid="{00000000-0005-0000-0000-000053280000}"/>
    <cellStyle name="Calculation 12 3 25 7 2" xfId="10355" xr:uid="{00000000-0005-0000-0000-000054280000}"/>
    <cellStyle name="Calculation 12 3 25 7 3" xfId="10356" xr:uid="{00000000-0005-0000-0000-000055280000}"/>
    <cellStyle name="Calculation 12 3 25 7 4" xfId="10357" xr:uid="{00000000-0005-0000-0000-000056280000}"/>
    <cellStyle name="Calculation 12 3 25 7 5" xfId="10358" xr:uid="{00000000-0005-0000-0000-000057280000}"/>
    <cellStyle name="Calculation 12 3 25 7 6" xfId="10359" xr:uid="{00000000-0005-0000-0000-000058280000}"/>
    <cellStyle name="Calculation 12 3 25 8" xfId="10360" xr:uid="{00000000-0005-0000-0000-000059280000}"/>
    <cellStyle name="Calculation 12 3 25 9" xfId="10361" xr:uid="{00000000-0005-0000-0000-00005A280000}"/>
    <cellStyle name="Calculation 12 3 26" xfId="10362" xr:uid="{00000000-0005-0000-0000-00005B280000}"/>
    <cellStyle name="Calculation 12 3 26 10" xfId="10363" xr:uid="{00000000-0005-0000-0000-00005C280000}"/>
    <cellStyle name="Calculation 12 3 26 2" xfId="10364" xr:uid="{00000000-0005-0000-0000-00005D280000}"/>
    <cellStyle name="Calculation 12 3 26 2 2" xfId="10365" xr:uid="{00000000-0005-0000-0000-00005E280000}"/>
    <cellStyle name="Calculation 12 3 26 2 3" xfId="10366" xr:uid="{00000000-0005-0000-0000-00005F280000}"/>
    <cellStyle name="Calculation 12 3 26 2 4" xfId="10367" xr:uid="{00000000-0005-0000-0000-000060280000}"/>
    <cellStyle name="Calculation 12 3 26 2 5" xfId="10368" xr:uid="{00000000-0005-0000-0000-000061280000}"/>
    <cellStyle name="Calculation 12 3 26 2 6" xfId="10369" xr:uid="{00000000-0005-0000-0000-000062280000}"/>
    <cellStyle name="Calculation 12 3 26 3" xfId="10370" xr:uid="{00000000-0005-0000-0000-000063280000}"/>
    <cellStyle name="Calculation 12 3 26 3 2" xfId="10371" xr:uid="{00000000-0005-0000-0000-000064280000}"/>
    <cellStyle name="Calculation 12 3 26 3 3" xfId="10372" xr:uid="{00000000-0005-0000-0000-000065280000}"/>
    <cellStyle name="Calculation 12 3 26 3 4" xfId="10373" xr:uid="{00000000-0005-0000-0000-000066280000}"/>
    <cellStyle name="Calculation 12 3 26 3 5" xfId="10374" xr:uid="{00000000-0005-0000-0000-000067280000}"/>
    <cellStyle name="Calculation 12 3 26 3 6" xfId="10375" xr:uid="{00000000-0005-0000-0000-000068280000}"/>
    <cellStyle name="Calculation 12 3 26 4" xfId="10376" xr:uid="{00000000-0005-0000-0000-000069280000}"/>
    <cellStyle name="Calculation 12 3 26 4 2" xfId="10377" xr:uid="{00000000-0005-0000-0000-00006A280000}"/>
    <cellStyle name="Calculation 12 3 26 4 3" xfId="10378" xr:uid="{00000000-0005-0000-0000-00006B280000}"/>
    <cellStyle name="Calculation 12 3 26 4 4" xfId="10379" xr:uid="{00000000-0005-0000-0000-00006C280000}"/>
    <cellStyle name="Calculation 12 3 26 4 5" xfId="10380" xr:uid="{00000000-0005-0000-0000-00006D280000}"/>
    <cellStyle name="Calculation 12 3 26 4 6" xfId="10381" xr:uid="{00000000-0005-0000-0000-00006E280000}"/>
    <cellStyle name="Calculation 12 3 26 5" xfId="10382" xr:uid="{00000000-0005-0000-0000-00006F280000}"/>
    <cellStyle name="Calculation 12 3 26 5 2" xfId="10383" xr:uid="{00000000-0005-0000-0000-000070280000}"/>
    <cellStyle name="Calculation 12 3 26 5 3" xfId="10384" xr:uid="{00000000-0005-0000-0000-000071280000}"/>
    <cellStyle name="Calculation 12 3 26 5 4" xfId="10385" xr:uid="{00000000-0005-0000-0000-000072280000}"/>
    <cellStyle name="Calculation 12 3 26 5 5" xfId="10386" xr:uid="{00000000-0005-0000-0000-000073280000}"/>
    <cellStyle name="Calculation 12 3 26 5 6" xfId="10387" xr:uid="{00000000-0005-0000-0000-000074280000}"/>
    <cellStyle name="Calculation 12 3 26 6" xfId="10388" xr:uid="{00000000-0005-0000-0000-000075280000}"/>
    <cellStyle name="Calculation 12 3 26 6 2" xfId="10389" xr:uid="{00000000-0005-0000-0000-000076280000}"/>
    <cellStyle name="Calculation 12 3 26 6 3" xfId="10390" xr:uid="{00000000-0005-0000-0000-000077280000}"/>
    <cellStyle name="Calculation 12 3 26 6 4" xfId="10391" xr:uid="{00000000-0005-0000-0000-000078280000}"/>
    <cellStyle name="Calculation 12 3 26 6 5" xfId="10392" xr:uid="{00000000-0005-0000-0000-000079280000}"/>
    <cellStyle name="Calculation 12 3 26 6 6" xfId="10393" xr:uid="{00000000-0005-0000-0000-00007A280000}"/>
    <cellStyle name="Calculation 12 3 26 7" xfId="10394" xr:uid="{00000000-0005-0000-0000-00007B280000}"/>
    <cellStyle name="Calculation 12 3 26 7 2" xfId="10395" xr:uid="{00000000-0005-0000-0000-00007C280000}"/>
    <cellStyle name="Calculation 12 3 26 7 3" xfId="10396" xr:uid="{00000000-0005-0000-0000-00007D280000}"/>
    <cellStyle name="Calculation 12 3 26 7 4" xfId="10397" xr:uid="{00000000-0005-0000-0000-00007E280000}"/>
    <cellStyle name="Calculation 12 3 26 7 5" xfId="10398" xr:uid="{00000000-0005-0000-0000-00007F280000}"/>
    <cellStyle name="Calculation 12 3 26 7 6" xfId="10399" xr:uid="{00000000-0005-0000-0000-000080280000}"/>
    <cellStyle name="Calculation 12 3 26 8" xfId="10400" xr:uid="{00000000-0005-0000-0000-000081280000}"/>
    <cellStyle name="Calculation 12 3 26 9" xfId="10401" xr:uid="{00000000-0005-0000-0000-000082280000}"/>
    <cellStyle name="Calculation 12 3 27" xfId="10402" xr:uid="{00000000-0005-0000-0000-000083280000}"/>
    <cellStyle name="Calculation 12 3 27 2" xfId="10403" xr:uid="{00000000-0005-0000-0000-000084280000}"/>
    <cellStyle name="Calculation 12 3 27 3" xfId="10404" xr:uid="{00000000-0005-0000-0000-000085280000}"/>
    <cellStyle name="Calculation 12 3 27 4" xfId="10405" xr:uid="{00000000-0005-0000-0000-000086280000}"/>
    <cellStyle name="Calculation 12 3 27 5" xfId="10406" xr:uid="{00000000-0005-0000-0000-000087280000}"/>
    <cellStyle name="Calculation 12 3 27 6" xfId="10407" xr:uid="{00000000-0005-0000-0000-000088280000}"/>
    <cellStyle name="Calculation 12 3 28" xfId="10408" xr:uid="{00000000-0005-0000-0000-000089280000}"/>
    <cellStyle name="Calculation 12 3 28 2" xfId="10409" xr:uid="{00000000-0005-0000-0000-00008A280000}"/>
    <cellStyle name="Calculation 12 3 28 3" xfId="10410" xr:uid="{00000000-0005-0000-0000-00008B280000}"/>
    <cellStyle name="Calculation 12 3 28 4" xfId="10411" xr:uid="{00000000-0005-0000-0000-00008C280000}"/>
    <cellStyle name="Calculation 12 3 28 5" xfId="10412" xr:uid="{00000000-0005-0000-0000-00008D280000}"/>
    <cellStyle name="Calculation 12 3 28 6" xfId="10413" xr:uid="{00000000-0005-0000-0000-00008E280000}"/>
    <cellStyle name="Calculation 12 3 29" xfId="10414" xr:uid="{00000000-0005-0000-0000-00008F280000}"/>
    <cellStyle name="Calculation 12 3 29 2" xfId="10415" xr:uid="{00000000-0005-0000-0000-000090280000}"/>
    <cellStyle name="Calculation 12 3 29 3" xfId="10416" xr:uid="{00000000-0005-0000-0000-000091280000}"/>
    <cellStyle name="Calculation 12 3 29 4" xfId="10417" xr:uid="{00000000-0005-0000-0000-000092280000}"/>
    <cellStyle name="Calculation 12 3 29 5" xfId="10418" xr:uid="{00000000-0005-0000-0000-000093280000}"/>
    <cellStyle name="Calculation 12 3 29 6" xfId="10419" xr:uid="{00000000-0005-0000-0000-000094280000}"/>
    <cellStyle name="Calculation 12 3 3" xfId="10420" xr:uid="{00000000-0005-0000-0000-000095280000}"/>
    <cellStyle name="Calculation 12 3 3 10" xfId="10421" xr:uid="{00000000-0005-0000-0000-000096280000}"/>
    <cellStyle name="Calculation 12 3 3 2" xfId="10422" xr:uid="{00000000-0005-0000-0000-000097280000}"/>
    <cellStyle name="Calculation 12 3 3 2 2" xfId="10423" xr:uid="{00000000-0005-0000-0000-000098280000}"/>
    <cellStyle name="Calculation 12 3 3 2 3" xfId="10424" xr:uid="{00000000-0005-0000-0000-000099280000}"/>
    <cellStyle name="Calculation 12 3 3 2 4" xfId="10425" xr:uid="{00000000-0005-0000-0000-00009A280000}"/>
    <cellStyle name="Calculation 12 3 3 2 5" xfId="10426" xr:uid="{00000000-0005-0000-0000-00009B280000}"/>
    <cellStyle name="Calculation 12 3 3 2 6" xfId="10427" xr:uid="{00000000-0005-0000-0000-00009C280000}"/>
    <cellStyle name="Calculation 12 3 3 3" xfId="10428" xr:uid="{00000000-0005-0000-0000-00009D280000}"/>
    <cellStyle name="Calculation 12 3 3 3 2" xfId="10429" xr:uid="{00000000-0005-0000-0000-00009E280000}"/>
    <cellStyle name="Calculation 12 3 3 3 3" xfId="10430" xr:uid="{00000000-0005-0000-0000-00009F280000}"/>
    <cellStyle name="Calculation 12 3 3 3 4" xfId="10431" xr:uid="{00000000-0005-0000-0000-0000A0280000}"/>
    <cellStyle name="Calculation 12 3 3 3 5" xfId="10432" xr:uid="{00000000-0005-0000-0000-0000A1280000}"/>
    <cellStyle name="Calculation 12 3 3 3 6" xfId="10433" xr:uid="{00000000-0005-0000-0000-0000A2280000}"/>
    <cellStyle name="Calculation 12 3 3 4" xfId="10434" xr:uid="{00000000-0005-0000-0000-0000A3280000}"/>
    <cellStyle name="Calculation 12 3 3 4 2" xfId="10435" xr:uid="{00000000-0005-0000-0000-0000A4280000}"/>
    <cellStyle name="Calculation 12 3 3 4 3" xfId="10436" xr:uid="{00000000-0005-0000-0000-0000A5280000}"/>
    <cellStyle name="Calculation 12 3 3 4 4" xfId="10437" xr:uid="{00000000-0005-0000-0000-0000A6280000}"/>
    <cellStyle name="Calculation 12 3 3 4 5" xfId="10438" xr:uid="{00000000-0005-0000-0000-0000A7280000}"/>
    <cellStyle name="Calculation 12 3 3 4 6" xfId="10439" xr:uid="{00000000-0005-0000-0000-0000A8280000}"/>
    <cellStyle name="Calculation 12 3 3 5" xfId="10440" xr:uid="{00000000-0005-0000-0000-0000A9280000}"/>
    <cellStyle name="Calculation 12 3 3 5 2" xfId="10441" xr:uid="{00000000-0005-0000-0000-0000AA280000}"/>
    <cellStyle name="Calculation 12 3 3 5 3" xfId="10442" xr:uid="{00000000-0005-0000-0000-0000AB280000}"/>
    <cellStyle name="Calculation 12 3 3 5 4" xfId="10443" xr:uid="{00000000-0005-0000-0000-0000AC280000}"/>
    <cellStyle name="Calculation 12 3 3 5 5" xfId="10444" xr:uid="{00000000-0005-0000-0000-0000AD280000}"/>
    <cellStyle name="Calculation 12 3 3 5 6" xfId="10445" xr:uid="{00000000-0005-0000-0000-0000AE280000}"/>
    <cellStyle name="Calculation 12 3 3 6" xfId="10446" xr:uid="{00000000-0005-0000-0000-0000AF280000}"/>
    <cellStyle name="Calculation 12 3 3 6 2" xfId="10447" xr:uid="{00000000-0005-0000-0000-0000B0280000}"/>
    <cellStyle name="Calculation 12 3 3 6 3" xfId="10448" xr:uid="{00000000-0005-0000-0000-0000B1280000}"/>
    <cellStyle name="Calculation 12 3 3 6 4" xfId="10449" xr:uid="{00000000-0005-0000-0000-0000B2280000}"/>
    <cellStyle name="Calculation 12 3 3 6 5" xfId="10450" xr:uid="{00000000-0005-0000-0000-0000B3280000}"/>
    <cellStyle name="Calculation 12 3 3 6 6" xfId="10451" xr:uid="{00000000-0005-0000-0000-0000B4280000}"/>
    <cellStyle name="Calculation 12 3 3 7" xfId="10452" xr:uid="{00000000-0005-0000-0000-0000B5280000}"/>
    <cellStyle name="Calculation 12 3 3 7 2" xfId="10453" xr:uid="{00000000-0005-0000-0000-0000B6280000}"/>
    <cellStyle name="Calculation 12 3 3 7 3" xfId="10454" xr:uid="{00000000-0005-0000-0000-0000B7280000}"/>
    <cellStyle name="Calculation 12 3 3 7 4" xfId="10455" xr:uid="{00000000-0005-0000-0000-0000B8280000}"/>
    <cellStyle name="Calculation 12 3 3 7 5" xfId="10456" xr:uid="{00000000-0005-0000-0000-0000B9280000}"/>
    <cellStyle name="Calculation 12 3 3 7 6" xfId="10457" xr:uid="{00000000-0005-0000-0000-0000BA280000}"/>
    <cellStyle name="Calculation 12 3 3 8" xfId="10458" xr:uid="{00000000-0005-0000-0000-0000BB280000}"/>
    <cellStyle name="Calculation 12 3 3 9" xfId="10459" xr:uid="{00000000-0005-0000-0000-0000BC280000}"/>
    <cellStyle name="Calculation 12 3 30" xfId="10460" xr:uid="{00000000-0005-0000-0000-0000BD280000}"/>
    <cellStyle name="Calculation 12 3 30 2" xfId="10461" xr:uid="{00000000-0005-0000-0000-0000BE280000}"/>
    <cellStyle name="Calculation 12 3 30 3" xfId="10462" xr:uid="{00000000-0005-0000-0000-0000BF280000}"/>
    <cellStyle name="Calculation 12 3 30 4" xfId="10463" xr:uid="{00000000-0005-0000-0000-0000C0280000}"/>
    <cellStyle name="Calculation 12 3 30 5" xfId="10464" xr:uid="{00000000-0005-0000-0000-0000C1280000}"/>
    <cellStyle name="Calculation 12 3 30 6" xfId="10465" xr:uid="{00000000-0005-0000-0000-0000C2280000}"/>
    <cellStyle name="Calculation 12 3 31" xfId="10466" xr:uid="{00000000-0005-0000-0000-0000C3280000}"/>
    <cellStyle name="Calculation 12 3 31 2" xfId="10467" xr:uid="{00000000-0005-0000-0000-0000C4280000}"/>
    <cellStyle name="Calculation 12 3 31 3" xfId="10468" xr:uid="{00000000-0005-0000-0000-0000C5280000}"/>
    <cellStyle name="Calculation 12 3 31 4" xfId="10469" xr:uid="{00000000-0005-0000-0000-0000C6280000}"/>
    <cellStyle name="Calculation 12 3 31 5" xfId="10470" xr:uid="{00000000-0005-0000-0000-0000C7280000}"/>
    <cellStyle name="Calculation 12 3 31 6" xfId="10471" xr:uid="{00000000-0005-0000-0000-0000C8280000}"/>
    <cellStyle name="Calculation 12 3 32" xfId="10472" xr:uid="{00000000-0005-0000-0000-0000C9280000}"/>
    <cellStyle name="Calculation 12 3 32 2" xfId="10473" xr:uid="{00000000-0005-0000-0000-0000CA280000}"/>
    <cellStyle name="Calculation 12 3 32 3" xfId="10474" xr:uid="{00000000-0005-0000-0000-0000CB280000}"/>
    <cellStyle name="Calculation 12 3 32 4" xfId="10475" xr:uid="{00000000-0005-0000-0000-0000CC280000}"/>
    <cellStyle name="Calculation 12 3 32 5" xfId="10476" xr:uid="{00000000-0005-0000-0000-0000CD280000}"/>
    <cellStyle name="Calculation 12 3 32 6" xfId="10477" xr:uid="{00000000-0005-0000-0000-0000CE280000}"/>
    <cellStyle name="Calculation 12 3 33" xfId="10478" xr:uid="{00000000-0005-0000-0000-0000CF280000}"/>
    <cellStyle name="Calculation 12 3 34" xfId="10479" xr:uid="{00000000-0005-0000-0000-0000D0280000}"/>
    <cellStyle name="Calculation 12 3 35" xfId="10480" xr:uid="{00000000-0005-0000-0000-0000D1280000}"/>
    <cellStyle name="Calculation 12 3 4" xfId="10481" xr:uid="{00000000-0005-0000-0000-0000D2280000}"/>
    <cellStyle name="Calculation 12 3 4 10" xfId="10482" xr:uid="{00000000-0005-0000-0000-0000D3280000}"/>
    <cellStyle name="Calculation 12 3 4 2" xfId="10483" xr:uid="{00000000-0005-0000-0000-0000D4280000}"/>
    <cellStyle name="Calculation 12 3 4 2 2" xfId="10484" xr:uid="{00000000-0005-0000-0000-0000D5280000}"/>
    <cellStyle name="Calculation 12 3 4 2 3" xfId="10485" xr:uid="{00000000-0005-0000-0000-0000D6280000}"/>
    <cellStyle name="Calculation 12 3 4 2 4" xfId="10486" xr:uid="{00000000-0005-0000-0000-0000D7280000}"/>
    <cellStyle name="Calculation 12 3 4 2 5" xfId="10487" xr:uid="{00000000-0005-0000-0000-0000D8280000}"/>
    <cellStyle name="Calculation 12 3 4 2 6" xfId="10488" xr:uid="{00000000-0005-0000-0000-0000D9280000}"/>
    <cellStyle name="Calculation 12 3 4 3" xfId="10489" xr:uid="{00000000-0005-0000-0000-0000DA280000}"/>
    <cellStyle name="Calculation 12 3 4 3 2" xfId="10490" xr:uid="{00000000-0005-0000-0000-0000DB280000}"/>
    <cellStyle name="Calculation 12 3 4 3 3" xfId="10491" xr:uid="{00000000-0005-0000-0000-0000DC280000}"/>
    <cellStyle name="Calculation 12 3 4 3 4" xfId="10492" xr:uid="{00000000-0005-0000-0000-0000DD280000}"/>
    <cellStyle name="Calculation 12 3 4 3 5" xfId="10493" xr:uid="{00000000-0005-0000-0000-0000DE280000}"/>
    <cellStyle name="Calculation 12 3 4 3 6" xfId="10494" xr:uid="{00000000-0005-0000-0000-0000DF280000}"/>
    <cellStyle name="Calculation 12 3 4 4" xfId="10495" xr:uid="{00000000-0005-0000-0000-0000E0280000}"/>
    <cellStyle name="Calculation 12 3 4 4 2" xfId="10496" xr:uid="{00000000-0005-0000-0000-0000E1280000}"/>
    <cellStyle name="Calculation 12 3 4 4 3" xfId="10497" xr:uid="{00000000-0005-0000-0000-0000E2280000}"/>
    <cellStyle name="Calculation 12 3 4 4 4" xfId="10498" xr:uid="{00000000-0005-0000-0000-0000E3280000}"/>
    <cellStyle name="Calculation 12 3 4 4 5" xfId="10499" xr:uid="{00000000-0005-0000-0000-0000E4280000}"/>
    <cellStyle name="Calculation 12 3 4 4 6" xfId="10500" xr:uid="{00000000-0005-0000-0000-0000E5280000}"/>
    <cellStyle name="Calculation 12 3 4 5" xfId="10501" xr:uid="{00000000-0005-0000-0000-0000E6280000}"/>
    <cellStyle name="Calculation 12 3 4 5 2" xfId="10502" xr:uid="{00000000-0005-0000-0000-0000E7280000}"/>
    <cellStyle name="Calculation 12 3 4 5 3" xfId="10503" xr:uid="{00000000-0005-0000-0000-0000E8280000}"/>
    <cellStyle name="Calculation 12 3 4 5 4" xfId="10504" xr:uid="{00000000-0005-0000-0000-0000E9280000}"/>
    <cellStyle name="Calculation 12 3 4 5 5" xfId="10505" xr:uid="{00000000-0005-0000-0000-0000EA280000}"/>
    <cellStyle name="Calculation 12 3 4 5 6" xfId="10506" xr:uid="{00000000-0005-0000-0000-0000EB280000}"/>
    <cellStyle name="Calculation 12 3 4 6" xfId="10507" xr:uid="{00000000-0005-0000-0000-0000EC280000}"/>
    <cellStyle name="Calculation 12 3 4 6 2" xfId="10508" xr:uid="{00000000-0005-0000-0000-0000ED280000}"/>
    <cellStyle name="Calculation 12 3 4 6 3" xfId="10509" xr:uid="{00000000-0005-0000-0000-0000EE280000}"/>
    <cellStyle name="Calculation 12 3 4 6 4" xfId="10510" xr:uid="{00000000-0005-0000-0000-0000EF280000}"/>
    <cellStyle name="Calculation 12 3 4 6 5" xfId="10511" xr:uid="{00000000-0005-0000-0000-0000F0280000}"/>
    <cellStyle name="Calculation 12 3 4 6 6" xfId="10512" xr:uid="{00000000-0005-0000-0000-0000F1280000}"/>
    <cellStyle name="Calculation 12 3 4 7" xfId="10513" xr:uid="{00000000-0005-0000-0000-0000F2280000}"/>
    <cellStyle name="Calculation 12 3 4 7 2" xfId="10514" xr:uid="{00000000-0005-0000-0000-0000F3280000}"/>
    <cellStyle name="Calculation 12 3 4 7 3" xfId="10515" xr:uid="{00000000-0005-0000-0000-0000F4280000}"/>
    <cellStyle name="Calculation 12 3 4 7 4" xfId="10516" xr:uid="{00000000-0005-0000-0000-0000F5280000}"/>
    <cellStyle name="Calculation 12 3 4 7 5" xfId="10517" xr:uid="{00000000-0005-0000-0000-0000F6280000}"/>
    <cellStyle name="Calculation 12 3 4 7 6" xfId="10518" xr:uid="{00000000-0005-0000-0000-0000F7280000}"/>
    <cellStyle name="Calculation 12 3 4 8" xfId="10519" xr:uid="{00000000-0005-0000-0000-0000F8280000}"/>
    <cellStyle name="Calculation 12 3 4 9" xfId="10520" xr:uid="{00000000-0005-0000-0000-0000F9280000}"/>
    <cellStyle name="Calculation 12 3 5" xfId="10521" xr:uid="{00000000-0005-0000-0000-0000FA280000}"/>
    <cellStyle name="Calculation 12 3 5 10" xfId="10522" xr:uid="{00000000-0005-0000-0000-0000FB280000}"/>
    <cellStyle name="Calculation 12 3 5 2" xfId="10523" xr:uid="{00000000-0005-0000-0000-0000FC280000}"/>
    <cellStyle name="Calculation 12 3 5 2 2" xfId="10524" xr:uid="{00000000-0005-0000-0000-0000FD280000}"/>
    <cellStyle name="Calculation 12 3 5 2 3" xfId="10525" xr:uid="{00000000-0005-0000-0000-0000FE280000}"/>
    <cellStyle name="Calculation 12 3 5 2 4" xfId="10526" xr:uid="{00000000-0005-0000-0000-0000FF280000}"/>
    <cellStyle name="Calculation 12 3 5 2 5" xfId="10527" xr:uid="{00000000-0005-0000-0000-000000290000}"/>
    <cellStyle name="Calculation 12 3 5 2 6" xfId="10528" xr:uid="{00000000-0005-0000-0000-000001290000}"/>
    <cellStyle name="Calculation 12 3 5 3" xfId="10529" xr:uid="{00000000-0005-0000-0000-000002290000}"/>
    <cellStyle name="Calculation 12 3 5 3 2" xfId="10530" xr:uid="{00000000-0005-0000-0000-000003290000}"/>
    <cellStyle name="Calculation 12 3 5 3 3" xfId="10531" xr:uid="{00000000-0005-0000-0000-000004290000}"/>
    <cellStyle name="Calculation 12 3 5 3 4" xfId="10532" xr:uid="{00000000-0005-0000-0000-000005290000}"/>
    <cellStyle name="Calculation 12 3 5 3 5" xfId="10533" xr:uid="{00000000-0005-0000-0000-000006290000}"/>
    <cellStyle name="Calculation 12 3 5 3 6" xfId="10534" xr:uid="{00000000-0005-0000-0000-000007290000}"/>
    <cellStyle name="Calculation 12 3 5 4" xfId="10535" xr:uid="{00000000-0005-0000-0000-000008290000}"/>
    <cellStyle name="Calculation 12 3 5 4 2" xfId="10536" xr:uid="{00000000-0005-0000-0000-000009290000}"/>
    <cellStyle name="Calculation 12 3 5 4 3" xfId="10537" xr:uid="{00000000-0005-0000-0000-00000A290000}"/>
    <cellStyle name="Calculation 12 3 5 4 4" xfId="10538" xr:uid="{00000000-0005-0000-0000-00000B290000}"/>
    <cellStyle name="Calculation 12 3 5 4 5" xfId="10539" xr:uid="{00000000-0005-0000-0000-00000C290000}"/>
    <cellStyle name="Calculation 12 3 5 4 6" xfId="10540" xr:uid="{00000000-0005-0000-0000-00000D290000}"/>
    <cellStyle name="Calculation 12 3 5 5" xfId="10541" xr:uid="{00000000-0005-0000-0000-00000E290000}"/>
    <cellStyle name="Calculation 12 3 5 5 2" xfId="10542" xr:uid="{00000000-0005-0000-0000-00000F290000}"/>
    <cellStyle name="Calculation 12 3 5 5 3" xfId="10543" xr:uid="{00000000-0005-0000-0000-000010290000}"/>
    <cellStyle name="Calculation 12 3 5 5 4" xfId="10544" xr:uid="{00000000-0005-0000-0000-000011290000}"/>
    <cellStyle name="Calculation 12 3 5 5 5" xfId="10545" xr:uid="{00000000-0005-0000-0000-000012290000}"/>
    <cellStyle name="Calculation 12 3 5 5 6" xfId="10546" xr:uid="{00000000-0005-0000-0000-000013290000}"/>
    <cellStyle name="Calculation 12 3 5 6" xfId="10547" xr:uid="{00000000-0005-0000-0000-000014290000}"/>
    <cellStyle name="Calculation 12 3 5 6 2" xfId="10548" xr:uid="{00000000-0005-0000-0000-000015290000}"/>
    <cellStyle name="Calculation 12 3 5 6 3" xfId="10549" xr:uid="{00000000-0005-0000-0000-000016290000}"/>
    <cellStyle name="Calculation 12 3 5 6 4" xfId="10550" xr:uid="{00000000-0005-0000-0000-000017290000}"/>
    <cellStyle name="Calculation 12 3 5 6 5" xfId="10551" xr:uid="{00000000-0005-0000-0000-000018290000}"/>
    <cellStyle name="Calculation 12 3 5 6 6" xfId="10552" xr:uid="{00000000-0005-0000-0000-000019290000}"/>
    <cellStyle name="Calculation 12 3 5 7" xfId="10553" xr:uid="{00000000-0005-0000-0000-00001A290000}"/>
    <cellStyle name="Calculation 12 3 5 7 2" xfId="10554" xr:uid="{00000000-0005-0000-0000-00001B290000}"/>
    <cellStyle name="Calculation 12 3 5 7 3" xfId="10555" xr:uid="{00000000-0005-0000-0000-00001C290000}"/>
    <cellStyle name="Calculation 12 3 5 7 4" xfId="10556" xr:uid="{00000000-0005-0000-0000-00001D290000}"/>
    <cellStyle name="Calculation 12 3 5 7 5" xfId="10557" xr:uid="{00000000-0005-0000-0000-00001E290000}"/>
    <cellStyle name="Calculation 12 3 5 7 6" xfId="10558" xr:uid="{00000000-0005-0000-0000-00001F290000}"/>
    <cellStyle name="Calculation 12 3 5 8" xfId="10559" xr:uid="{00000000-0005-0000-0000-000020290000}"/>
    <cellStyle name="Calculation 12 3 5 9" xfId="10560" xr:uid="{00000000-0005-0000-0000-000021290000}"/>
    <cellStyle name="Calculation 12 3 6" xfId="10561" xr:uid="{00000000-0005-0000-0000-000022290000}"/>
    <cellStyle name="Calculation 12 3 6 10" xfId="10562" xr:uid="{00000000-0005-0000-0000-000023290000}"/>
    <cellStyle name="Calculation 12 3 6 2" xfId="10563" xr:uid="{00000000-0005-0000-0000-000024290000}"/>
    <cellStyle name="Calculation 12 3 6 2 2" xfId="10564" xr:uid="{00000000-0005-0000-0000-000025290000}"/>
    <cellStyle name="Calculation 12 3 6 2 3" xfId="10565" xr:uid="{00000000-0005-0000-0000-000026290000}"/>
    <cellStyle name="Calculation 12 3 6 2 4" xfId="10566" xr:uid="{00000000-0005-0000-0000-000027290000}"/>
    <cellStyle name="Calculation 12 3 6 2 5" xfId="10567" xr:uid="{00000000-0005-0000-0000-000028290000}"/>
    <cellStyle name="Calculation 12 3 6 2 6" xfId="10568" xr:uid="{00000000-0005-0000-0000-000029290000}"/>
    <cellStyle name="Calculation 12 3 6 3" xfId="10569" xr:uid="{00000000-0005-0000-0000-00002A290000}"/>
    <cellStyle name="Calculation 12 3 6 3 2" xfId="10570" xr:uid="{00000000-0005-0000-0000-00002B290000}"/>
    <cellStyle name="Calculation 12 3 6 3 3" xfId="10571" xr:uid="{00000000-0005-0000-0000-00002C290000}"/>
    <cellStyle name="Calculation 12 3 6 3 4" xfId="10572" xr:uid="{00000000-0005-0000-0000-00002D290000}"/>
    <cellStyle name="Calculation 12 3 6 3 5" xfId="10573" xr:uid="{00000000-0005-0000-0000-00002E290000}"/>
    <cellStyle name="Calculation 12 3 6 3 6" xfId="10574" xr:uid="{00000000-0005-0000-0000-00002F290000}"/>
    <cellStyle name="Calculation 12 3 6 4" xfId="10575" xr:uid="{00000000-0005-0000-0000-000030290000}"/>
    <cellStyle name="Calculation 12 3 6 4 2" xfId="10576" xr:uid="{00000000-0005-0000-0000-000031290000}"/>
    <cellStyle name="Calculation 12 3 6 4 3" xfId="10577" xr:uid="{00000000-0005-0000-0000-000032290000}"/>
    <cellStyle name="Calculation 12 3 6 4 4" xfId="10578" xr:uid="{00000000-0005-0000-0000-000033290000}"/>
    <cellStyle name="Calculation 12 3 6 4 5" xfId="10579" xr:uid="{00000000-0005-0000-0000-000034290000}"/>
    <cellStyle name="Calculation 12 3 6 4 6" xfId="10580" xr:uid="{00000000-0005-0000-0000-000035290000}"/>
    <cellStyle name="Calculation 12 3 6 5" xfId="10581" xr:uid="{00000000-0005-0000-0000-000036290000}"/>
    <cellStyle name="Calculation 12 3 6 5 2" xfId="10582" xr:uid="{00000000-0005-0000-0000-000037290000}"/>
    <cellStyle name="Calculation 12 3 6 5 3" xfId="10583" xr:uid="{00000000-0005-0000-0000-000038290000}"/>
    <cellStyle name="Calculation 12 3 6 5 4" xfId="10584" xr:uid="{00000000-0005-0000-0000-000039290000}"/>
    <cellStyle name="Calculation 12 3 6 5 5" xfId="10585" xr:uid="{00000000-0005-0000-0000-00003A290000}"/>
    <cellStyle name="Calculation 12 3 6 5 6" xfId="10586" xr:uid="{00000000-0005-0000-0000-00003B290000}"/>
    <cellStyle name="Calculation 12 3 6 6" xfId="10587" xr:uid="{00000000-0005-0000-0000-00003C290000}"/>
    <cellStyle name="Calculation 12 3 6 6 2" xfId="10588" xr:uid="{00000000-0005-0000-0000-00003D290000}"/>
    <cellStyle name="Calculation 12 3 6 6 3" xfId="10589" xr:uid="{00000000-0005-0000-0000-00003E290000}"/>
    <cellStyle name="Calculation 12 3 6 6 4" xfId="10590" xr:uid="{00000000-0005-0000-0000-00003F290000}"/>
    <cellStyle name="Calculation 12 3 6 6 5" xfId="10591" xr:uid="{00000000-0005-0000-0000-000040290000}"/>
    <cellStyle name="Calculation 12 3 6 6 6" xfId="10592" xr:uid="{00000000-0005-0000-0000-000041290000}"/>
    <cellStyle name="Calculation 12 3 6 7" xfId="10593" xr:uid="{00000000-0005-0000-0000-000042290000}"/>
    <cellStyle name="Calculation 12 3 6 7 2" xfId="10594" xr:uid="{00000000-0005-0000-0000-000043290000}"/>
    <cellStyle name="Calculation 12 3 6 7 3" xfId="10595" xr:uid="{00000000-0005-0000-0000-000044290000}"/>
    <cellStyle name="Calculation 12 3 6 7 4" xfId="10596" xr:uid="{00000000-0005-0000-0000-000045290000}"/>
    <cellStyle name="Calculation 12 3 6 7 5" xfId="10597" xr:uid="{00000000-0005-0000-0000-000046290000}"/>
    <cellStyle name="Calculation 12 3 6 7 6" xfId="10598" xr:uid="{00000000-0005-0000-0000-000047290000}"/>
    <cellStyle name="Calculation 12 3 6 8" xfId="10599" xr:uid="{00000000-0005-0000-0000-000048290000}"/>
    <cellStyle name="Calculation 12 3 6 9" xfId="10600" xr:uid="{00000000-0005-0000-0000-000049290000}"/>
    <cellStyle name="Calculation 12 3 7" xfId="10601" xr:uid="{00000000-0005-0000-0000-00004A290000}"/>
    <cellStyle name="Calculation 12 3 7 10" xfId="10602" xr:uid="{00000000-0005-0000-0000-00004B290000}"/>
    <cellStyle name="Calculation 12 3 7 2" xfId="10603" xr:uid="{00000000-0005-0000-0000-00004C290000}"/>
    <cellStyle name="Calculation 12 3 7 2 2" xfId="10604" xr:uid="{00000000-0005-0000-0000-00004D290000}"/>
    <cellStyle name="Calculation 12 3 7 2 3" xfId="10605" xr:uid="{00000000-0005-0000-0000-00004E290000}"/>
    <cellStyle name="Calculation 12 3 7 2 4" xfId="10606" xr:uid="{00000000-0005-0000-0000-00004F290000}"/>
    <cellStyle name="Calculation 12 3 7 2 5" xfId="10607" xr:uid="{00000000-0005-0000-0000-000050290000}"/>
    <cellStyle name="Calculation 12 3 7 2 6" xfId="10608" xr:uid="{00000000-0005-0000-0000-000051290000}"/>
    <cellStyle name="Calculation 12 3 7 3" xfId="10609" xr:uid="{00000000-0005-0000-0000-000052290000}"/>
    <cellStyle name="Calculation 12 3 7 3 2" xfId="10610" xr:uid="{00000000-0005-0000-0000-000053290000}"/>
    <cellStyle name="Calculation 12 3 7 3 3" xfId="10611" xr:uid="{00000000-0005-0000-0000-000054290000}"/>
    <cellStyle name="Calculation 12 3 7 3 4" xfId="10612" xr:uid="{00000000-0005-0000-0000-000055290000}"/>
    <cellStyle name="Calculation 12 3 7 3 5" xfId="10613" xr:uid="{00000000-0005-0000-0000-000056290000}"/>
    <cellStyle name="Calculation 12 3 7 3 6" xfId="10614" xr:uid="{00000000-0005-0000-0000-000057290000}"/>
    <cellStyle name="Calculation 12 3 7 4" xfId="10615" xr:uid="{00000000-0005-0000-0000-000058290000}"/>
    <cellStyle name="Calculation 12 3 7 4 2" xfId="10616" xr:uid="{00000000-0005-0000-0000-000059290000}"/>
    <cellStyle name="Calculation 12 3 7 4 3" xfId="10617" xr:uid="{00000000-0005-0000-0000-00005A290000}"/>
    <cellStyle name="Calculation 12 3 7 4 4" xfId="10618" xr:uid="{00000000-0005-0000-0000-00005B290000}"/>
    <cellStyle name="Calculation 12 3 7 4 5" xfId="10619" xr:uid="{00000000-0005-0000-0000-00005C290000}"/>
    <cellStyle name="Calculation 12 3 7 4 6" xfId="10620" xr:uid="{00000000-0005-0000-0000-00005D290000}"/>
    <cellStyle name="Calculation 12 3 7 5" xfId="10621" xr:uid="{00000000-0005-0000-0000-00005E290000}"/>
    <cellStyle name="Calculation 12 3 7 5 2" xfId="10622" xr:uid="{00000000-0005-0000-0000-00005F290000}"/>
    <cellStyle name="Calculation 12 3 7 5 3" xfId="10623" xr:uid="{00000000-0005-0000-0000-000060290000}"/>
    <cellStyle name="Calculation 12 3 7 5 4" xfId="10624" xr:uid="{00000000-0005-0000-0000-000061290000}"/>
    <cellStyle name="Calculation 12 3 7 5 5" xfId="10625" xr:uid="{00000000-0005-0000-0000-000062290000}"/>
    <cellStyle name="Calculation 12 3 7 5 6" xfId="10626" xr:uid="{00000000-0005-0000-0000-000063290000}"/>
    <cellStyle name="Calculation 12 3 7 6" xfId="10627" xr:uid="{00000000-0005-0000-0000-000064290000}"/>
    <cellStyle name="Calculation 12 3 7 6 2" xfId="10628" xr:uid="{00000000-0005-0000-0000-000065290000}"/>
    <cellStyle name="Calculation 12 3 7 6 3" xfId="10629" xr:uid="{00000000-0005-0000-0000-000066290000}"/>
    <cellStyle name="Calculation 12 3 7 6 4" xfId="10630" xr:uid="{00000000-0005-0000-0000-000067290000}"/>
    <cellStyle name="Calculation 12 3 7 6 5" xfId="10631" xr:uid="{00000000-0005-0000-0000-000068290000}"/>
    <cellStyle name="Calculation 12 3 7 6 6" xfId="10632" xr:uid="{00000000-0005-0000-0000-000069290000}"/>
    <cellStyle name="Calculation 12 3 7 7" xfId="10633" xr:uid="{00000000-0005-0000-0000-00006A290000}"/>
    <cellStyle name="Calculation 12 3 7 7 2" xfId="10634" xr:uid="{00000000-0005-0000-0000-00006B290000}"/>
    <cellStyle name="Calculation 12 3 7 7 3" xfId="10635" xr:uid="{00000000-0005-0000-0000-00006C290000}"/>
    <cellStyle name="Calculation 12 3 7 7 4" xfId="10636" xr:uid="{00000000-0005-0000-0000-00006D290000}"/>
    <cellStyle name="Calculation 12 3 7 7 5" xfId="10637" xr:uid="{00000000-0005-0000-0000-00006E290000}"/>
    <cellStyle name="Calculation 12 3 7 7 6" xfId="10638" xr:uid="{00000000-0005-0000-0000-00006F290000}"/>
    <cellStyle name="Calculation 12 3 7 8" xfId="10639" xr:uid="{00000000-0005-0000-0000-000070290000}"/>
    <cellStyle name="Calculation 12 3 7 9" xfId="10640" xr:uid="{00000000-0005-0000-0000-000071290000}"/>
    <cellStyle name="Calculation 12 3 8" xfId="10641" xr:uid="{00000000-0005-0000-0000-000072290000}"/>
    <cellStyle name="Calculation 12 3 8 10" xfId="10642" xr:uid="{00000000-0005-0000-0000-000073290000}"/>
    <cellStyle name="Calculation 12 3 8 2" xfId="10643" xr:uid="{00000000-0005-0000-0000-000074290000}"/>
    <cellStyle name="Calculation 12 3 8 2 2" xfId="10644" xr:uid="{00000000-0005-0000-0000-000075290000}"/>
    <cellStyle name="Calculation 12 3 8 2 3" xfId="10645" xr:uid="{00000000-0005-0000-0000-000076290000}"/>
    <cellStyle name="Calculation 12 3 8 2 4" xfId="10646" xr:uid="{00000000-0005-0000-0000-000077290000}"/>
    <cellStyle name="Calculation 12 3 8 2 5" xfId="10647" xr:uid="{00000000-0005-0000-0000-000078290000}"/>
    <cellStyle name="Calculation 12 3 8 2 6" xfId="10648" xr:uid="{00000000-0005-0000-0000-000079290000}"/>
    <cellStyle name="Calculation 12 3 8 3" xfId="10649" xr:uid="{00000000-0005-0000-0000-00007A290000}"/>
    <cellStyle name="Calculation 12 3 8 3 2" xfId="10650" xr:uid="{00000000-0005-0000-0000-00007B290000}"/>
    <cellStyle name="Calculation 12 3 8 3 3" xfId="10651" xr:uid="{00000000-0005-0000-0000-00007C290000}"/>
    <cellStyle name="Calculation 12 3 8 3 4" xfId="10652" xr:uid="{00000000-0005-0000-0000-00007D290000}"/>
    <cellStyle name="Calculation 12 3 8 3 5" xfId="10653" xr:uid="{00000000-0005-0000-0000-00007E290000}"/>
    <cellStyle name="Calculation 12 3 8 3 6" xfId="10654" xr:uid="{00000000-0005-0000-0000-00007F290000}"/>
    <cellStyle name="Calculation 12 3 8 4" xfId="10655" xr:uid="{00000000-0005-0000-0000-000080290000}"/>
    <cellStyle name="Calculation 12 3 8 4 2" xfId="10656" xr:uid="{00000000-0005-0000-0000-000081290000}"/>
    <cellStyle name="Calculation 12 3 8 4 3" xfId="10657" xr:uid="{00000000-0005-0000-0000-000082290000}"/>
    <cellStyle name="Calculation 12 3 8 4 4" xfId="10658" xr:uid="{00000000-0005-0000-0000-000083290000}"/>
    <cellStyle name="Calculation 12 3 8 4 5" xfId="10659" xr:uid="{00000000-0005-0000-0000-000084290000}"/>
    <cellStyle name="Calculation 12 3 8 4 6" xfId="10660" xr:uid="{00000000-0005-0000-0000-000085290000}"/>
    <cellStyle name="Calculation 12 3 8 5" xfId="10661" xr:uid="{00000000-0005-0000-0000-000086290000}"/>
    <cellStyle name="Calculation 12 3 8 5 2" xfId="10662" xr:uid="{00000000-0005-0000-0000-000087290000}"/>
    <cellStyle name="Calculation 12 3 8 5 3" xfId="10663" xr:uid="{00000000-0005-0000-0000-000088290000}"/>
    <cellStyle name="Calculation 12 3 8 5 4" xfId="10664" xr:uid="{00000000-0005-0000-0000-000089290000}"/>
    <cellStyle name="Calculation 12 3 8 5 5" xfId="10665" xr:uid="{00000000-0005-0000-0000-00008A290000}"/>
    <cellStyle name="Calculation 12 3 8 5 6" xfId="10666" xr:uid="{00000000-0005-0000-0000-00008B290000}"/>
    <cellStyle name="Calculation 12 3 8 6" xfId="10667" xr:uid="{00000000-0005-0000-0000-00008C290000}"/>
    <cellStyle name="Calculation 12 3 8 6 2" xfId="10668" xr:uid="{00000000-0005-0000-0000-00008D290000}"/>
    <cellStyle name="Calculation 12 3 8 6 3" xfId="10669" xr:uid="{00000000-0005-0000-0000-00008E290000}"/>
    <cellStyle name="Calculation 12 3 8 6 4" xfId="10670" xr:uid="{00000000-0005-0000-0000-00008F290000}"/>
    <cellStyle name="Calculation 12 3 8 6 5" xfId="10671" xr:uid="{00000000-0005-0000-0000-000090290000}"/>
    <cellStyle name="Calculation 12 3 8 6 6" xfId="10672" xr:uid="{00000000-0005-0000-0000-000091290000}"/>
    <cellStyle name="Calculation 12 3 8 7" xfId="10673" xr:uid="{00000000-0005-0000-0000-000092290000}"/>
    <cellStyle name="Calculation 12 3 8 7 2" xfId="10674" xr:uid="{00000000-0005-0000-0000-000093290000}"/>
    <cellStyle name="Calculation 12 3 8 7 3" xfId="10675" xr:uid="{00000000-0005-0000-0000-000094290000}"/>
    <cellStyle name="Calculation 12 3 8 7 4" xfId="10676" xr:uid="{00000000-0005-0000-0000-000095290000}"/>
    <cellStyle name="Calculation 12 3 8 7 5" xfId="10677" xr:uid="{00000000-0005-0000-0000-000096290000}"/>
    <cellStyle name="Calculation 12 3 8 7 6" xfId="10678" xr:uid="{00000000-0005-0000-0000-000097290000}"/>
    <cellStyle name="Calculation 12 3 8 8" xfId="10679" xr:uid="{00000000-0005-0000-0000-000098290000}"/>
    <cellStyle name="Calculation 12 3 8 9" xfId="10680" xr:uid="{00000000-0005-0000-0000-000099290000}"/>
    <cellStyle name="Calculation 12 3 9" xfId="10681" xr:uid="{00000000-0005-0000-0000-00009A290000}"/>
    <cellStyle name="Calculation 12 3 9 10" xfId="10682" xr:uid="{00000000-0005-0000-0000-00009B290000}"/>
    <cellStyle name="Calculation 12 3 9 2" xfId="10683" xr:uid="{00000000-0005-0000-0000-00009C290000}"/>
    <cellStyle name="Calculation 12 3 9 2 2" xfId="10684" xr:uid="{00000000-0005-0000-0000-00009D290000}"/>
    <cellStyle name="Calculation 12 3 9 2 3" xfId="10685" xr:uid="{00000000-0005-0000-0000-00009E290000}"/>
    <cellStyle name="Calculation 12 3 9 2 4" xfId="10686" xr:uid="{00000000-0005-0000-0000-00009F290000}"/>
    <cellStyle name="Calculation 12 3 9 2 5" xfId="10687" xr:uid="{00000000-0005-0000-0000-0000A0290000}"/>
    <cellStyle name="Calculation 12 3 9 2 6" xfId="10688" xr:uid="{00000000-0005-0000-0000-0000A1290000}"/>
    <cellStyle name="Calculation 12 3 9 3" xfId="10689" xr:uid="{00000000-0005-0000-0000-0000A2290000}"/>
    <cellStyle name="Calculation 12 3 9 3 2" xfId="10690" xr:uid="{00000000-0005-0000-0000-0000A3290000}"/>
    <cellStyle name="Calculation 12 3 9 3 3" xfId="10691" xr:uid="{00000000-0005-0000-0000-0000A4290000}"/>
    <cellStyle name="Calculation 12 3 9 3 4" xfId="10692" xr:uid="{00000000-0005-0000-0000-0000A5290000}"/>
    <cellStyle name="Calculation 12 3 9 3 5" xfId="10693" xr:uid="{00000000-0005-0000-0000-0000A6290000}"/>
    <cellStyle name="Calculation 12 3 9 3 6" xfId="10694" xr:uid="{00000000-0005-0000-0000-0000A7290000}"/>
    <cellStyle name="Calculation 12 3 9 4" xfId="10695" xr:uid="{00000000-0005-0000-0000-0000A8290000}"/>
    <cellStyle name="Calculation 12 3 9 4 2" xfId="10696" xr:uid="{00000000-0005-0000-0000-0000A9290000}"/>
    <cellStyle name="Calculation 12 3 9 4 3" xfId="10697" xr:uid="{00000000-0005-0000-0000-0000AA290000}"/>
    <cellStyle name="Calculation 12 3 9 4 4" xfId="10698" xr:uid="{00000000-0005-0000-0000-0000AB290000}"/>
    <cellStyle name="Calculation 12 3 9 4 5" xfId="10699" xr:uid="{00000000-0005-0000-0000-0000AC290000}"/>
    <cellStyle name="Calculation 12 3 9 4 6" xfId="10700" xr:uid="{00000000-0005-0000-0000-0000AD290000}"/>
    <cellStyle name="Calculation 12 3 9 5" xfId="10701" xr:uid="{00000000-0005-0000-0000-0000AE290000}"/>
    <cellStyle name="Calculation 12 3 9 5 2" xfId="10702" xr:uid="{00000000-0005-0000-0000-0000AF290000}"/>
    <cellStyle name="Calculation 12 3 9 5 3" xfId="10703" xr:uid="{00000000-0005-0000-0000-0000B0290000}"/>
    <cellStyle name="Calculation 12 3 9 5 4" xfId="10704" xr:uid="{00000000-0005-0000-0000-0000B1290000}"/>
    <cellStyle name="Calculation 12 3 9 5 5" xfId="10705" xr:uid="{00000000-0005-0000-0000-0000B2290000}"/>
    <cellStyle name="Calculation 12 3 9 5 6" xfId="10706" xr:uid="{00000000-0005-0000-0000-0000B3290000}"/>
    <cellStyle name="Calculation 12 3 9 6" xfId="10707" xr:uid="{00000000-0005-0000-0000-0000B4290000}"/>
    <cellStyle name="Calculation 12 3 9 6 2" xfId="10708" xr:uid="{00000000-0005-0000-0000-0000B5290000}"/>
    <cellStyle name="Calculation 12 3 9 6 3" xfId="10709" xr:uid="{00000000-0005-0000-0000-0000B6290000}"/>
    <cellStyle name="Calculation 12 3 9 6 4" xfId="10710" xr:uid="{00000000-0005-0000-0000-0000B7290000}"/>
    <cellStyle name="Calculation 12 3 9 6 5" xfId="10711" xr:uid="{00000000-0005-0000-0000-0000B8290000}"/>
    <cellStyle name="Calculation 12 3 9 6 6" xfId="10712" xr:uid="{00000000-0005-0000-0000-0000B9290000}"/>
    <cellStyle name="Calculation 12 3 9 7" xfId="10713" xr:uid="{00000000-0005-0000-0000-0000BA290000}"/>
    <cellStyle name="Calculation 12 3 9 7 2" xfId="10714" xr:uid="{00000000-0005-0000-0000-0000BB290000}"/>
    <cellStyle name="Calculation 12 3 9 7 3" xfId="10715" xr:uid="{00000000-0005-0000-0000-0000BC290000}"/>
    <cellStyle name="Calculation 12 3 9 7 4" xfId="10716" xr:uid="{00000000-0005-0000-0000-0000BD290000}"/>
    <cellStyle name="Calculation 12 3 9 7 5" xfId="10717" xr:uid="{00000000-0005-0000-0000-0000BE290000}"/>
    <cellStyle name="Calculation 12 3 9 7 6" xfId="10718" xr:uid="{00000000-0005-0000-0000-0000BF290000}"/>
    <cellStyle name="Calculation 12 3 9 8" xfId="10719" xr:uid="{00000000-0005-0000-0000-0000C0290000}"/>
    <cellStyle name="Calculation 12 3 9 9" xfId="10720" xr:uid="{00000000-0005-0000-0000-0000C1290000}"/>
    <cellStyle name="Calculation 12 30" xfId="10721" xr:uid="{00000000-0005-0000-0000-0000C2290000}"/>
    <cellStyle name="Calculation 12 30 2" xfId="10722" xr:uid="{00000000-0005-0000-0000-0000C3290000}"/>
    <cellStyle name="Calculation 12 30 3" xfId="10723" xr:uid="{00000000-0005-0000-0000-0000C4290000}"/>
    <cellStyle name="Calculation 12 30 4" xfId="10724" xr:uid="{00000000-0005-0000-0000-0000C5290000}"/>
    <cellStyle name="Calculation 12 30 5" xfId="10725" xr:uid="{00000000-0005-0000-0000-0000C6290000}"/>
    <cellStyle name="Calculation 12 30 6" xfId="10726" xr:uid="{00000000-0005-0000-0000-0000C7290000}"/>
    <cellStyle name="Calculation 12 31" xfId="10727" xr:uid="{00000000-0005-0000-0000-0000C8290000}"/>
    <cellStyle name="Calculation 12 31 2" xfId="10728" xr:uid="{00000000-0005-0000-0000-0000C9290000}"/>
    <cellStyle name="Calculation 12 31 3" xfId="10729" xr:uid="{00000000-0005-0000-0000-0000CA290000}"/>
    <cellStyle name="Calculation 12 31 4" xfId="10730" xr:uid="{00000000-0005-0000-0000-0000CB290000}"/>
    <cellStyle name="Calculation 12 31 5" xfId="10731" xr:uid="{00000000-0005-0000-0000-0000CC290000}"/>
    <cellStyle name="Calculation 12 31 6" xfId="10732" xr:uid="{00000000-0005-0000-0000-0000CD290000}"/>
    <cellStyle name="Calculation 12 32" xfId="10733" xr:uid="{00000000-0005-0000-0000-0000CE290000}"/>
    <cellStyle name="Calculation 12 33" xfId="10734" xr:uid="{00000000-0005-0000-0000-0000CF290000}"/>
    <cellStyle name="Calculation 12 34" xfId="10735" xr:uid="{00000000-0005-0000-0000-0000D0290000}"/>
    <cellStyle name="Calculation 12 4" xfId="10736" xr:uid="{00000000-0005-0000-0000-0000D1290000}"/>
    <cellStyle name="Calculation 12 4 10" xfId="10737" xr:uid="{00000000-0005-0000-0000-0000D2290000}"/>
    <cellStyle name="Calculation 12 4 2" xfId="10738" xr:uid="{00000000-0005-0000-0000-0000D3290000}"/>
    <cellStyle name="Calculation 12 4 2 2" xfId="10739" xr:uid="{00000000-0005-0000-0000-0000D4290000}"/>
    <cellStyle name="Calculation 12 4 2 3" xfId="10740" xr:uid="{00000000-0005-0000-0000-0000D5290000}"/>
    <cellStyle name="Calculation 12 4 2 4" xfId="10741" xr:uid="{00000000-0005-0000-0000-0000D6290000}"/>
    <cellStyle name="Calculation 12 4 2 5" xfId="10742" xr:uid="{00000000-0005-0000-0000-0000D7290000}"/>
    <cellStyle name="Calculation 12 4 2 6" xfId="10743" xr:uid="{00000000-0005-0000-0000-0000D8290000}"/>
    <cellStyle name="Calculation 12 4 3" xfId="10744" xr:uid="{00000000-0005-0000-0000-0000D9290000}"/>
    <cellStyle name="Calculation 12 4 3 2" xfId="10745" xr:uid="{00000000-0005-0000-0000-0000DA290000}"/>
    <cellStyle name="Calculation 12 4 3 3" xfId="10746" xr:uid="{00000000-0005-0000-0000-0000DB290000}"/>
    <cellStyle name="Calculation 12 4 3 4" xfId="10747" xr:uid="{00000000-0005-0000-0000-0000DC290000}"/>
    <cellStyle name="Calculation 12 4 3 5" xfId="10748" xr:uid="{00000000-0005-0000-0000-0000DD290000}"/>
    <cellStyle name="Calculation 12 4 3 6" xfId="10749" xr:uid="{00000000-0005-0000-0000-0000DE290000}"/>
    <cellStyle name="Calculation 12 4 4" xfId="10750" xr:uid="{00000000-0005-0000-0000-0000DF290000}"/>
    <cellStyle name="Calculation 12 4 4 2" xfId="10751" xr:uid="{00000000-0005-0000-0000-0000E0290000}"/>
    <cellStyle name="Calculation 12 4 4 3" xfId="10752" xr:uid="{00000000-0005-0000-0000-0000E1290000}"/>
    <cellStyle name="Calculation 12 4 4 4" xfId="10753" xr:uid="{00000000-0005-0000-0000-0000E2290000}"/>
    <cellStyle name="Calculation 12 4 4 5" xfId="10754" xr:uid="{00000000-0005-0000-0000-0000E3290000}"/>
    <cellStyle name="Calculation 12 4 4 6" xfId="10755" xr:uid="{00000000-0005-0000-0000-0000E4290000}"/>
    <cellStyle name="Calculation 12 4 5" xfId="10756" xr:uid="{00000000-0005-0000-0000-0000E5290000}"/>
    <cellStyle name="Calculation 12 4 5 2" xfId="10757" xr:uid="{00000000-0005-0000-0000-0000E6290000}"/>
    <cellStyle name="Calculation 12 4 5 3" xfId="10758" xr:uid="{00000000-0005-0000-0000-0000E7290000}"/>
    <cellStyle name="Calculation 12 4 5 4" xfId="10759" xr:uid="{00000000-0005-0000-0000-0000E8290000}"/>
    <cellStyle name="Calculation 12 4 5 5" xfId="10760" xr:uid="{00000000-0005-0000-0000-0000E9290000}"/>
    <cellStyle name="Calculation 12 4 5 6" xfId="10761" xr:uid="{00000000-0005-0000-0000-0000EA290000}"/>
    <cellStyle name="Calculation 12 4 6" xfId="10762" xr:uid="{00000000-0005-0000-0000-0000EB290000}"/>
    <cellStyle name="Calculation 12 4 6 2" xfId="10763" xr:uid="{00000000-0005-0000-0000-0000EC290000}"/>
    <cellStyle name="Calculation 12 4 6 3" xfId="10764" xr:uid="{00000000-0005-0000-0000-0000ED290000}"/>
    <cellStyle name="Calculation 12 4 6 4" xfId="10765" xr:uid="{00000000-0005-0000-0000-0000EE290000}"/>
    <cellStyle name="Calculation 12 4 6 5" xfId="10766" xr:uid="{00000000-0005-0000-0000-0000EF290000}"/>
    <cellStyle name="Calculation 12 4 6 6" xfId="10767" xr:uid="{00000000-0005-0000-0000-0000F0290000}"/>
    <cellStyle name="Calculation 12 4 7" xfId="10768" xr:uid="{00000000-0005-0000-0000-0000F1290000}"/>
    <cellStyle name="Calculation 12 4 7 2" xfId="10769" xr:uid="{00000000-0005-0000-0000-0000F2290000}"/>
    <cellStyle name="Calculation 12 4 7 3" xfId="10770" xr:uid="{00000000-0005-0000-0000-0000F3290000}"/>
    <cellStyle name="Calculation 12 4 7 4" xfId="10771" xr:uid="{00000000-0005-0000-0000-0000F4290000}"/>
    <cellStyle name="Calculation 12 4 7 5" xfId="10772" xr:uid="{00000000-0005-0000-0000-0000F5290000}"/>
    <cellStyle name="Calculation 12 4 7 6" xfId="10773" xr:uid="{00000000-0005-0000-0000-0000F6290000}"/>
    <cellStyle name="Calculation 12 4 8" xfId="10774" xr:uid="{00000000-0005-0000-0000-0000F7290000}"/>
    <cellStyle name="Calculation 12 4 9" xfId="10775" xr:uid="{00000000-0005-0000-0000-0000F8290000}"/>
    <cellStyle name="Calculation 12 5" xfId="10776" xr:uid="{00000000-0005-0000-0000-0000F9290000}"/>
    <cellStyle name="Calculation 12 5 10" xfId="10777" xr:uid="{00000000-0005-0000-0000-0000FA290000}"/>
    <cellStyle name="Calculation 12 5 2" xfId="10778" xr:uid="{00000000-0005-0000-0000-0000FB290000}"/>
    <cellStyle name="Calculation 12 5 2 2" xfId="10779" xr:uid="{00000000-0005-0000-0000-0000FC290000}"/>
    <cellStyle name="Calculation 12 5 2 3" xfId="10780" xr:uid="{00000000-0005-0000-0000-0000FD290000}"/>
    <cellStyle name="Calculation 12 5 2 4" xfId="10781" xr:uid="{00000000-0005-0000-0000-0000FE290000}"/>
    <cellStyle name="Calculation 12 5 2 5" xfId="10782" xr:uid="{00000000-0005-0000-0000-0000FF290000}"/>
    <cellStyle name="Calculation 12 5 2 6" xfId="10783" xr:uid="{00000000-0005-0000-0000-0000002A0000}"/>
    <cellStyle name="Calculation 12 5 3" xfId="10784" xr:uid="{00000000-0005-0000-0000-0000012A0000}"/>
    <cellStyle name="Calculation 12 5 3 2" xfId="10785" xr:uid="{00000000-0005-0000-0000-0000022A0000}"/>
    <cellStyle name="Calculation 12 5 3 3" xfId="10786" xr:uid="{00000000-0005-0000-0000-0000032A0000}"/>
    <cellStyle name="Calculation 12 5 3 4" xfId="10787" xr:uid="{00000000-0005-0000-0000-0000042A0000}"/>
    <cellStyle name="Calculation 12 5 3 5" xfId="10788" xr:uid="{00000000-0005-0000-0000-0000052A0000}"/>
    <cellStyle name="Calculation 12 5 3 6" xfId="10789" xr:uid="{00000000-0005-0000-0000-0000062A0000}"/>
    <cellStyle name="Calculation 12 5 4" xfId="10790" xr:uid="{00000000-0005-0000-0000-0000072A0000}"/>
    <cellStyle name="Calculation 12 5 4 2" xfId="10791" xr:uid="{00000000-0005-0000-0000-0000082A0000}"/>
    <cellStyle name="Calculation 12 5 4 3" xfId="10792" xr:uid="{00000000-0005-0000-0000-0000092A0000}"/>
    <cellStyle name="Calculation 12 5 4 4" xfId="10793" xr:uid="{00000000-0005-0000-0000-00000A2A0000}"/>
    <cellStyle name="Calculation 12 5 4 5" xfId="10794" xr:uid="{00000000-0005-0000-0000-00000B2A0000}"/>
    <cellStyle name="Calculation 12 5 4 6" xfId="10795" xr:uid="{00000000-0005-0000-0000-00000C2A0000}"/>
    <cellStyle name="Calculation 12 5 5" xfId="10796" xr:uid="{00000000-0005-0000-0000-00000D2A0000}"/>
    <cellStyle name="Calculation 12 5 5 2" xfId="10797" xr:uid="{00000000-0005-0000-0000-00000E2A0000}"/>
    <cellStyle name="Calculation 12 5 5 3" xfId="10798" xr:uid="{00000000-0005-0000-0000-00000F2A0000}"/>
    <cellStyle name="Calculation 12 5 5 4" xfId="10799" xr:uid="{00000000-0005-0000-0000-0000102A0000}"/>
    <cellStyle name="Calculation 12 5 5 5" xfId="10800" xr:uid="{00000000-0005-0000-0000-0000112A0000}"/>
    <cellStyle name="Calculation 12 5 5 6" xfId="10801" xr:uid="{00000000-0005-0000-0000-0000122A0000}"/>
    <cellStyle name="Calculation 12 5 6" xfId="10802" xr:uid="{00000000-0005-0000-0000-0000132A0000}"/>
    <cellStyle name="Calculation 12 5 6 2" xfId="10803" xr:uid="{00000000-0005-0000-0000-0000142A0000}"/>
    <cellStyle name="Calculation 12 5 6 3" xfId="10804" xr:uid="{00000000-0005-0000-0000-0000152A0000}"/>
    <cellStyle name="Calculation 12 5 6 4" xfId="10805" xr:uid="{00000000-0005-0000-0000-0000162A0000}"/>
    <cellStyle name="Calculation 12 5 6 5" xfId="10806" xr:uid="{00000000-0005-0000-0000-0000172A0000}"/>
    <cellStyle name="Calculation 12 5 6 6" xfId="10807" xr:uid="{00000000-0005-0000-0000-0000182A0000}"/>
    <cellStyle name="Calculation 12 5 7" xfId="10808" xr:uid="{00000000-0005-0000-0000-0000192A0000}"/>
    <cellStyle name="Calculation 12 5 7 2" xfId="10809" xr:uid="{00000000-0005-0000-0000-00001A2A0000}"/>
    <cellStyle name="Calculation 12 5 7 3" xfId="10810" xr:uid="{00000000-0005-0000-0000-00001B2A0000}"/>
    <cellStyle name="Calculation 12 5 7 4" xfId="10811" xr:uid="{00000000-0005-0000-0000-00001C2A0000}"/>
    <cellStyle name="Calculation 12 5 7 5" xfId="10812" xr:uid="{00000000-0005-0000-0000-00001D2A0000}"/>
    <cellStyle name="Calculation 12 5 7 6" xfId="10813" xr:uid="{00000000-0005-0000-0000-00001E2A0000}"/>
    <cellStyle name="Calculation 12 5 8" xfId="10814" xr:uid="{00000000-0005-0000-0000-00001F2A0000}"/>
    <cellStyle name="Calculation 12 5 9" xfId="10815" xr:uid="{00000000-0005-0000-0000-0000202A0000}"/>
    <cellStyle name="Calculation 12 6" xfId="10816" xr:uid="{00000000-0005-0000-0000-0000212A0000}"/>
    <cellStyle name="Calculation 12 6 10" xfId="10817" xr:uid="{00000000-0005-0000-0000-0000222A0000}"/>
    <cellStyle name="Calculation 12 6 2" xfId="10818" xr:uid="{00000000-0005-0000-0000-0000232A0000}"/>
    <cellStyle name="Calculation 12 6 2 2" xfId="10819" xr:uid="{00000000-0005-0000-0000-0000242A0000}"/>
    <cellStyle name="Calculation 12 6 2 3" xfId="10820" xr:uid="{00000000-0005-0000-0000-0000252A0000}"/>
    <cellStyle name="Calculation 12 6 2 4" xfId="10821" xr:uid="{00000000-0005-0000-0000-0000262A0000}"/>
    <cellStyle name="Calculation 12 6 2 5" xfId="10822" xr:uid="{00000000-0005-0000-0000-0000272A0000}"/>
    <cellStyle name="Calculation 12 6 2 6" xfId="10823" xr:uid="{00000000-0005-0000-0000-0000282A0000}"/>
    <cellStyle name="Calculation 12 6 3" xfId="10824" xr:uid="{00000000-0005-0000-0000-0000292A0000}"/>
    <cellStyle name="Calculation 12 6 3 2" xfId="10825" xr:uid="{00000000-0005-0000-0000-00002A2A0000}"/>
    <cellStyle name="Calculation 12 6 3 3" xfId="10826" xr:uid="{00000000-0005-0000-0000-00002B2A0000}"/>
    <cellStyle name="Calculation 12 6 3 4" xfId="10827" xr:uid="{00000000-0005-0000-0000-00002C2A0000}"/>
    <cellStyle name="Calculation 12 6 3 5" xfId="10828" xr:uid="{00000000-0005-0000-0000-00002D2A0000}"/>
    <cellStyle name="Calculation 12 6 3 6" xfId="10829" xr:uid="{00000000-0005-0000-0000-00002E2A0000}"/>
    <cellStyle name="Calculation 12 6 4" xfId="10830" xr:uid="{00000000-0005-0000-0000-00002F2A0000}"/>
    <cellStyle name="Calculation 12 6 4 2" xfId="10831" xr:uid="{00000000-0005-0000-0000-0000302A0000}"/>
    <cellStyle name="Calculation 12 6 4 3" xfId="10832" xr:uid="{00000000-0005-0000-0000-0000312A0000}"/>
    <cellStyle name="Calculation 12 6 4 4" xfId="10833" xr:uid="{00000000-0005-0000-0000-0000322A0000}"/>
    <cellStyle name="Calculation 12 6 4 5" xfId="10834" xr:uid="{00000000-0005-0000-0000-0000332A0000}"/>
    <cellStyle name="Calculation 12 6 4 6" xfId="10835" xr:uid="{00000000-0005-0000-0000-0000342A0000}"/>
    <cellStyle name="Calculation 12 6 5" xfId="10836" xr:uid="{00000000-0005-0000-0000-0000352A0000}"/>
    <cellStyle name="Calculation 12 6 5 2" xfId="10837" xr:uid="{00000000-0005-0000-0000-0000362A0000}"/>
    <cellStyle name="Calculation 12 6 5 3" xfId="10838" xr:uid="{00000000-0005-0000-0000-0000372A0000}"/>
    <cellStyle name="Calculation 12 6 5 4" xfId="10839" xr:uid="{00000000-0005-0000-0000-0000382A0000}"/>
    <cellStyle name="Calculation 12 6 5 5" xfId="10840" xr:uid="{00000000-0005-0000-0000-0000392A0000}"/>
    <cellStyle name="Calculation 12 6 5 6" xfId="10841" xr:uid="{00000000-0005-0000-0000-00003A2A0000}"/>
    <cellStyle name="Calculation 12 6 6" xfId="10842" xr:uid="{00000000-0005-0000-0000-00003B2A0000}"/>
    <cellStyle name="Calculation 12 6 6 2" xfId="10843" xr:uid="{00000000-0005-0000-0000-00003C2A0000}"/>
    <cellStyle name="Calculation 12 6 6 3" xfId="10844" xr:uid="{00000000-0005-0000-0000-00003D2A0000}"/>
    <cellStyle name="Calculation 12 6 6 4" xfId="10845" xr:uid="{00000000-0005-0000-0000-00003E2A0000}"/>
    <cellStyle name="Calculation 12 6 6 5" xfId="10846" xr:uid="{00000000-0005-0000-0000-00003F2A0000}"/>
    <cellStyle name="Calculation 12 6 6 6" xfId="10847" xr:uid="{00000000-0005-0000-0000-0000402A0000}"/>
    <cellStyle name="Calculation 12 6 7" xfId="10848" xr:uid="{00000000-0005-0000-0000-0000412A0000}"/>
    <cellStyle name="Calculation 12 6 7 2" xfId="10849" xr:uid="{00000000-0005-0000-0000-0000422A0000}"/>
    <cellStyle name="Calculation 12 6 7 3" xfId="10850" xr:uid="{00000000-0005-0000-0000-0000432A0000}"/>
    <cellStyle name="Calculation 12 6 7 4" xfId="10851" xr:uid="{00000000-0005-0000-0000-0000442A0000}"/>
    <cellStyle name="Calculation 12 6 7 5" xfId="10852" xr:uid="{00000000-0005-0000-0000-0000452A0000}"/>
    <cellStyle name="Calculation 12 6 7 6" xfId="10853" xr:uid="{00000000-0005-0000-0000-0000462A0000}"/>
    <cellStyle name="Calculation 12 6 8" xfId="10854" xr:uid="{00000000-0005-0000-0000-0000472A0000}"/>
    <cellStyle name="Calculation 12 6 9" xfId="10855" xr:uid="{00000000-0005-0000-0000-0000482A0000}"/>
    <cellStyle name="Calculation 12 7" xfId="10856" xr:uid="{00000000-0005-0000-0000-0000492A0000}"/>
    <cellStyle name="Calculation 12 7 10" xfId="10857" xr:uid="{00000000-0005-0000-0000-00004A2A0000}"/>
    <cellStyle name="Calculation 12 7 2" xfId="10858" xr:uid="{00000000-0005-0000-0000-00004B2A0000}"/>
    <cellStyle name="Calculation 12 7 2 2" xfId="10859" xr:uid="{00000000-0005-0000-0000-00004C2A0000}"/>
    <cellStyle name="Calculation 12 7 2 3" xfId="10860" xr:uid="{00000000-0005-0000-0000-00004D2A0000}"/>
    <cellStyle name="Calculation 12 7 2 4" xfId="10861" xr:uid="{00000000-0005-0000-0000-00004E2A0000}"/>
    <cellStyle name="Calculation 12 7 2 5" xfId="10862" xr:uid="{00000000-0005-0000-0000-00004F2A0000}"/>
    <cellStyle name="Calculation 12 7 2 6" xfId="10863" xr:uid="{00000000-0005-0000-0000-0000502A0000}"/>
    <cellStyle name="Calculation 12 7 3" xfId="10864" xr:uid="{00000000-0005-0000-0000-0000512A0000}"/>
    <cellStyle name="Calculation 12 7 3 2" xfId="10865" xr:uid="{00000000-0005-0000-0000-0000522A0000}"/>
    <cellStyle name="Calculation 12 7 3 3" xfId="10866" xr:uid="{00000000-0005-0000-0000-0000532A0000}"/>
    <cellStyle name="Calculation 12 7 3 4" xfId="10867" xr:uid="{00000000-0005-0000-0000-0000542A0000}"/>
    <cellStyle name="Calculation 12 7 3 5" xfId="10868" xr:uid="{00000000-0005-0000-0000-0000552A0000}"/>
    <cellStyle name="Calculation 12 7 3 6" xfId="10869" xr:uid="{00000000-0005-0000-0000-0000562A0000}"/>
    <cellStyle name="Calculation 12 7 4" xfId="10870" xr:uid="{00000000-0005-0000-0000-0000572A0000}"/>
    <cellStyle name="Calculation 12 7 4 2" xfId="10871" xr:uid="{00000000-0005-0000-0000-0000582A0000}"/>
    <cellStyle name="Calculation 12 7 4 3" xfId="10872" xr:uid="{00000000-0005-0000-0000-0000592A0000}"/>
    <cellStyle name="Calculation 12 7 4 4" xfId="10873" xr:uid="{00000000-0005-0000-0000-00005A2A0000}"/>
    <cellStyle name="Calculation 12 7 4 5" xfId="10874" xr:uid="{00000000-0005-0000-0000-00005B2A0000}"/>
    <cellStyle name="Calculation 12 7 4 6" xfId="10875" xr:uid="{00000000-0005-0000-0000-00005C2A0000}"/>
    <cellStyle name="Calculation 12 7 5" xfId="10876" xr:uid="{00000000-0005-0000-0000-00005D2A0000}"/>
    <cellStyle name="Calculation 12 7 5 2" xfId="10877" xr:uid="{00000000-0005-0000-0000-00005E2A0000}"/>
    <cellStyle name="Calculation 12 7 5 3" xfId="10878" xr:uid="{00000000-0005-0000-0000-00005F2A0000}"/>
    <cellStyle name="Calculation 12 7 5 4" xfId="10879" xr:uid="{00000000-0005-0000-0000-0000602A0000}"/>
    <cellStyle name="Calculation 12 7 5 5" xfId="10880" xr:uid="{00000000-0005-0000-0000-0000612A0000}"/>
    <cellStyle name="Calculation 12 7 5 6" xfId="10881" xr:uid="{00000000-0005-0000-0000-0000622A0000}"/>
    <cellStyle name="Calculation 12 7 6" xfId="10882" xr:uid="{00000000-0005-0000-0000-0000632A0000}"/>
    <cellStyle name="Calculation 12 7 6 2" xfId="10883" xr:uid="{00000000-0005-0000-0000-0000642A0000}"/>
    <cellStyle name="Calculation 12 7 6 3" xfId="10884" xr:uid="{00000000-0005-0000-0000-0000652A0000}"/>
    <cellStyle name="Calculation 12 7 6 4" xfId="10885" xr:uid="{00000000-0005-0000-0000-0000662A0000}"/>
    <cellStyle name="Calculation 12 7 6 5" xfId="10886" xr:uid="{00000000-0005-0000-0000-0000672A0000}"/>
    <cellStyle name="Calculation 12 7 6 6" xfId="10887" xr:uid="{00000000-0005-0000-0000-0000682A0000}"/>
    <cellStyle name="Calculation 12 7 7" xfId="10888" xr:uid="{00000000-0005-0000-0000-0000692A0000}"/>
    <cellStyle name="Calculation 12 7 7 2" xfId="10889" xr:uid="{00000000-0005-0000-0000-00006A2A0000}"/>
    <cellStyle name="Calculation 12 7 7 3" xfId="10890" xr:uid="{00000000-0005-0000-0000-00006B2A0000}"/>
    <cellStyle name="Calculation 12 7 7 4" xfId="10891" xr:uid="{00000000-0005-0000-0000-00006C2A0000}"/>
    <cellStyle name="Calculation 12 7 7 5" xfId="10892" xr:uid="{00000000-0005-0000-0000-00006D2A0000}"/>
    <cellStyle name="Calculation 12 7 7 6" xfId="10893" xr:uid="{00000000-0005-0000-0000-00006E2A0000}"/>
    <cellStyle name="Calculation 12 7 8" xfId="10894" xr:uid="{00000000-0005-0000-0000-00006F2A0000}"/>
    <cellStyle name="Calculation 12 7 9" xfId="10895" xr:uid="{00000000-0005-0000-0000-0000702A0000}"/>
    <cellStyle name="Calculation 12 8" xfId="10896" xr:uid="{00000000-0005-0000-0000-0000712A0000}"/>
    <cellStyle name="Calculation 12 8 10" xfId="10897" xr:uid="{00000000-0005-0000-0000-0000722A0000}"/>
    <cellStyle name="Calculation 12 8 2" xfId="10898" xr:uid="{00000000-0005-0000-0000-0000732A0000}"/>
    <cellStyle name="Calculation 12 8 2 2" xfId="10899" xr:uid="{00000000-0005-0000-0000-0000742A0000}"/>
    <cellStyle name="Calculation 12 8 2 3" xfId="10900" xr:uid="{00000000-0005-0000-0000-0000752A0000}"/>
    <cellStyle name="Calculation 12 8 2 4" xfId="10901" xr:uid="{00000000-0005-0000-0000-0000762A0000}"/>
    <cellStyle name="Calculation 12 8 2 5" xfId="10902" xr:uid="{00000000-0005-0000-0000-0000772A0000}"/>
    <cellStyle name="Calculation 12 8 2 6" xfId="10903" xr:uid="{00000000-0005-0000-0000-0000782A0000}"/>
    <cellStyle name="Calculation 12 8 3" xfId="10904" xr:uid="{00000000-0005-0000-0000-0000792A0000}"/>
    <cellStyle name="Calculation 12 8 3 2" xfId="10905" xr:uid="{00000000-0005-0000-0000-00007A2A0000}"/>
    <cellStyle name="Calculation 12 8 3 3" xfId="10906" xr:uid="{00000000-0005-0000-0000-00007B2A0000}"/>
    <cellStyle name="Calculation 12 8 3 4" xfId="10907" xr:uid="{00000000-0005-0000-0000-00007C2A0000}"/>
    <cellStyle name="Calculation 12 8 3 5" xfId="10908" xr:uid="{00000000-0005-0000-0000-00007D2A0000}"/>
    <cellStyle name="Calculation 12 8 3 6" xfId="10909" xr:uid="{00000000-0005-0000-0000-00007E2A0000}"/>
    <cellStyle name="Calculation 12 8 4" xfId="10910" xr:uid="{00000000-0005-0000-0000-00007F2A0000}"/>
    <cellStyle name="Calculation 12 8 4 2" xfId="10911" xr:uid="{00000000-0005-0000-0000-0000802A0000}"/>
    <cellStyle name="Calculation 12 8 4 3" xfId="10912" xr:uid="{00000000-0005-0000-0000-0000812A0000}"/>
    <cellStyle name="Calculation 12 8 4 4" xfId="10913" xr:uid="{00000000-0005-0000-0000-0000822A0000}"/>
    <cellStyle name="Calculation 12 8 4 5" xfId="10914" xr:uid="{00000000-0005-0000-0000-0000832A0000}"/>
    <cellStyle name="Calculation 12 8 4 6" xfId="10915" xr:uid="{00000000-0005-0000-0000-0000842A0000}"/>
    <cellStyle name="Calculation 12 8 5" xfId="10916" xr:uid="{00000000-0005-0000-0000-0000852A0000}"/>
    <cellStyle name="Calculation 12 8 5 2" xfId="10917" xr:uid="{00000000-0005-0000-0000-0000862A0000}"/>
    <cellStyle name="Calculation 12 8 5 3" xfId="10918" xr:uid="{00000000-0005-0000-0000-0000872A0000}"/>
    <cellStyle name="Calculation 12 8 5 4" xfId="10919" xr:uid="{00000000-0005-0000-0000-0000882A0000}"/>
    <cellStyle name="Calculation 12 8 5 5" xfId="10920" xr:uid="{00000000-0005-0000-0000-0000892A0000}"/>
    <cellStyle name="Calculation 12 8 5 6" xfId="10921" xr:uid="{00000000-0005-0000-0000-00008A2A0000}"/>
    <cellStyle name="Calculation 12 8 6" xfId="10922" xr:uid="{00000000-0005-0000-0000-00008B2A0000}"/>
    <cellStyle name="Calculation 12 8 6 2" xfId="10923" xr:uid="{00000000-0005-0000-0000-00008C2A0000}"/>
    <cellStyle name="Calculation 12 8 6 3" xfId="10924" xr:uid="{00000000-0005-0000-0000-00008D2A0000}"/>
    <cellStyle name="Calculation 12 8 6 4" xfId="10925" xr:uid="{00000000-0005-0000-0000-00008E2A0000}"/>
    <cellStyle name="Calculation 12 8 6 5" xfId="10926" xr:uid="{00000000-0005-0000-0000-00008F2A0000}"/>
    <cellStyle name="Calculation 12 8 6 6" xfId="10927" xr:uid="{00000000-0005-0000-0000-0000902A0000}"/>
    <cellStyle name="Calculation 12 8 7" xfId="10928" xr:uid="{00000000-0005-0000-0000-0000912A0000}"/>
    <cellStyle name="Calculation 12 8 7 2" xfId="10929" xr:uid="{00000000-0005-0000-0000-0000922A0000}"/>
    <cellStyle name="Calculation 12 8 7 3" xfId="10930" xr:uid="{00000000-0005-0000-0000-0000932A0000}"/>
    <cellStyle name="Calculation 12 8 7 4" xfId="10931" xr:uid="{00000000-0005-0000-0000-0000942A0000}"/>
    <cellStyle name="Calculation 12 8 7 5" xfId="10932" xr:uid="{00000000-0005-0000-0000-0000952A0000}"/>
    <cellStyle name="Calculation 12 8 7 6" xfId="10933" xr:uid="{00000000-0005-0000-0000-0000962A0000}"/>
    <cellStyle name="Calculation 12 8 8" xfId="10934" xr:uid="{00000000-0005-0000-0000-0000972A0000}"/>
    <cellStyle name="Calculation 12 8 9" xfId="10935" xr:uid="{00000000-0005-0000-0000-0000982A0000}"/>
    <cellStyle name="Calculation 12 9" xfId="10936" xr:uid="{00000000-0005-0000-0000-0000992A0000}"/>
    <cellStyle name="Calculation 12 9 10" xfId="10937" xr:uid="{00000000-0005-0000-0000-00009A2A0000}"/>
    <cellStyle name="Calculation 12 9 2" xfId="10938" xr:uid="{00000000-0005-0000-0000-00009B2A0000}"/>
    <cellStyle name="Calculation 12 9 2 2" xfId="10939" xr:uid="{00000000-0005-0000-0000-00009C2A0000}"/>
    <cellStyle name="Calculation 12 9 2 3" xfId="10940" xr:uid="{00000000-0005-0000-0000-00009D2A0000}"/>
    <cellStyle name="Calculation 12 9 2 4" xfId="10941" xr:uid="{00000000-0005-0000-0000-00009E2A0000}"/>
    <cellStyle name="Calculation 12 9 2 5" xfId="10942" xr:uid="{00000000-0005-0000-0000-00009F2A0000}"/>
    <cellStyle name="Calculation 12 9 2 6" xfId="10943" xr:uid="{00000000-0005-0000-0000-0000A02A0000}"/>
    <cellStyle name="Calculation 12 9 3" xfId="10944" xr:uid="{00000000-0005-0000-0000-0000A12A0000}"/>
    <cellStyle name="Calculation 12 9 3 2" xfId="10945" xr:uid="{00000000-0005-0000-0000-0000A22A0000}"/>
    <cellStyle name="Calculation 12 9 3 3" xfId="10946" xr:uid="{00000000-0005-0000-0000-0000A32A0000}"/>
    <cellStyle name="Calculation 12 9 3 4" xfId="10947" xr:uid="{00000000-0005-0000-0000-0000A42A0000}"/>
    <cellStyle name="Calculation 12 9 3 5" xfId="10948" xr:uid="{00000000-0005-0000-0000-0000A52A0000}"/>
    <cellStyle name="Calculation 12 9 3 6" xfId="10949" xr:uid="{00000000-0005-0000-0000-0000A62A0000}"/>
    <cellStyle name="Calculation 12 9 4" xfId="10950" xr:uid="{00000000-0005-0000-0000-0000A72A0000}"/>
    <cellStyle name="Calculation 12 9 4 2" xfId="10951" xr:uid="{00000000-0005-0000-0000-0000A82A0000}"/>
    <cellStyle name="Calculation 12 9 4 3" xfId="10952" xr:uid="{00000000-0005-0000-0000-0000A92A0000}"/>
    <cellStyle name="Calculation 12 9 4 4" xfId="10953" xr:uid="{00000000-0005-0000-0000-0000AA2A0000}"/>
    <cellStyle name="Calculation 12 9 4 5" xfId="10954" xr:uid="{00000000-0005-0000-0000-0000AB2A0000}"/>
    <cellStyle name="Calculation 12 9 4 6" xfId="10955" xr:uid="{00000000-0005-0000-0000-0000AC2A0000}"/>
    <cellStyle name="Calculation 12 9 5" xfId="10956" xr:uid="{00000000-0005-0000-0000-0000AD2A0000}"/>
    <cellStyle name="Calculation 12 9 5 2" xfId="10957" xr:uid="{00000000-0005-0000-0000-0000AE2A0000}"/>
    <cellStyle name="Calculation 12 9 5 3" xfId="10958" xr:uid="{00000000-0005-0000-0000-0000AF2A0000}"/>
    <cellStyle name="Calculation 12 9 5 4" xfId="10959" xr:uid="{00000000-0005-0000-0000-0000B02A0000}"/>
    <cellStyle name="Calculation 12 9 5 5" xfId="10960" xr:uid="{00000000-0005-0000-0000-0000B12A0000}"/>
    <cellStyle name="Calculation 12 9 5 6" xfId="10961" xr:uid="{00000000-0005-0000-0000-0000B22A0000}"/>
    <cellStyle name="Calculation 12 9 6" xfId="10962" xr:uid="{00000000-0005-0000-0000-0000B32A0000}"/>
    <cellStyle name="Calculation 12 9 6 2" xfId="10963" xr:uid="{00000000-0005-0000-0000-0000B42A0000}"/>
    <cellStyle name="Calculation 12 9 6 3" xfId="10964" xr:uid="{00000000-0005-0000-0000-0000B52A0000}"/>
    <cellStyle name="Calculation 12 9 6 4" xfId="10965" xr:uid="{00000000-0005-0000-0000-0000B62A0000}"/>
    <cellStyle name="Calculation 12 9 6 5" xfId="10966" xr:uid="{00000000-0005-0000-0000-0000B72A0000}"/>
    <cellStyle name="Calculation 12 9 6 6" xfId="10967" xr:uid="{00000000-0005-0000-0000-0000B82A0000}"/>
    <cellStyle name="Calculation 12 9 7" xfId="10968" xr:uid="{00000000-0005-0000-0000-0000B92A0000}"/>
    <cellStyle name="Calculation 12 9 7 2" xfId="10969" xr:uid="{00000000-0005-0000-0000-0000BA2A0000}"/>
    <cellStyle name="Calculation 12 9 7 3" xfId="10970" xr:uid="{00000000-0005-0000-0000-0000BB2A0000}"/>
    <cellStyle name="Calculation 12 9 7 4" xfId="10971" xr:uid="{00000000-0005-0000-0000-0000BC2A0000}"/>
    <cellStyle name="Calculation 12 9 7 5" xfId="10972" xr:uid="{00000000-0005-0000-0000-0000BD2A0000}"/>
    <cellStyle name="Calculation 12 9 7 6" xfId="10973" xr:uid="{00000000-0005-0000-0000-0000BE2A0000}"/>
    <cellStyle name="Calculation 12 9 8" xfId="10974" xr:uid="{00000000-0005-0000-0000-0000BF2A0000}"/>
    <cellStyle name="Calculation 12 9 9" xfId="10975" xr:uid="{00000000-0005-0000-0000-0000C02A0000}"/>
    <cellStyle name="Calculation 13" xfId="10976" xr:uid="{00000000-0005-0000-0000-0000C12A0000}"/>
    <cellStyle name="Calculation 13 10" xfId="10977" xr:uid="{00000000-0005-0000-0000-0000C22A0000}"/>
    <cellStyle name="Calculation 13 10 10" xfId="10978" xr:uid="{00000000-0005-0000-0000-0000C32A0000}"/>
    <cellStyle name="Calculation 13 10 2" xfId="10979" xr:uid="{00000000-0005-0000-0000-0000C42A0000}"/>
    <cellStyle name="Calculation 13 10 2 2" xfId="10980" xr:uid="{00000000-0005-0000-0000-0000C52A0000}"/>
    <cellStyle name="Calculation 13 10 2 3" xfId="10981" xr:uid="{00000000-0005-0000-0000-0000C62A0000}"/>
    <cellStyle name="Calculation 13 10 2 4" xfId="10982" xr:uid="{00000000-0005-0000-0000-0000C72A0000}"/>
    <cellStyle name="Calculation 13 10 2 5" xfId="10983" xr:uid="{00000000-0005-0000-0000-0000C82A0000}"/>
    <cellStyle name="Calculation 13 10 2 6" xfId="10984" xr:uid="{00000000-0005-0000-0000-0000C92A0000}"/>
    <cellStyle name="Calculation 13 10 3" xfId="10985" xr:uid="{00000000-0005-0000-0000-0000CA2A0000}"/>
    <cellStyle name="Calculation 13 10 3 2" xfId="10986" xr:uid="{00000000-0005-0000-0000-0000CB2A0000}"/>
    <cellStyle name="Calculation 13 10 3 3" xfId="10987" xr:uid="{00000000-0005-0000-0000-0000CC2A0000}"/>
    <cellStyle name="Calculation 13 10 3 4" xfId="10988" xr:uid="{00000000-0005-0000-0000-0000CD2A0000}"/>
    <cellStyle name="Calculation 13 10 3 5" xfId="10989" xr:uid="{00000000-0005-0000-0000-0000CE2A0000}"/>
    <cellStyle name="Calculation 13 10 3 6" xfId="10990" xr:uid="{00000000-0005-0000-0000-0000CF2A0000}"/>
    <cellStyle name="Calculation 13 10 4" xfId="10991" xr:uid="{00000000-0005-0000-0000-0000D02A0000}"/>
    <cellStyle name="Calculation 13 10 4 2" xfId="10992" xr:uid="{00000000-0005-0000-0000-0000D12A0000}"/>
    <cellStyle name="Calculation 13 10 4 3" xfId="10993" xr:uid="{00000000-0005-0000-0000-0000D22A0000}"/>
    <cellStyle name="Calculation 13 10 4 4" xfId="10994" xr:uid="{00000000-0005-0000-0000-0000D32A0000}"/>
    <cellStyle name="Calculation 13 10 4 5" xfId="10995" xr:uid="{00000000-0005-0000-0000-0000D42A0000}"/>
    <cellStyle name="Calculation 13 10 4 6" xfId="10996" xr:uid="{00000000-0005-0000-0000-0000D52A0000}"/>
    <cellStyle name="Calculation 13 10 5" xfId="10997" xr:uid="{00000000-0005-0000-0000-0000D62A0000}"/>
    <cellStyle name="Calculation 13 10 5 2" xfId="10998" xr:uid="{00000000-0005-0000-0000-0000D72A0000}"/>
    <cellStyle name="Calculation 13 10 5 3" xfId="10999" xr:uid="{00000000-0005-0000-0000-0000D82A0000}"/>
    <cellStyle name="Calculation 13 10 5 4" xfId="11000" xr:uid="{00000000-0005-0000-0000-0000D92A0000}"/>
    <cellStyle name="Calculation 13 10 5 5" xfId="11001" xr:uid="{00000000-0005-0000-0000-0000DA2A0000}"/>
    <cellStyle name="Calculation 13 10 5 6" xfId="11002" xr:uid="{00000000-0005-0000-0000-0000DB2A0000}"/>
    <cellStyle name="Calculation 13 10 6" xfId="11003" xr:uid="{00000000-0005-0000-0000-0000DC2A0000}"/>
    <cellStyle name="Calculation 13 10 6 2" xfId="11004" xr:uid="{00000000-0005-0000-0000-0000DD2A0000}"/>
    <cellStyle name="Calculation 13 10 6 3" xfId="11005" xr:uid="{00000000-0005-0000-0000-0000DE2A0000}"/>
    <cellStyle name="Calculation 13 10 6 4" xfId="11006" xr:uid="{00000000-0005-0000-0000-0000DF2A0000}"/>
    <cellStyle name="Calculation 13 10 6 5" xfId="11007" xr:uid="{00000000-0005-0000-0000-0000E02A0000}"/>
    <cellStyle name="Calculation 13 10 6 6" xfId="11008" xr:uid="{00000000-0005-0000-0000-0000E12A0000}"/>
    <cellStyle name="Calculation 13 10 7" xfId="11009" xr:uid="{00000000-0005-0000-0000-0000E22A0000}"/>
    <cellStyle name="Calculation 13 10 7 2" xfId="11010" xr:uid="{00000000-0005-0000-0000-0000E32A0000}"/>
    <cellStyle name="Calculation 13 10 7 3" xfId="11011" xr:uid="{00000000-0005-0000-0000-0000E42A0000}"/>
    <cellStyle name="Calculation 13 10 7 4" xfId="11012" xr:uid="{00000000-0005-0000-0000-0000E52A0000}"/>
    <cellStyle name="Calculation 13 10 7 5" xfId="11013" xr:uid="{00000000-0005-0000-0000-0000E62A0000}"/>
    <cellStyle name="Calculation 13 10 7 6" xfId="11014" xr:uid="{00000000-0005-0000-0000-0000E72A0000}"/>
    <cellStyle name="Calculation 13 10 8" xfId="11015" xr:uid="{00000000-0005-0000-0000-0000E82A0000}"/>
    <cellStyle name="Calculation 13 10 9" xfId="11016" xr:uid="{00000000-0005-0000-0000-0000E92A0000}"/>
    <cellStyle name="Calculation 13 11" xfId="11017" xr:uid="{00000000-0005-0000-0000-0000EA2A0000}"/>
    <cellStyle name="Calculation 13 11 10" xfId="11018" xr:uid="{00000000-0005-0000-0000-0000EB2A0000}"/>
    <cellStyle name="Calculation 13 11 2" xfId="11019" xr:uid="{00000000-0005-0000-0000-0000EC2A0000}"/>
    <cellStyle name="Calculation 13 11 2 2" xfId="11020" xr:uid="{00000000-0005-0000-0000-0000ED2A0000}"/>
    <cellStyle name="Calculation 13 11 2 3" xfId="11021" xr:uid="{00000000-0005-0000-0000-0000EE2A0000}"/>
    <cellStyle name="Calculation 13 11 2 4" xfId="11022" xr:uid="{00000000-0005-0000-0000-0000EF2A0000}"/>
    <cellStyle name="Calculation 13 11 2 5" xfId="11023" xr:uid="{00000000-0005-0000-0000-0000F02A0000}"/>
    <cellStyle name="Calculation 13 11 2 6" xfId="11024" xr:uid="{00000000-0005-0000-0000-0000F12A0000}"/>
    <cellStyle name="Calculation 13 11 3" xfId="11025" xr:uid="{00000000-0005-0000-0000-0000F22A0000}"/>
    <cellStyle name="Calculation 13 11 3 2" xfId="11026" xr:uid="{00000000-0005-0000-0000-0000F32A0000}"/>
    <cellStyle name="Calculation 13 11 3 3" xfId="11027" xr:uid="{00000000-0005-0000-0000-0000F42A0000}"/>
    <cellStyle name="Calculation 13 11 3 4" xfId="11028" xr:uid="{00000000-0005-0000-0000-0000F52A0000}"/>
    <cellStyle name="Calculation 13 11 3 5" xfId="11029" xr:uid="{00000000-0005-0000-0000-0000F62A0000}"/>
    <cellStyle name="Calculation 13 11 3 6" xfId="11030" xr:uid="{00000000-0005-0000-0000-0000F72A0000}"/>
    <cellStyle name="Calculation 13 11 4" xfId="11031" xr:uid="{00000000-0005-0000-0000-0000F82A0000}"/>
    <cellStyle name="Calculation 13 11 4 2" xfId="11032" xr:uid="{00000000-0005-0000-0000-0000F92A0000}"/>
    <cellStyle name="Calculation 13 11 4 3" xfId="11033" xr:uid="{00000000-0005-0000-0000-0000FA2A0000}"/>
    <cellStyle name="Calculation 13 11 4 4" xfId="11034" xr:uid="{00000000-0005-0000-0000-0000FB2A0000}"/>
    <cellStyle name="Calculation 13 11 4 5" xfId="11035" xr:uid="{00000000-0005-0000-0000-0000FC2A0000}"/>
    <cellStyle name="Calculation 13 11 4 6" xfId="11036" xr:uid="{00000000-0005-0000-0000-0000FD2A0000}"/>
    <cellStyle name="Calculation 13 11 5" xfId="11037" xr:uid="{00000000-0005-0000-0000-0000FE2A0000}"/>
    <cellStyle name="Calculation 13 11 5 2" xfId="11038" xr:uid="{00000000-0005-0000-0000-0000FF2A0000}"/>
    <cellStyle name="Calculation 13 11 5 3" xfId="11039" xr:uid="{00000000-0005-0000-0000-0000002B0000}"/>
    <cellStyle name="Calculation 13 11 5 4" xfId="11040" xr:uid="{00000000-0005-0000-0000-0000012B0000}"/>
    <cellStyle name="Calculation 13 11 5 5" xfId="11041" xr:uid="{00000000-0005-0000-0000-0000022B0000}"/>
    <cellStyle name="Calculation 13 11 5 6" xfId="11042" xr:uid="{00000000-0005-0000-0000-0000032B0000}"/>
    <cellStyle name="Calculation 13 11 6" xfId="11043" xr:uid="{00000000-0005-0000-0000-0000042B0000}"/>
    <cellStyle name="Calculation 13 11 6 2" xfId="11044" xr:uid="{00000000-0005-0000-0000-0000052B0000}"/>
    <cellStyle name="Calculation 13 11 6 3" xfId="11045" xr:uid="{00000000-0005-0000-0000-0000062B0000}"/>
    <cellStyle name="Calculation 13 11 6 4" xfId="11046" xr:uid="{00000000-0005-0000-0000-0000072B0000}"/>
    <cellStyle name="Calculation 13 11 6 5" xfId="11047" xr:uid="{00000000-0005-0000-0000-0000082B0000}"/>
    <cellStyle name="Calculation 13 11 6 6" xfId="11048" xr:uid="{00000000-0005-0000-0000-0000092B0000}"/>
    <cellStyle name="Calculation 13 11 7" xfId="11049" xr:uid="{00000000-0005-0000-0000-00000A2B0000}"/>
    <cellStyle name="Calculation 13 11 7 2" xfId="11050" xr:uid="{00000000-0005-0000-0000-00000B2B0000}"/>
    <cellStyle name="Calculation 13 11 7 3" xfId="11051" xr:uid="{00000000-0005-0000-0000-00000C2B0000}"/>
    <cellStyle name="Calculation 13 11 7 4" xfId="11052" xr:uid="{00000000-0005-0000-0000-00000D2B0000}"/>
    <cellStyle name="Calculation 13 11 7 5" xfId="11053" xr:uid="{00000000-0005-0000-0000-00000E2B0000}"/>
    <cellStyle name="Calculation 13 11 7 6" xfId="11054" xr:uid="{00000000-0005-0000-0000-00000F2B0000}"/>
    <cellStyle name="Calculation 13 11 8" xfId="11055" xr:uid="{00000000-0005-0000-0000-0000102B0000}"/>
    <cellStyle name="Calculation 13 11 9" xfId="11056" xr:uid="{00000000-0005-0000-0000-0000112B0000}"/>
    <cellStyle name="Calculation 13 12" xfId="11057" xr:uid="{00000000-0005-0000-0000-0000122B0000}"/>
    <cellStyle name="Calculation 13 12 10" xfId="11058" xr:uid="{00000000-0005-0000-0000-0000132B0000}"/>
    <cellStyle name="Calculation 13 12 2" xfId="11059" xr:uid="{00000000-0005-0000-0000-0000142B0000}"/>
    <cellStyle name="Calculation 13 12 2 2" xfId="11060" xr:uid="{00000000-0005-0000-0000-0000152B0000}"/>
    <cellStyle name="Calculation 13 12 2 3" xfId="11061" xr:uid="{00000000-0005-0000-0000-0000162B0000}"/>
    <cellStyle name="Calculation 13 12 2 4" xfId="11062" xr:uid="{00000000-0005-0000-0000-0000172B0000}"/>
    <cellStyle name="Calculation 13 12 2 5" xfId="11063" xr:uid="{00000000-0005-0000-0000-0000182B0000}"/>
    <cellStyle name="Calculation 13 12 2 6" xfId="11064" xr:uid="{00000000-0005-0000-0000-0000192B0000}"/>
    <cellStyle name="Calculation 13 12 3" xfId="11065" xr:uid="{00000000-0005-0000-0000-00001A2B0000}"/>
    <cellStyle name="Calculation 13 12 3 2" xfId="11066" xr:uid="{00000000-0005-0000-0000-00001B2B0000}"/>
    <cellStyle name="Calculation 13 12 3 3" xfId="11067" xr:uid="{00000000-0005-0000-0000-00001C2B0000}"/>
    <cellStyle name="Calculation 13 12 3 4" xfId="11068" xr:uid="{00000000-0005-0000-0000-00001D2B0000}"/>
    <cellStyle name="Calculation 13 12 3 5" xfId="11069" xr:uid="{00000000-0005-0000-0000-00001E2B0000}"/>
    <cellStyle name="Calculation 13 12 3 6" xfId="11070" xr:uid="{00000000-0005-0000-0000-00001F2B0000}"/>
    <cellStyle name="Calculation 13 12 4" xfId="11071" xr:uid="{00000000-0005-0000-0000-0000202B0000}"/>
    <cellStyle name="Calculation 13 12 4 2" xfId="11072" xr:uid="{00000000-0005-0000-0000-0000212B0000}"/>
    <cellStyle name="Calculation 13 12 4 3" xfId="11073" xr:uid="{00000000-0005-0000-0000-0000222B0000}"/>
    <cellStyle name="Calculation 13 12 4 4" xfId="11074" xr:uid="{00000000-0005-0000-0000-0000232B0000}"/>
    <cellStyle name="Calculation 13 12 4 5" xfId="11075" xr:uid="{00000000-0005-0000-0000-0000242B0000}"/>
    <cellStyle name="Calculation 13 12 4 6" xfId="11076" xr:uid="{00000000-0005-0000-0000-0000252B0000}"/>
    <cellStyle name="Calculation 13 12 5" xfId="11077" xr:uid="{00000000-0005-0000-0000-0000262B0000}"/>
    <cellStyle name="Calculation 13 12 5 2" xfId="11078" xr:uid="{00000000-0005-0000-0000-0000272B0000}"/>
    <cellStyle name="Calculation 13 12 5 3" xfId="11079" xr:uid="{00000000-0005-0000-0000-0000282B0000}"/>
    <cellStyle name="Calculation 13 12 5 4" xfId="11080" xr:uid="{00000000-0005-0000-0000-0000292B0000}"/>
    <cellStyle name="Calculation 13 12 5 5" xfId="11081" xr:uid="{00000000-0005-0000-0000-00002A2B0000}"/>
    <cellStyle name="Calculation 13 12 5 6" xfId="11082" xr:uid="{00000000-0005-0000-0000-00002B2B0000}"/>
    <cellStyle name="Calculation 13 12 6" xfId="11083" xr:uid="{00000000-0005-0000-0000-00002C2B0000}"/>
    <cellStyle name="Calculation 13 12 6 2" xfId="11084" xr:uid="{00000000-0005-0000-0000-00002D2B0000}"/>
    <cellStyle name="Calculation 13 12 6 3" xfId="11085" xr:uid="{00000000-0005-0000-0000-00002E2B0000}"/>
    <cellStyle name="Calculation 13 12 6 4" xfId="11086" xr:uid="{00000000-0005-0000-0000-00002F2B0000}"/>
    <cellStyle name="Calculation 13 12 6 5" xfId="11087" xr:uid="{00000000-0005-0000-0000-0000302B0000}"/>
    <cellStyle name="Calculation 13 12 6 6" xfId="11088" xr:uid="{00000000-0005-0000-0000-0000312B0000}"/>
    <cellStyle name="Calculation 13 12 7" xfId="11089" xr:uid="{00000000-0005-0000-0000-0000322B0000}"/>
    <cellStyle name="Calculation 13 12 7 2" xfId="11090" xr:uid="{00000000-0005-0000-0000-0000332B0000}"/>
    <cellStyle name="Calculation 13 12 7 3" xfId="11091" xr:uid="{00000000-0005-0000-0000-0000342B0000}"/>
    <cellStyle name="Calculation 13 12 7 4" xfId="11092" xr:uid="{00000000-0005-0000-0000-0000352B0000}"/>
    <cellStyle name="Calculation 13 12 7 5" xfId="11093" xr:uid="{00000000-0005-0000-0000-0000362B0000}"/>
    <cellStyle name="Calculation 13 12 7 6" xfId="11094" xr:uid="{00000000-0005-0000-0000-0000372B0000}"/>
    <cellStyle name="Calculation 13 12 8" xfId="11095" xr:uid="{00000000-0005-0000-0000-0000382B0000}"/>
    <cellStyle name="Calculation 13 12 9" xfId="11096" xr:uid="{00000000-0005-0000-0000-0000392B0000}"/>
    <cellStyle name="Calculation 13 13" xfId="11097" xr:uid="{00000000-0005-0000-0000-00003A2B0000}"/>
    <cellStyle name="Calculation 13 13 10" xfId="11098" xr:uid="{00000000-0005-0000-0000-00003B2B0000}"/>
    <cellStyle name="Calculation 13 13 2" xfId="11099" xr:uid="{00000000-0005-0000-0000-00003C2B0000}"/>
    <cellStyle name="Calculation 13 13 2 2" xfId="11100" xr:uid="{00000000-0005-0000-0000-00003D2B0000}"/>
    <cellStyle name="Calculation 13 13 2 3" xfId="11101" xr:uid="{00000000-0005-0000-0000-00003E2B0000}"/>
    <cellStyle name="Calculation 13 13 2 4" xfId="11102" xr:uid="{00000000-0005-0000-0000-00003F2B0000}"/>
    <cellStyle name="Calculation 13 13 2 5" xfId="11103" xr:uid="{00000000-0005-0000-0000-0000402B0000}"/>
    <cellStyle name="Calculation 13 13 2 6" xfId="11104" xr:uid="{00000000-0005-0000-0000-0000412B0000}"/>
    <cellStyle name="Calculation 13 13 3" xfId="11105" xr:uid="{00000000-0005-0000-0000-0000422B0000}"/>
    <cellStyle name="Calculation 13 13 3 2" xfId="11106" xr:uid="{00000000-0005-0000-0000-0000432B0000}"/>
    <cellStyle name="Calculation 13 13 3 3" xfId="11107" xr:uid="{00000000-0005-0000-0000-0000442B0000}"/>
    <cellStyle name="Calculation 13 13 3 4" xfId="11108" xr:uid="{00000000-0005-0000-0000-0000452B0000}"/>
    <cellStyle name="Calculation 13 13 3 5" xfId="11109" xr:uid="{00000000-0005-0000-0000-0000462B0000}"/>
    <cellStyle name="Calculation 13 13 3 6" xfId="11110" xr:uid="{00000000-0005-0000-0000-0000472B0000}"/>
    <cellStyle name="Calculation 13 13 4" xfId="11111" xr:uid="{00000000-0005-0000-0000-0000482B0000}"/>
    <cellStyle name="Calculation 13 13 4 2" xfId="11112" xr:uid="{00000000-0005-0000-0000-0000492B0000}"/>
    <cellStyle name="Calculation 13 13 4 3" xfId="11113" xr:uid="{00000000-0005-0000-0000-00004A2B0000}"/>
    <cellStyle name="Calculation 13 13 4 4" xfId="11114" xr:uid="{00000000-0005-0000-0000-00004B2B0000}"/>
    <cellStyle name="Calculation 13 13 4 5" xfId="11115" xr:uid="{00000000-0005-0000-0000-00004C2B0000}"/>
    <cellStyle name="Calculation 13 13 4 6" xfId="11116" xr:uid="{00000000-0005-0000-0000-00004D2B0000}"/>
    <cellStyle name="Calculation 13 13 5" xfId="11117" xr:uid="{00000000-0005-0000-0000-00004E2B0000}"/>
    <cellStyle name="Calculation 13 13 5 2" xfId="11118" xr:uid="{00000000-0005-0000-0000-00004F2B0000}"/>
    <cellStyle name="Calculation 13 13 5 3" xfId="11119" xr:uid="{00000000-0005-0000-0000-0000502B0000}"/>
    <cellStyle name="Calculation 13 13 5 4" xfId="11120" xr:uid="{00000000-0005-0000-0000-0000512B0000}"/>
    <cellStyle name="Calculation 13 13 5 5" xfId="11121" xr:uid="{00000000-0005-0000-0000-0000522B0000}"/>
    <cellStyle name="Calculation 13 13 5 6" xfId="11122" xr:uid="{00000000-0005-0000-0000-0000532B0000}"/>
    <cellStyle name="Calculation 13 13 6" xfId="11123" xr:uid="{00000000-0005-0000-0000-0000542B0000}"/>
    <cellStyle name="Calculation 13 13 6 2" xfId="11124" xr:uid="{00000000-0005-0000-0000-0000552B0000}"/>
    <cellStyle name="Calculation 13 13 6 3" xfId="11125" xr:uid="{00000000-0005-0000-0000-0000562B0000}"/>
    <cellStyle name="Calculation 13 13 6 4" xfId="11126" xr:uid="{00000000-0005-0000-0000-0000572B0000}"/>
    <cellStyle name="Calculation 13 13 6 5" xfId="11127" xr:uid="{00000000-0005-0000-0000-0000582B0000}"/>
    <cellStyle name="Calculation 13 13 6 6" xfId="11128" xr:uid="{00000000-0005-0000-0000-0000592B0000}"/>
    <cellStyle name="Calculation 13 13 7" xfId="11129" xr:uid="{00000000-0005-0000-0000-00005A2B0000}"/>
    <cellStyle name="Calculation 13 13 7 2" xfId="11130" xr:uid="{00000000-0005-0000-0000-00005B2B0000}"/>
    <cellStyle name="Calculation 13 13 7 3" xfId="11131" xr:uid="{00000000-0005-0000-0000-00005C2B0000}"/>
    <cellStyle name="Calculation 13 13 7 4" xfId="11132" xr:uid="{00000000-0005-0000-0000-00005D2B0000}"/>
    <cellStyle name="Calculation 13 13 7 5" xfId="11133" xr:uid="{00000000-0005-0000-0000-00005E2B0000}"/>
    <cellStyle name="Calculation 13 13 7 6" xfId="11134" xr:uid="{00000000-0005-0000-0000-00005F2B0000}"/>
    <cellStyle name="Calculation 13 13 8" xfId="11135" xr:uid="{00000000-0005-0000-0000-0000602B0000}"/>
    <cellStyle name="Calculation 13 13 9" xfId="11136" xr:uid="{00000000-0005-0000-0000-0000612B0000}"/>
    <cellStyle name="Calculation 13 14" xfId="11137" xr:uid="{00000000-0005-0000-0000-0000622B0000}"/>
    <cellStyle name="Calculation 13 14 10" xfId="11138" xr:uid="{00000000-0005-0000-0000-0000632B0000}"/>
    <cellStyle name="Calculation 13 14 2" xfId="11139" xr:uid="{00000000-0005-0000-0000-0000642B0000}"/>
    <cellStyle name="Calculation 13 14 2 2" xfId="11140" xr:uid="{00000000-0005-0000-0000-0000652B0000}"/>
    <cellStyle name="Calculation 13 14 2 3" xfId="11141" xr:uid="{00000000-0005-0000-0000-0000662B0000}"/>
    <cellStyle name="Calculation 13 14 2 4" xfId="11142" xr:uid="{00000000-0005-0000-0000-0000672B0000}"/>
    <cellStyle name="Calculation 13 14 2 5" xfId="11143" xr:uid="{00000000-0005-0000-0000-0000682B0000}"/>
    <cellStyle name="Calculation 13 14 2 6" xfId="11144" xr:uid="{00000000-0005-0000-0000-0000692B0000}"/>
    <cellStyle name="Calculation 13 14 3" xfId="11145" xr:uid="{00000000-0005-0000-0000-00006A2B0000}"/>
    <cellStyle name="Calculation 13 14 3 2" xfId="11146" xr:uid="{00000000-0005-0000-0000-00006B2B0000}"/>
    <cellStyle name="Calculation 13 14 3 3" xfId="11147" xr:uid="{00000000-0005-0000-0000-00006C2B0000}"/>
    <cellStyle name="Calculation 13 14 3 4" xfId="11148" xr:uid="{00000000-0005-0000-0000-00006D2B0000}"/>
    <cellStyle name="Calculation 13 14 3 5" xfId="11149" xr:uid="{00000000-0005-0000-0000-00006E2B0000}"/>
    <cellStyle name="Calculation 13 14 3 6" xfId="11150" xr:uid="{00000000-0005-0000-0000-00006F2B0000}"/>
    <cellStyle name="Calculation 13 14 4" xfId="11151" xr:uid="{00000000-0005-0000-0000-0000702B0000}"/>
    <cellStyle name="Calculation 13 14 4 2" xfId="11152" xr:uid="{00000000-0005-0000-0000-0000712B0000}"/>
    <cellStyle name="Calculation 13 14 4 3" xfId="11153" xr:uid="{00000000-0005-0000-0000-0000722B0000}"/>
    <cellStyle name="Calculation 13 14 4 4" xfId="11154" xr:uid="{00000000-0005-0000-0000-0000732B0000}"/>
    <cellStyle name="Calculation 13 14 4 5" xfId="11155" xr:uid="{00000000-0005-0000-0000-0000742B0000}"/>
    <cellStyle name="Calculation 13 14 4 6" xfId="11156" xr:uid="{00000000-0005-0000-0000-0000752B0000}"/>
    <cellStyle name="Calculation 13 14 5" xfId="11157" xr:uid="{00000000-0005-0000-0000-0000762B0000}"/>
    <cellStyle name="Calculation 13 14 5 2" xfId="11158" xr:uid="{00000000-0005-0000-0000-0000772B0000}"/>
    <cellStyle name="Calculation 13 14 5 3" xfId="11159" xr:uid="{00000000-0005-0000-0000-0000782B0000}"/>
    <cellStyle name="Calculation 13 14 5 4" xfId="11160" xr:uid="{00000000-0005-0000-0000-0000792B0000}"/>
    <cellStyle name="Calculation 13 14 5 5" xfId="11161" xr:uid="{00000000-0005-0000-0000-00007A2B0000}"/>
    <cellStyle name="Calculation 13 14 5 6" xfId="11162" xr:uid="{00000000-0005-0000-0000-00007B2B0000}"/>
    <cellStyle name="Calculation 13 14 6" xfId="11163" xr:uid="{00000000-0005-0000-0000-00007C2B0000}"/>
    <cellStyle name="Calculation 13 14 6 2" xfId="11164" xr:uid="{00000000-0005-0000-0000-00007D2B0000}"/>
    <cellStyle name="Calculation 13 14 6 3" xfId="11165" xr:uid="{00000000-0005-0000-0000-00007E2B0000}"/>
    <cellStyle name="Calculation 13 14 6 4" xfId="11166" xr:uid="{00000000-0005-0000-0000-00007F2B0000}"/>
    <cellStyle name="Calculation 13 14 6 5" xfId="11167" xr:uid="{00000000-0005-0000-0000-0000802B0000}"/>
    <cellStyle name="Calculation 13 14 6 6" xfId="11168" xr:uid="{00000000-0005-0000-0000-0000812B0000}"/>
    <cellStyle name="Calculation 13 14 7" xfId="11169" xr:uid="{00000000-0005-0000-0000-0000822B0000}"/>
    <cellStyle name="Calculation 13 14 7 2" xfId="11170" xr:uid="{00000000-0005-0000-0000-0000832B0000}"/>
    <cellStyle name="Calculation 13 14 7 3" xfId="11171" xr:uid="{00000000-0005-0000-0000-0000842B0000}"/>
    <cellStyle name="Calculation 13 14 7 4" xfId="11172" xr:uid="{00000000-0005-0000-0000-0000852B0000}"/>
    <cellStyle name="Calculation 13 14 7 5" xfId="11173" xr:uid="{00000000-0005-0000-0000-0000862B0000}"/>
    <cellStyle name="Calculation 13 14 7 6" xfId="11174" xr:uid="{00000000-0005-0000-0000-0000872B0000}"/>
    <cellStyle name="Calculation 13 14 8" xfId="11175" xr:uid="{00000000-0005-0000-0000-0000882B0000}"/>
    <cellStyle name="Calculation 13 14 9" xfId="11176" xr:uid="{00000000-0005-0000-0000-0000892B0000}"/>
    <cellStyle name="Calculation 13 15" xfId="11177" xr:uid="{00000000-0005-0000-0000-00008A2B0000}"/>
    <cellStyle name="Calculation 13 15 10" xfId="11178" xr:uid="{00000000-0005-0000-0000-00008B2B0000}"/>
    <cellStyle name="Calculation 13 15 2" xfId="11179" xr:uid="{00000000-0005-0000-0000-00008C2B0000}"/>
    <cellStyle name="Calculation 13 15 2 2" xfId="11180" xr:uid="{00000000-0005-0000-0000-00008D2B0000}"/>
    <cellStyle name="Calculation 13 15 2 3" xfId="11181" xr:uid="{00000000-0005-0000-0000-00008E2B0000}"/>
    <cellStyle name="Calculation 13 15 2 4" xfId="11182" xr:uid="{00000000-0005-0000-0000-00008F2B0000}"/>
    <cellStyle name="Calculation 13 15 2 5" xfId="11183" xr:uid="{00000000-0005-0000-0000-0000902B0000}"/>
    <cellStyle name="Calculation 13 15 2 6" xfId="11184" xr:uid="{00000000-0005-0000-0000-0000912B0000}"/>
    <cellStyle name="Calculation 13 15 3" xfId="11185" xr:uid="{00000000-0005-0000-0000-0000922B0000}"/>
    <cellStyle name="Calculation 13 15 3 2" xfId="11186" xr:uid="{00000000-0005-0000-0000-0000932B0000}"/>
    <cellStyle name="Calculation 13 15 3 3" xfId="11187" xr:uid="{00000000-0005-0000-0000-0000942B0000}"/>
    <cellStyle name="Calculation 13 15 3 4" xfId="11188" xr:uid="{00000000-0005-0000-0000-0000952B0000}"/>
    <cellStyle name="Calculation 13 15 3 5" xfId="11189" xr:uid="{00000000-0005-0000-0000-0000962B0000}"/>
    <cellStyle name="Calculation 13 15 3 6" xfId="11190" xr:uid="{00000000-0005-0000-0000-0000972B0000}"/>
    <cellStyle name="Calculation 13 15 4" xfId="11191" xr:uid="{00000000-0005-0000-0000-0000982B0000}"/>
    <cellStyle name="Calculation 13 15 4 2" xfId="11192" xr:uid="{00000000-0005-0000-0000-0000992B0000}"/>
    <cellStyle name="Calculation 13 15 4 3" xfId="11193" xr:uid="{00000000-0005-0000-0000-00009A2B0000}"/>
    <cellStyle name="Calculation 13 15 4 4" xfId="11194" xr:uid="{00000000-0005-0000-0000-00009B2B0000}"/>
    <cellStyle name="Calculation 13 15 4 5" xfId="11195" xr:uid="{00000000-0005-0000-0000-00009C2B0000}"/>
    <cellStyle name="Calculation 13 15 4 6" xfId="11196" xr:uid="{00000000-0005-0000-0000-00009D2B0000}"/>
    <cellStyle name="Calculation 13 15 5" xfId="11197" xr:uid="{00000000-0005-0000-0000-00009E2B0000}"/>
    <cellStyle name="Calculation 13 15 5 2" xfId="11198" xr:uid="{00000000-0005-0000-0000-00009F2B0000}"/>
    <cellStyle name="Calculation 13 15 5 3" xfId="11199" xr:uid="{00000000-0005-0000-0000-0000A02B0000}"/>
    <cellStyle name="Calculation 13 15 5 4" xfId="11200" xr:uid="{00000000-0005-0000-0000-0000A12B0000}"/>
    <cellStyle name="Calculation 13 15 5 5" xfId="11201" xr:uid="{00000000-0005-0000-0000-0000A22B0000}"/>
    <cellStyle name="Calculation 13 15 5 6" xfId="11202" xr:uid="{00000000-0005-0000-0000-0000A32B0000}"/>
    <cellStyle name="Calculation 13 15 6" xfId="11203" xr:uid="{00000000-0005-0000-0000-0000A42B0000}"/>
    <cellStyle name="Calculation 13 15 6 2" xfId="11204" xr:uid="{00000000-0005-0000-0000-0000A52B0000}"/>
    <cellStyle name="Calculation 13 15 6 3" xfId="11205" xr:uid="{00000000-0005-0000-0000-0000A62B0000}"/>
    <cellStyle name="Calculation 13 15 6 4" xfId="11206" xr:uid="{00000000-0005-0000-0000-0000A72B0000}"/>
    <cellStyle name="Calculation 13 15 6 5" xfId="11207" xr:uid="{00000000-0005-0000-0000-0000A82B0000}"/>
    <cellStyle name="Calculation 13 15 6 6" xfId="11208" xr:uid="{00000000-0005-0000-0000-0000A92B0000}"/>
    <cellStyle name="Calculation 13 15 7" xfId="11209" xr:uid="{00000000-0005-0000-0000-0000AA2B0000}"/>
    <cellStyle name="Calculation 13 15 7 2" xfId="11210" xr:uid="{00000000-0005-0000-0000-0000AB2B0000}"/>
    <cellStyle name="Calculation 13 15 7 3" xfId="11211" xr:uid="{00000000-0005-0000-0000-0000AC2B0000}"/>
    <cellStyle name="Calculation 13 15 7 4" xfId="11212" xr:uid="{00000000-0005-0000-0000-0000AD2B0000}"/>
    <cellStyle name="Calculation 13 15 7 5" xfId="11213" xr:uid="{00000000-0005-0000-0000-0000AE2B0000}"/>
    <cellStyle name="Calculation 13 15 7 6" xfId="11214" xr:uid="{00000000-0005-0000-0000-0000AF2B0000}"/>
    <cellStyle name="Calculation 13 15 8" xfId="11215" xr:uid="{00000000-0005-0000-0000-0000B02B0000}"/>
    <cellStyle name="Calculation 13 15 9" xfId="11216" xr:uid="{00000000-0005-0000-0000-0000B12B0000}"/>
    <cellStyle name="Calculation 13 16" xfId="11217" xr:uid="{00000000-0005-0000-0000-0000B22B0000}"/>
    <cellStyle name="Calculation 13 16 10" xfId="11218" xr:uid="{00000000-0005-0000-0000-0000B32B0000}"/>
    <cellStyle name="Calculation 13 16 2" xfId="11219" xr:uid="{00000000-0005-0000-0000-0000B42B0000}"/>
    <cellStyle name="Calculation 13 16 2 2" xfId="11220" xr:uid="{00000000-0005-0000-0000-0000B52B0000}"/>
    <cellStyle name="Calculation 13 16 2 3" xfId="11221" xr:uid="{00000000-0005-0000-0000-0000B62B0000}"/>
    <cellStyle name="Calculation 13 16 2 4" xfId="11222" xr:uid="{00000000-0005-0000-0000-0000B72B0000}"/>
    <cellStyle name="Calculation 13 16 2 5" xfId="11223" xr:uid="{00000000-0005-0000-0000-0000B82B0000}"/>
    <cellStyle name="Calculation 13 16 2 6" xfId="11224" xr:uid="{00000000-0005-0000-0000-0000B92B0000}"/>
    <cellStyle name="Calculation 13 16 3" xfId="11225" xr:uid="{00000000-0005-0000-0000-0000BA2B0000}"/>
    <cellStyle name="Calculation 13 16 3 2" xfId="11226" xr:uid="{00000000-0005-0000-0000-0000BB2B0000}"/>
    <cellStyle name="Calculation 13 16 3 3" xfId="11227" xr:uid="{00000000-0005-0000-0000-0000BC2B0000}"/>
    <cellStyle name="Calculation 13 16 3 4" xfId="11228" xr:uid="{00000000-0005-0000-0000-0000BD2B0000}"/>
    <cellStyle name="Calculation 13 16 3 5" xfId="11229" xr:uid="{00000000-0005-0000-0000-0000BE2B0000}"/>
    <cellStyle name="Calculation 13 16 3 6" xfId="11230" xr:uid="{00000000-0005-0000-0000-0000BF2B0000}"/>
    <cellStyle name="Calculation 13 16 4" xfId="11231" xr:uid="{00000000-0005-0000-0000-0000C02B0000}"/>
    <cellStyle name="Calculation 13 16 4 2" xfId="11232" xr:uid="{00000000-0005-0000-0000-0000C12B0000}"/>
    <cellStyle name="Calculation 13 16 4 3" xfId="11233" xr:uid="{00000000-0005-0000-0000-0000C22B0000}"/>
    <cellStyle name="Calculation 13 16 4 4" xfId="11234" xr:uid="{00000000-0005-0000-0000-0000C32B0000}"/>
    <cellStyle name="Calculation 13 16 4 5" xfId="11235" xr:uid="{00000000-0005-0000-0000-0000C42B0000}"/>
    <cellStyle name="Calculation 13 16 4 6" xfId="11236" xr:uid="{00000000-0005-0000-0000-0000C52B0000}"/>
    <cellStyle name="Calculation 13 16 5" xfId="11237" xr:uid="{00000000-0005-0000-0000-0000C62B0000}"/>
    <cellStyle name="Calculation 13 16 5 2" xfId="11238" xr:uid="{00000000-0005-0000-0000-0000C72B0000}"/>
    <cellStyle name="Calculation 13 16 5 3" xfId="11239" xr:uid="{00000000-0005-0000-0000-0000C82B0000}"/>
    <cellStyle name="Calculation 13 16 5 4" xfId="11240" xr:uid="{00000000-0005-0000-0000-0000C92B0000}"/>
    <cellStyle name="Calculation 13 16 5 5" xfId="11241" xr:uid="{00000000-0005-0000-0000-0000CA2B0000}"/>
    <cellStyle name="Calculation 13 16 5 6" xfId="11242" xr:uid="{00000000-0005-0000-0000-0000CB2B0000}"/>
    <cellStyle name="Calculation 13 16 6" xfId="11243" xr:uid="{00000000-0005-0000-0000-0000CC2B0000}"/>
    <cellStyle name="Calculation 13 16 6 2" xfId="11244" xr:uid="{00000000-0005-0000-0000-0000CD2B0000}"/>
    <cellStyle name="Calculation 13 16 6 3" xfId="11245" xr:uid="{00000000-0005-0000-0000-0000CE2B0000}"/>
    <cellStyle name="Calculation 13 16 6 4" xfId="11246" xr:uid="{00000000-0005-0000-0000-0000CF2B0000}"/>
    <cellStyle name="Calculation 13 16 6 5" xfId="11247" xr:uid="{00000000-0005-0000-0000-0000D02B0000}"/>
    <cellStyle name="Calculation 13 16 6 6" xfId="11248" xr:uid="{00000000-0005-0000-0000-0000D12B0000}"/>
    <cellStyle name="Calculation 13 16 7" xfId="11249" xr:uid="{00000000-0005-0000-0000-0000D22B0000}"/>
    <cellStyle name="Calculation 13 16 7 2" xfId="11250" xr:uid="{00000000-0005-0000-0000-0000D32B0000}"/>
    <cellStyle name="Calculation 13 16 7 3" xfId="11251" xr:uid="{00000000-0005-0000-0000-0000D42B0000}"/>
    <cellStyle name="Calculation 13 16 7 4" xfId="11252" xr:uid="{00000000-0005-0000-0000-0000D52B0000}"/>
    <cellStyle name="Calculation 13 16 7 5" xfId="11253" xr:uid="{00000000-0005-0000-0000-0000D62B0000}"/>
    <cellStyle name="Calculation 13 16 7 6" xfId="11254" xr:uid="{00000000-0005-0000-0000-0000D72B0000}"/>
    <cellStyle name="Calculation 13 16 8" xfId="11255" xr:uid="{00000000-0005-0000-0000-0000D82B0000}"/>
    <cellStyle name="Calculation 13 16 9" xfId="11256" xr:uid="{00000000-0005-0000-0000-0000D92B0000}"/>
    <cellStyle name="Calculation 13 17" xfId="11257" xr:uid="{00000000-0005-0000-0000-0000DA2B0000}"/>
    <cellStyle name="Calculation 13 17 10" xfId="11258" xr:uid="{00000000-0005-0000-0000-0000DB2B0000}"/>
    <cellStyle name="Calculation 13 17 2" xfId="11259" xr:uid="{00000000-0005-0000-0000-0000DC2B0000}"/>
    <cellStyle name="Calculation 13 17 2 2" xfId="11260" xr:uid="{00000000-0005-0000-0000-0000DD2B0000}"/>
    <cellStyle name="Calculation 13 17 2 3" xfId="11261" xr:uid="{00000000-0005-0000-0000-0000DE2B0000}"/>
    <cellStyle name="Calculation 13 17 2 4" xfId="11262" xr:uid="{00000000-0005-0000-0000-0000DF2B0000}"/>
    <cellStyle name="Calculation 13 17 2 5" xfId="11263" xr:uid="{00000000-0005-0000-0000-0000E02B0000}"/>
    <cellStyle name="Calculation 13 17 2 6" xfId="11264" xr:uid="{00000000-0005-0000-0000-0000E12B0000}"/>
    <cellStyle name="Calculation 13 17 3" xfId="11265" xr:uid="{00000000-0005-0000-0000-0000E22B0000}"/>
    <cellStyle name="Calculation 13 17 3 2" xfId="11266" xr:uid="{00000000-0005-0000-0000-0000E32B0000}"/>
    <cellStyle name="Calculation 13 17 3 3" xfId="11267" xr:uid="{00000000-0005-0000-0000-0000E42B0000}"/>
    <cellStyle name="Calculation 13 17 3 4" xfId="11268" xr:uid="{00000000-0005-0000-0000-0000E52B0000}"/>
    <cellStyle name="Calculation 13 17 3 5" xfId="11269" xr:uid="{00000000-0005-0000-0000-0000E62B0000}"/>
    <cellStyle name="Calculation 13 17 3 6" xfId="11270" xr:uid="{00000000-0005-0000-0000-0000E72B0000}"/>
    <cellStyle name="Calculation 13 17 4" xfId="11271" xr:uid="{00000000-0005-0000-0000-0000E82B0000}"/>
    <cellStyle name="Calculation 13 17 4 2" xfId="11272" xr:uid="{00000000-0005-0000-0000-0000E92B0000}"/>
    <cellStyle name="Calculation 13 17 4 3" xfId="11273" xr:uid="{00000000-0005-0000-0000-0000EA2B0000}"/>
    <cellStyle name="Calculation 13 17 4 4" xfId="11274" xr:uid="{00000000-0005-0000-0000-0000EB2B0000}"/>
    <cellStyle name="Calculation 13 17 4 5" xfId="11275" xr:uid="{00000000-0005-0000-0000-0000EC2B0000}"/>
    <cellStyle name="Calculation 13 17 4 6" xfId="11276" xr:uid="{00000000-0005-0000-0000-0000ED2B0000}"/>
    <cellStyle name="Calculation 13 17 5" xfId="11277" xr:uid="{00000000-0005-0000-0000-0000EE2B0000}"/>
    <cellStyle name="Calculation 13 17 5 2" xfId="11278" xr:uid="{00000000-0005-0000-0000-0000EF2B0000}"/>
    <cellStyle name="Calculation 13 17 5 3" xfId="11279" xr:uid="{00000000-0005-0000-0000-0000F02B0000}"/>
    <cellStyle name="Calculation 13 17 5 4" xfId="11280" xr:uid="{00000000-0005-0000-0000-0000F12B0000}"/>
    <cellStyle name="Calculation 13 17 5 5" xfId="11281" xr:uid="{00000000-0005-0000-0000-0000F22B0000}"/>
    <cellStyle name="Calculation 13 17 5 6" xfId="11282" xr:uid="{00000000-0005-0000-0000-0000F32B0000}"/>
    <cellStyle name="Calculation 13 17 6" xfId="11283" xr:uid="{00000000-0005-0000-0000-0000F42B0000}"/>
    <cellStyle name="Calculation 13 17 6 2" xfId="11284" xr:uid="{00000000-0005-0000-0000-0000F52B0000}"/>
    <cellStyle name="Calculation 13 17 6 3" xfId="11285" xr:uid="{00000000-0005-0000-0000-0000F62B0000}"/>
    <cellStyle name="Calculation 13 17 6 4" xfId="11286" xr:uid="{00000000-0005-0000-0000-0000F72B0000}"/>
    <cellStyle name="Calculation 13 17 6 5" xfId="11287" xr:uid="{00000000-0005-0000-0000-0000F82B0000}"/>
    <cellStyle name="Calculation 13 17 6 6" xfId="11288" xr:uid="{00000000-0005-0000-0000-0000F92B0000}"/>
    <cellStyle name="Calculation 13 17 7" xfId="11289" xr:uid="{00000000-0005-0000-0000-0000FA2B0000}"/>
    <cellStyle name="Calculation 13 17 7 2" xfId="11290" xr:uid="{00000000-0005-0000-0000-0000FB2B0000}"/>
    <cellStyle name="Calculation 13 17 7 3" xfId="11291" xr:uid="{00000000-0005-0000-0000-0000FC2B0000}"/>
    <cellStyle name="Calculation 13 17 7 4" xfId="11292" xr:uid="{00000000-0005-0000-0000-0000FD2B0000}"/>
    <cellStyle name="Calculation 13 17 7 5" xfId="11293" xr:uid="{00000000-0005-0000-0000-0000FE2B0000}"/>
    <cellStyle name="Calculation 13 17 7 6" xfId="11294" xr:uid="{00000000-0005-0000-0000-0000FF2B0000}"/>
    <cellStyle name="Calculation 13 17 8" xfId="11295" xr:uid="{00000000-0005-0000-0000-0000002C0000}"/>
    <cellStyle name="Calculation 13 17 9" xfId="11296" xr:uid="{00000000-0005-0000-0000-0000012C0000}"/>
    <cellStyle name="Calculation 13 18" xfId="11297" xr:uid="{00000000-0005-0000-0000-0000022C0000}"/>
    <cellStyle name="Calculation 13 18 10" xfId="11298" xr:uid="{00000000-0005-0000-0000-0000032C0000}"/>
    <cellStyle name="Calculation 13 18 2" xfId="11299" xr:uid="{00000000-0005-0000-0000-0000042C0000}"/>
    <cellStyle name="Calculation 13 18 2 2" xfId="11300" xr:uid="{00000000-0005-0000-0000-0000052C0000}"/>
    <cellStyle name="Calculation 13 18 2 3" xfId="11301" xr:uid="{00000000-0005-0000-0000-0000062C0000}"/>
    <cellStyle name="Calculation 13 18 2 4" xfId="11302" xr:uid="{00000000-0005-0000-0000-0000072C0000}"/>
    <cellStyle name="Calculation 13 18 2 5" xfId="11303" xr:uid="{00000000-0005-0000-0000-0000082C0000}"/>
    <cellStyle name="Calculation 13 18 2 6" xfId="11304" xr:uid="{00000000-0005-0000-0000-0000092C0000}"/>
    <cellStyle name="Calculation 13 18 3" xfId="11305" xr:uid="{00000000-0005-0000-0000-00000A2C0000}"/>
    <cellStyle name="Calculation 13 18 3 2" xfId="11306" xr:uid="{00000000-0005-0000-0000-00000B2C0000}"/>
    <cellStyle name="Calculation 13 18 3 3" xfId="11307" xr:uid="{00000000-0005-0000-0000-00000C2C0000}"/>
    <cellStyle name="Calculation 13 18 3 4" xfId="11308" xr:uid="{00000000-0005-0000-0000-00000D2C0000}"/>
    <cellStyle name="Calculation 13 18 3 5" xfId="11309" xr:uid="{00000000-0005-0000-0000-00000E2C0000}"/>
    <cellStyle name="Calculation 13 18 3 6" xfId="11310" xr:uid="{00000000-0005-0000-0000-00000F2C0000}"/>
    <cellStyle name="Calculation 13 18 4" xfId="11311" xr:uid="{00000000-0005-0000-0000-0000102C0000}"/>
    <cellStyle name="Calculation 13 18 4 2" xfId="11312" xr:uid="{00000000-0005-0000-0000-0000112C0000}"/>
    <cellStyle name="Calculation 13 18 4 3" xfId="11313" xr:uid="{00000000-0005-0000-0000-0000122C0000}"/>
    <cellStyle name="Calculation 13 18 4 4" xfId="11314" xr:uid="{00000000-0005-0000-0000-0000132C0000}"/>
    <cellStyle name="Calculation 13 18 4 5" xfId="11315" xr:uid="{00000000-0005-0000-0000-0000142C0000}"/>
    <cellStyle name="Calculation 13 18 4 6" xfId="11316" xr:uid="{00000000-0005-0000-0000-0000152C0000}"/>
    <cellStyle name="Calculation 13 18 5" xfId="11317" xr:uid="{00000000-0005-0000-0000-0000162C0000}"/>
    <cellStyle name="Calculation 13 18 5 2" xfId="11318" xr:uid="{00000000-0005-0000-0000-0000172C0000}"/>
    <cellStyle name="Calculation 13 18 5 3" xfId="11319" xr:uid="{00000000-0005-0000-0000-0000182C0000}"/>
    <cellStyle name="Calculation 13 18 5 4" xfId="11320" xr:uid="{00000000-0005-0000-0000-0000192C0000}"/>
    <cellStyle name="Calculation 13 18 5 5" xfId="11321" xr:uid="{00000000-0005-0000-0000-00001A2C0000}"/>
    <cellStyle name="Calculation 13 18 5 6" xfId="11322" xr:uid="{00000000-0005-0000-0000-00001B2C0000}"/>
    <cellStyle name="Calculation 13 18 6" xfId="11323" xr:uid="{00000000-0005-0000-0000-00001C2C0000}"/>
    <cellStyle name="Calculation 13 18 6 2" xfId="11324" xr:uid="{00000000-0005-0000-0000-00001D2C0000}"/>
    <cellStyle name="Calculation 13 18 6 3" xfId="11325" xr:uid="{00000000-0005-0000-0000-00001E2C0000}"/>
    <cellStyle name="Calculation 13 18 6 4" xfId="11326" xr:uid="{00000000-0005-0000-0000-00001F2C0000}"/>
    <cellStyle name="Calculation 13 18 6 5" xfId="11327" xr:uid="{00000000-0005-0000-0000-0000202C0000}"/>
    <cellStyle name="Calculation 13 18 6 6" xfId="11328" xr:uid="{00000000-0005-0000-0000-0000212C0000}"/>
    <cellStyle name="Calculation 13 18 7" xfId="11329" xr:uid="{00000000-0005-0000-0000-0000222C0000}"/>
    <cellStyle name="Calculation 13 18 7 2" xfId="11330" xr:uid="{00000000-0005-0000-0000-0000232C0000}"/>
    <cellStyle name="Calculation 13 18 7 3" xfId="11331" xr:uid="{00000000-0005-0000-0000-0000242C0000}"/>
    <cellStyle name="Calculation 13 18 7 4" xfId="11332" xr:uid="{00000000-0005-0000-0000-0000252C0000}"/>
    <cellStyle name="Calculation 13 18 7 5" xfId="11333" xr:uid="{00000000-0005-0000-0000-0000262C0000}"/>
    <cellStyle name="Calculation 13 18 7 6" xfId="11334" xr:uid="{00000000-0005-0000-0000-0000272C0000}"/>
    <cellStyle name="Calculation 13 18 8" xfId="11335" xr:uid="{00000000-0005-0000-0000-0000282C0000}"/>
    <cellStyle name="Calculation 13 18 9" xfId="11336" xr:uid="{00000000-0005-0000-0000-0000292C0000}"/>
    <cellStyle name="Calculation 13 19" xfId="11337" xr:uid="{00000000-0005-0000-0000-00002A2C0000}"/>
    <cellStyle name="Calculation 13 19 10" xfId="11338" xr:uid="{00000000-0005-0000-0000-00002B2C0000}"/>
    <cellStyle name="Calculation 13 19 2" xfId="11339" xr:uid="{00000000-0005-0000-0000-00002C2C0000}"/>
    <cellStyle name="Calculation 13 19 2 2" xfId="11340" xr:uid="{00000000-0005-0000-0000-00002D2C0000}"/>
    <cellStyle name="Calculation 13 19 2 3" xfId="11341" xr:uid="{00000000-0005-0000-0000-00002E2C0000}"/>
    <cellStyle name="Calculation 13 19 2 4" xfId="11342" xr:uid="{00000000-0005-0000-0000-00002F2C0000}"/>
    <cellStyle name="Calculation 13 19 2 5" xfId="11343" xr:uid="{00000000-0005-0000-0000-0000302C0000}"/>
    <cellStyle name="Calculation 13 19 2 6" xfId="11344" xr:uid="{00000000-0005-0000-0000-0000312C0000}"/>
    <cellStyle name="Calculation 13 19 3" xfId="11345" xr:uid="{00000000-0005-0000-0000-0000322C0000}"/>
    <cellStyle name="Calculation 13 19 3 2" xfId="11346" xr:uid="{00000000-0005-0000-0000-0000332C0000}"/>
    <cellStyle name="Calculation 13 19 3 3" xfId="11347" xr:uid="{00000000-0005-0000-0000-0000342C0000}"/>
    <cellStyle name="Calculation 13 19 3 4" xfId="11348" xr:uid="{00000000-0005-0000-0000-0000352C0000}"/>
    <cellStyle name="Calculation 13 19 3 5" xfId="11349" xr:uid="{00000000-0005-0000-0000-0000362C0000}"/>
    <cellStyle name="Calculation 13 19 3 6" xfId="11350" xr:uid="{00000000-0005-0000-0000-0000372C0000}"/>
    <cellStyle name="Calculation 13 19 4" xfId="11351" xr:uid="{00000000-0005-0000-0000-0000382C0000}"/>
    <cellStyle name="Calculation 13 19 4 2" xfId="11352" xr:uid="{00000000-0005-0000-0000-0000392C0000}"/>
    <cellStyle name="Calculation 13 19 4 3" xfId="11353" xr:uid="{00000000-0005-0000-0000-00003A2C0000}"/>
    <cellStyle name="Calculation 13 19 4 4" xfId="11354" xr:uid="{00000000-0005-0000-0000-00003B2C0000}"/>
    <cellStyle name="Calculation 13 19 4 5" xfId="11355" xr:uid="{00000000-0005-0000-0000-00003C2C0000}"/>
    <cellStyle name="Calculation 13 19 4 6" xfId="11356" xr:uid="{00000000-0005-0000-0000-00003D2C0000}"/>
    <cellStyle name="Calculation 13 19 5" xfId="11357" xr:uid="{00000000-0005-0000-0000-00003E2C0000}"/>
    <cellStyle name="Calculation 13 19 5 2" xfId="11358" xr:uid="{00000000-0005-0000-0000-00003F2C0000}"/>
    <cellStyle name="Calculation 13 19 5 3" xfId="11359" xr:uid="{00000000-0005-0000-0000-0000402C0000}"/>
    <cellStyle name="Calculation 13 19 5 4" xfId="11360" xr:uid="{00000000-0005-0000-0000-0000412C0000}"/>
    <cellStyle name="Calculation 13 19 5 5" xfId="11361" xr:uid="{00000000-0005-0000-0000-0000422C0000}"/>
    <cellStyle name="Calculation 13 19 5 6" xfId="11362" xr:uid="{00000000-0005-0000-0000-0000432C0000}"/>
    <cellStyle name="Calculation 13 19 6" xfId="11363" xr:uid="{00000000-0005-0000-0000-0000442C0000}"/>
    <cellStyle name="Calculation 13 19 6 2" xfId="11364" xr:uid="{00000000-0005-0000-0000-0000452C0000}"/>
    <cellStyle name="Calculation 13 19 6 3" xfId="11365" xr:uid="{00000000-0005-0000-0000-0000462C0000}"/>
    <cellStyle name="Calculation 13 19 6 4" xfId="11366" xr:uid="{00000000-0005-0000-0000-0000472C0000}"/>
    <cellStyle name="Calculation 13 19 6 5" xfId="11367" xr:uid="{00000000-0005-0000-0000-0000482C0000}"/>
    <cellStyle name="Calculation 13 19 6 6" xfId="11368" xr:uid="{00000000-0005-0000-0000-0000492C0000}"/>
    <cellStyle name="Calculation 13 19 7" xfId="11369" xr:uid="{00000000-0005-0000-0000-00004A2C0000}"/>
    <cellStyle name="Calculation 13 19 7 2" xfId="11370" xr:uid="{00000000-0005-0000-0000-00004B2C0000}"/>
    <cellStyle name="Calculation 13 19 7 3" xfId="11371" xr:uid="{00000000-0005-0000-0000-00004C2C0000}"/>
    <cellStyle name="Calculation 13 19 7 4" xfId="11372" xr:uid="{00000000-0005-0000-0000-00004D2C0000}"/>
    <cellStyle name="Calculation 13 19 7 5" xfId="11373" xr:uid="{00000000-0005-0000-0000-00004E2C0000}"/>
    <cellStyle name="Calculation 13 19 7 6" xfId="11374" xr:uid="{00000000-0005-0000-0000-00004F2C0000}"/>
    <cellStyle name="Calculation 13 19 8" xfId="11375" xr:uid="{00000000-0005-0000-0000-0000502C0000}"/>
    <cellStyle name="Calculation 13 19 9" xfId="11376" xr:uid="{00000000-0005-0000-0000-0000512C0000}"/>
    <cellStyle name="Calculation 13 2" xfId="11377" xr:uid="{00000000-0005-0000-0000-0000522C0000}"/>
    <cellStyle name="Calculation 13 2 10" xfId="11378" xr:uid="{00000000-0005-0000-0000-0000532C0000}"/>
    <cellStyle name="Calculation 13 2 10 10" xfId="11379" xr:uid="{00000000-0005-0000-0000-0000542C0000}"/>
    <cellStyle name="Calculation 13 2 10 2" xfId="11380" xr:uid="{00000000-0005-0000-0000-0000552C0000}"/>
    <cellStyle name="Calculation 13 2 10 2 2" xfId="11381" xr:uid="{00000000-0005-0000-0000-0000562C0000}"/>
    <cellStyle name="Calculation 13 2 10 2 3" xfId="11382" xr:uid="{00000000-0005-0000-0000-0000572C0000}"/>
    <cellStyle name="Calculation 13 2 10 2 4" xfId="11383" xr:uid="{00000000-0005-0000-0000-0000582C0000}"/>
    <cellStyle name="Calculation 13 2 10 2 5" xfId="11384" xr:uid="{00000000-0005-0000-0000-0000592C0000}"/>
    <cellStyle name="Calculation 13 2 10 2 6" xfId="11385" xr:uid="{00000000-0005-0000-0000-00005A2C0000}"/>
    <cellStyle name="Calculation 13 2 10 3" xfId="11386" xr:uid="{00000000-0005-0000-0000-00005B2C0000}"/>
    <cellStyle name="Calculation 13 2 10 3 2" xfId="11387" xr:uid="{00000000-0005-0000-0000-00005C2C0000}"/>
    <cellStyle name="Calculation 13 2 10 3 3" xfId="11388" xr:uid="{00000000-0005-0000-0000-00005D2C0000}"/>
    <cellStyle name="Calculation 13 2 10 3 4" xfId="11389" xr:uid="{00000000-0005-0000-0000-00005E2C0000}"/>
    <cellStyle name="Calculation 13 2 10 3 5" xfId="11390" xr:uid="{00000000-0005-0000-0000-00005F2C0000}"/>
    <cellStyle name="Calculation 13 2 10 3 6" xfId="11391" xr:uid="{00000000-0005-0000-0000-0000602C0000}"/>
    <cellStyle name="Calculation 13 2 10 4" xfId="11392" xr:uid="{00000000-0005-0000-0000-0000612C0000}"/>
    <cellStyle name="Calculation 13 2 10 4 2" xfId="11393" xr:uid="{00000000-0005-0000-0000-0000622C0000}"/>
    <cellStyle name="Calculation 13 2 10 4 3" xfId="11394" xr:uid="{00000000-0005-0000-0000-0000632C0000}"/>
    <cellStyle name="Calculation 13 2 10 4 4" xfId="11395" xr:uid="{00000000-0005-0000-0000-0000642C0000}"/>
    <cellStyle name="Calculation 13 2 10 4 5" xfId="11396" xr:uid="{00000000-0005-0000-0000-0000652C0000}"/>
    <cellStyle name="Calculation 13 2 10 4 6" xfId="11397" xr:uid="{00000000-0005-0000-0000-0000662C0000}"/>
    <cellStyle name="Calculation 13 2 10 5" xfId="11398" xr:uid="{00000000-0005-0000-0000-0000672C0000}"/>
    <cellStyle name="Calculation 13 2 10 5 2" xfId="11399" xr:uid="{00000000-0005-0000-0000-0000682C0000}"/>
    <cellStyle name="Calculation 13 2 10 5 3" xfId="11400" xr:uid="{00000000-0005-0000-0000-0000692C0000}"/>
    <cellStyle name="Calculation 13 2 10 5 4" xfId="11401" xr:uid="{00000000-0005-0000-0000-00006A2C0000}"/>
    <cellStyle name="Calculation 13 2 10 5 5" xfId="11402" xr:uid="{00000000-0005-0000-0000-00006B2C0000}"/>
    <cellStyle name="Calculation 13 2 10 5 6" xfId="11403" xr:uid="{00000000-0005-0000-0000-00006C2C0000}"/>
    <cellStyle name="Calculation 13 2 10 6" xfId="11404" xr:uid="{00000000-0005-0000-0000-00006D2C0000}"/>
    <cellStyle name="Calculation 13 2 10 6 2" xfId="11405" xr:uid="{00000000-0005-0000-0000-00006E2C0000}"/>
    <cellStyle name="Calculation 13 2 10 6 3" xfId="11406" xr:uid="{00000000-0005-0000-0000-00006F2C0000}"/>
    <cellStyle name="Calculation 13 2 10 6 4" xfId="11407" xr:uid="{00000000-0005-0000-0000-0000702C0000}"/>
    <cellStyle name="Calculation 13 2 10 6 5" xfId="11408" xr:uid="{00000000-0005-0000-0000-0000712C0000}"/>
    <cellStyle name="Calculation 13 2 10 6 6" xfId="11409" xr:uid="{00000000-0005-0000-0000-0000722C0000}"/>
    <cellStyle name="Calculation 13 2 10 7" xfId="11410" xr:uid="{00000000-0005-0000-0000-0000732C0000}"/>
    <cellStyle name="Calculation 13 2 10 7 2" xfId="11411" xr:uid="{00000000-0005-0000-0000-0000742C0000}"/>
    <cellStyle name="Calculation 13 2 10 7 3" xfId="11412" xr:uid="{00000000-0005-0000-0000-0000752C0000}"/>
    <cellStyle name="Calculation 13 2 10 7 4" xfId="11413" xr:uid="{00000000-0005-0000-0000-0000762C0000}"/>
    <cellStyle name="Calculation 13 2 10 7 5" xfId="11414" xr:uid="{00000000-0005-0000-0000-0000772C0000}"/>
    <cellStyle name="Calculation 13 2 10 7 6" xfId="11415" xr:uid="{00000000-0005-0000-0000-0000782C0000}"/>
    <cellStyle name="Calculation 13 2 10 8" xfId="11416" xr:uid="{00000000-0005-0000-0000-0000792C0000}"/>
    <cellStyle name="Calculation 13 2 10 9" xfId="11417" xr:uid="{00000000-0005-0000-0000-00007A2C0000}"/>
    <cellStyle name="Calculation 13 2 11" xfId="11418" xr:uid="{00000000-0005-0000-0000-00007B2C0000}"/>
    <cellStyle name="Calculation 13 2 11 10" xfId="11419" xr:uid="{00000000-0005-0000-0000-00007C2C0000}"/>
    <cellStyle name="Calculation 13 2 11 2" xfId="11420" xr:uid="{00000000-0005-0000-0000-00007D2C0000}"/>
    <cellStyle name="Calculation 13 2 11 2 2" xfId="11421" xr:uid="{00000000-0005-0000-0000-00007E2C0000}"/>
    <cellStyle name="Calculation 13 2 11 2 3" xfId="11422" xr:uid="{00000000-0005-0000-0000-00007F2C0000}"/>
    <cellStyle name="Calculation 13 2 11 2 4" xfId="11423" xr:uid="{00000000-0005-0000-0000-0000802C0000}"/>
    <cellStyle name="Calculation 13 2 11 2 5" xfId="11424" xr:uid="{00000000-0005-0000-0000-0000812C0000}"/>
    <cellStyle name="Calculation 13 2 11 2 6" xfId="11425" xr:uid="{00000000-0005-0000-0000-0000822C0000}"/>
    <cellStyle name="Calculation 13 2 11 3" xfId="11426" xr:uid="{00000000-0005-0000-0000-0000832C0000}"/>
    <cellStyle name="Calculation 13 2 11 3 2" xfId="11427" xr:uid="{00000000-0005-0000-0000-0000842C0000}"/>
    <cellStyle name="Calculation 13 2 11 3 3" xfId="11428" xr:uid="{00000000-0005-0000-0000-0000852C0000}"/>
    <cellStyle name="Calculation 13 2 11 3 4" xfId="11429" xr:uid="{00000000-0005-0000-0000-0000862C0000}"/>
    <cellStyle name="Calculation 13 2 11 3 5" xfId="11430" xr:uid="{00000000-0005-0000-0000-0000872C0000}"/>
    <cellStyle name="Calculation 13 2 11 3 6" xfId="11431" xr:uid="{00000000-0005-0000-0000-0000882C0000}"/>
    <cellStyle name="Calculation 13 2 11 4" xfId="11432" xr:uid="{00000000-0005-0000-0000-0000892C0000}"/>
    <cellStyle name="Calculation 13 2 11 4 2" xfId="11433" xr:uid="{00000000-0005-0000-0000-00008A2C0000}"/>
    <cellStyle name="Calculation 13 2 11 4 3" xfId="11434" xr:uid="{00000000-0005-0000-0000-00008B2C0000}"/>
    <cellStyle name="Calculation 13 2 11 4 4" xfId="11435" xr:uid="{00000000-0005-0000-0000-00008C2C0000}"/>
    <cellStyle name="Calculation 13 2 11 4 5" xfId="11436" xr:uid="{00000000-0005-0000-0000-00008D2C0000}"/>
    <cellStyle name="Calculation 13 2 11 4 6" xfId="11437" xr:uid="{00000000-0005-0000-0000-00008E2C0000}"/>
    <cellStyle name="Calculation 13 2 11 5" xfId="11438" xr:uid="{00000000-0005-0000-0000-00008F2C0000}"/>
    <cellStyle name="Calculation 13 2 11 5 2" xfId="11439" xr:uid="{00000000-0005-0000-0000-0000902C0000}"/>
    <cellStyle name="Calculation 13 2 11 5 3" xfId="11440" xr:uid="{00000000-0005-0000-0000-0000912C0000}"/>
    <cellStyle name="Calculation 13 2 11 5 4" xfId="11441" xr:uid="{00000000-0005-0000-0000-0000922C0000}"/>
    <cellStyle name="Calculation 13 2 11 5 5" xfId="11442" xr:uid="{00000000-0005-0000-0000-0000932C0000}"/>
    <cellStyle name="Calculation 13 2 11 5 6" xfId="11443" xr:uid="{00000000-0005-0000-0000-0000942C0000}"/>
    <cellStyle name="Calculation 13 2 11 6" xfId="11444" xr:uid="{00000000-0005-0000-0000-0000952C0000}"/>
    <cellStyle name="Calculation 13 2 11 6 2" xfId="11445" xr:uid="{00000000-0005-0000-0000-0000962C0000}"/>
    <cellStyle name="Calculation 13 2 11 6 3" xfId="11446" xr:uid="{00000000-0005-0000-0000-0000972C0000}"/>
    <cellStyle name="Calculation 13 2 11 6 4" xfId="11447" xr:uid="{00000000-0005-0000-0000-0000982C0000}"/>
    <cellStyle name="Calculation 13 2 11 6 5" xfId="11448" xr:uid="{00000000-0005-0000-0000-0000992C0000}"/>
    <cellStyle name="Calculation 13 2 11 6 6" xfId="11449" xr:uid="{00000000-0005-0000-0000-00009A2C0000}"/>
    <cellStyle name="Calculation 13 2 11 7" xfId="11450" xr:uid="{00000000-0005-0000-0000-00009B2C0000}"/>
    <cellStyle name="Calculation 13 2 11 7 2" xfId="11451" xr:uid="{00000000-0005-0000-0000-00009C2C0000}"/>
    <cellStyle name="Calculation 13 2 11 7 3" xfId="11452" xr:uid="{00000000-0005-0000-0000-00009D2C0000}"/>
    <cellStyle name="Calculation 13 2 11 7 4" xfId="11453" xr:uid="{00000000-0005-0000-0000-00009E2C0000}"/>
    <cellStyle name="Calculation 13 2 11 7 5" xfId="11454" xr:uid="{00000000-0005-0000-0000-00009F2C0000}"/>
    <cellStyle name="Calculation 13 2 11 7 6" xfId="11455" xr:uid="{00000000-0005-0000-0000-0000A02C0000}"/>
    <cellStyle name="Calculation 13 2 11 8" xfId="11456" xr:uid="{00000000-0005-0000-0000-0000A12C0000}"/>
    <cellStyle name="Calculation 13 2 11 9" xfId="11457" xr:uid="{00000000-0005-0000-0000-0000A22C0000}"/>
    <cellStyle name="Calculation 13 2 12" xfId="11458" xr:uid="{00000000-0005-0000-0000-0000A32C0000}"/>
    <cellStyle name="Calculation 13 2 12 10" xfId="11459" xr:uid="{00000000-0005-0000-0000-0000A42C0000}"/>
    <cellStyle name="Calculation 13 2 12 2" xfId="11460" xr:uid="{00000000-0005-0000-0000-0000A52C0000}"/>
    <cellStyle name="Calculation 13 2 12 2 2" xfId="11461" xr:uid="{00000000-0005-0000-0000-0000A62C0000}"/>
    <cellStyle name="Calculation 13 2 12 2 3" xfId="11462" xr:uid="{00000000-0005-0000-0000-0000A72C0000}"/>
    <cellStyle name="Calculation 13 2 12 2 4" xfId="11463" xr:uid="{00000000-0005-0000-0000-0000A82C0000}"/>
    <cellStyle name="Calculation 13 2 12 2 5" xfId="11464" xr:uid="{00000000-0005-0000-0000-0000A92C0000}"/>
    <cellStyle name="Calculation 13 2 12 2 6" xfId="11465" xr:uid="{00000000-0005-0000-0000-0000AA2C0000}"/>
    <cellStyle name="Calculation 13 2 12 3" xfId="11466" xr:uid="{00000000-0005-0000-0000-0000AB2C0000}"/>
    <cellStyle name="Calculation 13 2 12 3 2" xfId="11467" xr:uid="{00000000-0005-0000-0000-0000AC2C0000}"/>
    <cellStyle name="Calculation 13 2 12 3 3" xfId="11468" xr:uid="{00000000-0005-0000-0000-0000AD2C0000}"/>
    <cellStyle name="Calculation 13 2 12 3 4" xfId="11469" xr:uid="{00000000-0005-0000-0000-0000AE2C0000}"/>
    <cellStyle name="Calculation 13 2 12 3 5" xfId="11470" xr:uid="{00000000-0005-0000-0000-0000AF2C0000}"/>
    <cellStyle name="Calculation 13 2 12 3 6" xfId="11471" xr:uid="{00000000-0005-0000-0000-0000B02C0000}"/>
    <cellStyle name="Calculation 13 2 12 4" xfId="11472" xr:uid="{00000000-0005-0000-0000-0000B12C0000}"/>
    <cellStyle name="Calculation 13 2 12 4 2" xfId="11473" xr:uid="{00000000-0005-0000-0000-0000B22C0000}"/>
    <cellStyle name="Calculation 13 2 12 4 3" xfId="11474" xr:uid="{00000000-0005-0000-0000-0000B32C0000}"/>
    <cellStyle name="Calculation 13 2 12 4 4" xfId="11475" xr:uid="{00000000-0005-0000-0000-0000B42C0000}"/>
    <cellStyle name="Calculation 13 2 12 4 5" xfId="11476" xr:uid="{00000000-0005-0000-0000-0000B52C0000}"/>
    <cellStyle name="Calculation 13 2 12 4 6" xfId="11477" xr:uid="{00000000-0005-0000-0000-0000B62C0000}"/>
    <cellStyle name="Calculation 13 2 12 5" xfId="11478" xr:uid="{00000000-0005-0000-0000-0000B72C0000}"/>
    <cellStyle name="Calculation 13 2 12 5 2" xfId="11479" xr:uid="{00000000-0005-0000-0000-0000B82C0000}"/>
    <cellStyle name="Calculation 13 2 12 5 3" xfId="11480" xr:uid="{00000000-0005-0000-0000-0000B92C0000}"/>
    <cellStyle name="Calculation 13 2 12 5 4" xfId="11481" xr:uid="{00000000-0005-0000-0000-0000BA2C0000}"/>
    <cellStyle name="Calculation 13 2 12 5 5" xfId="11482" xr:uid="{00000000-0005-0000-0000-0000BB2C0000}"/>
    <cellStyle name="Calculation 13 2 12 5 6" xfId="11483" xr:uid="{00000000-0005-0000-0000-0000BC2C0000}"/>
    <cellStyle name="Calculation 13 2 12 6" xfId="11484" xr:uid="{00000000-0005-0000-0000-0000BD2C0000}"/>
    <cellStyle name="Calculation 13 2 12 6 2" xfId="11485" xr:uid="{00000000-0005-0000-0000-0000BE2C0000}"/>
    <cellStyle name="Calculation 13 2 12 6 3" xfId="11486" xr:uid="{00000000-0005-0000-0000-0000BF2C0000}"/>
    <cellStyle name="Calculation 13 2 12 6 4" xfId="11487" xr:uid="{00000000-0005-0000-0000-0000C02C0000}"/>
    <cellStyle name="Calculation 13 2 12 6 5" xfId="11488" xr:uid="{00000000-0005-0000-0000-0000C12C0000}"/>
    <cellStyle name="Calculation 13 2 12 6 6" xfId="11489" xr:uid="{00000000-0005-0000-0000-0000C22C0000}"/>
    <cellStyle name="Calculation 13 2 12 7" xfId="11490" xr:uid="{00000000-0005-0000-0000-0000C32C0000}"/>
    <cellStyle name="Calculation 13 2 12 7 2" xfId="11491" xr:uid="{00000000-0005-0000-0000-0000C42C0000}"/>
    <cellStyle name="Calculation 13 2 12 7 3" xfId="11492" xr:uid="{00000000-0005-0000-0000-0000C52C0000}"/>
    <cellStyle name="Calculation 13 2 12 7 4" xfId="11493" xr:uid="{00000000-0005-0000-0000-0000C62C0000}"/>
    <cellStyle name="Calculation 13 2 12 7 5" xfId="11494" xr:uid="{00000000-0005-0000-0000-0000C72C0000}"/>
    <cellStyle name="Calculation 13 2 12 7 6" xfId="11495" xr:uid="{00000000-0005-0000-0000-0000C82C0000}"/>
    <cellStyle name="Calculation 13 2 12 8" xfId="11496" xr:uid="{00000000-0005-0000-0000-0000C92C0000}"/>
    <cellStyle name="Calculation 13 2 12 9" xfId="11497" xr:uid="{00000000-0005-0000-0000-0000CA2C0000}"/>
    <cellStyle name="Calculation 13 2 13" xfId="11498" xr:uid="{00000000-0005-0000-0000-0000CB2C0000}"/>
    <cellStyle name="Calculation 13 2 13 10" xfId="11499" xr:uid="{00000000-0005-0000-0000-0000CC2C0000}"/>
    <cellStyle name="Calculation 13 2 13 2" xfId="11500" xr:uid="{00000000-0005-0000-0000-0000CD2C0000}"/>
    <cellStyle name="Calculation 13 2 13 2 2" xfId="11501" xr:uid="{00000000-0005-0000-0000-0000CE2C0000}"/>
    <cellStyle name="Calculation 13 2 13 2 3" xfId="11502" xr:uid="{00000000-0005-0000-0000-0000CF2C0000}"/>
    <cellStyle name="Calculation 13 2 13 2 4" xfId="11503" xr:uid="{00000000-0005-0000-0000-0000D02C0000}"/>
    <cellStyle name="Calculation 13 2 13 2 5" xfId="11504" xr:uid="{00000000-0005-0000-0000-0000D12C0000}"/>
    <cellStyle name="Calculation 13 2 13 2 6" xfId="11505" xr:uid="{00000000-0005-0000-0000-0000D22C0000}"/>
    <cellStyle name="Calculation 13 2 13 3" xfId="11506" xr:uid="{00000000-0005-0000-0000-0000D32C0000}"/>
    <cellStyle name="Calculation 13 2 13 3 2" xfId="11507" xr:uid="{00000000-0005-0000-0000-0000D42C0000}"/>
    <cellStyle name="Calculation 13 2 13 3 3" xfId="11508" xr:uid="{00000000-0005-0000-0000-0000D52C0000}"/>
    <cellStyle name="Calculation 13 2 13 3 4" xfId="11509" xr:uid="{00000000-0005-0000-0000-0000D62C0000}"/>
    <cellStyle name="Calculation 13 2 13 3 5" xfId="11510" xr:uid="{00000000-0005-0000-0000-0000D72C0000}"/>
    <cellStyle name="Calculation 13 2 13 3 6" xfId="11511" xr:uid="{00000000-0005-0000-0000-0000D82C0000}"/>
    <cellStyle name="Calculation 13 2 13 4" xfId="11512" xr:uid="{00000000-0005-0000-0000-0000D92C0000}"/>
    <cellStyle name="Calculation 13 2 13 4 2" xfId="11513" xr:uid="{00000000-0005-0000-0000-0000DA2C0000}"/>
    <cellStyle name="Calculation 13 2 13 4 3" xfId="11514" xr:uid="{00000000-0005-0000-0000-0000DB2C0000}"/>
    <cellStyle name="Calculation 13 2 13 4 4" xfId="11515" xr:uid="{00000000-0005-0000-0000-0000DC2C0000}"/>
    <cellStyle name="Calculation 13 2 13 4 5" xfId="11516" xr:uid="{00000000-0005-0000-0000-0000DD2C0000}"/>
    <cellStyle name="Calculation 13 2 13 4 6" xfId="11517" xr:uid="{00000000-0005-0000-0000-0000DE2C0000}"/>
    <cellStyle name="Calculation 13 2 13 5" xfId="11518" xr:uid="{00000000-0005-0000-0000-0000DF2C0000}"/>
    <cellStyle name="Calculation 13 2 13 5 2" xfId="11519" xr:uid="{00000000-0005-0000-0000-0000E02C0000}"/>
    <cellStyle name="Calculation 13 2 13 5 3" xfId="11520" xr:uid="{00000000-0005-0000-0000-0000E12C0000}"/>
    <cellStyle name="Calculation 13 2 13 5 4" xfId="11521" xr:uid="{00000000-0005-0000-0000-0000E22C0000}"/>
    <cellStyle name="Calculation 13 2 13 5 5" xfId="11522" xr:uid="{00000000-0005-0000-0000-0000E32C0000}"/>
    <cellStyle name="Calculation 13 2 13 5 6" xfId="11523" xr:uid="{00000000-0005-0000-0000-0000E42C0000}"/>
    <cellStyle name="Calculation 13 2 13 6" xfId="11524" xr:uid="{00000000-0005-0000-0000-0000E52C0000}"/>
    <cellStyle name="Calculation 13 2 13 6 2" xfId="11525" xr:uid="{00000000-0005-0000-0000-0000E62C0000}"/>
    <cellStyle name="Calculation 13 2 13 6 3" xfId="11526" xr:uid="{00000000-0005-0000-0000-0000E72C0000}"/>
    <cellStyle name="Calculation 13 2 13 6 4" xfId="11527" xr:uid="{00000000-0005-0000-0000-0000E82C0000}"/>
    <cellStyle name="Calculation 13 2 13 6 5" xfId="11528" xr:uid="{00000000-0005-0000-0000-0000E92C0000}"/>
    <cellStyle name="Calculation 13 2 13 6 6" xfId="11529" xr:uid="{00000000-0005-0000-0000-0000EA2C0000}"/>
    <cellStyle name="Calculation 13 2 13 7" xfId="11530" xr:uid="{00000000-0005-0000-0000-0000EB2C0000}"/>
    <cellStyle name="Calculation 13 2 13 7 2" xfId="11531" xr:uid="{00000000-0005-0000-0000-0000EC2C0000}"/>
    <cellStyle name="Calculation 13 2 13 7 3" xfId="11532" xr:uid="{00000000-0005-0000-0000-0000ED2C0000}"/>
    <cellStyle name="Calculation 13 2 13 7 4" xfId="11533" xr:uid="{00000000-0005-0000-0000-0000EE2C0000}"/>
    <cellStyle name="Calculation 13 2 13 7 5" xfId="11534" xr:uid="{00000000-0005-0000-0000-0000EF2C0000}"/>
    <cellStyle name="Calculation 13 2 13 7 6" xfId="11535" xr:uid="{00000000-0005-0000-0000-0000F02C0000}"/>
    <cellStyle name="Calculation 13 2 13 8" xfId="11536" xr:uid="{00000000-0005-0000-0000-0000F12C0000}"/>
    <cellStyle name="Calculation 13 2 13 9" xfId="11537" xr:uid="{00000000-0005-0000-0000-0000F22C0000}"/>
    <cellStyle name="Calculation 13 2 14" xfId="11538" xr:uid="{00000000-0005-0000-0000-0000F32C0000}"/>
    <cellStyle name="Calculation 13 2 14 10" xfId="11539" xr:uid="{00000000-0005-0000-0000-0000F42C0000}"/>
    <cellStyle name="Calculation 13 2 14 2" xfId="11540" xr:uid="{00000000-0005-0000-0000-0000F52C0000}"/>
    <cellStyle name="Calculation 13 2 14 2 2" xfId="11541" xr:uid="{00000000-0005-0000-0000-0000F62C0000}"/>
    <cellStyle name="Calculation 13 2 14 2 3" xfId="11542" xr:uid="{00000000-0005-0000-0000-0000F72C0000}"/>
    <cellStyle name="Calculation 13 2 14 2 4" xfId="11543" xr:uid="{00000000-0005-0000-0000-0000F82C0000}"/>
    <cellStyle name="Calculation 13 2 14 2 5" xfId="11544" xr:uid="{00000000-0005-0000-0000-0000F92C0000}"/>
    <cellStyle name="Calculation 13 2 14 2 6" xfId="11545" xr:uid="{00000000-0005-0000-0000-0000FA2C0000}"/>
    <cellStyle name="Calculation 13 2 14 3" xfId="11546" xr:uid="{00000000-0005-0000-0000-0000FB2C0000}"/>
    <cellStyle name="Calculation 13 2 14 3 2" xfId="11547" xr:uid="{00000000-0005-0000-0000-0000FC2C0000}"/>
    <cellStyle name="Calculation 13 2 14 3 3" xfId="11548" xr:uid="{00000000-0005-0000-0000-0000FD2C0000}"/>
    <cellStyle name="Calculation 13 2 14 3 4" xfId="11549" xr:uid="{00000000-0005-0000-0000-0000FE2C0000}"/>
    <cellStyle name="Calculation 13 2 14 3 5" xfId="11550" xr:uid="{00000000-0005-0000-0000-0000FF2C0000}"/>
    <cellStyle name="Calculation 13 2 14 3 6" xfId="11551" xr:uid="{00000000-0005-0000-0000-0000002D0000}"/>
    <cellStyle name="Calculation 13 2 14 4" xfId="11552" xr:uid="{00000000-0005-0000-0000-0000012D0000}"/>
    <cellStyle name="Calculation 13 2 14 4 2" xfId="11553" xr:uid="{00000000-0005-0000-0000-0000022D0000}"/>
    <cellStyle name="Calculation 13 2 14 4 3" xfId="11554" xr:uid="{00000000-0005-0000-0000-0000032D0000}"/>
    <cellStyle name="Calculation 13 2 14 4 4" xfId="11555" xr:uid="{00000000-0005-0000-0000-0000042D0000}"/>
    <cellStyle name="Calculation 13 2 14 4 5" xfId="11556" xr:uid="{00000000-0005-0000-0000-0000052D0000}"/>
    <cellStyle name="Calculation 13 2 14 4 6" xfId="11557" xr:uid="{00000000-0005-0000-0000-0000062D0000}"/>
    <cellStyle name="Calculation 13 2 14 5" xfId="11558" xr:uid="{00000000-0005-0000-0000-0000072D0000}"/>
    <cellStyle name="Calculation 13 2 14 5 2" xfId="11559" xr:uid="{00000000-0005-0000-0000-0000082D0000}"/>
    <cellStyle name="Calculation 13 2 14 5 3" xfId="11560" xr:uid="{00000000-0005-0000-0000-0000092D0000}"/>
    <cellStyle name="Calculation 13 2 14 5 4" xfId="11561" xr:uid="{00000000-0005-0000-0000-00000A2D0000}"/>
    <cellStyle name="Calculation 13 2 14 5 5" xfId="11562" xr:uid="{00000000-0005-0000-0000-00000B2D0000}"/>
    <cellStyle name="Calculation 13 2 14 5 6" xfId="11563" xr:uid="{00000000-0005-0000-0000-00000C2D0000}"/>
    <cellStyle name="Calculation 13 2 14 6" xfId="11564" xr:uid="{00000000-0005-0000-0000-00000D2D0000}"/>
    <cellStyle name="Calculation 13 2 14 6 2" xfId="11565" xr:uid="{00000000-0005-0000-0000-00000E2D0000}"/>
    <cellStyle name="Calculation 13 2 14 6 3" xfId="11566" xr:uid="{00000000-0005-0000-0000-00000F2D0000}"/>
    <cellStyle name="Calculation 13 2 14 6 4" xfId="11567" xr:uid="{00000000-0005-0000-0000-0000102D0000}"/>
    <cellStyle name="Calculation 13 2 14 6 5" xfId="11568" xr:uid="{00000000-0005-0000-0000-0000112D0000}"/>
    <cellStyle name="Calculation 13 2 14 6 6" xfId="11569" xr:uid="{00000000-0005-0000-0000-0000122D0000}"/>
    <cellStyle name="Calculation 13 2 14 7" xfId="11570" xr:uid="{00000000-0005-0000-0000-0000132D0000}"/>
    <cellStyle name="Calculation 13 2 14 7 2" xfId="11571" xr:uid="{00000000-0005-0000-0000-0000142D0000}"/>
    <cellStyle name="Calculation 13 2 14 7 3" xfId="11572" xr:uid="{00000000-0005-0000-0000-0000152D0000}"/>
    <cellStyle name="Calculation 13 2 14 7 4" xfId="11573" xr:uid="{00000000-0005-0000-0000-0000162D0000}"/>
    <cellStyle name="Calculation 13 2 14 7 5" xfId="11574" xr:uid="{00000000-0005-0000-0000-0000172D0000}"/>
    <cellStyle name="Calculation 13 2 14 7 6" xfId="11575" xr:uid="{00000000-0005-0000-0000-0000182D0000}"/>
    <cellStyle name="Calculation 13 2 14 8" xfId="11576" xr:uid="{00000000-0005-0000-0000-0000192D0000}"/>
    <cellStyle name="Calculation 13 2 14 9" xfId="11577" xr:uid="{00000000-0005-0000-0000-00001A2D0000}"/>
    <cellStyle name="Calculation 13 2 15" xfId="11578" xr:uid="{00000000-0005-0000-0000-00001B2D0000}"/>
    <cellStyle name="Calculation 13 2 15 10" xfId="11579" xr:uid="{00000000-0005-0000-0000-00001C2D0000}"/>
    <cellStyle name="Calculation 13 2 15 2" xfId="11580" xr:uid="{00000000-0005-0000-0000-00001D2D0000}"/>
    <cellStyle name="Calculation 13 2 15 2 2" xfId="11581" xr:uid="{00000000-0005-0000-0000-00001E2D0000}"/>
    <cellStyle name="Calculation 13 2 15 2 3" xfId="11582" xr:uid="{00000000-0005-0000-0000-00001F2D0000}"/>
    <cellStyle name="Calculation 13 2 15 2 4" xfId="11583" xr:uid="{00000000-0005-0000-0000-0000202D0000}"/>
    <cellStyle name="Calculation 13 2 15 2 5" xfId="11584" xr:uid="{00000000-0005-0000-0000-0000212D0000}"/>
    <cellStyle name="Calculation 13 2 15 2 6" xfId="11585" xr:uid="{00000000-0005-0000-0000-0000222D0000}"/>
    <cellStyle name="Calculation 13 2 15 3" xfId="11586" xr:uid="{00000000-0005-0000-0000-0000232D0000}"/>
    <cellStyle name="Calculation 13 2 15 3 2" xfId="11587" xr:uid="{00000000-0005-0000-0000-0000242D0000}"/>
    <cellStyle name="Calculation 13 2 15 3 3" xfId="11588" xr:uid="{00000000-0005-0000-0000-0000252D0000}"/>
    <cellStyle name="Calculation 13 2 15 3 4" xfId="11589" xr:uid="{00000000-0005-0000-0000-0000262D0000}"/>
    <cellStyle name="Calculation 13 2 15 3 5" xfId="11590" xr:uid="{00000000-0005-0000-0000-0000272D0000}"/>
    <cellStyle name="Calculation 13 2 15 3 6" xfId="11591" xr:uid="{00000000-0005-0000-0000-0000282D0000}"/>
    <cellStyle name="Calculation 13 2 15 4" xfId="11592" xr:uid="{00000000-0005-0000-0000-0000292D0000}"/>
    <cellStyle name="Calculation 13 2 15 4 2" xfId="11593" xr:uid="{00000000-0005-0000-0000-00002A2D0000}"/>
    <cellStyle name="Calculation 13 2 15 4 3" xfId="11594" xr:uid="{00000000-0005-0000-0000-00002B2D0000}"/>
    <cellStyle name="Calculation 13 2 15 4 4" xfId="11595" xr:uid="{00000000-0005-0000-0000-00002C2D0000}"/>
    <cellStyle name="Calculation 13 2 15 4 5" xfId="11596" xr:uid="{00000000-0005-0000-0000-00002D2D0000}"/>
    <cellStyle name="Calculation 13 2 15 4 6" xfId="11597" xr:uid="{00000000-0005-0000-0000-00002E2D0000}"/>
    <cellStyle name="Calculation 13 2 15 5" xfId="11598" xr:uid="{00000000-0005-0000-0000-00002F2D0000}"/>
    <cellStyle name="Calculation 13 2 15 5 2" xfId="11599" xr:uid="{00000000-0005-0000-0000-0000302D0000}"/>
    <cellStyle name="Calculation 13 2 15 5 3" xfId="11600" xr:uid="{00000000-0005-0000-0000-0000312D0000}"/>
    <cellStyle name="Calculation 13 2 15 5 4" xfId="11601" xr:uid="{00000000-0005-0000-0000-0000322D0000}"/>
    <cellStyle name="Calculation 13 2 15 5 5" xfId="11602" xr:uid="{00000000-0005-0000-0000-0000332D0000}"/>
    <cellStyle name="Calculation 13 2 15 5 6" xfId="11603" xr:uid="{00000000-0005-0000-0000-0000342D0000}"/>
    <cellStyle name="Calculation 13 2 15 6" xfId="11604" xr:uid="{00000000-0005-0000-0000-0000352D0000}"/>
    <cellStyle name="Calculation 13 2 15 6 2" xfId="11605" xr:uid="{00000000-0005-0000-0000-0000362D0000}"/>
    <cellStyle name="Calculation 13 2 15 6 3" xfId="11606" xr:uid="{00000000-0005-0000-0000-0000372D0000}"/>
    <cellStyle name="Calculation 13 2 15 6 4" xfId="11607" xr:uid="{00000000-0005-0000-0000-0000382D0000}"/>
    <cellStyle name="Calculation 13 2 15 6 5" xfId="11608" xr:uid="{00000000-0005-0000-0000-0000392D0000}"/>
    <cellStyle name="Calculation 13 2 15 6 6" xfId="11609" xr:uid="{00000000-0005-0000-0000-00003A2D0000}"/>
    <cellStyle name="Calculation 13 2 15 7" xfId="11610" xr:uid="{00000000-0005-0000-0000-00003B2D0000}"/>
    <cellStyle name="Calculation 13 2 15 7 2" xfId="11611" xr:uid="{00000000-0005-0000-0000-00003C2D0000}"/>
    <cellStyle name="Calculation 13 2 15 7 3" xfId="11612" xr:uid="{00000000-0005-0000-0000-00003D2D0000}"/>
    <cellStyle name="Calculation 13 2 15 7 4" xfId="11613" xr:uid="{00000000-0005-0000-0000-00003E2D0000}"/>
    <cellStyle name="Calculation 13 2 15 7 5" xfId="11614" xr:uid="{00000000-0005-0000-0000-00003F2D0000}"/>
    <cellStyle name="Calculation 13 2 15 7 6" xfId="11615" xr:uid="{00000000-0005-0000-0000-0000402D0000}"/>
    <cellStyle name="Calculation 13 2 15 8" xfId="11616" xr:uid="{00000000-0005-0000-0000-0000412D0000}"/>
    <cellStyle name="Calculation 13 2 15 9" xfId="11617" xr:uid="{00000000-0005-0000-0000-0000422D0000}"/>
    <cellStyle name="Calculation 13 2 16" xfId="11618" xr:uid="{00000000-0005-0000-0000-0000432D0000}"/>
    <cellStyle name="Calculation 13 2 16 10" xfId="11619" xr:uid="{00000000-0005-0000-0000-0000442D0000}"/>
    <cellStyle name="Calculation 13 2 16 2" xfId="11620" xr:uid="{00000000-0005-0000-0000-0000452D0000}"/>
    <cellStyle name="Calculation 13 2 16 2 2" xfId="11621" xr:uid="{00000000-0005-0000-0000-0000462D0000}"/>
    <cellStyle name="Calculation 13 2 16 2 3" xfId="11622" xr:uid="{00000000-0005-0000-0000-0000472D0000}"/>
    <cellStyle name="Calculation 13 2 16 2 4" xfId="11623" xr:uid="{00000000-0005-0000-0000-0000482D0000}"/>
    <cellStyle name="Calculation 13 2 16 2 5" xfId="11624" xr:uid="{00000000-0005-0000-0000-0000492D0000}"/>
    <cellStyle name="Calculation 13 2 16 2 6" xfId="11625" xr:uid="{00000000-0005-0000-0000-00004A2D0000}"/>
    <cellStyle name="Calculation 13 2 16 3" xfId="11626" xr:uid="{00000000-0005-0000-0000-00004B2D0000}"/>
    <cellStyle name="Calculation 13 2 16 3 2" xfId="11627" xr:uid="{00000000-0005-0000-0000-00004C2D0000}"/>
    <cellStyle name="Calculation 13 2 16 3 3" xfId="11628" xr:uid="{00000000-0005-0000-0000-00004D2D0000}"/>
    <cellStyle name="Calculation 13 2 16 3 4" xfId="11629" xr:uid="{00000000-0005-0000-0000-00004E2D0000}"/>
    <cellStyle name="Calculation 13 2 16 3 5" xfId="11630" xr:uid="{00000000-0005-0000-0000-00004F2D0000}"/>
    <cellStyle name="Calculation 13 2 16 3 6" xfId="11631" xr:uid="{00000000-0005-0000-0000-0000502D0000}"/>
    <cellStyle name="Calculation 13 2 16 4" xfId="11632" xr:uid="{00000000-0005-0000-0000-0000512D0000}"/>
    <cellStyle name="Calculation 13 2 16 4 2" xfId="11633" xr:uid="{00000000-0005-0000-0000-0000522D0000}"/>
    <cellStyle name="Calculation 13 2 16 4 3" xfId="11634" xr:uid="{00000000-0005-0000-0000-0000532D0000}"/>
    <cellStyle name="Calculation 13 2 16 4 4" xfId="11635" xr:uid="{00000000-0005-0000-0000-0000542D0000}"/>
    <cellStyle name="Calculation 13 2 16 4 5" xfId="11636" xr:uid="{00000000-0005-0000-0000-0000552D0000}"/>
    <cellStyle name="Calculation 13 2 16 4 6" xfId="11637" xr:uid="{00000000-0005-0000-0000-0000562D0000}"/>
    <cellStyle name="Calculation 13 2 16 5" xfId="11638" xr:uid="{00000000-0005-0000-0000-0000572D0000}"/>
    <cellStyle name="Calculation 13 2 16 5 2" xfId="11639" xr:uid="{00000000-0005-0000-0000-0000582D0000}"/>
    <cellStyle name="Calculation 13 2 16 5 3" xfId="11640" xr:uid="{00000000-0005-0000-0000-0000592D0000}"/>
    <cellStyle name="Calculation 13 2 16 5 4" xfId="11641" xr:uid="{00000000-0005-0000-0000-00005A2D0000}"/>
    <cellStyle name="Calculation 13 2 16 5 5" xfId="11642" xr:uid="{00000000-0005-0000-0000-00005B2D0000}"/>
    <cellStyle name="Calculation 13 2 16 5 6" xfId="11643" xr:uid="{00000000-0005-0000-0000-00005C2D0000}"/>
    <cellStyle name="Calculation 13 2 16 6" xfId="11644" xr:uid="{00000000-0005-0000-0000-00005D2D0000}"/>
    <cellStyle name="Calculation 13 2 16 6 2" xfId="11645" xr:uid="{00000000-0005-0000-0000-00005E2D0000}"/>
    <cellStyle name="Calculation 13 2 16 6 3" xfId="11646" xr:uid="{00000000-0005-0000-0000-00005F2D0000}"/>
    <cellStyle name="Calculation 13 2 16 6 4" xfId="11647" xr:uid="{00000000-0005-0000-0000-0000602D0000}"/>
    <cellStyle name="Calculation 13 2 16 6 5" xfId="11648" xr:uid="{00000000-0005-0000-0000-0000612D0000}"/>
    <cellStyle name="Calculation 13 2 16 6 6" xfId="11649" xr:uid="{00000000-0005-0000-0000-0000622D0000}"/>
    <cellStyle name="Calculation 13 2 16 7" xfId="11650" xr:uid="{00000000-0005-0000-0000-0000632D0000}"/>
    <cellStyle name="Calculation 13 2 16 7 2" xfId="11651" xr:uid="{00000000-0005-0000-0000-0000642D0000}"/>
    <cellStyle name="Calculation 13 2 16 7 3" xfId="11652" xr:uid="{00000000-0005-0000-0000-0000652D0000}"/>
    <cellStyle name="Calculation 13 2 16 7 4" xfId="11653" xr:uid="{00000000-0005-0000-0000-0000662D0000}"/>
    <cellStyle name="Calculation 13 2 16 7 5" xfId="11654" xr:uid="{00000000-0005-0000-0000-0000672D0000}"/>
    <cellStyle name="Calculation 13 2 16 7 6" xfId="11655" xr:uid="{00000000-0005-0000-0000-0000682D0000}"/>
    <cellStyle name="Calculation 13 2 16 8" xfId="11656" xr:uid="{00000000-0005-0000-0000-0000692D0000}"/>
    <cellStyle name="Calculation 13 2 16 9" xfId="11657" xr:uid="{00000000-0005-0000-0000-00006A2D0000}"/>
    <cellStyle name="Calculation 13 2 17" xfId="11658" xr:uid="{00000000-0005-0000-0000-00006B2D0000}"/>
    <cellStyle name="Calculation 13 2 17 10" xfId="11659" xr:uid="{00000000-0005-0000-0000-00006C2D0000}"/>
    <cellStyle name="Calculation 13 2 17 2" xfId="11660" xr:uid="{00000000-0005-0000-0000-00006D2D0000}"/>
    <cellStyle name="Calculation 13 2 17 2 2" xfId="11661" xr:uid="{00000000-0005-0000-0000-00006E2D0000}"/>
    <cellStyle name="Calculation 13 2 17 2 3" xfId="11662" xr:uid="{00000000-0005-0000-0000-00006F2D0000}"/>
    <cellStyle name="Calculation 13 2 17 2 4" xfId="11663" xr:uid="{00000000-0005-0000-0000-0000702D0000}"/>
    <cellStyle name="Calculation 13 2 17 2 5" xfId="11664" xr:uid="{00000000-0005-0000-0000-0000712D0000}"/>
    <cellStyle name="Calculation 13 2 17 2 6" xfId="11665" xr:uid="{00000000-0005-0000-0000-0000722D0000}"/>
    <cellStyle name="Calculation 13 2 17 3" xfId="11666" xr:uid="{00000000-0005-0000-0000-0000732D0000}"/>
    <cellStyle name="Calculation 13 2 17 3 2" xfId="11667" xr:uid="{00000000-0005-0000-0000-0000742D0000}"/>
    <cellStyle name="Calculation 13 2 17 3 3" xfId="11668" xr:uid="{00000000-0005-0000-0000-0000752D0000}"/>
    <cellStyle name="Calculation 13 2 17 3 4" xfId="11669" xr:uid="{00000000-0005-0000-0000-0000762D0000}"/>
    <cellStyle name="Calculation 13 2 17 3 5" xfId="11670" xr:uid="{00000000-0005-0000-0000-0000772D0000}"/>
    <cellStyle name="Calculation 13 2 17 3 6" xfId="11671" xr:uid="{00000000-0005-0000-0000-0000782D0000}"/>
    <cellStyle name="Calculation 13 2 17 4" xfId="11672" xr:uid="{00000000-0005-0000-0000-0000792D0000}"/>
    <cellStyle name="Calculation 13 2 17 4 2" xfId="11673" xr:uid="{00000000-0005-0000-0000-00007A2D0000}"/>
    <cellStyle name="Calculation 13 2 17 4 3" xfId="11674" xr:uid="{00000000-0005-0000-0000-00007B2D0000}"/>
    <cellStyle name="Calculation 13 2 17 4 4" xfId="11675" xr:uid="{00000000-0005-0000-0000-00007C2D0000}"/>
    <cellStyle name="Calculation 13 2 17 4 5" xfId="11676" xr:uid="{00000000-0005-0000-0000-00007D2D0000}"/>
    <cellStyle name="Calculation 13 2 17 4 6" xfId="11677" xr:uid="{00000000-0005-0000-0000-00007E2D0000}"/>
    <cellStyle name="Calculation 13 2 17 5" xfId="11678" xr:uid="{00000000-0005-0000-0000-00007F2D0000}"/>
    <cellStyle name="Calculation 13 2 17 5 2" xfId="11679" xr:uid="{00000000-0005-0000-0000-0000802D0000}"/>
    <cellStyle name="Calculation 13 2 17 5 3" xfId="11680" xr:uid="{00000000-0005-0000-0000-0000812D0000}"/>
    <cellStyle name="Calculation 13 2 17 5 4" xfId="11681" xr:uid="{00000000-0005-0000-0000-0000822D0000}"/>
    <cellStyle name="Calculation 13 2 17 5 5" xfId="11682" xr:uid="{00000000-0005-0000-0000-0000832D0000}"/>
    <cellStyle name="Calculation 13 2 17 5 6" xfId="11683" xr:uid="{00000000-0005-0000-0000-0000842D0000}"/>
    <cellStyle name="Calculation 13 2 17 6" xfId="11684" xr:uid="{00000000-0005-0000-0000-0000852D0000}"/>
    <cellStyle name="Calculation 13 2 17 6 2" xfId="11685" xr:uid="{00000000-0005-0000-0000-0000862D0000}"/>
    <cellStyle name="Calculation 13 2 17 6 3" xfId="11686" xr:uid="{00000000-0005-0000-0000-0000872D0000}"/>
    <cellStyle name="Calculation 13 2 17 6 4" xfId="11687" xr:uid="{00000000-0005-0000-0000-0000882D0000}"/>
    <cellStyle name="Calculation 13 2 17 6 5" xfId="11688" xr:uid="{00000000-0005-0000-0000-0000892D0000}"/>
    <cellStyle name="Calculation 13 2 17 6 6" xfId="11689" xr:uid="{00000000-0005-0000-0000-00008A2D0000}"/>
    <cellStyle name="Calculation 13 2 17 7" xfId="11690" xr:uid="{00000000-0005-0000-0000-00008B2D0000}"/>
    <cellStyle name="Calculation 13 2 17 7 2" xfId="11691" xr:uid="{00000000-0005-0000-0000-00008C2D0000}"/>
    <cellStyle name="Calculation 13 2 17 7 3" xfId="11692" xr:uid="{00000000-0005-0000-0000-00008D2D0000}"/>
    <cellStyle name="Calculation 13 2 17 7 4" xfId="11693" xr:uid="{00000000-0005-0000-0000-00008E2D0000}"/>
    <cellStyle name="Calculation 13 2 17 7 5" xfId="11694" xr:uid="{00000000-0005-0000-0000-00008F2D0000}"/>
    <cellStyle name="Calculation 13 2 17 7 6" xfId="11695" xr:uid="{00000000-0005-0000-0000-0000902D0000}"/>
    <cellStyle name="Calculation 13 2 17 8" xfId="11696" xr:uid="{00000000-0005-0000-0000-0000912D0000}"/>
    <cellStyle name="Calculation 13 2 17 9" xfId="11697" xr:uid="{00000000-0005-0000-0000-0000922D0000}"/>
    <cellStyle name="Calculation 13 2 18" xfId="11698" xr:uid="{00000000-0005-0000-0000-0000932D0000}"/>
    <cellStyle name="Calculation 13 2 18 10" xfId="11699" xr:uid="{00000000-0005-0000-0000-0000942D0000}"/>
    <cellStyle name="Calculation 13 2 18 2" xfId="11700" xr:uid="{00000000-0005-0000-0000-0000952D0000}"/>
    <cellStyle name="Calculation 13 2 18 2 2" xfId="11701" xr:uid="{00000000-0005-0000-0000-0000962D0000}"/>
    <cellStyle name="Calculation 13 2 18 2 3" xfId="11702" xr:uid="{00000000-0005-0000-0000-0000972D0000}"/>
    <cellStyle name="Calculation 13 2 18 2 4" xfId="11703" xr:uid="{00000000-0005-0000-0000-0000982D0000}"/>
    <cellStyle name="Calculation 13 2 18 2 5" xfId="11704" xr:uid="{00000000-0005-0000-0000-0000992D0000}"/>
    <cellStyle name="Calculation 13 2 18 2 6" xfId="11705" xr:uid="{00000000-0005-0000-0000-00009A2D0000}"/>
    <cellStyle name="Calculation 13 2 18 3" xfId="11706" xr:uid="{00000000-0005-0000-0000-00009B2D0000}"/>
    <cellStyle name="Calculation 13 2 18 3 2" xfId="11707" xr:uid="{00000000-0005-0000-0000-00009C2D0000}"/>
    <cellStyle name="Calculation 13 2 18 3 3" xfId="11708" xr:uid="{00000000-0005-0000-0000-00009D2D0000}"/>
    <cellStyle name="Calculation 13 2 18 3 4" xfId="11709" xr:uid="{00000000-0005-0000-0000-00009E2D0000}"/>
    <cellStyle name="Calculation 13 2 18 3 5" xfId="11710" xr:uid="{00000000-0005-0000-0000-00009F2D0000}"/>
    <cellStyle name="Calculation 13 2 18 3 6" xfId="11711" xr:uid="{00000000-0005-0000-0000-0000A02D0000}"/>
    <cellStyle name="Calculation 13 2 18 4" xfId="11712" xr:uid="{00000000-0005-0000-0000-0000A12D0000}"/>
    <cellStyle name="Calculation 13 2 18 4 2" xfId="11713" xr:uid="{00000000-0005-0000-0000-0000A22D0000}"/>
    <cellStyle name="Calculation 13 2 18 4 3" xfId="11714" xr:uid="{00000000-0005-0000-0000-0000A32D0000}"/>
    <cellStyle name="Calculation 13 2 18 4 4" xfId="11715" xr:uid="{00000000-0005-0000-0000-0000A42D0000}"/>
    <cellStyle name="Calculation 13 2 18 4 5" xfId="11716" xr:uid="{00000000-0005-0000-0000-0000A52D0000}"/>
    <cellStyle name="Calculation 13 2 18 4 6" xfId="11717" xr:uid="{00000000-0005-0000-0000-0000A62D0000}"/>
    <cellStyle name="Calculation 13 2 18 5" xfId="11718" xr:uid="{00000000-0005-0000-0000-0000A72D0000}"/>
    <cellStyle name="Calculation 13 2 18 5 2" xfId="11719" xr:uid="{00000000-0005-0000-0000-0000A82D0000}"/>
    <cellStyle name="Calculation 13 2 18 5 3" xfId="11720" xr:uid="{00000000-0005-0000-0000-0000A92D0000}"/>
    <cellStyle name="Calculation 13 2 18 5 4" xfId="11721" xr:uid="{00000000-0005-0000-0000-0000AA2D0000}"/>
    <cellStyle name="Calculation 13 2 18 5 5" xfId="11722" xr:uid="{00000000-0005-0000-0000-0000AB2D0000}"/>
    <cellStyle name="Calculation 13 2 18 5 6" xfId="11723" xr:uid="{00000000-0005-0000-0000-0000AC2D0000}"/>
    <cellStyle name="Calculation 13 2 18 6" xfId="11724" xr:uid="{00000000-0005-0000-0000-0000AD2D0000}"/>
    <cellStyle name="Calculation 13 2 18 6 2" xfId="11725" xr:uid="{00000000-0005-0000-0000-0000AE2D0000}"/>
    <cellStyle name="Calculation 13 2 18 6 3" xfId="11726" xr:uid="{00000000-0005-0000-0000-0000AF2D0000}"/>
    <cellStyle name="Calculation 13 2 18 6 4" xfId="11727" xr:uid="{00000000-0005-0000-0000-0000B02D0000}"/>
    <cellStyle name="Calculation 13 2 18 6 5" xfId="11728" xr:uid="{00000000-0005-0000-0000-0000B12D0000}"/>
    <cellStyle name="Calculation 13 2 18 6 6" xfId="11729" xr:uid="{00000000-0005-0000-0000-0000B22D0000}"/>
    <cellStyle name="Calculation 13 2 18 7" xfId="11730" xr:uid="{00000000-0005-0000-0000-0000B32D0000}"/>
    <cellStyle name="Calculation 13 2 18 7 2" xfId="11731" xr:uid="{00000000-0005-0000-0000-0000B42D0000}"/>
    <cellStyle name="Calculation 13 2 18 7 3" xfId="11732" xr:uid="{00000000-0005-0000-0000-0000B52D0000}"/>
    <cellStyle name="Calculation 13 2 18 7 4" xfId="11733" xr:uid="{00000000-0005-0000-0000-0000B62D0000}"/>
    <cellStyle name="Calculation 13 2 18 7 5" xfId="11734" xr:uid="{00000000-0005-0000-0000-0000B72D0000}"/>
    <cellStyle name="Calculation 13 2 18 7 6" xfId="11735" xr:uid="{00000000-0005-0000-0000-0000B82D0000}"/>
    <cellStyle name="Calculation 13 2 18 8" xfId="11736" xr:uid="{00000000-0005-0000-0000-0000B92D0000}"/>
    <cellStyle name="Calculation 13 2 18 9" xfId="11737" xr:uid="{00000000-0005-0000-0000-0000BA2D0000}"/>
    <cellStyle name="Calculation 13 2 19" xfId="11738" xr:uid="{00000000-0005-0000-0000-0000BB2D0000}"/>
    <cellStyle name="Calculation 13 2 19 10" xfId="11739" xr:uid="{00000000-0005-0000-0000-0000BC2D0000}"/>
    <cellStyle name="Calculation 13 2 19 2" xfId="11740" xr:uid="{00000000-0005-0000-0000-0000BD2D0000}"/>
    <cellStyle name="Calculation 13 2 19 2 2" xfId="11741" xr:uid="{00000000-0005-0000-0000-0000BE2D0000}"/>
    <cellStyle name="Calculation 13 2 19 2 3" xfId="11742" xr:uid="{00000000-0005-0000-0000-0000BF2D0000}"/>
    <cellStyle name="Calculation 13 2 19 2 4" xfId="11743" xr:uid="{00000000-0005-0000-0000-0000C02D0000}"/>
    <cellStyle name="Calculation 13 2 19 2 5" xfId="11744" xr:uid="{00000000-0005-0000-0000-0000C12D0000}"/>
    <cellStyle name="Calculation 13 2 19 2 6" xfId="11745" xr:uid="{00000000-0005-0000-0000-0000C22D0000}"/>
    <cellStyle name="Calculation 13 2 19 3" xfId="11746" xr:uid="{00000000-0005-0000-0000-0000C32D0000}"/>
    <cellStyle name="Calculation 13 2 19 3 2" xfId="11747" xr:uid="{00000000-0005-0000-0000-0000C42D0000}"/>
    <cellStyle name="Calculation 13 2 19 3 3" xfId="11748" xr:uid="{00000000-0005-0000-0000-0000C52D0000}"/>
    <cellStyle name="Calculation 13 2 19 3 4" xfId="11749" xr:uid="{00000000-0005-0000-0000-0000C62D0000}"/>
    <cellStyle name="Calculation 13 2 19 3 5" xfId="11750" xr:uid="{00000000-0005-0000-0000-0000C72D0000}"/>
    <cellStyle name="Calculation 13 2 19 3 6" xfId="11751" xr:uid="{00000000-0005-0000-0000-0000C82D0000}"/>
    <cellStyle name="Calculation 13 2 19 4" xfId="11752" xr:uid="{00000000-0005-0000-0000-0000C92D0000}"/>
    <cellStyle name="Calculation 13 2 19 4 2" xfId="11753" xr:uid="{00000000-0005-0000-0000-0000CA2D0000}"/>
    <cellStyle name="Calculation 13 2 19 4 3" xfId="11754" xr:uid="{00000000-0005-0000-0000-0000CB2D0000}"/>
    <cellStyle name="Calculation 13 2 19 4 4" xfId="11755" xr:uid="{00000000-0005-0000-0000-0000CC2D0000}"/>
    <cellStyle name="Calculation 13 2 19 4 5" xfId="11756" xr:uid="{00000000-0005-0000-0000-0000CD2D0000}"/>
    <cellStyle name="Calculation 13 2 19 4 6" xfId="11757" xr:uid="{00000000-0005-0000-0000-0000CE2D0000}"/>
    <cellStyle name="Calculation 13 2 19 5" xfId="11758" xr:uid="{00000000-0005-0000-0000-0000CF2D0000}"/>
    <cellStyle name="Calculation 13 2 19 5 2" xfId="11759" xr:uid="{00000000-0005-0000-0000-0000D02D0000}"/>
    <cellStyle name="Calculation 13 2 19 5 3" xfId="11760" xr:uid="{00000000-0005-0000-0000-0000D12D0000}"/>
    <cellStyle name="Calculation 13 2 19 5 4" xfId="11761" xr:uid="{00000000-0005-0000-0000-0000D22D0000}"/>
    <cellStyle name="Calculation 13 2 19 5 5" xfId="11762" xr:uid="{00000000-0005-0000-0000-0000D32D0000}"/>
    <cellStyle name="Calculation 13 2 19 5 6" xfId="11763" xr:uid="{00000000-0005-0000-0000-0000D42D0000}"/>
    <cellStyle name="Calculation 13 2 19 6" xfId="11764" xr:uid="{00000000-0005-0000-0000-0000D52D0000}"/>
    <cellStyle name="Calculation 13 2 19 6 2" xfId="11765" xr:uid="{00000000-0005-0000-0000-0000D62D0000}"/>
    <cellStyle name="Calculation 13 2 19 6 3" xfId="11766" xr:uid="{00000000-0005-0000-0000-0000D72D0000}"/>
    <cellStyle name="Calculation 13 2 19 6 4" xfId="11767" xr:uid="{00000000-0005-0000-0000-0000D82D0000}"/>
    <cellStyle name="Calculation 13 2 19 6 5" xfId="11768" xr:uid="{00000000-0005-0000-0000-0000D92D0000}"/>
    <cellStyle name="Calculation 13 2 19 6 6" xfId="11769" xr:uid="{00000000-0005-0000-0000-0000DA2D0000}"/>
    <cellStyle name="Calculation 13 2 19 7" xfId="11770" xr:uid="{00000000-0005-0000-0000-0000DB2D0000}"/>
    <cellStyle name="Calculation 13 2 19 7 2" xfId="11771" xr:uid="{00000000-0005-0000-0000-0000DC2D0000}"/>
    <cellStyle name="Calculation 13 2 19 7 3" xfId="11772" xr:uid="{00000000-0005-0000-0000-0000DD2D0000}"/>
    <cellStyle name="Calculation 13 2 19 7 4" xfId="11773" xr:uid="{00000000-0005-0000-0000-0000DE2D0000}"/>
    <cellStyle name="Calculation 13 2 19 7 5" xfId="11774" xr:uid="{00000000-0005-0000-0000-0000DF2D0000}"/>
    <cellStyle name="Calculation 13 2 19 7 6" xfId="11775" xr:uid="{00000000-0005-0000-0000-0000E02D0000}"/>
    <cellStyle name="Calculation 13 2 19 8" xfId="11776" xr:uid="{00000000-0005-0000-0000-0000E12D0000}"/>
    <cellStyle name="Calculation 13 2 19 9" xfId="11777" xr:uid="{00000000-0005-0000-0000-0000E22D0000}"/>
    <cellStyle name="Calculation 13 2 2" xfId="11778" xr:uid="{00000000-0005-0000-0000-0000E32D0000}"/>
    <cellStyle name="Calculation 13 2 2 10" xfId="11779" xr:uid="{00000000-0005-0000-0000-0000E42D0000}"/>
    <cellStyle name="Calculation 13 2 2 2" xfId="11780" xr:uid="{00000000-0005-0000-0000-0000E52D0000}"/>
    <cellStyle name="Calculation 13 2 2 2 2" xfId="11781" xr:uid="{00000000-0005-0000-0000-0000E62D0000}"/>
    <cellStyle name="Calculation 13 2 2 2 3" xfId="11782" xr:uid="{00000000-0005-0000-0000-0000E72D0000}"/>
    <cellStyle name="Calculation 13 2 2 2 4" xfId="11783" xr:uid="{00000000-0005-0000-0000-0000E82D0000}"/>
    <cellStyle name="Calculation 13 2 2 2 5" xfId="11784" xr:uid="{00000000-0005-0000-0000-0000E92D0000}"/>
    <cellStyle name="Calculation 13 2 2 2 6" xfId="11785" xr:uid="{00000000-0005-0000-0000-0000EA2D0000}"/>
    <cellStyle name="Calculation 13 2 2 3" xfId="11786" xr:uid="{00000000-0005-0000-0000-0000EB2D0000}"/>
    <cellStyle name="Calculation 13 2 2 3 2" xfId="11787" xr:uid="{00000000-0005-0000-0000-0000EC2D0000}"/>
    <cellStyle name="Calculation 13 2 2 3 3" xfId="11788" xr:uid="{00000000-0005-0000-0000-0000ED2D0000}"/>
    <cellStyle name="Calculation 13 2 2 3 4" xfId="11789" xr:uid="{00000000-0005-0000-0000-0000EE2D0000}"/>
    <cellStyle name="Calculation 13 2 2 3 5" xfId="11790" xr:uid="{00000000-0005-0000-0000-0000EF2D0000}"/>
    <cellStyle name="Calculation 13 2 2 3 6" xfId="11791" xr:uid="{00000000-0005-0000-0000-0000F02D0000}"/>
    <cellStyle name="Calculation 13 2 2 4" xfId="11792" xr:uid="{00000000-0005-0000-0000-0000F12D0000}"/>
    <cellStyle name="Calculation 13 2 2 4 2" xfId="11793" xr:uid="{00000000-0005-0000-0000-0000F22D0000}"/>
    <cellStyle name="Calculation 13 2 2 4 3" xfId="11794" xr:uid="{00000000-0005-0000-0000-0000F32D0000}"/>
    <cellStyle name="Calculation 13 2 2 4 4" xfId="11795" xr:uid="{00000000-0005-0000-0000-0000F42D0000}"/>
    <cellStyle name="Calculation 13 2 2 4 5" xfId="11796" xr:uid="{00000000-0005-0000-0000-0000F52D0000}"/>
    <cellStyle name="Calculation 13 2 2 4 6" xfId="11797" xr:uid="{00000000-0005-0000-0000-0000F62D0000}"/>
    <cellStyle name="Calculation 13 2 2 5" xfId="11798" xr:uid="{00000000-0005-0000-0000-0000F72D0000}"/>
    <cellStyle name="Calculation 13 2 2 5 2" xfId="11799" xr:uid="{00000000-0005-0000-0000-0000F82D0000}"/>
    <cellStyle name="Calculation 13 2 2 5 3" xfId="11800" xr:uid="{00000000-0005-0000-0000-0000F92D0000}"/>
    <cellStyle name="Calculation 13 2 2 5 4" xfId="11801" xr:uid="{00000000-0005-0000-0000-0000FA2D0000}"/>
    <cellStyle name="Calculation 13 2 2 5 5" xfId="11802" xr:uid="{00000000-0005-0000-0000-0000FB2D0000}"/>
    <cellStyle name="Calculation 13 2 2 5 6" xfId="11803" xr:uid="{00000000-0005-0000-0000-0000FC2D0000}"/>
    <cellStyle name="Calculation 13 2 2 6" xfId="11804" xr:uid="{00000000-0005-0000-0000-0000FD2D0000}"/>
    <cellStyle name="Calculation 13 2 2 6 2" xfId="11805" xr:uid="{00000000-0005-0000-0000-0000FE2D0000}"/>
    <cellStyle name="Calculation 13 2 2 6 3" xfId="11806" xr:uid="{00000000-0005-0000-0000-0000FF2D0000}"/>
    <cellStyle name="Calculation 13 2 2 6 4" xfId="11807" xr:uid="{00000000-0005-0000-0000-0000002E0000}"/>
    <cellStyle name="Calculation 13 2 2 6 5" xfId="11808" xr:uid="{00000000-0005-0000-0000-0000012E0000}"/>
    <cellStyle name="Calculation 13 2 2 6 6" xfId="11809" xr:uid="{00000000-0005-0000-0000-0000022E0000}"/>
    <cellStyle name="Calculation 13 2 2 7" xfId="11810" xr:uid="{00000000-0005-0000-0000-0000032E0000}"/>
    <cellStyle name="Calculation 13 2 2 7 2" xfId="11811" xr:uid="{00000000-0005-0000-0000-0000042E0000}"/>
    <cellStyle name="Calculation 13 2 2 7 3" xfId="11812" xr:uid="{00000000-0005-0000-0000-0000052E0000}"/>
    <cellStyle name="Calculation 13 2 2 7 4" xfId="11813" xr:uid="{00000000-0005-0000-0000-0000062E0000}"/>
    <cellStyle name="Calculation 13 2 2 7 5" xfId="11814" xr:uid="{00000000-0005-0000-0000-0000072E0000}"/>
    <cellStyle name="Calculation 13 2 2 7 6" xfId="11815" xr:uid="{00000000-0005-0000-0000-0000082E0000}"/>
    <cellStyle name="Calculation 13 2 2 8" xfId="11816" xr:uid="{00000000-0005-0000-0000-0000092E0000}"/>
    <cellStyle name="Calculation 13 2 2 9" xfId="11817" xr:uid="{00000000-0005-0000-0000-00000A2E0000}"/>
    <cellStyle name="Calculation 13 2 20" xfId="11818" xr:uid="{00000000-0005-0000-0000-00000B2E0000}"/>
    <cellStyle name="Calculation 13 2 20 10" xfId="11819" xr:uid="{00000000-0005-0000-0000-00000C2E0000}"/>
    <cellStyle name="Calculation 13 2 20 2" xfId="11820" xr:uid="{00000000-0005-0000-0000-00000D2E0000}"/>
    <cellStyle name="Calculation 13 2 20 2 2" xfId="11821" xr:uid="{00000000-0005-0000-0000-00000E2E0000}"/>
    <cellStyle name="Calculation 13 2 20 2 3" xfId="11822" xr:uid="{00000000-0005-0000-0000-00000F2E0000}"/>
    <cellStyle name="Calculation 13 2 20 2 4" xfId="11823" xr:uid="{00000000-0005-0000-0000-0000102E0000}"/>
    <cellStyle name="Calculation 13 2 20 2 5" xfId="11824" xr:uid="{00000000-0005-0000-0000-0000112E0000}"/>
    <cellStyle name="Calculation 13 2 20 2 6" xfId="11825" xr:uid="{00000000-0005-0000-0000-0000122E0000}"/>
    <cellStyle name="Calculation 13 2 20 3" xfId="11826" xr:uid="{00000000-0005-0000-0000-0000132E0000}"/>
    <cellStyle name="Calculation 13 2 20 3 2" xfId="11827" xr:uid="{00000000-0005-0000-0000-0000142E0000}"/>
    <cellStyle name="Calculation 13 2 20 3 3" xfId="11828" xr:uid="{00000000-0005-0000-0000-0000152E0000}"/>
    <cellStyle name="Calculation 13 2 20 3 4" xfId="11829" xr:uid="{00000000-0005-0000-0000-0000162E0000}"/>
    <cellStyle name="Calculation 13 2 20 3 5" xfId="11830" xr:uid="{00000000-0005-0000-0000-0000172E0000}"/>
    <cellStyle name="Calculation 13 2 20 3 6" xfId="11831" xr:uid="{00000000-0005-0000-0000-0000182E0000}"/>
    <cellStyle name="Calculation 13 2 20 4" xfId="11832" xr:uid="{00000000-0005-0000-0000-0000192E0000}"/>
    <cellStyle name="Calculation 13 2 20 4 2" xfId="11833" xr:uid="{00000000-0005-0000-0000-00001A2E0000}"/>
    <cellStyle name="Calculation 13 2 20 4 3" xfId="11834" xr:uid="{00000000-0005-0000-0000-00001B2E0000}"/>
    <cellStyle name="Calculation 13 2 20 4 4" xfId="11835" xr:uid="{00000000-0005-0000-0000-00001C2E0000}"/>
    <cellStyle name="Calculation 13 2 20 4 5" xfId="11836" xr:uid="{00000000-0005-0000-0000-00001D2E0000}"/>
    <cellStyle name="Calculation 13 2 20 4 6" xfId="11837" xr:uid="{00000000-0005-0000-0000-00001E2E0000}"/>
    <cellStyle name="Calculation 13 2 20 5" xfId="11838" xr:uid="{00000000-0005-0000-0000-00001F2E0000}"/>
    <cellStyle name="Calculation 13 2 20 5 2" xfId="11839" xr:uid="{00000000-0005-0000-0000-0000202E0000}"/>
    <cellStyle name="Calculation 13 2 20 5 3" xfId="11840" xr:uid="{00000000-0005-0000-0000-0000212E0000}"/>
    <cellStyle name="Calculation 13 2 20 5 4" xfId="11841" xr:uid="{00000000-0005-0000-0000-0000222E0000}"/>
    <cellStyle name="Calculation 13 2 20 5 5" xfId="11842" xr:uid="{00000000-0005-0000-0000-0000232E0000}"/>
    <cellStyle name="Calculation 13 2 20 5 6" xfId="11843" xr:uid="{00000000-0005-0000-0000-0000242E0000}"/>
    <cellStyle name="Calculation 13 2 20 6" xfId="11844" xr:uid="{00000000-0005-0000-0000-0000252E0000}"/>
    <cellStyle name="Calculation 13 2 20 6 2" xfId="11845" xr:uid="{00000000-0005-0000-0000-0000262E0000}"/>
    <cellStyle name="Calculation 13 2 20 6 3" xfId="11846" xr:uid="{00000000-0005-0000-0000-0000272E0000}"/>
    <cellStyle name="Calculation 13 2 20 6 4" xfId="11847" xr:uid="{00000000-0005-0000-0000-0000282E0000}"/>
    <cellStyle name="Calculation 13 2 20 6 5" xfId="11848" xr:uid="{00000000-0005-0000-0000-0000292E0000}"/>
    <cellStyle name="Calculation 13 2 20 6 6" xfId="11849" xr:uid="{00000000-0005-0000-0000-00002A2E0000}"/>
    <cellStyle name="Calculation 13 2 20 7" xfId="11850" xr:uid="{00000000-0005-0000-0000-00002B2E0000}"/>
    <cellStyle name="Calculation 13 2 20 7 2" xfId="11851" xr:uid="{00000000-0005-0000-0000-00002C2E0000}"/>
    <cellStyle name="Calculation 13 2 20 7 3" xfId="11852" xr:uid="{00000000-0005-0000-0000-00002D2E0000}"/>
    <cellStyle name="Calculation 13 2 20 7 4" xfId="11853" xr:uid="{00000000-0005-0000-0000-00002E2E0000}"/>
    <cellStyle name="Calculation 13 2 20 7 5" xfId="11854" xr:uid="{00000000-0005-0000-0000-00002F2E0000}"/>
    <cellStyle name="Calculation 13 2 20 7 6" xfId="11855" xr:uid="{00000000-0005-0000-0000-0000302E0000}"/>
    <cellStyle name="Calculation 13 2 20 8" xfId="11856" xr:uid="{00000000-0005-0000-0000-0000312E0000}"/>
    <cellStyle name="Calculation 13 2 20 9" xfId="11857" xr:uid="{00000000-0005-0000-0000-0000322E0000}"/>
    <cellStyle name="Calculation 13 2 21" xfId="11858" xr:uid="{00000000-0005-0000-0000-0000332E0000}"/>
    <cellStyle name="Calculation 13 2 21 10" xfId="11859" xr:uid="{00000000-0005-0000-0000-0000342E0000}"/>
    <cellStyle name="Calculation 13 2 21 2" xfId="11860" xr:uid="{00000000-0005-0000-0000-0000352E0000}"/>
    <cellStyle name="Calculation 13 2 21 2 2" xfId="11861" xr:uid="{00000000-0005-0000-0000-0000362E0000}"/>
    <cellStyle name="Calculation 13 2 21 2 3" xfId="11862" xr:uid="{00000000-0005-0000-0000-0000372E0000}"/>
    <cellStyle name="Calculation 13 2 21 2 4" xfId="11863" xr:uid="{00000000-0005-0000-0000-0000382E0000}"/>
    <cellStyle name="Calculation 13 2 21 2 5" xfId="11864" xr:uid="{00000000-0005-0000-0000-0000392E0000}"/>
    <cellStyle name="Calculation 13 2 21 2 6" xfId="11865" xr:uid="{00000000-0005-0000-0000-00003A2E0000}"/>
    <cellStyle name="Calculation 13 2 21 3" xfId="11866" xr:uid="{00000000-0005-0000-0000-00003B2E0000}"/>
    <cellStyle name="Calculation 13 2 21 3 2" xfId="11867" xr:uid="{00000000-0005-0000-0000-00003C2E0000}"/>
    <cellStyle name="Calculation 13 2 21 3 3" xfId="11868" xr:uid="{00000000-0005-0000-0000-00003D2E0000}"/>
    <cellStyle name="Calculation 13 2 21 3 4" xfId="11869" xr:uid="{00000000-0005-0000-0000-00003E2E0000}"/>
    <cellStyle name="Calculation 13 2 21 3 5" xfId="11870" xr:uid="{00000000-0005-0000-0000-00003F2E0000}"/>
    <cellStyle name="Calculation 13 2 21 3 6" xfId="11871" xr:uid="{00000000-0005-0000-0000-0000402E0000}"/>
    <cellStyle name="Calculation 13 2 21 4" xfId="11872" xr:uid="{00000000-0005-0000-0000-0000412E0000}"/>
    <cellStyle name="Calculation 13 2 21 4 2" xfId="11873" xr:uid="{00000000-0005-0000-0000-0000422E0000}"/>
    <cellStyle name="Calculation 13 2 21 4 3" xfId="11874" xr:uid="{00000000-0005-0000-0000-0000432E0000}"/>
    <cellStyle name="Calculation 13 2 21 4 4" xfId="11875" xr:uid="{00000000-0005-0000-0000-0000442E0000}"/>
    <cellStyle name="Calculation 13 2 21 4 5" xfId="11876" xr:uid="{00000000-0005-0000-0000-0000452E0000}"/>
    <cellStyle name="Calculation 13 2 21 4 6" xfId="11877" xr:uid="{00000000-0005-0000-0000-0000462E0000}"/>
    <cellStyle name="Calculation 13 2 21 5" xfId="11878" xr:uid="{00000000-0005-0000-0000-0000472E0000}"/>
    <cellStyle name="Calculation 13 2 21 5 2" xfId="11879" xr:uid="{00000000-0005-0000-0000-0000482E0000}"/>
    <cellStyle name="Calculation 13 2 21 5 3" xfId="11880" xr:uid="{00000000-0005-0000-0000-0000492E0000}"/>
    <cellStyle name="Calculation 13 2 21 5 4" xfId="11881" xr:uid="{00000000-0005-0000-0000-00004A2E0000}"/>
    <cellStyle name="Calculation 13 2 21 5 5" xfId="11882" xr:uid="{00000000-0005-0000-0000-00004B2E0000}"/>
    <cellStyle name="Calculation 13 2 21 5 6" xfId="11883" xr:uid="{00000000-0005-0000-0000-00004C2E0000}"/>
    <cellStyle name="Calculation 13 2 21 6" xfId="11884" xr:uid="{00000000-0005-0000-0000-00004D2E0000}"/>
    <cellStyle name="Calculation 13 2 21 6 2" xfId="11885" xr:uid="{00000000-0005-0000-0000-00004E2E0000}"/>
    <cellStyle name="Calculation 13 2 21 6 3" xfId="11886" xr:uid="{00000000-0005-0000-0000-00004F2E0000}"/>
    <cellStyle name="Calculation 13 2 21 6 4" xfId="11887" xr:uid="{00000000-0005-0000-0000-0000502E0000}"/>
    <cellStyle name="Calculation 13 2 21 6 5" xfId="11888" xr:uid="{00000000-0005-0000-0000-0000512E0000}"/>
    <cellStyle name="Calculation 13 2 21 6 6" xfId="11889" xr:uid="{00000000-0005-0000-0000-0000522E0000}"/>
    <cellStyle name="Calculation 13 2 21 7" xfId="11890" xr:uid="{00000000-0005-0000-0000-0000532E0000}"/>
    <cellStyle name="Calculation 13 2 21 7 2" xfId="11891" xr:uid="{00000000-0005-0000-0000-0000542E0000}"/>
    <cellStyle name="Calculation 13 2 21 7 3" xfId="11892" xr:uid="{00000000-0005-0000-0000-0000552E0000}"/>
    <cellStyle name="Calculation 13 2 21 7 4" xfId="11893" xr:uid="{00000000-0005-0000-0000-0000562E0000}"/>
    <cellStyle name="Calculation 13 2 21 7 5" xfId="11894" xr:uid="{00000000-0005-0000-0000-0000572E0000}"/>
    <cellStyle name="Calculation 13 2 21 7 6" xfId="11895" xr:uid="{00000000-0005-0000-0000-0000582E0000}"/>
    <cellStyle name="Calculation 13 2 21 8" xfId="11896" xr:uid="{00000000-0005-0000-0000-0000592E0000}"/>
    <cellStyle name="Calculation 13 2 21 9" xfId="11897" xr:uid="{00000000-0005-0000-0000-00005A2E0000}"/>
    <cellStyle name="Calculation 13 2 22" xfId="11898" xr:uid="{00000000-0005-0000-0000-00005B2E0000}"/>
    <cellStyle name="Calculation 13 2 22 10" xfId="11899" xr:uid="{00000000-0005-0000-0000-00005C2E0000}"/>
    <cellStyle name="Calculation 13 2 22 2" xfId="11900" xr:uid="{00000000-0005-0000-0000-00005D2E0000}"/>
    <cellStyle name="Calculation 13 2 22 2 2" xfId="11901" xr:uid="{00000000-0005-0000-0000-00005E2E0000}"/>
    <cellStyle name="Calculation 13 2 22 2 3" xfId="11902" xr:uid="{00000000-0005-0000-0000-00005F2E0000}"/>
    <cellStyle name="Calculation 13 2 22 2 4" xfId="11903" xr:uid="{00000000-0005-0000-0000-0000602E0000}"/>
    <cellStyle name="Calculation 13 2 22 2 5" xfId="11904" xr:uid="{00000000-0005-0000-0000-0000612E0000}"/>
    <cellStyle name="Calculation 13 2 22 2 6" xfId="11905" xr:uid="{00000000-0005-0000-0000-0000622E0000}"/>
    <cellStyle name="Calculation 13 2 22 3" xfId="11906" xr:uid="{00000000-0005-0000-0000-0000632E0000}"/>
    <cellStyle name="Calculation 13 2 22 3 2" xfId="11907" xr:uid="{00000000-0005-0000-0000-0000642E0000}"/>
    <cellStyle name="Calculation 13 2 22 3 3" xfId="11908" xr:uid="{00000000-0005-0000-0000-0000652E0000}"/>
    <cellStyle name="Calculation 13 2 22 3 4" xfId="11909" xr:uid="{00000000-0005-0000-0000-0000662E0000}"/>
    <cellStyle name="Calculation 13 2 22 3 5" xfId="11910" xr:uid="{00000000-0005-0000-0000-0000672E0000}"/>
    <cellStyle name="Calculation 13 2 22 3 6" xfId="11911" xr:uid="{00000000-0005-0000-0000-0000682E0000}"/>
    <cellStyle name="Calculation 13 2 22 4" xfId="11912" xr:uid="{00000000-0005-0000-0000-0000692E0000}"/>
    <cellStyle name="Calculation 13 2 22 4 2" xfId="11913" xr:uid="{00000000-0005-0000-0000-00006A2E0000}"/>
    <cellStyle name="Calculation 13 2 22 4 3" xfId="11914" xr:uid="{00000000-0005-0000-0000-00006B2E0000}"/>
    <cellStyle name="Calculation 13 2 22 4 4" xfId="11915" xr:uid="{00000000-0005-0000-0000-00006C2E0000}"/>
    <cellStyle name="Calculation 13 2 22 4 5" xfId="11916" xr:uid="{00000000-0005-0000-0000-00006D2E0000}"/>
    <cellStyle name="Calculation 13 2 22 4 6" xfId="11917" xr:uid="{00000000-0005-0000-0000-00006E2E0000}"/>
    <cellStyle name="Calculation 13 2 22 5" xfId="11918" xr:uid="{00000000-0005-0000-0000-00006F2E0000}"/>
    <cellStyle name="Calculation 13 2 22 5 2" xfId="11919" xr:uid="{00000000-0005-0000-0000-0000702E0000}"/>
    <cellStyle name="Calculation 13 2 22 5 3" xfId="11920" xr:uid="{00000000-0005-0000-0000-0000712E0000}"/>
    <cellStyle name="Calculation 13 2 22 5 4" xfId="11921" xr:uid="{00000000-0005-0000-0000-0000722E0000}"/>
    <cellStyle name="Calculation 13 2 22 5 5" xfId="11922" xr:uid="{00000000-0005-0000-0000-0000732E0000}"/>
    <cellStyle name="Calculation 13 2 22 5 6" xfId="11923" xr:uid="{00000000-0005-0000-0000-0000742E0000}"/>
    <cellStyle name="Calculation 13 2 22 6" xfId="11924" xr:uid="{00000000-0005-0000-0000-0000752E0000}"/>
    <cellStyle name="Calculation 13 2 22 6 2" xfId="11925" xr:uid="{00000000-0005-0000-0000-0000762E0000}"/>
    <cellStyle name="Calculation 13 2 22 6 3" xfId="11926" xr:uid="{00000000-0005-0000-0000-0000772E0000}"/>
    <cellStyle name="Calculation 13 2 22 6 4" xfId="11927" xr:uid="{00000000-0005-0000-0000-0000782E0000}"/>
    <cellStyle name="Calculation 13 2 22 6 5" xfId="11928" xr:uid="{00000000-0005-0000-0000-0000792E0000}"/>
    <cellStyle name="Calculation 13 2 22 6 6" xfId="11929" xr:uid="{00000000-0005-0000-0000-00007A2E0000}"/>
    <cellStyle name="Calculation 13 2 22 7" xfId="11930" xr:uid="{00000000-0005-0000-0000-00007B2E0000}"/>
    <cellStyle name="Calculation 13 2 22 7 2" xfId="11931" xr:uid="{00000000-0005-0000-0000-00007C2E0000}"/>
    <cellStyle name="Calculation 13 2 22 7 3" xfId="11932" xr:uid="{00000000-0005-0000-0000-00007D2E0000}"/>
    <cellStyle name="Calculation 13 2 22 7 4" xfId="11933" xr:uid="{00000000-0005-0000-0000-00007E2E0000}"/>
    <cellStyle name="Calculation 13 2 22 7 5" xfId="11934" xr:uid="{00000000-0005-0000-0000-00007F2E0000}"/>
    <cellStyle name="Calculation 13 2 22 7 6" xfId="11935" xr:uid="{00000000-0005-0000-0000-0000802E0000}"/>
    <cellStyle name="Calculation 13 2 22 8" xfId="11936" xr:uid="{00000000-0005-0000-0000-0000812E0000}"/>
    <cellStyle name="Calculation 13 2 22 9" xfId="11937" xr:uid="{00000000-0005-0000-0000-0000822E0000}"/>
    <cellStyle name="Calculation 13 2 23" xfId="11938" xr:uid="{00000000-0005-0000-0000-0000832E0000}"/>
    <cellStyle name="Calculation 13 2 23 10" xfId="11939" xr:uid="{00000000-0005-0000-0000-0000842E0000}"/>
    <cellStyle name="Calculation 13 2 23 2" xfId="11940" xr:uid="{00000000-0005-0000-0000-0000852E0000}"/>
    <cellStyle name="Calculation 13 2 23 2 2" xfId="11941" xr:uid="{00000000-0005-0000-0000-0000862E0000}"/>
    <cellStyle name="Calculation 13 2 23 2 3" xfId="11942" xr:uid="{00000000-0005-0000-0000-0000872E0000}"/>
    <cellStyle name="Calculation 13 2 23 2 4" xfId="11943" xr:uid="{00000000-0005-0000-0000-0000882E0000}"/>
    <cellStyle name="Calculation 13 2 23 2 5" xfId="11944" xr:uid="{00000000-0005-0000-0000-0000892E0000}"/>
    <cellStyle name="Calculation 13 2 23 2 6" xfId="11945" xr:uid="{00000000-0005-0000-0000-00008A2E0000}"/>
    <cellStyle name="Calculation 13 2 23 3" xfId="11946" xr:uid="{00000000-0005-0000-0000-00008B2E0000}"/>
    <cellStyle name="Calculation 13 2 23 3 2" xfId="11947" xr:uid="{00000000-0005-0000-0000-00008C2E0000}"/>
    <cellStyle name="Calculation 13 2 23 3 3" xfId="11948" xr:uid="{00000000-0005-0000-0000-00008D2E0000}"/>
    <cellStyle name="Calculation 13 2 23 3 4" xfId="11949" xr:uid="{00000000-0005-0000-0000-00008E2E0000}"/>
    <cellStyle name="Calculation 13 2 23 3 5" xfId="11950" xr:uid="{00000000-0005-0000-0000-00008F2E0000}"/>
    <cellStyle name="Calculation 13 2 23 3 6" xfId="11951" xr:uid="{00000000-0005-0000-0000-0000902E0000}"/>
    <cellStyle name="Calculation 13 2 23 4" xfId="11952" xr:uid="{00000000-0005-0000-0000-0000912E0000}"/>
    <cellStyle name="Calculation 13 2 23 4 2" xfId="11953" xr:uid="{00000000-0005-0000-0000-0000922E0000}"/>
    <cellStyle name="Calculation 13 2 23 4 3" xfId="11954" xr:uid="{00000000-0005-0000-0000-0000932E0000}"/>
    <cellStyle name="Calculation 13 2 23 4 4" xfId="11955" xr:uid="{00000000-0005-0000-0000-0000942E0000}"/>
    <cellStyle name="Calculation 13 2 23 4 5" xfId="11956" xr:uid="{00000000-0005-0000-0000-0000952E0000}"/>
    <cellStyle name="Calculation 13 2 23 4 6" xfId="11957" xr:uid="{00000000-0005-0000-0000-0000962E0000}"/>
    <cellStyle name="Calculation 13 2 23 5" xfId="11958" xr:uid="{00000000-0005-0000-0000-0000972E0000}"/>
    <cellStyle name="Calculation 13 2 23 5 2" xfId="11959" xr:uid="{00000000-0005-0000-0000-0000982E0000}"/>
    <cellStyle name="Calculation 13 2 23 5 3" xfId="11960" xr:uid="{00000000-0005-0000-0000-0000992E0000}"/>
    <cellStyle name="Calculation 13 2 23 5 4" xfId="11961" xr:uid="{00000000-0005-0000-0000-00009A2E0000}"/>
    <cellStyle name="Calculation 13 2 23 5 5" xfId="11962" xr:uid="{00000000-0005-0000-0000-00009B2E0000}"/>
    <cellStyle name="Calculation 13 2 23 5 6" xfId="11963" xr:uid="{00000000-0005-0000-0000-00009C2E0000}"/>
    <cellStyle name="Calculation 13 2 23 6" xfId="11964" xr:uid="{00000000-0005-0000-0000-00009D2E0000}"/>
    <cellStyle name="Calculation 13 2 23 6 2" xfId="11965" xr:uid="{00000000-0005-0000-0000-00009E2E0000}"/>
    <cellStyle name="Calculation 13 2 23 6 3" xfId="11966" xr:uid="{00000000-0005-0000-0000-00009F2E0000}"/>
    <cellStyle name="Calculation 13 2 23 6 4" xfId="11967" xr:uid="{00000000-0005-0000-0000-0000A02E0000}"/>
    <cellStyle name="Calculation 13 2 23 6 5" xfId="11968" xr:uid="{00000000-0005-0000-0000-0000A12E0000}"/>
    <cellStyle name="Calculation 13 2 23 6 6" xfId="11969" xr:uid="{00000000-0005-0000-0000-0000A22E0000}"/>
    <cellStyle name="Calculation 13 2 23 7" xfId="11970" xr:uid="{00000000-0005-0000-0000-0000A32E0000}"/>
    <cellStyle name="Calculation 13 2 23 7 2" xfId="11971" xr:uid="{00000000-0005-0000-0000-0000A42E0000}"/>
    <cellStyle name="Calculation 13 2 23 7 3" xfId="11972" xr:uid="{00000000-0005-0000-0000-0000A52E0000}"/>
    <cellStyle name="Calculation 13 2 23 7 4" xfId="11973" xr:uid="{00000000-0005-0000-0000-0000A62E0000}"/>
    <cellStyle name="Calculation 13 2 23 7 5" xfId="11974" xr:uid="{00000000-0005-0000-0000-0000A72E0000}"/>
    <cellStyle name="Calculation 13 2 23 7 6" xfId="11975" xr:uid="{00000000-0005-0000-0000-0000A82E0000}"/>
    <cellStyle name="Calculation 13 2 23 8" xfId="11976" xr:uid="{00000000-0005-0000-0000-0000A92E0000}"/>
    <cellStyle name="Calculation 13 2 23 9" xfId="11977" xr:uid="{00000000-0005-0000-0000-0000AA2E0000}"/>
    <cellStyle name="Calculation 13 2 24" xfId="11978" xr:uid="{00000000-0005-0000-0000-0000AB2E0000}"/>
    <cellStyle name="Calculation 13 2 24 10" xfId="11979" xr:uid="{00000000-0005-0000-0000-0000AC2E0000}"/>
    <cellStyle name="Calculation 13 2 24 2" xfId="11980" xr:uid="{00000000-0005-0000-0000-0000AD2E0000}"/>
    <cellStyle name="Calculation 13 2 24 2 2" xfId="11981" xr:uid="{00000000-0005-0000-0000-0000AE2E0000}"/>
    <cellStyle name="Calculation 13 2 24 2 3" xfId="11982" xr:uid="{00000000-0005-0000-0000-0000AF2E0000}"/>
    <cellStyle name="Calculation 13 2 24 2 4" xfId="11983" xr:uid="{00000000-0005-0000-0000-0000B02E0000}"/>
    <cellStyle name="Calculation 13 2 24 2 5" xfId="11984" xr:uid="{00000000-0005-0000-0000-0000B12E0000}"/>
    <cellStyle name="Calculation 13 2 24 2 6" xfId="11985" xr:uid="{00000000-0005-0000-0000-0000B22E0000}"/>
    <cellStyle name="Calculation 13 2 24 3" xfId="11986" xr:uid="{00000000-0005-0000-0000-0000B32E0000}"/>
    <cellStyle name="Calculation 13 2 24 3 2" xfId="11987" xr:uid="{00000000-0005-0000-0000-0000B42E0000}"/>
    <cellStyle name="Calculation 13 2 24 3 3" xfId="11988" xr:uid="{00000000-0005-0000-0000-0000B52E0000}"/>
    <cellStyle name="Calculation 13 2 24 3 4" xfId="11989" xr:uid="{00000000-0005-0000-0000-0000B62E0000}"/>
    <cellStyle name="Calculation 13 2 24 3 5" xfId="11990" xr:uid="{00000000-0005-0000-0000-0000B72E0000}"/>
    <cellStyle name="Calculation 13 2 24 3 6" xfId="11991" xr:uid="{00000000-0005-0000-0000-0000B82E0000}"/>
    <cellStyle name="Calculation 13 2 24 4" xfId="11992" xr:uid="{00000000-0005-0000-0000-0000B92E0000}"/>
    <cellStyle name="Calculation 13 2 24 4 2" xfId="11993" xr:uid="{00000000-0005-0000-0000-0000BA2E0000}"/>
    <cellStyle name="Calculation 13 2 24 4 3" xfId="11994" xr:uid="{00000000-0005-0000-0000-0000BB2E0000}"/>
    <cellStyle name="Calculation 13 2 24 4 4" xfId="11995" xr:uid="{00000000-0005-0000-0000-0000BC2E0000}"/>
    <cellStyle name="Calculation 13 2 24 4 5" xfId="11996" xr:uid="{00000000-0005-0000-0000-0000BD2E0000}"/>
    <cellStyle name="Calculation 13 2 24 4 6" xfId="11997" xr:uid="{00000000-0005-0000-0000-0000BE2E0000}"/>
    <cellStyle name="Calculation 13 2 24 5" xfId="11998" xr:uid="{00000000-0005-0000-0000-0000BF2E0000}"/>
    <cellStyle name="Calculation 13 2 24 5 2" xfId="11999" xr:uid="{00000000-0005-0000-0000-0000C02E0000}"/>
    <cellStyle name="Calculation 13 2 24 5 3" xfId="12000" xr:uid="{00000000-0005-0000-0000-0000C12E0000}"/>
    <cellStyle name="Calculation 13 2 24 5 4" xfId="12001" xr:uid="{00000000-0005-0000-0000-0000C22E0000}"/>
    <cellStyle name="Calculation 13 2 24 5 5" xfId="12002" xr:uid="{00000000-0005-0000-0000-0000C32E0000}"/>
    <cellStyle name="Calculation 13 2 24 5 6" xfId="12003" xr:uid="{00000000-0005-0000-0000-0000C42E0000}"/>
    <cellStyle name="Calculation 13 2 24 6" xfId="12004" xr:uid="{00000000-0005-0000-0000-0000C52E0000}"/>
    <cellStyle name="Calculation 13 2 24 6 2" xfId="12005" xr:uid="{00000000-0005-0000-0000-0000C62E0000}"/>
    <cellStyle name="Calculation 13 2 24 6 3" xfId="12006" xr:uid="{00000000-0005-0000-0000-0000C72E0000}"/>
    <cellStyle name="Calculation 13 2 24 6 4" xfId="12007" xr:uid="{00000000-0005-0000-0000-0000C82E0000}"/>
    <cellStyle name="Calculation 13 2 24 6 5" xfId="12008" xr:uid="{00000000-0005-0000-0000-0000C92E0000}"/>
    <cellStyle name="Calculation 13 2 24 6 6" xfId="12009" xr:uid="{00000000-0005-0000-0000-0000CA2E0000}"/>
    <cellStyle name="Calculation 13 2 24 7" xfId="12010" xr:uid="{00000000-0005-0000-0000-0000CB2E0000}"/>
    <cellStyle name="Calculation 13 2 24 7 2" xfId="12011" xr:uid="{00000000-0005-0000-0000-0000CC2E0000}"/>
    <cellStyle name="Calculation 13 2 24 7 3" xfId="12012" xr:uid="{00000000-0005-0000-0000-0000CD2E0000}"/>
    <cellStyle name="Calculation 13 2 24 7 4" xfId="12013" xr:uid="{00000000-0005-0000-0000-0000CE2E0000}"/>
    <cellStyle name="Calculation 13 2 24 7 5" xfId="12014" xr:uid="{00000000-0005-0000-0000-0000CF2E0000}"/>
    <cellStyle name="Calculation 13 2 24 7 6" xfId="12015" xr:uid="{00000000-0005-0000-0000-0000D02E0000}"/>
    <cellStyle name="Calculation 13 2 24 8" xfId="12016" xr:uid="{00000000-0005-0000-0000-0000D12E0000}"/>
    <cellStyle name="Calculation 13 2 24 9" xfId="12017" xr:uid="{00000000-0005-0000-0000-0000D22E0000}"/>
    <cellStyle name="Calculation 13 2 25" xfId="12018" xr:uid="{00000000-0005-0000-0000-0000D32E0000}"/>
    <cellStyle name="Calculation 13 2 25 10" xfId="12019" xr:uid="{00000000-0005-0000-0000-0000D42E0000}"/>
    <cellStyle name="Calculation 13 2 25 2" xfId="12020" xr:uid="{00000000-0005-0000-0000-0000D52E0000}"/>
    <cellStyle name="Calculation 13 2 25 2 2" xfId="12021" xr:uid="{00000000-0005-0000-0000-0000D62E0000}"/>
    <cellStyle name="Calculation 13 2 25 2 3" xfId="12022" xr:uid="{00000000-0005-0000-0000-0000D72E0000}"/>
    <cellStyle name="Calculation 13 2 25 2 4" xfId="12023" xr:uid="{00000000-0005-0000-0000-0000D82E0000}"/>
    <cellStyle name="Calculation 13 2 25 2 5" xfId="12024" xr:uid="{00000000-0005-0000-0000-0000D92E0000}"/>
    <cellStyle name="Calculation 13 2 25 2 6" xfId="12025" xr:uid="{00000000-0005-0000-0000-0000DA2E0000}"/>
    <cellStyle name="Calculation 13 2 25 3" xfId="12026" xr:uid="{00000000-0005-0000-0000-0000DB2E0000}"/>
    <cellStyle name="Calculation 13 2 25 3 2" xfId="12027" xr:uid="{00000000-0005-0000-0000-0000DC2E0000}"/>
    <cellStyle name="Calculation 13 2 25 3 3" xfId="12028" xr:uid="{00000000-0005-0000-0000-0000DD2E0000}"/>
    <cellStyle name="Calculation 13 2 25 3 4" xfId="12029" xr:uid="{00000000-0005-0000-0000-0000DE2E0000}"/>
    <cellStyle name="Calculation 13 2 25 3 5" xfId="12030" xr:uid="{00000000-0005-0000-0000-0000DF2E0000}"/>
    <cellStyle name="Calculation 13 2 25 3 6" xfId="12031" xr:uid="{00000000-0005-0000-0000-0000E02E0000}"/>
    <cellStyle name="Calculation 13 2 25 4" xfId="12032" xr:uid="{00000000-0005-0000-0000-0000E12E0000}"/>
    <cellStyle name="Calculation 13 2 25 4 2" xfId="12033" xr:uid="{00000000-0005-0000-0000-0000E22E0000}"/>
    <cellStyle name="Calculation 13 2 25 4 3" xfId="12034" xr:uid="{00000000-0005-0000-0000-0000E32E0000}"/>
    <cellStyle name="Calculation 13 2 25 4 4" xfId="12035" xr:uid="{00000000-0005-0000-0000-0000E42E0000}"/>
    <cellStyle name="Calculation 13 2 25 4 5" xfId="12036" xr:uid="{00000000-0005-0000-0000-0000E52E0000}"/>
    <cellStyle name="Calculation 13 2 25 4 6" xfId="12037" xr:uid="{00000000-0005-0000-0000-0000E62E0000}"/>
    <cellStyle name="Calculation 13 2 25 5" xfId="12038" xr:uid="{00000000-0005-0000-0000-0000E72E0000}"/>
    <cellStyle name="Calculation 13 2 25 5 2" xfId="12039" xr:uid="{00000000-0005-0000-0000-0000E82E0000}"/>
    <cellStyle name="Calculation 13 2 25 5 3" xfId="12040" xr:uid="{00000000-0005-0000-0000-0000E92E0000}"/>
    <cellStyle name="Calculation 13 2 25 5 4" xfId="12041" xr:uid="{00000000-0005-0000-0000-0000EA2E0000}"/>
    <cellStyle name="Calculation 13 2 25 5 5" xfId="12042" xr:uid="{00000000-0005-0000-0000-0000EB2E0000}"/>
    <cellStyle name="Calculation 13 2 25 5 6" xfId="12043" xr:uid="{00000000-0005-0000-0000-0000EC2E0000}"/>
    <cellStyle name="Calculation 13 2 25 6" xfId="12044" xr:uid="{00000000-0005-0000-0000-0000ED2E0000}"/>
    <cellStyle name="Calculation 13 2 25 6 2" xfId="12045" xr:uid="{00000000-0005-0000-0000-0000EE2E0000}"/>
    <cellStyle name="Calculation 13 2 25 6 3" xfId="12046" xr:uid="{00000000-0005-0000-0000-0000EF2E0000}"/>
    <cellStyle name="Calculation 13 2 25 6 4" xfId="12047" xr:uid="{00000000-0005-0000-0000-0000F02E0000}"/>
    <cellStyle name="Calculation 13 2 25 6 5" xfId="12048" xr:uid="{00000000-0005-0000-0000-0000F12E0000}"/>
    <cellStyle name="Calculation 13 2 25 6 6" xfId="12049" xr:uid="{00000000-0005-0000-0000-0000F22E0000}"/>
    <cellStyle name="Calculation 13 2 25 7" xfId="12050" xr:uid="{00000000-0005-0000-0000-0000F32E0000}"/>
    <cellStyle name="Calculation 13 2 25 7 2" xfId="12051" xr:uid="{00000000-0005-0000-0000-0000F42E0000}"/>
    <cellStyle name="Calculation 13 2 25 7 3" xfId="12052" xr:uid="{00000000-0005-0000-0000-0000F52E0000}"/>
    <cellStyle name="Calculation 13 2 25 7 4" xfId="12053" xr:uid="{00000000-0005-0000-0000-0000F62E0000}"/>
    <cellStyle name="Calculation 13 2 25 7 5" xfId="12054" xr:uid="{00000000-0005-0000-0000-0000F72E0000}"/>
    <cellStyle name="Calculation 13 2 25 7 6" xfId="12055" xr:uid="{00000000-0005-0000-0000-0000F82E0000}"/>
    <cellStyle name="Calculation 13 2 25 8" xfId="12056" xr:uid="{00000000-0005-0000-0000-0000F92E0000}"/>
    <cellStyle name="Calculation 13 2 25 9" xfId="12057" xr:uid="{00000000-0005-0000-0000-0000FA2E0000}"/>
    <cellStyle name="Calculation 13 2 26" xfId="12058" xr:uid="{00000000-0005-0000-0000-0000FB2E0000}"/>
    <cellStyle name="Calculation 13 2 26 10" xfId="12059" xr:uid="{00000000-0005-0000-0000-0000FC2E0000}"/>
    <cellStyle name="Calculation 13 2 26 2" xfId="12060" xr:uid="{00000000-0005-0000-0000-0000FD2E0000}"/>
    <cellStyle name="Calculation 13 2 26 2 2" xfId="12061" xr:uid="{00000000-0005-0000-0000-0000FE2E0000}"/>
    <cellStyle name="Calculation 13 2 26 2 3" xfId="12062" xr:uid="{00000000-0005-0000-0000-0000FF2E0000}"/>
    <cellStyle name="Calculation 13 2 26 2 4" xfId="12063" xr:uid="{00000000-0005-0000-0000-0000002F0000}"/>
    <cellStyle name="Calculation 13 2 26 2 5" xfId="12064" xr:uid="{00000000-0005-0000-0000-0000012F0000}"/>
    <cellStyle name="Calculation 13 2 26 2 6" xfId="12065" xr:uid="{00000000-0005-0000-0000-0000022F0000}"/>
    <cellStyle name="Calculation 13 2 26 3" xfId="12066" xr:uid="{00000000-0005-0000-0000-0000032F0000}"/>
    <cellStyle name="Calculation 13 2 26 3 2" xfId="12067" xr:uid="{00000000-0005-0000-0000-0000042F0000}"/>
    <cellStyle name="Calculation 13 2 26 3 3" xfId="12068" xr:uid="{00000000-0005-0000-0000-0000052F0000}"/>
    <cellStyle name="Calculation 13 2 26 3 4" xfId="12069" xr:uid="{00000000-0005-0000-0000-0000062F0000}"/>
    <cellStyle name="Calculation 13 2 26 3 5" xfId="12070" xr:uid="{00000000-0005-0000-0000-0000072F0000}"/>
    <cellStyle name="Calculation 13 2 26 3 6" xfId="12071" xr:uid="{00000000-0005-0000-0000-0000082F0000}"/>
    <cellStyle name="Calculation 13 2 26 4" xfId="12072" xr:uid="{00000000-0005-0000-0000-0000092F0000}"/>
    <cellStyle name="Calculation 13 2 26 4 2" xfId="12073" xr:uid="{00000000-0005-0000-0000-00000A2F0000}"/>
    <cellStyle name="Calculation 13 2 26 4 3" xfId="12074" xr:uid="{00000000-0005-0000-0000-00000B2F0000}"/>
    <cellStyle name="Calculation 13 2 26 4 4" xfId="12075" xr:uid="{00000000-0005-0000-0000-00000C2F0000}"/>
    <cellStyle name="Calculation 13 2 26 4 5" xfId="12076" xr:uid="{00000000-0005-0000-0000-00000D2F0000}"/>
    <cellStyle name="Calculation 13 2 26 4 6" xfId="12077" xr:uid="{00000000-0005-0000-0000-00000E2F0000}"/>
    <cellStyle name="Calculation 13 2 26 5" xfId="12078" xr:uid="{00000000-0005-0000-0000-00000F2F0000}"/>
    <cellStyle name="Calculation 13 2 26 5 2" xfId="12079" xr:uid="{00000000-0005-0000-0000-0000102F0000}"/>
    <cellStyle name="Calculation 13 2 26 5 3" xfId="12080" xr:uid="{00000000-0005-0000-0000-0000112F0000}"/>
    <cellStyle name="Calculation 13 2 26 5 4" xfId="12081" xr:uid="{00000000-0005-0000-0000-0000122F0000}"/>
    <cellStyle name="Calculation 13 2 26 5 5" xfId="12082" xr:uid="{00000000-0005-0000-0000-0000132F0000}"/>
    <cellStyle name="Calculation 13 2 26 5 6" xfId="12083" xr:uid="{00000000-0005-0000-0000-0000142F0000}"/>
    <cellStyle name="Calculation 13 2 26 6" xfId="12084" xr:uid="{00000000-0005-0000-0000-0000152F0000}"/>
    <cellStyle name="Calculation 13 2 26 6 2" xfId="12085" xr:uid="{00000000-0005-0000-0000-0000162F0000}"/>
    <cellStyle name="Calculation 13 2 26 6 3" xfId="12086" xr:uid="{00000000-0005-0000-0000-0000172F0000}"/>
    <cellStyle name="Calculation 13 2 26 6 4" xfId="12087" xr:uid="{00000000-0005-0000-0000-0000182F0000}"/>
    <cellStyle name="Calculation 13 2 26 6 5" xfId="12088" xr:uid="{00000000-0005-0000-0000-0000192F0000}"/>
    <cellStyle name="Calculation 13 2 26 6 6" xfId="12089" xr:uid="{00000000-0005-0000-0000-00001A2F0000}"/>
    <cellStyle name="Calculation 13 2 26 7" xfId="12090" xr:uid="{00000000-0005-0000-0000-00001B2F0000}"/>
    <cellStyle name="Calculation 13 2 26 7 2" xfId="12091" xr:uid="{00000000-0005-0000-0000-00001C2F0000}"/>
    <cellStyle name="Calculation 13 2 26 7 3" xfId="12092" xr:uid="{00000000-0005-0000-0000-00001D2F0000}"/>
    <cellStyle name="Calculation 13 2 26 7 4" xfId="12093" xr:uid="{00000000-0005-0000-0000-00001E2F0000}"/>
    <cellStyle name="Calculation 13 2 26 7 5" xfId="12094" xr:uid="{00000000-0005-0000-0000-00001F2F0000}"/>
    <cellStyle name="Calculation 13 2 26 7 6" xfId="12095" xr:uid="{00000000-0005-0000-0000-0000202F0000}"/>
    <cellStyle name="Calculation 13 2 26 8" xfId="12096" xr:uid="{00000000-0005-0000-0000-0000212F0000}"/>
    <cellStyle name="Calculation 13 2 26 9" xfId="12097" xr:uid="{00000000-0005-0000-0000-0000222F0000}"/>
    <cellStyle name="Calculation 13 2 27" xfId="12098" xr:uid="{00000000-0005-0000-0000-0000232F0000}"/>
    <cellStyle name="Calculation 13 2 27 2" xfId="12099" xr:uid="{00000000-0005-0000-0000-0000242F0000}"/>
    <cellStyle name="Calculation 13 2 27 3" xfId="12100" xr:uid="{00000000-0005-0000-0000-0000252F0000}"/>
    <cellStyle name="Calculation 13 2 27 4" xfId="12101" xr:uid="{00000000-0005-0000-0000-0000262F0000}"/>
    <cellStyle name="Calculation 13 2 27 5" xfId="12102" xr:uid="{00000000-0005-0000-0000-0000272F0000}"/>
    <cellStyle name="Calculation 13 2 27 6" xfId="12103" xr:uid="{00000000-0005-0000-0000-0000282F0000}"/>
    <cellStyle name="Calculation 13 2 28" xfId="12104" xr:uid="{00000000-0005-0000-0000-0000292F0000}"/>
    <cellStyle name="Calculation 13 2 28 2" xfId="12105" xr:uid="{00000000-0005-0000-0000-00002A2F0000}"/>
    <cellStyle name="Calculation 13 2 28 3" xfId="12106" xr:uid="{00000000-0005-0000-0000-00002B2F0000}"/>
    <cellStyle name="Calculation 13 2 28 4" xfId="12107" xr:uid="{00000000-0005-0000-0000-00002C2F0000}"/>
    <cellStyle name="Calculation 13 2 28 5" xfId="12108" xr:uid="{00000000-0005-0000-0000-00002D2F0000}"/>
    <cellStyle name="Calculation 13 2 28 6" xfId="12109" xr:uid="{00000000-0005-0000-0000-00002E2F0000}"/>
    <cellStyle name="Calculation 13 2 29" xfId="12110" xr:uid="{00000000-0005-0000-0000-00002F2F0000}"/>
    <cellStyle name="Calculation 13 2 29 2" xfId="12111" xr:uid="{00000000-0005-0000-0000-0000302F0000}"/>
    <cellStyle name="Calculation 13 2 29 3" xfId="12112" xr:uid="{00000000-0005-0000-0000-0000312F0000}"/>
    <cellStyle name="Calculation 13 2 29 4" xfId="12113" xr:uid="{00000000-0005-0000-0000-0000322F0000}"/>
    <cellStyle name="Calculation 13 2 29 5" xfId="12114" xr:uid="{00000000-0005-0000-0000-0000332F0000}"/>
    <cellStyle name="Calculation 13 2 29 6" xfId="12115" xr:uid="{00000000-0005-0000-0000-0000342F0000}"/>
    <cellStyle name="Calculation 13 2 3" xfId="12116" xr:uid="{00000000-0005-0000-0000-0000352F0000}"/>
    <cellStyle name="Calculation 13 2 3 10" xfId="12117" xr:uid="{00000000-0005-0000-0000-0000362F0000}"/>
    <cellStyle name="Calculation 13 2 3 2" xfId="12118" xr:uid="{00000000-0005-0000-0000-0000372F0000}"/>
    <cellStyle name="Calculation 13 2 3 2 2" xfId="12119" xr:uid="{00000000-0005-0000-0000-0000382F0000}"/>
    <cellStyle name="Calculation 13 2 3 2 3" xfId="12120" xr:uid="{00000000-0005-0000-0000-0000392F0000}"/>
    <cellStyle name="Calculation 13 2 3 2 4" xfId="12121" xr:uid="{00000000-0005-0000-0000-00003A2F0000}"/>
    <cellStyle name="Calculation 13 2 3 2 5" xfId="12122" xr:uid="{00000000-0005-0000-0000-00003B2F0000}"/>
    <cellStyle name="Calculation 13 2 3 2 6" xfId="12123" xr:uid="{00000000-0005-0000-0000-00003C2F0000}"/>
    <cellStyle name="Calculation 13 2 3 3" xfId="12124" xr:uid="{00000000-0005-0000-0000-00003D2F0000}"/>
    <cellStyle name="Calculation 13 2 3 3 2" xfId="12125" xr:uid="{00000000-0005-0000-0000-00003E2F0000}"/>
    <cellStyle name="Calculation 13 2 3 3 3" xfId="12126" xr:uid="{00000000-0005-0000-0000-00003F2F0000}"/>
    <cellStyle name="Calculation 13 2 3 3 4" xfId="12127" xr:uid="{00000000-0005-0000-0000-0000402F0000}"/>
    <cellStyle name="Calculation 13 2 3 3 5" xfId="12128" xr:uid="{00000000-0005-0000-0000-0000412F0000}"/>
    <cellStyle name="Calculation 13 2 3 3 6" xfId="12129" xr:uid="{00000000-0005-0000-0000-0000422F0000}"/>
    <cellStyle name="Calculation 13 2 3 4" xfId="12130" xr:uid="{00000000-0005-0000-0000-0000432F0000}"/>
    <cellStyle name="Calculation 13 2 3 4 2" xfId="12131" xr:uid="{00000000-0005-0000-0000-0000442F0000}"/>
    <cellStyle name="Calculation 13 2 3 4 3" xfId="12132" xr:uid="{00000000-0005-0000-0000-0000452F0000}"/>
    <cellStyle name="Calculation 13 2 3 4 4" xfId="12133" xr:uid="{00000000-0005-0000-0000-0000462F0000}"/>
    <cellStyle name="Calculation 13 2 3 4 5" xfId="12134" xr:uid="{00000000-0005-0000-0000-0000472F0000}"/>
    <cellStyle name="Calculation 13 2 3 4 6" xfId="12135" xr:uid="{00000000-0005-0000-0000-0000482F0000}"/>
    <cellStyle name="Calculation 13 2 3 5" xfId="12136" xr:uid="{00000000-0005-0000-0000-0000492F0000}"/>
    <cellStyle name="Calculation 13 2 3 5 2" xfId="12137" xr:uid="{00000000-0005-0000-0000-00004A2F0000}"/>
    <cellStyle name="Calculation 13 2 3 5 3" xfId="12138" xr:uid="{00000000-0005-0000-0000-00004B2F0000}"/>
    <cellStyle name="Calculation 13 2 3 5 4" xfId="12139" xr:uid="{00000000-0005-0000-0000-00004C2F0000}"/>
    <cellStyle name="Calculation 13 2 3 5 5" xfId="12140" xr:uid="{00000000-0005-0000-0000-00004D2F0000}"/>
    <cellStyle name="Calculation 13 2 3 5 6" xfId="12141" xr:uid="{00000000-0005-0000-0000-00004E2F0000}"/>
    <cellStyle name="Calculation 13 2 3 6" xfId="12142" xr:uid="{00000000-0005-0000-0000-00004F2F0000}"/>
    <cellStyle name="Calculation 13 2 3 6 2" xfId="12143" xr:uid="{00000000-0005-0000-0000-0000502F0000}"/>
    <cellStyle name="Calculation 13 2 3 6 3" xfId="12144" xr:uid="{00000000-0005-0000-0000-0000512F0000}"/>
    <cellStyle name="Calculation 13 2 3 6 4" xfId="12145" xr:uid="{00000000-0005-0000-0000-0000522F0000}"/>
    <cellStyle name="Calculation 13 2 3 6 5" xfId="12146" xr:uid="{00000000-0005-0000-0000-0000532F0000}"/>
    <cellStyle name="Calculation 13 2 3 6 6" xfId="12147" xr:uid="{00000000-0005-0000-0000-0000542F0000}"/>
    <cellStyle name="Calculation 13 2 3 7" xfId="12148" xr:uid="{00000000-0005-0000-0000-0000552F0000}"/>
    <cellStyle name="Calculation 13 2 3 7 2" xfId="12149" xr:uid="{00000000-0005-0000-0000-0000562F0000}"/>
    <cellStyle name="Calculation 13 2 3 7 3" xfId="12150" xr:uid="{00000000-0005-0000-0000-0000572F0000}"/>
    <cellStyle name="Calculation 13 2 3 7 4" xfId="12151" xr:uid="{00000000-0005-0000-0000-0000582F0000}"/>
    <cellStyle name="Calculation 13 2 3 7 5" xfId="12152" xr:uid="{00000000-0005-0000-0000-0000592F0000}"/>
    <cellStyle name="Calculation 13 2 3 7 6" xfId="12153" xr:uid="{00000000-0005-0000-0000-00005A2F0000}"/>
    <cellStyle name="Calculation 13 2 3 8" xfId="12154" xr:uid="{00000000-0005-0000-0000-00005B2F0000}"/>
    <cellStyle name="Calculation 13 2 3 9" xfId="12155" xr:uid="{00000000-0005-0000-0000-00005C2F0000}"/>
    <cellStyle name="Calculation 13 2 30" xfId="12156" xr:uid="{00000000-0005-0000-0000-00005D2F0000}"/>
    <cellStyle name="Calculation 13 2 30 2" xfId="12157" xr:uid="{00000000-0005-0000-0000-00005E2F0000}"/>
    <cellStyle name="Calculation 13 2 30 3" xfId="12158" xr:uid="{00000000-0005-0000-0000-00005F2F0000}"/>
    <cellStyle name="Calculation 13 2 30 4" xfId="12159" xr:uid="{00000000-0005-0000-0000-0000602F0000}"/>
    <cellStyle name="Calculation 13 2 30 5" xfId="12160" xr:uid="{00000000-0005-0000-0000-0000612F0000}"/>
    <cellStyle name="Calculation 13 2 30 6" xfId="12161" xr:uid="{00000000-0005-0000-0000-0000622F0000}"/>
    <cellStyle name="Calculation 13 2 31" xfId="12162" xr:uid="{00000000-0005-0000-0000-0000632F0000}"/>
    <cellStyle name="Calculation 13 2 31 2" xfId="12163" xr:uid="{00000000-0005-0000-0000-0000642F0000}"/>
    <cellStyle name="Calculation 13 2 31 3" xfId="12164" xr:uid="{00000000-0005-0000-0000-0000652F0000}"/>
    <cellStyle name="Calculation 13 2 31 4" xfId="12165" xr:uid="{00000000-0005-0000-0000-0000662F0000}"/>
    <cellStyle name="Calculation 13 2 31 5" xfId="12166" xr:uid="{00000000-0005-0000-0000-0000672F0000}"/>
    <cellStyle name="Calculation 13 2 31 6" xfId="12167" xr:uid="{00000000-0005-0000-0000-0000682F0000}"/>
    <cellStyle name="Calculation 13 2 32" xfId="12168" xr:uid="{00000000-0005-0000-0000-0000692F0000}"/>
    <cellStyle name="Calculation 13 2 32 2" xfId="12169" xr:uid="{00000000-0005-0000-0000-00006A2F0000}"/>
    <cellStyle name="Calculation 13 2 32 3" xfId="12170" xr:uid="{00000000-0005-0000-0000-00006B2F0000}"/>
    <cellStyle name="Calculation 13 2 32 4" xfId="12171" xr:uid="{00000000-0005-0000-0000-00006C2F0000}"/>
    <cellStyle name="Calculation 13 2 32 5" xfId="12172" xr:uid="{00000000-0005-0000-0000-00006D2F0000}"/>
    <cellStyle name="Calculation 13 2 32 6" xfId="12173" xr:uid="{00000000-0005-0000-0000-00006E2F0000}"/>
    <cellStyle name="Calculation 13 2 33" xfId="12174" xr:uid="{00000000-0005-0000-0000-00006F2F0000}"/>
    <cellStyle name="Calculation 13 2 34" xfId="12175" xr:uid="{00000000-0005-0000-0000-0000702F0000}"/>
    <cellStyle name="Calculation 13 2 35" xfId="12176" xr:uid="{00000000-0005-0000-0000-0000712F0000}"/>
    <cellStyle name="Calculation 13 2 4" xfId="12177" xr:uid="{00000000-0005-0000-0000-0000722F0000}"/>
    <cellStyle name="Calculation 13 2 4 10" xfId="12178" xr:uid="{00000000-0005-0000-0000-0000732F0000}"/>
    <cellStyle name="Calculation 13 2 4 2" xfId="12179" xr:uid="{00000000-0005-0000-0000-0000742F0000}"/>
    <cellStyle name="Calculation 13 2 4 2 2" xfId="12180" xr:uid="{00000000-0005-0000-0000-0000752F0000}"/>
    <cellStyle name="Calculation 13 2 4 2 3" xfId="12181" xr:uid="{00000000-0005-0000-0000-0000762F0000}"/>
    <cellStyle name="Calculation 13 2 4 2 4" xfId="12182" xr:uid="{00000000-0005-0000-0000-0000772F0000}"/>
    <cellStyle name="Calculation 13 2 4 2 5" xfId="12183" xr:uid="{00000000-0005-0000-0000-0000782F0000}"/>
    <cellStyle name="Calculation 13 2 4 2 6" xfId="12184" xr:uid="{00000000-0005-0000-0000-0000792F0000}"/>
    <cellStyle name="Calculation 13 2 4 3" xfId="12185" xr:uid="{00000000-0005-0000-0000-00007A2F0000}"/>
    <cellStyle name="Calculation 13 2 4 3 2" xfId="12186" xr:uid="{00000000-0005-0000-0000-00007B2F0000}"/>
    <cellStyle name="Calculation 13 2 4 3 3" xfId="12187" xr:uid="{00000000-0005-0000-0000-00007C2F0000}"/>
    <cellStyle name="Calculation 13 2 4 3 4" xfId="12188" xr:uid="{00000000-0005-0000-0000-00007D2F0000}"/>
    <cellStyle name="Calculation 13 2 4 3 5" xfId="12189" xr:uid="{00000000-0005-0000-0000-00007E2F0000}"/>
    <cellStyle name="Calculation 13 2 4 3 6" xfId="12190" xr:uid="{00000000-0005-0000-0000-00007F2F0000}"/>
    <cellStyle name="Calculation 13 2 4 4" xfId="12191" xr:uid="{00000000-0005-0000-0000-0000802F0000}"/>
    <cellStyle name="Calculation 13 2 4 4 2" xfId="12192" xr:uid="{00000000-0005-0000-0000-0000812F0000}"/>
    <cellStyle name="Calculation 13 2 4 4 3" xfId="12193" xr:uid="{00000000-0005-0000-0000-0000822F0000}"/>
    <cellStyle name="Calculation 13 2 4 4 4" xfId="12194" xr:uid="{00000000-0005-0000-0000-0000832F0000}"/>
    <cellStyle name="Calculation 13 2 4 4 5" xfId="12195" xr:uid="{00000000-0005-0000-0000-0000842F0000}"/>
    <cellStyle name="Calculation 13 2 4 4 6" xfId="12196" xr:uid="{00000000-0005-0000-0000-0000852F0000}"/>
    <cellStyle name="Calculation 13 2 4 5" xfId="12197" xr:uid="{00000000-0005-0000-0000-0000862F0000}"/>
    <cellStyle name="Calculation 13 2 4 5 2" xfId="12198" xr:uid="{00000000-0005-0000-0000-0000872F0000}"/>
    <cellStyle name="Calculation 13 2 4 5 3" xfId="12199" xr:uid="{00000000-0005-0000-0000-0000882F0000}"/>
    <cellStyle name="Calculation 13 2 4 5 4" xfId="12200" xr:uid="{00000000-0005-0000-0000-0000892F0000}"/>
    <cellStyle name="Calculation 13 2 4 5 5" xfId="12201" xr:uid="{00000000-0005-0000-0000-00008A2F0000}"/>
    <cellStyle name="Calculation 13 2 4 5 6" xfId="12202" xr:uid="{00000000-0005-0000-0000-00008B2F0000}"/>
    <cellStyle name="Calculation 13 2 4 6" xfId="12203" xr:uid="{00000000-0005-0000-0000-00008C2F0000}"/>
    <cellStyle name="Calculation 13 2 4 6 2" xfId="12204" xr:uid="{00000000-0005-0000-0000-00008D2F0000}"/>
    <cellStyle name="Calculation 13 2 4 6 3" xfId="12205" xr:uid="{00000000-0005-0000-0000-00008E2F0000}"/>
    <cellStyle name="Calculation 13 2 4 6 4" xfId="12206" xr:uid="{00000000-0005-0000-0000-00008F2F0000}"/>
    <cellStyle name="Calculation 13 2 4 6 5" xfId="12207" xr:uid="{00000000-0005-0000-0000-0000902F0000}"/>
    <cellStyle name="Calculation 13 2 4 6 6" xfId="12208" xr:uid="{00000000-0005-0000-0000-0000912F0000}"/>
    <cellStyle name="Calculation 13 2 4 7" xfId="12209" xr:uid="{00000000-0005-0000-0000-0000922F0000}"/>
    <cellStyle name="Calculation 13 2 4 7 2" xfId="12210" xr:uid="{00000000-0005-0000-0000-0000932F0000}"/>
    <cellStyle name="Calculation 13 2 4 7 3" xfId="12211" xr:uid="{00000000-0005-0000-0000-0000942F0000}"/>
    <cellStyle name="Calculation 13 2 4 7 4" xfId="12212" xr:uid="{00000000-0005-0000-0000-0000952F0000}"/>
    <cellStyle name="Calculation 13 2 4 7 5" xfId="12213" xr:uid="{00000000-0005-0000-0000-0000962F0000}"/>
    <cellStyle name="Calculation 13 2 4 7 6" xfId="12214" xr:uid="{00000000-0005-0000-0000-0000972F0000}"/>
    <cellStyle name="Calculation 13 2 4 8" xfId="12215" xr:uid="{00000000-0005-0000-0000-0000982F0000}"/>
    <cellStyle name="Calculation 13 2 4 9" xfId="12216" xr:uid="{00000000-0005-0000-0000-0000992F0000}"/>
    <cellStyle name="Calculation 13 2 5" xfId="12217" xr:uid="{00000000-0005-0000-0000-00009A2F0000}"/>
    <cellStyle name="Calculation 13 2 5 10" xfId="12218" xr:uid="{00000000-0005-0000-0000-00009B2F0000}"/>
    <cellStyle name="Calculation 13 2 5 2" xfId="12219" xr:uid="{00000000-0005-0000-0000-00009C2F0000}"/>
    <cellStyle name="Calculation 13 2 5 2 2" xfId="12220" xr:uid="{00000000-0005-0000-0000-00009D2F0000}"/>
    <cellStyle name="Calculation 13 2 5 2 3" xfId="12221" xr:uid="{00000000-0005-0000-0000-00009E2F0000}"/>
    <cellStyle name="Calculation 13 2 5 2 4" xfId="12222" xr:uid="{00000000-0005-0000-0000-00009F2F0000}"/>
    <cellStyle name="Calculation 13 2 5 2 5" xfId="12223" xr:uid="{00000000-0005-0000-0000-0000A02F0000}"/>
    <cellStyle name="Calculation 13 2 5 2 6" xfId="12224" xr:uid="{00000000-0005-0000-0000-0000A12F0000}"/>
    <cellStyle name="Calculation 13 2 5 3" xfId="12225" xr:uid="{00000000-0005-0000-0000-0000A22F0000}"/>
    <cellStyle name="Calculation 13 2 5 3 2" xfId="12226" xr:uid="{00000000-0005-0000-0000-0000A32F0000}"/>
    <cellStyle name="Calculation 13 2 5 3 3" xfId="12227" xr:uid="{00000000-0005-0000-0000-0000A42F0000}"/>
    <cellStyle name="Calculation 13 2 5 3 4" xfId="12228" xr:uid="{00000000-0005-0000-0000-0000A52F0000}"/>
    <cellStyle name="Calculation 13 2 5 3 5" xfId="12229" xr:uid="{00000000-0005-0000-0000-0000A62F0000}"/>
    <cellStyle name="Calculation 13 2 5 3 6" xfId="12230" xr:uid="{00000000-0005-0000-0000-0000A72F0000}"/>
    <cellStyle name="Calculation 13 2 5 4" xfId="12231" xr:uid="{00000000-0005-0000-0000-0000A82F0000}"/>
    <cellStyle name="Calculation 13 2 5 4 2" xfId="12232" xr:uid="{00000000-0005-0000-0000-0000A92F0000}"/>
    <cellStyle name="Calculation 13 2 5 4 3" xfId="12233" xr:uid="{00000000-0005-0000-0000-0000AA2F0000}"/>
    <cellStyle name="Calculation 13 2 5 4 4" xfId="12234" xr:uid="{00000000-0005-0000-0000-0000AB2F0000}"/>
    <cellStyle name="Calculation 13 2 5 4 5" xfId="12235" xr:uid="{00000000-0005-0000-0000-0000AC2F0000}"/>
    <cellStyle name="Calculation 13 2 5 4 6" xfId="12236" xr:uid="{00000000-0005-0000-0000-0000AD2F0000}"/>
    <cellStyle name="Calculation 13 2 5 5" xfId="12237" xr:uid="{00000000-0005-0000-0000-0000AE2F0000}"/>
    <cellStyle name="Calculation 13 2 5 5 2" xfId="12238" xr:uid="{00000000-0005-0000-0000-0000AF2F0000}"/>
    <cellStyle name="Calculation 13 2 5 5 3" xfId="12239" xr:uid="{00000000-0005-0000-0000-0000B02F0000}"/>
    <cellStyle name="Calculation 13 2 5 5 4" xfId="12240" xr:uid="{00000000-0005-0000-0000-0000B12F0000}"/>
    <cellStyle name="Calculation 13 2 5 5 5" xfId="12241" xr:uid="{00000000-0005-0000-0000-0000B22F0000}"/>
    <cellStyle name="Calculation 13 2 5 5 6" xfId="12242" xr:uid="{00000000-0005-0000-0000-0000B32F0000}"/>
    <cellStyle name="Calculation 13 2 5 6" xfId="12243" xr:uid="{00000000-0005-0000-0000-0000B42F0000}"/>
    <cellStyle name="Calculation 13 2 5 6 2" xfId="12244" xr:uid="{00000000-0005-0000-0000-0000B52F0000}"/>
    <cellStyle name="Calculation 13 2 5 6 3" xfId="12245" xr:uid="{00000000-0005-0000-0000-0000B62F0000}"/>
    <cellStyle name="Calculation 13 2 5 6 4" xfId="12246" xr:uid="{00000000-0005-0000-0000-0000B72F0000}"/>
    <cellStyle name="Calculation 13 2 5 6 5" xfId="12247" xr:uid="{00000000-0005-0000-0000-0000B82F0000}"/>
    <cellStyle name="Calculation 13 2 5 6 6" xfId="12248" xr:uid="{00000000-0005-0000-0000-0000B92F0000}"/>
    <cellStyle name="Calculation 13 2 5 7" xfId="12249" xr:uid="{00000000-0005-0000-0000-0000BA2F0000}"/>
    <cellStyle name="Calculation 13 2 5 7 2" xfId="12250" xr:uid="{00000000-0005-0000-0000-0000BB2F0000}"/>
    <cellStyle name="Calculation 13 2 5 7 3" xfId="12251" xr:uid="{00000000-0005-0000-0000-0000BC2F0000}"/>
    <cellStyle name="Calculation 13 2 5 7 4" xfId="12252" xr:uid="{00000000-0005-0000-0000-0000BD2F0000}"/>
    <cellStyle name="Calculation 13 2 5 7 5" xfId="12253" xr:uid="{00000000-0005-0000-0000-0000BE2F0000}"/>
    <cellStyle name="Calculation 13 2 5 7 6" xfId="12254" xr:uid="{00000000-0005-0000-0000-0000BF2F0000}"/>
    <cellStyle name="Calculation 13 2 5 8" xfId="12255" xr:uid="{00000000-0005-0000-0000-0000C02F0000}"/>
    <cellStyle name="Calculation 13 2 5 9" xfId="12256" xr:uid="{00000000-0005-0000-0000-0000C12F0000}"/>
    <cellStyle name="Calculation 13 2 6" xfId="12257" xr:uid="{00000000-0005-0000-0000-0000C22F0000}"/>
    <cellStyle name="Calculation 13 2 6 10" xfId="12258" xr:uid="{00000000-0005-0000-0000-0000C32F0000}"/>
    <cellStyle name="Calculation 13 2 6 2" xfId="12259" xr:uid="{00000000-0005-0000-0000-0000C42F0000}"/>
    <cellStyle name="Calculation 13 2 6 2 2" xfId="12260" xr:uid="{00000000-0005-0000-0000-0000C52F0000}"/>
    <cellStyle name="Calculation 13 2 6 2 3" xfId="12261" xr:uid="{00000000-0005-0000-0000-0000C62F0000}"/>
    <cellStyle name="Calculation 13 2 6 2 4" xfId="12262" xr:uid="{00000000-0005-0000-0000-0000C72F0000}"/>
    <cellStyle name="Calculation 13 2 6 2 5" xfId="12263" xr:uid="{00000000-0005-0000-0000-0000C82F0000}"/>
    <cellStyle name="Calculation 13 2 6 2 6" xfId="12264" xr:uid="{00000000-0005-0000-0000-0000C92F0000}"/>
    <cellStyle name="Calculation 13 2 6 3" xfId="12265" xr:uid="{00000000-0005-0000-0000-0000CA2F0000}"/>
    <cellStyle name="Calculation 13 2 6 3 2" xfId="12266" xr:uid="{00000000-0005-0000-0000-0000CB2F0000}"/>
    <cellStyle name="Calculation 13 2 6 3 3" xfId="12267" xr:uid="{00000000-0005-0000-0000-0000CC2F0000}"/>
    <cellStyle name="Calculation 13 2 6 3 4" xfId="12268" xr:uid="{00000000-0005-0000-0000-0000CD2F0000}"/>
    <cellStyle name="Calculation 13 2 6 3 5" xfId="12269" xr:uid="{00000000-0005-0000-0000-0000CE2F0000}"/>
    <cellStyle name="Calculation 13 2 6 3 6" xfId="12270" xr:uid="{00000000-0005-0000-0000-0000CF2F0000}"/>
    <cellStyle name="Calculation 13 2 6 4" xfId="12271" xr:uid="{00000000-0005-0000-0000-0000D02F0000}"/>
    <cellStyle name="Calculation 13 2 6 4 2" xfId="12272" xr:uid="{00000000-0005-0000-0000-0000D12F0000}"/>
    <cellStyle name="Calculation 13 2 6 4 3" xfId="12273" xr:uid="{00000000-0005-0000-0000-0000D22F0000}"/>
    <cellStyle name="Calculation 13 2 6 4 4" xfId="12274" xr:uid="{00000000-0005-0000-0000-0000D32F0000}"/>
    <cellStyle name="Calculation 13 2 6 4 5" xfId="12275" xr:uid="{00000000-0005-0000-0000-0000D42F0000}"/>
    <cellStyle name="Calculation 13 2 6 4 6" xfId="12276" xr:uid="{00000000-0005-0000-0000-0000D52F0000}"/>
    <cellStyle name="Calculation 13 2 6 5" xfId="12277" xr:uid="{00000000-0005-0000-0000-0000D62F0000}"/>
    <cellStyle name="Calculation 13 2 6 5 2" xfId="12278" xr:uid="{00000000-0005-0000-0000-0000D72F0000}"/>
    <cellStyle name="Calculation 13 2 6 5 3" xfId="12279" xr:uid="{00000000-0005-0000-0000-0000D82F0000}"/>
    <cellStyle name="Calculation 13 2 6 5 4" xfId="12280" xr:uid="{00000000-0005-0000-0000-0000D92F0000}"/>
    <cellStyle name="Calculation 13 2 6 5 5" xfId="12281" xr:uid="{00000000-0005-0000-0000-0000DA2F0000}"/>
    <cellStyle name="Calculation 13 2 6 5 6" xfId="12282" xr:uid="{00000000-0005-0000-0000-0000DB2F0000}"/>
    <cellStyle name="Calculation 13 2 6 6" xfId="12283" xr:uid="{00000000-0005-0000-0000-0000DC2F0000}"/>
    <cellStyle name="Calculation 13 2 6 6 2" xfId="12284" xr:uid="{00000000-0005-0000-0000-0000DD2F0000}"/>
    <cellStyle name="Calculation 13 2 6 6 3" xfId="12285" xr:uid="{00000000-0005-0000-0000-0000DE2F0000}"/>
    <cellStyle name="Calculation 13 2 6 6 4" xfId="12286" xr:uid="{00000000-0005-0000-0000-0000DF2F0000}"/>
    <cellStyle name="Calculation 13 2 6 6 5" xfId="12287" xr:uid="{00000000-0005-0000-0000-0000E02F0000}"/>
    <cellStyle name="Calculation 13 2 6 6 6" xfId="12288" xr:uid="{00000000-0005-0000-0000-0000E12F0000}"/>
    <cellStyle name="Calculation 13 2 6 7" xfId="12289" xr:uid="{00000000-0005-0000-0000-0000E22F0000}"/>
    <cellStyle name="Calculation 13 2 6 7 2" xfId="12290" xr:uid="{00000000-0005-0000-0000-0000E32F0000}"/>
    <cellStyle name="Calculation 13 2 6 7 3" xfId="12291" xr:uid="{00000000-0005-0000-0000-0000E42F0000}"/>
    <cellStyle name="Calculation 13 2 6 7 4" xfId="12292" xr:uid="{00000000-0005-0000-0000-0000E52F0000}"/>
    <cellStyle name="Calculation 13 2 6 7 5" xfId="12293" xr:uid="{00000000-0005-0000-0000-0000E62F0000}"/>
    <cellStyle name="Calculation 13 2 6 7 6" xfId="12294" xr:uid="{00000000-0005-0000-0000-0000E72F0000}"/>
    <cellStyle name="Calculation 13 2 6 8" xfId="12295" xr:uid="{00000000-0005-0000-0000-0000E82F0000}"/>
    <cellStyle name="Calculation 13 2 6 9" xfId="12296" xr:uid="{00000000-0005-0000-0000-0000E92F0000}"/>
    <cellStyle name="Calculation 13 2 7" xfId="12297" xr:uid="{00000000-0005-0000-0000-0000EA2F0000}"/>
    <cellStyle name="Calculation 13 2 7 10" xfId="12298" xr:uid="{00000000-0005-0000-0000-0000EB2F0000}"/>
    <cellStyle name="Calculation 13 2 7 2" xfId="12299" xr:uid="{00000000-0005-0000-0000-0000EC2F0000}"/>
    <cellStyle name="Calculation 13 2 7 2 2" xfId="12300" xr:uid="{00000000-0005-0000-0000-0000ED2F0000}"/>
    <cellStyle name="Calculation 13 2 7 2 3" xfId="12301" xr:uid="{00000000-0005-0000-0000-0000EE2F0000}"/>
    <cellStyle name="Calculation 13 2 7 2 4" xfId="12302" xr:uid="{00000000-0005-0000-0000-0000EF2F0000}"/>
    <cellStyle name="Calculation 13 2 7 2 5" xfId="12303" xr:uid="{00000000-0005-0000-0000-0000F02F0000}"/>
    <cellStyle name="Calculation 13 2 7 2 6" xfId="12304" xr:uid="{00000000-0005-0000-0000-0000F12F0000}"/>
    <cellStyle name="Calculation 13 2 7 3" xfId="12305" xr:uid="{00000000-0005-0000-0000-0000F22F0000}"/>
    <cellStyle name="Calculation 13 2 7 3 2" xfId="12306" xr:uid="{00000000-0005-0000-0000-0000F32F0000}"/>
    <cellStyle name="Calculation 13 2 7 3 3" xfId="12307" xr:uid="{00000000-0005-0000-0000-0000F42F0000}"/>
    <cellStyle name="Calculation 13 2 7 3 4" xfId="12308" xr:uid="{00000000-0005-0000-0000-0000F52F0000}"/>
    <cellStyle name="Calculation 13 2 7 3 5" xfId="12309" xr:uid="{00000000-0005-0000-0000-0000F62F0000}"/>
    <cellStyle name="Calculation 13 2 7 3 6" xfId="12310" xr:uid="{00000000-0005-0000-0000-0000F72F0000}"/>
    <cellStyle name="Calculation 13 2 7 4" xfId="12311" xr:uid="{00000000-0005-0000-0000-0000F82F0000}"/>
    <cellStyle name="Calculation 13 2 7 4 2" xfId="12312" xr:uid="{00000000-0005-0000-0000-0000F92F0000}"/>
    <cellStyle name="Calculation 13 2 7 4 3" xfId="12313" xr:uid="{00000000-0005-0000-0000-0000FA2F0000}"/>
    <cellStyle name="Calculation 13 2 7 4 4" xfId="12314" xr:uid="{00000000-0005-0000-0000-0000FB2F0000}"/>
    <cellStyle name="Calculation 13 2 7 4 5" xfId="12315" xr:uid="{00000000-0005-0000-0000-0000FC2F0000}"/>
    <cellStyle name="Calculation 13 2 7 4 6" xfId="12316" xr:uid="{00000000-0005-0000-0000-0000FD2F0000}"/>
    <cellStyle name="Calculation 13 2 7 5" xfId="12317" xr:uid="{00000000-0005-0000-0000-0000FE2F0000}"/>
    <cellStyle name="Calculation 13 2 7 5 2" xfId="12318" xr:uid="{00000000-0005-0000-0000-0000FF2F0000}"/>
    <cellStyle name="Calculation 13 2 7 5 3" xfId="12319" xr:uid="{00000000-0005-0000-0000-000000300000}"/>
    <cellStyle name="Calculation 13 2 7 5 4" xfId="12320" xr:uid="{00000000-0005-0000-0000-000001300000}"/>
    <cellStyle name="Calculation 13 2 7 5 5" xfId="12321" xr:uid="{00000000-0005-0000-0000-000002300000}"/>
    <cellStyle name="Calculation 13 2 7 5 6" xfId="12322" xr:uid="{00000000-0005-0000-0000-000003300000}"/>
    <cellStyle name="Calculation 13 2 7 6" xfId="12323" xr:uid="{00000000-0005-0000-0000-000004300000}"/>
    <cellStyle name="Calculation 13 2 7 6 2" xfId="12324" xr:uid="{00000000-0005-0000-0000-000005300000}"/>
    <cellStyle name="Calculation 13 2 7 6 3" xfId="12325" xr:uid="{00000000-0005-0000-0000-000006300000}"/>
    <cellStyle name="Calculation 13 2 7 6 4" xfId="12326" xr:uid="{00000000-0005-0000-0000-000007300000}"/>
    <cellStyle name="Calculation 13 2 7 6 5" xfId="12327" xr:uid="{00000000-0005-0000-0000-000008300000}"/>
    <cellStyle name="Calculation 13 2 7 6 6" xfId="12328" xr:uid="{00000000-0005-0000-0000-000009300000}"/>
    <cellStyle name="Calculation 13 2 7 7" xfId="12329" xr:uid="{00000000-0005-0000-0000-00000A300000}"/>
    <cellStyle name="Calculation 13 2 7 7 2" xfId="12330" xr:uid="{00000000-0005-0000-0000-00000B300000}"/>
    <cellStyle name="Calculation 13 2 7 7 3" xfId="12331" xr:uid="{00000000-0005-0000-0000-00000C300000}"/>
    <cellStyle name="Calculation 13 2 7 7 4" xfId="12332" xr:uid="{00000000-0005-0000-0000-00000D300000}"/>
    <cellStyle name="Calculation 13 2 7 7 5" xfId="12333" xr:uid="{00000000-0005-0000-0000-00000E300000}"/>
    <cellStyle name="Calculation 13 2 7 7 6" xfId="12334" xr:uid="{00000000-0005-0000-0000-00000F300000}"/>
    <cellStyle name="Calculation 13 2 7 8" xfId="12335" xr:uid="{00000000-0005-0000-0000-000010300000}"/>
    <cellStyle name="Calculation 13 2 7 9" xfId="12336" xr:uid="{00000000-0005-0000-0000-000011300000}"/>
    <cellStyle name="Calculation 13 2 8" xfId="12337" xr:uid="{00000000-0005-0000-0000-000012300000}"/>
    <cellStyle name="Calculation 13 2 8 10" xfId="12338" xr:uid="{00000000-0005-0000-0000-000013300000}"/>
    <cellStyle name="Calculation 13 2 8 2" xfId="12339" xr:uid="{00000000-0005-0000-0000-000014300000}"/>
    <cellStyle name="Calculation 13 2 8 2 2" xfId="12340" xr:uid="{00000000-0005-0000-0000-000015300000}"/>
    <cellStyle name="Calculation 13 2 8 2 3" xfId="12341" xr:uid="{00000000-0005-0000-0000-000016300000}"/>
    <cellStyle name="Calculation 13 2 8 2 4" xfId="12342" xr:uid="{00000000-0005-0000-0000-000017300000}"/>
    <cellStyle name="Calculation 13 2 8 2 5" xfId="12343" xr:uid="{00000000-0005-0000-0000-000018300000}"/>
    <cellStyle name="Calculation 13 2 8 2 6" xfId="12344" xr:uid="{00000000-0005-0000-0000-000019300000}"/>
    <cellStyle name="Calculation 13 2 8 3" xfId="12345" xr:uid="{00000000-0005-0000-0000-00001A300000}"/>
    <cellStyle name="Calculation 13 2 8 3 2" xfId="12346" xr:uid="{00000000-0005-0000-0000-00001B300000}"/>
    <cellStyle name="Calculation 13 2 8 3 3" xfId="12347" xr:uid="{00000000-0005-0000-0000-00001C300000}"/>
    <cellStyle name="Calculation 13 2 8 3 4" xfId="12348" xr:uid="{00000000-0005-0000-0000-00001D300000}"/>
    <cellStyle name="Calculation 13 2 8 3 5" xfId="12349" xr:uid="{00000000-0005-0000-0000-00001E300000}"/>
    <cellStyle name="Calculation 13 2 8 3 6" xfId="12350" xr:uid="{00000000-0005-0000-0000-00001F300000}"/>
    <cellStyle name="Calculation 13 2 8 4" xfId="12351" xr:uid="{00000000-0005-0000-0000-000020300000}"/>
    <cellStyle name="Calculation 13 2 8 4 2" xfId="12352" xr:uid="{00000000-0005-0000-0000-000021300000}"/>
    <cellStyle name="Calculation 13 2 8 4 3" xfId="12353" xr:uid="{00000000-0005-0000-0000-000022300000}"/>
    <cellStyle name="Calculation 13 2 8 4 4" xfId="12354" xr:uid="{00000000-0005-0000-0000-000023300000}"/>
    <cellStyle name="Calculation 13 2 8 4 5" xfId="12355" xr:uid="{00000000-0005-0000-0000-000024300000}"/>
    <cellStyle name="Calculation 13 2 8 4 6" xfId="12356" xr:uid="{00000000-0005-0000-0000-000025300000}"/>
    <cellStyle name="Calculation 13 2 8 5" xfId="12357" xr:uid="{00000000-0005-0000-0000-000026300000}"/>
    <cellStyle name="Calculation 13 2 8 5 2" xfId="12358" xr:uid="{00000000-0005-0000-0000-000027300000}"/>
    <cellStyle name="Calculation 13 2 8 5 3" xfId="12359" xr:uid="{00000000-0005-0000-0000-000028300000}"/>
    <cellStyle name="Calculation 13 2 8 5 4" xfId="12360" xr:uid="{00000000-0005-0000-0000-000029300000}"/>
    <cellStyle name="Calculation 13 2 8 5 5" xfId="12361" xr:uid="{00000000-0005-0000-0000-00002A300000}"/>
    <cellStyle name="Calculation 13 2 8 5 6" xfId="12362" xr:uid="{00000000-0005-0000-0000-00002B300000}"/>
    <cellStyle name="Calculation 13 2 8 6" xfId="12363" xr:uid="{00000000-0005-0000-0000-00002C300000}"/>
    <cellStyle name="Calculation 13 2 8 6 2" xfId="12364" xr:uid="{00000000-0005-0000-0000-00002D300000}"/>
    <cellStyle name="Calculation 13 2 8 6 3" xfId="12365" xr:uid="{00000000-0005-0000-0000-00002E300000}"/>
    <cellStyle name="Calculation 13 2 8 6 4" xfId="12366" xr:uid="{00000000-0005-0000-0000-00002F300000}"/>
    <cellStyle name="Calculation 13 2 8 6 5" xfId="12367" xr:uid="{00000000-0005-0000-0000-000030300000}"/>
    <cellStyle name="Calculation 13 2 8 6 6" xfId="12368" xr:uid="{00000000-0005-0000-0000-000031300000}"/>
    <cellStyle name="Calculation 13 2 8 7" xfId="12369" xr:uid="{00000000-0005-0000-0000-000032300000}"/>
    <cellStyle name="Calculation 13 2 8 7 2" xfId="12370" xr:uid="{00000000-0005-0000-0000-000033300000}"/>
    <cellStyle name="Calculation 13 2 8 7 3" xfId="12371" xr:uid="{00000000-0005-0000-0000-000034300000}"/>
    <cellStyle name="Calculation 13 2 8 7 4" xfId="12372" xr:uid="{00000000-0005-0000-0000-000035300000}"/>
    <cellStyle name="Calculation 13 2 8 7 5" xfId="12373" xr:uid="{00000000-0005-0000-0000-000036300000}"/>
    <cellStyle name="Calculation 13 2 8 7 6" xfId="12374" xr:uid="{00000000-0005-0000-0000-000037300000}"/>
    <cellStyle name="Calculation 13 2 8 8" xfId="12375" xr:uid="{00000000-0005-0000-0000-000038300000}"/>
    <cellStyle name="Calculation 13 2 8 9" xfId="12376" xr:uid="{00000000-0005-0000-0000-000039300000}"/>
    <cellStyle name="Calculation 13 2 9" xfId="12377" xr:uid="{00000000-0005-0000-0000-00003A300000}"/>
    <cellStyle name="Calculation 13 2 9 10" xfId="12378" xr:uid="{00000000-0005-0000-0000-00003B300000}"/>
    <cellStyle name="Calculation 13 2 9 2" xfId="12379" xr:uid="{00000000-0005-0000-0000-00003C300000}"/>
    <cellStyle name="Calculation 13 2 9 2 2" xfId="12380" xr:uid="{00000000-0005-0000-0000-00003D300000}"/>
    <cellStyle name="Calculation 13 2 9 2 3" xfId="12381" xr:uid="{00000000-0005-0000-0000-00003E300000}"/>
    <cellStyle name="Calculation 13 2 9 2 4" xfId="12382" xr:uid="{00000000-0005-0000-0000-00003F300000}"/>
    <cellStyle name="Calculation 13 2 9 2 5" xfId="12383" xr:uid="{00000000-0005-0000-0000-000040300000}"/>
    <cellStyle name="Calculation 13 2 9 2 6" xfId="12384" xr:uid="{00000000-0005-0000-0000-000041300000}"/>
    <cellStyle name="Calculation 13 2 9 3" xfId="12385" xr:uid="{00000000-0005-0000-0000-000042300000}"/>
    <cellStyle name="Calculation 13 2 9 3 2" xfId="12386" xr:uid="{00000000-0005-0000-0000-000043300000}"/>
    <cellStyle name="Calculation 13 2 9 3 3" xfId="12387" xr:uid="{00000000-0005-0000-0000-000044300000}"/>
    <cellStyle name="Calculation 13 2 9 3 4" xfId="12388" xr:uid="{00000000-0005-0000-0000-000045300000}"/>
    <cellStyle name="Calculation 13 2 9 3 5" xfId="12389" xr:uid="{00000000-0005-0000-0000-000046300000}"/>
    <cellStyle name="Calculation 13 2 9 3 6" xfId="12390" xr:uid="{00000000-0005-0000-0000-000047300000}"/>
    <cellStyle name="Calculation 13 2 9 4" xfId="12391" xr:uid="{00000000-0005-0000-0000-000048300000}"/>
    <cellStyle name="Calculation 13 2 9 4 2" xfId="12392" xr:uid="{00000000-0005-0000-0000-000049300000}"/>
    <cellStyle name="Calculation 13 2 9 4 3" xfId="12393" xr:uid="{00000000-0005-0000-0000-00004A300000}"/>
    <cellStyle name="Calculation 13 2 9 4 4" xfId="12394" xr:uid="{00000000-0005-0000-0000-00004B300000}"/>
    <cellStyle name="Calculation 13 2 9 4 5" xfId="12395" xr:uid="{00000000-0005-0000-0000-00004C300000}"/>
    <cellStyle name="Calculation 13 2 9 4 6" xfId="12396" xr:uid="{00000000-0005-0000-0000-00004D300000}"/>
    <cellStyle name="Calculation 13 2 9 5" xfId="12397" xr:uid="{00000000-0005-0000-0000-00004E300000}"/>
    <cellStyle name="Calculation 13 2 9 5 2" xfId="12398" xr:uid="{00000000-0005-0000-0000-00004F300000}"/>
    <cellStyle name="Calculation 13 2 9 5 3" xfId="12399" xr:uid="{00000000-0005-0000-0000-000050300000}"/>
    <cellStyle name="Calculation 13 2 9 5 4" xfId="12400" xr:uid="{00000000-0005-0000-0000-000051300000}"/>
    <cellStyle name="Calculation 13 2 9 5 5" xfId="12401" xr:uid="{00000000-0005-0000-0000-000052300000}"/>
    <cellStyle name="Calculation 13 2 9 5 6" xfId="12402" xr:uid="{00000000-0005-0000-0000-000053300000}"/>
    <cellStyle name="Calculation 13 2 9 6" xfId="12403" xr:uid="{00000000-0005-0000-0000-000054300000}"/>
    <cellStyle name="Calculation 13 2 9 6 2" xfId="12404" xr:uid="{00000000-0005-0000-0000-000055300000}"/>
    <cellStyle name="Calculation 13 2 9 6 3" xfId="12405" xr:uid="{00000000-0005-0000-0000-000056300000}"/>
    <cellStyle name="Calculation 13 2 9 6 4" xfId="12406" xr:uid="{00000000-0005-0000-0000-000057300000}"/>
    <cellStyle name="Calculation 13 2 9 6 5" xfId="12407" xr:uid="{00000000-0005-0000-0000-000058300000}"/>
    <cellStyle name="Calculation 13 2 9 6 6" xfId="12408" xr:uid="{00000000-0005-0000-0000-000059300000}"/>
    <cellStyle name="Calculation 13 2 9 7" xfId="12409" xr:uid="{00000000-0005-0000-0000-00005A300000}"/>
    <cellStyle name="Calculation 13 2 9 7 2" xfId="12410" xr:uid="{00000000-0005-0000-0000-00005B300000}"/>
    <cellStyle name="Calculation 13 2 9 7 3" xfId="12411" xr:uid="{00000000-0005-0000-0000-00005C300000}"/>
    <cellStyle name="Calculation 13 2 9 7 4" xfId="12412" xr:uid="{00000000-0005-0000-0000-00005D300000}"/>
    <cellStyle name="Calculation 13 2 9 7 5" xfId="12413" xr:uid="{00000000-0005-0000-0000-00005E300000}"/>
    <cellStyle name="Calculation 13 2 9 7 6" xfId="12414" xr:uid="{00000000-0005-0000-0000-00005F300000}"/>
    <cellStyle name="Calculation 13 2 9 8" xfId="12415" xr:uid="{00000000-0005-0000-0000-000060300000}"/>
    <cellStyle name="Calculation 13 2 9 9" xfId="12416" xr:uid="{00000000-0005-0000-0000-000061300000}"/>
    <cellStyle name="Calculation 13 20" xfId="12417" xr:uid="{00000000-0005-0000-0000-000062300000}"/>
    <cellStyle name="Calculation 13 20 10" xfId="12418" xr:uid="{00000000-0005-0000-0000-000063300000}"/>
    <cellStyle name="Calculation 13 20 2" xfId="12419" xr:uid="{00000000-0005-0000-0000-000064300000}"/>
    <cellStyle name="Calculation 13 20 2 2" xfId="12420" xr:uid="{00000000-0005-0000-0000-000065300000}"/>
    <cellStyle name="Calculation 13 20 2 3" xfId="12421" xr:uid="{00000000-0005-0000-0000-000066300000}"/>
    <cellStyle name="Calculation 13 20 2 4" xfId="12422" xr:uid="{00000000-0005-0000-0000-000067300000}"/>
    <cellStyle name="Calculation 13 20 2 5" xfId="12423" xr:uid="{00000000-0005-0000-0000-000068300000}"/>
    <cellStyle name="Calculation 13 20 2 6" xfId="12424" xr:uid="{00000000-0005-0000-0000-000069300000}"/>
    <cellStyle name="Calculation 13 20 3" xfId="12425" xr:uid="{00000000-0005-0000-0000-00006A300000}"/>
    <cellStyle name="Calculation 13 20 3 2" xfId="12426" xr:uid="{00000000-0005-0000-0000-00006B300000}"/>
    <cellStyle name="Calculation 13 20 3 3" xfId="12427" xr:uid="{00000000-0005-0000-0000-00006C300000}"/>
    <cellStyle name="Calculation 13 20 3 4" xfId="12428" xr:uid="{00000000-0005-0000-0000-00006D300000}"/>
    <cellStyle name="Calculation 13 20 3 5" xfId="12429" xr:uid="{00000000-0005-0000-0000-00006E300000}"/>
    <cellStyle name="Calculation 13 20 3 6" xfId="12430" xr:uid="{00000000-0005-0000-0000-00006F300000}"/>
    <cellStyle name="Calculation 13 20 4" xfId="12431" xr:uid="{00000000-0005-0000-0000-000070300000}"/>
    <cellStyle name="Calculation 13 20 4 2" xfId="12432" xr:uid="{00000000-0005-0000-0000-000071300000}"/>
    <cellStyle name="Calculation 13 20 4 3" xfId="12433" xr:uid="{00000000-0005-0000-0000-000072300000}"/>
    <cellStyle name="Calculation 13 20 4 4" xfId="12434" xr:uid="{00000000-0005-0000-0000-000073300000}"/>
    <cellStyle name="Calculation 13 20 4 5" xfId="12435" xr:uid="{00000000-0005-0000-0000-000074300000}"/>
    <cellStyle name="Calculation 13 20 4 6" xfId="12436" xr:uid="{00000000-0005-0000-0000-000075300000}"/>
    <cellStyle name="Calculation 13 20 5" xfId="12437" xr:uid="{00000000-0005-0000-0000-000076300000}"/>
    <cellStyle name="Calculation 13 20 5 2" xfId="12438" xr:uid="{00000000-0005-0000-0000-000077300000}"/>
    <cellStyle name="Calculation 13 20 5 3" xfId="12439" xr:uid="{00000000-0005-0000-0000-000078300000}"/>
    <cellStyle name="Calculation 13 20 5 4" xfId="12440" xr:uid="{00000000-0005-0000-0000-000079300000}"/>
    <cellStyle name="Calculation 13 20 5 5" xfId="12441" xr:uid="{00000000-0005-0000-0000-00007A300000}"/>
    <cellStyle name="Calculation 13 20 5 6" xfId="12442" xr:uid="{00000000-0005-0000-0000-00007B300000}"/>
    <cellStyle name="Calculation 13 20 6" xfId="12443" xr:uid="{00000000-0005-0000-0000-00007C300000}"/>
    <cellStyle name="Calculation 13 20 6 2" xfId="12444" xr:uid="{00000000-0005-0000-0000-00007D300000}"/>
    <cellStyle name="Calculation 13 20 6 3" xfId="12445" xr:uid="{00000000-0005-0000-0000-00007E300000}"/>
    <cellStyle name="Calculation 13 20 6 4" xfId="12446" xr:uid="{00000000-0005-0000-0000-00007F300000}"/>
    <cellStyle name="Calculation 13 20 6 5" xfId="12447" xr:uid="{00000000-0005-0000-0000-000080300000}"/>
    <cellStyle name="Calculation 13 20 6 6" xfId="12448" xr:uid="{00000000-0005-0000-0000-000081300000}"/>
    <cellStyle name="Calculation 13 20 7" xfId="12449" xr:uid="{00000000-0005-0000-0000-000082300000}"/>
    <cellStyle name="Calculation 13 20 7 2" xfId="12450" xr:uid="{00000000-0005-0000-0000-000083300000}"/>
    <cellStyle name="Calculation 13 20 7 3" xfId="12451" xr:uid="{00000000-0005-0000-0000-000084300000}"/>
    <cellStyle name="Calculation 13 20 7 4" xfId="12452" xr:uid="{00000000-0005-0000-0000-000085300000}"/>
    <cellStyle name="Calculation 13 20 7 5" xfId="12453" xr:uid="{00000000-0005-0000-0000-000086300000}"/>
    <cellStyle name="Calculation 13 20 7 6" xfId="12454" xr:uid="{00000000-0005-0000-0000-000087300000}"/>
    <cellStyle name="Calculation 13 20 8" xfId="12455" xr:uid="{00000000-0005-0000-0000-000088300000}"/>
    <cellStyle name="Calculation 13 20 9" xfId="12456" xr:uid="{00000000-0005-0000-0000-000089300000}"/>
    <cellStyle name="Calculation 13 21" xfId="12457" xr:uid="{00000000-0005-0000-0000-00008A300000}"/>
    <cellStyle name="Calculation 13 21 10" xfId="12458" xr:uid="{00000000-0005-0000-0000-00008B300000}"/>
    <cellStyle name="Calculation 13 21 2" xfId="12459" xr:uid="{00000000-0005-0000-0000-00008C300000}"/>
    <cellStyle name="Calculation 13 21 2 2" xfId="12460" xr:uid="{00000000-0005-0000-0000-00008D300000}"/>
    <cellStyle name="Calculation 13 21 2 3" xfId="12461" xr:uid="{00000000-0005-0000-0000-00008E300000}"/>
    <cellStyle name="Calculation 13 21 2 4" xfId="12462" xr:uid="{00000000-0005-0000-0000-00008F300000}"/>
    <cellStyle name="Calculation 13 21 2 5" xfId="12463" xr:uid="{00000000-0005-0000-0000-000090300000}"/>
    <cellStyle name="Calculation 13 21 2 6" xfId="12464" xr:uid="{00000000-0005-0000-0000-000091300000}"/>
    <cellStyle name="Calculation 13 21 3" xfId="12465" xr:uid="{00000000-0005-0000-0000-000092300000}"/>
    <cellStyle name="Calculation 13 21 3 2" xfId="12466" xr:uid="{00000000-0005-0000-0000-000093300000}"/>
    <cellStyle name="Calculation 13 21 3 3" xfId="12467" xr:uid="{00000000-0005-0000-0000-000094300000}"/>
    <cellStyle name="Calculation 13 21 3 4" xfId="12468" xr:uid="{00000000-0005-0000-0000-000095300000}"/>
    <cellStyle name="Calculation 13 21 3 5" xfId="12469" xr:uid="{00000000-0005-0000-0000-000096300000}"/>
    <cellStyle name="Calculation 13 21 3 6" xfId="12470" xr:uid="{00000000-0005-0000-0000-000097300000}"/>
    <cellStyle name="Calculation 13 21 4" xfId="12471" xr:uid="{00000000-0005-0000-0000-000098300000}"/>
    <cellStyle name="Calculation 13 21 4 2" xfId="12472" xr:uid="{00000000-0005-0000-0000-000099300000}"/>
    <cellStyle name="Calculation 13 21 4 3" xfId="12473" xr:uid="{00000000-0005-0000-0000-00009A300000}"/>
    <cellStyle name="Calculation 13 21 4 4" xfId="12474" xr:uid="{00000000-0005-0000-0000-00009B300000}"/>
    <cellStyle name="Calculation 13 21 4 5" xfId="12475" xr:uid="{00000000-0005-0000-0000-00009C300000}"/>
    <cellStyle name="Calculation 13 21 4 6" xfId="12476" xr:uid="{00000000-0005-0000-0000-00009D300000}"/>
    <cellStyle name="Calculation 13 21 5" xfId="12477" xr:uid="{00000000-0005-0000-0000-00009E300000}"/>
    <cellStyle name="Calculation 13 21 5 2" xfId="12478" xr:uid="{00000000-0005-0000-0000-00009F300000}"/>
    <cellStyle name="Calculation 13 21 5 3" xfId="12479" xr:uid="{00000000-0005-0000-0000-0000A0300000}"/>
    <cellStyle name="Calculation 13 21 5 4" xfId="12480" xr:uid="{00000000-0005-0000-0000-0000A1300000}"/>
    <cellStyle name="Calculation 13 21 5 5" xfId="12481" xr:uid="{00000000-0005-0000-0000-0000A2300000}"/>
    <cellStyle name="Calculation 13 21 5 6" xfId="12482" xr:uid="{00000000-0005-0000-0000-0000A3300000}"/>
    <cellStyle name="Calculation 13 21 6" xfId="12483" xr:uid="{00000000-0005-0000-0000-0000A4300000}"/>
    <cellStyle name="Calculation 13 21 6 2" xfId="12484" xr:uid="{00000000-0005-0000-0000-0000A5300000}"/>
    <cellStyle name="Calculation 13 21 6 3" xfId="12485" xr:uid="{00000000-0005-0000-0000-0000A6300000}"/>
    <cellStyle name="Calculation 13 21 6 4" xfId="12486" xr:uid="{00000000-0005-0000-0000-0000A7300000}"/>
    <cellStyle name="Calculation 13 21 6 5" xfId="12487" xr:uid="{00000000-0005-0000-0000-0000A8300000}"/>
    <cellStyle name="Calculation 13 21 6 6" xfId="12488" xr:uid="{00000000-0005-0000-0000-0000A9300000}"/>
    <cellStyle name="Calculation 13 21 7" xfId="12489" xr:uid="{00000000-0005-0000-0000-0000AA300000}"/>
    <cellStyle name="Calculation 13 21 7 2" xfId="12490" xr:uid="{00000000-0005-0000-0000-0000AB300000}"/>
    <cellStyle name="Calculation 13 21 7 3" xfId="12491" xr:uid="{00000000-0005-0000-0000-0000AC300000}"/>
    <cellStyle name="Calculation 13 21 7 4" xfId="12492" xr:uid="{00000000-0005-0000-0000-0000AD300000}"/>
    <cellStyle name="Calculation 13 21 7 5" xfId="12493" xr:uid="{00000000-0005-0000-0000-0000AE300000}"/>
    <cellStyle name="Calculation 13 21 7 6" xfId="12494" xr:uid="{00000000-0005-0000-0000-0000AF300000}"/>
    <cellStyle name="Calculation 13 21 8" xfId="12495" xr:uid="{00000000-0005-0000-0000-0000B0300000}"/>
    <cellStyle name="Calculation 13 21 9" xfId="12496" xr:uid="{00000000-0005-0000-0000-0000B1300000}"/>
    <cellStyle name="Calculation 13 22" xfId="12497" xr:uid="{00000000-0005-0000-0000-0000B2300000}"/>
    <cellStyle name="Calculation 13 22 10" xfId="12498" xr:uid="{00000000-0005-0000-0000-0000B3300000}"/>
    <cellStyle name="Calculation 13 22 2" xfId="12499" xr:uid="{00000000-0005-0000-0000-0000B4300000}"/>
    <cellStyle name="Calculation 13 22 2 2" xfId="12500" xr:uid="{00000000-0005-0000-0000-0000B5300000}"/>
    <cellStyle name="Calculation 13 22 2 3" xfId="12501" xr:uid="{00000000-0005-0000-0000-0000B6300000}"/>
    <cellStyle name="Calculation 13 22 2 4" xfId="12502" xr:uid="{00000000-0005-0000-0000-0000B7300000}"/>
    <cellStyle name="Calculation 13 22 2 5" xfId="12503" xr:uid="{00000000-0005-0000-0000-0000B8300000}"/>
    <cellStyle name="Calculation 13 22 2 6" xfId="12504" xr:uid="{00000000-0005-0000-0000-0000B9300000}"/>
    <cellStyle name="Calculation 13 22 3" xfId="12505" xr:uid="{00000000-0005-0000-0000-0000BA300000}"/>
    <cellStyle name="Calculation 13 22 3 2" xfId="12506" xr:uid="{00000000-0005-0000-0000-0000BB300000}"/>
    <cellStyle name="Calculation 13 22 3 3" xfId="12507" xr:uid="{00000000-0005-0000-0000-0000BC300000}"/>
    <cellStyle name="Calculation 13 22 3 4" xfId="12508" xr:uid="{00000000-0005-0000-0000-0000BD300000}"/>
    <cellStyle name="Calculation 13 22 3 5" xfId="12509" xr:uid="{00000000-0005-0000-0000-0000BE300000}"/>
    <cellStyle name="Calculation 13 22 3 6" xfId="12510" xr:uid="{00000000-0005-0000-0000-0000BF300000}"/>
    <cellStyle name="Calculation 13 22 4" xfId="12511" xr:uid="{00000000-0005-0000-0000-0000C0300000}"/>
    <cellStyle name="Calculation 13 22 4 2" xfId="12512" xr:uid="{00000000-0005-0000-0000-0000C1300000}"/>
    <cellStyle name="Calculation 13 22 4 3" xfId="12513" xr:uid="{00000000-0005-0000-0000-0000C2300000}"/>
    <cellStyle name="Calculation 13 22 4 4" xfId="12514" xr:uid="{00000000-0005-0000-0000-0000C3300000}"/>
    <cellStyle name="Calculation 13 22 4 5" xfId="12515" xr:uid="{00000000-0005-0000-0000-0000C4300000}"/>
    <cellStyle name="Calculation 13 22 4 6" xfId="12516" xr:uid="{00000000-0005-0000-0000-0000C5300000}"/>
    <cellStyle name="Calculation 13 22 5" xfId="12517" xr:uid="{00000000-0005-0000-0000-0000C6300000}"/>
    <cellStyle name="Calculation 13 22 5 2" xfId="12518" xr:uid="{00000000-0005-0000-0000-0000C7300000}"/>
    <cellStyle name="Calculation 13 22 5 3" xfId="12519" xr:uid="{00000000-0005-0000-0000-0000C8300000}"/>
    <cellStyle name="Calculation 13 22 5 4" xfId="12520" xr:uid="{00000000-0005-0000-0000-0000C9300000}"/>
    <cellStyle name="Calculation 13 22 5 5" xfId="12521" xr:uid="{00000000-0005-0000-0000-0000CA300000}"/>
    <cellStyle name="Calculation 13 22 5 6" xfId="12522" xr:uid="{00000000-0005-0000-0000-0000CB300000}"/>
    <cellStyle name="Calculation 13 22 6" xfId="12523" xr:uid="{00000000-0005-0000-0000-0000CC300000}"/>
    <cellStyle name="Calculation 13 22 6 2" xfId="12524" xr:uid="{00000000-0005-0000-0000-0000CD300000}"/>
    <cellStyle name="Calculation 13 22 6 3" xfId="12525" xr:uid="{00000000-0005-0000-0000-0000CE300000}"/>
    <cellStyle name="Calculation 13 22 6 4" xfId="12526" xr:uid="{00000000-0005-0000-0000-0000CF300000}"/>
    <cellStyle name="Calculation 13 22 6 5" xfId="12527" xr:uid="{00000000-0005-0000-0000-0000D0300000}"/>
    <cellStyle name="Calculation 13 22 6 6" xfId="12528" xr:uid="{00000000-0005-0000-0000-0000D1300000}"/>
    <cellStyle name="Calculation 13 22 7" xfId="12529" xr:uid="{00000000-0005-0000-0000-0000D2300000}"/>
    <cellStyle name="Calculation 13 22 7 2" xfId="12530" xr:uid="{00000000-0005-0000-0000-0000D3300000}"/>
    <cellStyle name="Calculation 13 22 7 3" xfId="12531" xr:uid="{00000000-0005-0000-0000-0000D4300000}"/>
    <cellStyle name="Calculation 13 22 7 4" xfId="12532" xr:uid="{00000000-0005-0000-0000-0000D5300000}"/>
    <cellStyle name="Calculation 13 22 7 5" xfId="12533" xr:uid="{00000000-0005-0000-0000-0000D6300000}"/>
    <cellStyle name="Calculation 13 22 7 6" xfId="12534" xr:uid="{00000000-0005-0000-0000-0000D7300000}"/>
    <cellStyle name="Calculation 13 22 8" xfId="12535" xr:uid="{00000000-0005-0000-0000-0000D8300000}"/>
    <cellStyle name="Calculation 13 22 9" xfId="12536" xr:uid="{00000000-0005-0000-0000-0000D9300000}"/>
    <cellStyle name="Calculation 13 23" xfId="12537" xr:uid="{00000000-0005-0000-0000-0000DA300000}"/>
    <cellStyle name="Calculation 13 23 10" xfId="12538" xr:uid="{00000000-0005-0000-0000-0000DB300000}"/>
    <cellStyle name="Calculation 13 23 2" xfId="12539" xr:uid="{00000000-0005-0000-0000-0000DC300000}"/>
    <cellStyle name="Calculation 13 23 2 2" xfId="12540" xr:uid="{00000000-0005-0000-0000-0000DD300000}"/>
    <cellStyle name="Calculation 13 23 2 3" xfId="12541" xr:uid="{00000000-0005-0000-0000-0000DE300000}"/>
    <cellStyle name="Calculation 13 23 2 4" xfId="12542" xr:uid="{00000000-0005-0000-0000-0000DF300000}"/>
    <cellStyle name="Calculation 13 23 2 5" xfId="12543" xr:uid="{00000000-0005-0000-0000-0000E0300000}"/>
    <cellStyle name="Calculation 13 23 2 6" xfId="12544" xr:uid="{00000000-0005-0000-0000-0000E1300000}"/>
    <cellStyle name="Calculation 13 23 3" xfId="12545" xr:uid="{00000000-0005-0000-0000-0000E2300000}"/>
    <cellStyle name="Calculation 13 23 3 2" xfId="12546" xr:uid="{00000000-0005-0000-0000-0000E3300000}"/>
    <cellStyle name="Calculation 13 23 3 3" xfId="12547" xr:uid="{00000000-0005-0000-0000-0000E4300000}"/>
    <cellStyle name="Calculation 13 23 3 4" xfId="12548" xr:uid="{00000000-0005-0000-0000-0000E5300000}"/>
    <cellStyle name="Calculation 13 23 3 5" xfId="12549" xr:uid="{00000000-0005-0000-0000-0000E6300000}"/>
    <cellStyle name="Calculation 13 23 3 6" xfId="12550" xr:uid="{00000000-0005-0000-0000-0000E7300000}"/>
    <cellStyle name="Calculation 13 23 4" xfId="12551" xr:uid="{00000000-0005-0000-0000-0000E8300000}"/>
    <cellStyle name="Calculation 13 23 4 2" xfId="12552" xr:uid="{00000000-0005-0000-0000-0000E9300000}"/>
    <cellStyle name="Calculation 13 23 4 3" xfId="12553" xr:uid="{00000000-0005-0000-0000-0000EA300000}"/>
    <cellStyle name="Calculation 13 23 4 4" xfId="12554" xr:uid="{00000000-0005-0000-0000-0000EB300000}"/>
    <cellStyle name="Calculation 13 23 4 5" xfId="12555" xr:uid="{00000000-0005-0000-0000-0000EC300000}"/>
    <cellStyle name="Calculation 13 23 4 6" xfId="12556" xr:uid="{00000000-0005-0000-0000-0000ED300000}"/>
    <cellStyle name="Calculation 13 23 5" xfId="12557" xr:uid="{00000000-0005-0000-0000-0000EE300000}"/>
    <cellStyle name="Calculation 13 23 5 2" xfId="12558" xr:uid="{00000000-0005-0000-0000-0000EF300000}"/>
    <cellStyle name="Calculation 13 23 5 3" xfId="12559" xr:uid="{00000000-0005-0000-0000-0000F0300000}"/>
    <cellStyle name="Calculation 13 23 5 4" xfId="12560" xr:uid="{00000000-0005-0000-0000-0000F1300000}"/>
    <cellStyle name="Calculation 13 23 5 5" xfId="12561" xr:uid="{00000000-0005-0000-0000-0000F2300000}"/>
    <cellStyle name="Calculation 13 23 5 6" xfId="12562" xr:uid="{00000000-0005-0000-0000-0000F3300000}"/>
    <cellStyle name="Calculation 13 23 6" xfId="12563" xr:uid="{00000000-0005-0000-0000-0000F4300000}"/>
    <cellStyle name="Calculation 13 23 6 2" xfId="12564" xr:uid="{00000000-0005-0000-0000-0000F5300000}"/>
    <cellStyle name="Calculation 13 23 6 3" xfId="12565" xr:uid="{00000000-0005-0000-0000-0000F6300000}"/>
    <cellStyle name="Calculation 13 23 6 4" xfId="12566" xr:uid="{00000000-0005-0000-0000-0000F7300000}"/>
    <cellStyle name="Calculation 13 23 6 5" xfId="12567" xr:uid="{00000000-0005-0000-0000-0000F8300000}"/>
    <cellStyle name="Calculation 13 23 6 6" xfId="12568" xr:uid="{00000000-0005-0000-0000-0000F9300000}"/>
    <cellStyle name="Calculation 13 23 7" xfId="12569" xr:uid="{00000000-0005-0000-0000-0000FA300000}"/>
    <cellStyle name="Calculation 13 23 7 2" xfId="12570" xr:uid="{00000000-0005-0000-0000-0000FB300000}"/>
    <cellStyle name="Calculation 13 23 7 3" xfId="12571" xr:uid="{00000000-0005-0000-0000-0000FC300000}"/>
    <cellStyle name="Calculation 13 23 7 4" xfId="12572" xr:uid="{00000000-0005-0000-0000-0000FD300000}"/>
    <cellStyle name="Calculation 13 23 7 5" xfId="12573" xr:uid="{00000000-0005-0000-0000-0000FE300000}"/>
    <cellStyle name="Calculation 13 23 7 6" xfId="12574" xr:uid="{00000000-0005-0000-0000-0000FF300000}"/>
    <cellStyle name="Calculation 13 23 8" xfId="12575" xr:uid="{00000000-0005-0000-0000-000000310000}"/>
    <cellStyle name="Calculation 13 23 9" xfId="12576" xr:uid="{00000000-0005-0000-0000-000001310000}"/>
    <cellStyle name="Calculation 13 24" xfId="12577" xr:uid="{00000000-0005-0000-0000-000002310000}"/>
    <cellStyle name="Calculation 13 24 10" xfId="12578" xr:uid="{00000000-0005-0000-0000-000003310000}"/>
    <cellStyle name="Calculation 13 24 2" xfId="12579" xr:uid="{00000000-0005-0000-0000-000004310000}"/>
    <cellStyle name="Calculation 13 24 2 2" xfId="12580" xr:uid="{00000000-0005-0000-0000-000005310000}"/>
    <cellStyle name="Calculation 13 24 2 3" xfId="12581" xr:uid="{00000000-0005-0000-0000-000006310000}"/>
    <cellStyle name="Calculation 13 24 2 4" xfId="12582" xr:uid="{00000000-0005-0000-0000-000007310000}"/>
    <cellStyle name="Calculation 13 24 2 5" xfId="12583" xr:uid="{00000000-0005-0000-0000-000008310000}"/>
    <cellStyle name="Calculation 13 24 2 6" xfId="12584" xr:uid="{00000000-0005-0000-0000-000009310000}"/>
    <cellStyle name="Calculation 13 24 3" xfId="12585" xr:uid="{00000000-0005-0000-0000-00000A310000}"/>
    <cellStyle name="Calculation 13 24 3 2" xfId="12586" xr:uid="{00000000-0005-0000-0000-00000B310000}"/>
    <cellStyle name="Calculation 13 24 3 3" xfId="12587" xr:uid="{00000000-0005-0000-0000-00000C310000}"/>
    <cellStyle name="Calculation 13 24 3 4" xfId="12588" xr:uid="{00000000-0005-0000-0000-00000D310000}"/>
    <cellStyle name="Calculation 13 24 3 5" xfId="12589" xr:uid="{00000000-0005-0000-0000-00000E310000}"/>
    <cellStyle name="Calculation 13 24 3 6" xfId="12590" xr:uid="{00000000-0005-0000-0000-00000F310000}"/>
    <cellStyle name="Calculation 13 24 4" xfId="12591" xr:uid="{00000000-0005-0000-0000-000010310000}"/>
    <cellStyle name="Calculation 13 24 4 2" xfId="12592" xr:uid="{00000000-0005-0000-0000-000011310000}"/>
    <cellStyle name="Calculation 13 24 4 3" xfId="12593" xr:uid="{00000000-0005-0000-0000-000012310000}"/>
    <cellStyle name="Calculation 13 24 4 4" xfId="12594" xr:uid="{00000000-0005-0000-0000-000013310000}"/>
    <cellStyle name="Calculation 13 24 4 5" xfId="12595" xr:uid="{00000000-0005-0000-0000-000014310000}"/>
    <cellStyle name="Calculation 13 24 4 6" xfId="12596" xr:uid="{00000000-0005-0000-0000-000015310000}"/>
    <cellStyle name="Calculation 13 24 5" xfId="12597" xr:uid="{00000000-0005-0000-0000-000016310000}"/>
    <cellStyle name="Calculation 13 24 5 2" xfId="12598" xr:uid="{00000000-0005-0000-0000-000017310000}"/>
    <cellStyle name="Calculation 13 24 5 3" xfId="12599" xr:uid="{00000000-0005-0000-0000-000018310000}"/>
    <cellStyle name="Calculation 13 24 5 4" xfId="12600" xr:uid="{00000000-0005-0000-0000-000019310000}"/>
    <cellStyle name="Calculation 13 24 5 5" xfId="12601" xr:uid="{00000000-0005-0000-0000-00001A310000}"/>
    <cellStyle name="Calculation 13 24 5 6" xfId="12602" xr:uid="{00000000-0005-0000-0000-00001B310000}"/>
    <cellStyle name="Calculation 13 24 6" xfId="12603" xr:uid="{00000000-0005-0000-0000-00001C310000}"/>
    <cellStyle name="Calculation 13 24 6 2" xfId="12604" xr:uid="{00000000-0005-0000-0000-00001D310000}"/>
    <cellStyle name="Calculation 13 24 6 3" xfId="12605" xr:uid="{00000000-0005-0000-0000-00001E310000}"/>
    <cellStyle name="Calculation 13 24 6 4" xfId="12606" xr:uid="{00000000-0005-0000-0000-00001F310000}"/>
    <cellStyle name="Calculation 13 24 6 5" xfId="12607" xr:uid="{00000000-0005-0000-0000-000020310000}"/>
    <cellStyle name="Calculation 13 24 6 6" xfId="12608" xr:uid="{00000000-0005-0000-0000-000021310000}"/>
    <cellStyle name="Calculation 13 24 7" xfId="12609" xr:uid="{00000000-0005-0000-0000-000022310000}"/>
    <cellStyle name="Calculation 13 24 7 2" xfId="12610" xr:uid="{00000000-0005-0000-0000-000023310000}"/>
    <cellStyle name="Calculation 13 24 7 3" xfId="12611" xr:uid="{00000000-0005-0000-0000-000024310000}"/>
    <cellStyle name="Calculation 13 24 7 4" xfId="12612" xr:uid="{00000000-0005-0000-0000-000025310000}"/>
    <cellStyle name="Calculation 13 24 7 5" xfId="12613" xr:uid="{00000000-0005-0000-0000-000026310000}"/>
    <cellStyle name="Calculation 13 24 7 6" xfId="12614" xr:uid="{00000000-0005-0000-0000-000027310000}"/>
    <cellStyle name="Calculation 13 24 8" xfId="12615" xr:uid="{00000000-0005-0000-0000-000028310000}"/>
    <cellStyle name="Calculation 13 24 9" xfId="12616" xr:uid="{00000000-0005-0000-0000-000029310000}"/>
    <cellStyle name="Calculation 13 25" xfId="12617" xr:uid="{00000000-0005-0000-0000-00002A310000}"/>
    <cellStyle name="Calculation 13 25 10" xfId="12618" xr:uid="{00000000-0005-0000-0000-00002B310000}"/>
    <cellStyle name="Calculation 13 25 2" xfId="12619" xr:uid="{00000000-0005-0000-0000-00002C310000}"/>
    <cellStyle name="Calculation 13 25 2 2" xfId="12620" xr:uid="{00000000-0005-0000-0000-00002D310000}"/>
    <cellStyle name="Calculation 13 25 2 3" xfId="12621" xr:uid="{00000000-0005-0000-0000-00002E310000}"/>
    <cellStyle name="Calculation 13 25 2 4" xfId="12622" xr:uid="{00000000-0005-0000-0000-00002F310000}"/>
    <cellStyle name="Calculation 13 25 2 5" xfId="12623" xr:uid="{00000000-0005-0000-0000-000030310000}"/>
    <cellStyle name="Calculation 13 25 2 6" xfId="12624" xr:uid="{00000000-0005-0000-0000-000031310000}"/>
    <cellStyle name="Calculation 13 25 3" xfId="12625" xr:uid="{00000000-0005-0000-0000-000032310000}"/>
    <cellStyle name="Calculation 13 25 3 2" xfId="12626" xr:uid="{00000000-0005-0000-0000-000033310000}"/>
    <cellStyle name="Calculation 13 25 3 3" xfId="12627" xr:uid="{00000000-0005-0000-0000-000034310000}"/>
    <cellStyle name="Calculation 13 25 3 4" xfId="12628" xr:uid="{00000000-0005-0000-0000-000035310000}"/>
    <cellStyle name="Calculation 13 25 3 5" xfId="12629" xr:uid="{00000000-0005-0000-0000-000036310000}"/>
    <cellStyle name="Calculation 13 25 3 6" xfId="12630" xr:uid="{00000000-0005-0000-0000-000037310000}"/>
    <cellStyle name="Calculation 13 25 4" xfId="12631" xr:uid="{00000000-0005-0000-0000-000038310000}"/>
    <cellStyle name="Calculation 13 25 4 2" xfId="12632" xr:uid="{00000000-0005-0000-0000-000039310000}"/>
    <cellStyle name="Calculation 13 25 4 3" xfId="12633" xr:uid="{00000000-0005-0000-0000-00003A310000}"/>
    <cellStyle name="Calculation 13 25 4 4" xfId="12634" xr:uid="{00000000-0005-0000-0000-00003B310000}"/>
    <cellStyle name="Calculation 13 25 4 5" xfId="12635" xr:uid="{00000000-0005-0000-0000-00003C310000}"/>
    <cellStyle name="Calculation 13 25 4 6" xfId="12636" xr:uid="{00000000-0005-0000-0000-00003D310000}"/>
    <cellStyle name="Calculation 13 25 5" xfId="12637" xr:uid="{00000000-0005-0000-0000-00003E310000}"/>
    <cellStyle name="Calculation 13 25 5 2" xfId="12638" xr:uid="{00000000-0005-0000-0000-00003F310000}"/>
    <cellStyle name="Calculation 13 25 5 3" xfId="12639" xr:uid="{00000000-0005-0000-0000-000040310000}"/>
    <cellStyle name="Calculation 13 25 5 4" xfId="12640" xr:uid="{00000000-0005-0000-0000-000041310000}"/>
    <cellStyle name="Calculation 13 25 5 5" xfId="12641" xr:uid="{00000000-0005-0000-0000-000042310000}"/>
    <cellStyle name="Calculation 13 25 5 6" xfId="12642" xr:uid="{00000000-0005-0000-0000-000043310000}"/>
    <cellStyle name="Calculation 13 25 6" xfId="12643" xr:uid="{00000000-0005-0000-0000-000044310000}"/>
    <cellStyle name="Calculation 13 25 6 2" xfId="12644" xr:uid="{00000000-0005-0000-0000-000045310000}"/>
    <cellStyle name="Calculation 13 25 6 3" xfId="12645" xr:uid="{00000000-0005-0000-0000-000046310000}"/>
    <cellStyle name="Calculation 13 25 6 4" xfId="12646" xr:uid="{00000000-0005-0000-0000-000047310000}"/>
    <cellStyle name="Calculation 13 25 6 5" xfId="12647" xr:uid="{00000000-0005-0000-0000-000048310000}"/>
    <cellStyle name="Calculation 13 25 6 6" xfId="12648" xr:uid="{00000000-0005-0000-0000-000049310000}"/>
    <cellStyle name="Calculation 13 25 7" xfId="12649" xr:uid="{00000000-0005-0000-0000-00004A310000}"/>
    <cellStyle name="Calculation 13 25 7 2" xfId="12650" xr:uid="{00000000-0005-0000-0000-00004B310000}"/>
    <cellStyle name="Calculation 13 25 7 3" xfId="12651" xr:uid="{00000000-0005-0000-0000-00004C310000}"/>
    <cellStyle name="Calculation 13 25 7 4" xfId="12652" xr:uid="{00000000-0005-0000-0000-00004D310000}"/>
    <cellStyle name="Calculation 13 25 7 5" xfId="12653" xr:uid="{00000000-0005-0000-0000-00004E310000}"/>
    <cellStyle name="Calculation 13 25 7 6" xfId="12654" xr:uid="{00000000-0005-0000-0000-00004F310000}"/>
    <cellStyle name="Calculation 13 25 8" xfId="12655" xr:uid="{00000000-0005-0000-0000-000050310000}"/>
    <cellStyle name="Calculation 13 25 9" xfId="12656" xr:uid="{00000000-0005-0000-0000-000051310000}"/>
    <cellStyle name="Calculation 13 26" xfId="12657" xr:uid="{00000000-0005-0000-0000-000052310000}"/>
    <cellStyle name="Calculation 13 26 2" xfId="12658" xr:uid="{00000000-0005-0000-0000-000053310000}"/>
    <cellStyle name="Calculation 13 26 3" xfId="12659" xr:uid="{00000000-0005-0000-0000-000054310000}"/>
    <cellStyle name="Calculation 13 26 4" xfId="12660" xr:uid="{00000000-0005-0000-0000-000055310000}"/>
    <cellStyle name="Calculation 13 26 5" xfId="12661" xr:uid="{00000000-0005-0000-0000-000056310000}"/>
    <cellStyle name="Calculation 13 26 6" xfId="12662" xr:uid="{00000000-0005-0000-0000-000057310000}"/>
    <cellStyle name="Calculation 13 27" xfId="12663" xr:uid="{00000000-0005-0000-0000-000058310000}"/>
    <cellStyle name="Calculation 13 27 2" xfId="12664" xr:uid="{00000000-0005-0000-0000-000059310000}"/>
    <cellStyle name="Calculation 13 27 3" xfId="12665" xr:uid="{00000000-0005-0000-0000-00005A310000}"/>
    <cellStyle name="Calculation 13 27 4" xfId="12666" xr:uid="{00000000-0005-0000-0000-00005B310000}"/>
    <cellStyle name="Calculation 13 27 5" xfId="12667" xr:uid="{00000000-0005-0000-0000-00005C310000}"/>
    <cellStyle name="Calculation 13 27 6" xfId="12668" xr:uid="{00000000-0005-0000-0000-00005D310000}"/>
    <cellStyle name="Calculation 13 28" xfId="12669" xr:uid="{00000000-0005-0000-0000-00005E310000}"/>
    <cellStyle name="Calculation 13 28 2" xfId="12670" xr:uid="{00000000-0005-0000-0000-00005F310000}"/>
    <cellStyle name="Calculation 13 28 3" xfId="12671" xr:uid="{00000000-0005-0000-0000-000060310000}"/>
    <cellStyle name="Calculation 13 28 4" xfId="12672" xr:uid="{00000000-0005-0000-0000-000061310000}"/>
    <cellStyle name="Calculation 13 28 5" xfId="12673" xr:uid="{00000000-0005-0000-0000-000062310000}"/>
    <cellStyle name="Calculation 13 28 6" xfId="12674" xr:uid="{00000000-0005-0000-0000-000063310000}"/>
    <cellStyle name="Calculation 13 29" xfId="12675" xr:uid="{00000000-0005-0000-0000-000064310000}"/>
    <cellStyle name="Calculation 13 29 2" xfId="12676" xr:uid="{00000000-0005-0000-0000-000065310000}"/>
    <cellStyle name="Calculation 13 29 3" xfId="12677" xr:uid="{00000000-0005-0000-0000-000066310000}"/>
    <cellStyle name="Calculation 13 29 4" xfId="12678" xr:uid="{00000000-0005-0000-0000-000067310000}"/>
    <cellStyle name="Calculation 13 29 5" xfId="12679" xr:uid="{00000000-0005-0000-0000-000068310000}"/>
    <cellStyle name="Calculation 13 29 6" xfId="12680" xr:uid="{00000000-0005-0000-0000-000069310000}"/>
    <cellStyle name="Calculation 13 3" xfId="12681" xr:uid="{00000000-0005-0000-0000-00006A310000}"/>
    <cellStyle name="Calculation 13 3 10" xfId="12682" xr:uid="{00000000-0005-0000-0000-00006B310000}"/>
    <cellStyle name="Calculation 13 3 10 10" xfId="12683" xr:uid="{00000000-0005-0000-0000-00006C310000}"/>
    <cellStyle name="Calculation 13 3 10 2" xfId="12684" xr:uid="{00000000-0005-0000-0000-00006D310000}"/>
    <cellStyle name="Calculation 13 3 10 2 2" xfId="12685" xr:uid="{00000000-0005-0000-0000-00006E310000}"/>
    <cellStyle name="Calculation 13 3 10 2 3" xfId="12686" xr:uid="{00000000-0005-0000-0000-00006F310000}"/>
    <cellStyle name="Calculation 13 3 10 2 4" xfId="12687" xr:uid="{00000000-0005-0000-0000-000070310000}"/>
    <cellStyle name="Calculation 13 3 10 2 5" xfId="12688" xr:uid="{00000000-0005-0000-0000-000071310000}"/>
    <cellStyle name="Calculation 13 3 10 2 6" xfId="12689" xr:uid="{00000000-0005-0000-0000-000072310000}"/>
    <cellStyle name="Calculation 13 3 10 3" xfId="12690" xr:uid="{00000000-0005-0000-0000-000073310000}"/>
    <cellStyle name="Calculation 13 3 10 3 2" xfId="12691" xr:uid="{00000000-0005-0000-0000-000074310000}"/>
    <cellStyle name="Calculation 13 3 10 3 3" xfId="12692" xr:uid="{00000000-0005-0000-0000-000075310000}"/>
    <cellStyle name="Calculation 13 3 10 3 4" xfId="12693" xr:uid="{00000000-0005-0000-0000-000076310000}"/>
    <cellStyle name="Calculation 13 3 10 3 5" xfId="12694" xr:uid="{00000000-0005-0000-0000-000077310000}"/>
    <cellStyle name="Calculation 13 3 10 3 6" xfId="12695" xr:uid="{00000000-0005-0000-0000-000078310000}"/>
    <cellStyle name="Calculation 13 3 10 4" xfId="12696" xr:uid="{00000000-0005-0000-0000-000079310000}"/>
    <cellStyle name="Calculation 13 3 10 4 2" xfId="12697" xr:uid="{00000000-0005-0000-0000-00007A310000}"/>
    <cellStyle name="Calculation 13 3 10 4 3" xfId="12698" xr:uid="{00000000-0005-0000-0000-00007B310000}"/>
    <cellStyle name="Calculation 13 3 10 4 4" xfId="12699" xr:uid="{00000000-0005-0000-0000-00007C310000}"/>
    <cellStyle name="Calculation 13 3 10 4 5" xfId="12700" xr:uid="{00000000-0005-0000-0000-00007D310000}"/>
    <cellStyle name="Calculation 13 3 10 4 6" xfId="12701" xr:uid="{00000000-0005-0000-0000-00007E310000}"/>
    <cellStyle name="Calculation 13 3 10 5" xfId="12702" xr:uid="{00000000-0005-0000-0000-00007F310000}"/>
    <cellStyle name="Calculation 13 3 10 5 2" xfId="12703" xr:uid="{00000000-0005-0000-0000-000080310000}"/>
    <cellStyle name="Calculation 13 3 10 5 3" xfId="12704" xr:uid="{00000000-0005-0000-0000-000081310000}"/>
    <cellStyle name="Calculation 13 3 10 5 4" xfId="12705" xr:uid="{00000000-0005-0000-0000-000082310000}"/>
    <cellStyle name="Calculation 13 3 10 5 5" xfId="12706" xr:uid="{00000000-0005-0000-0000-000083310000}"/>
    <cellStyle name="Calculation 13 3 10 5 6" xfId="12707" xr:uid="{00000000-0005-0000-0000-000084310000}"/>
    <cellStyle name="Calculation 13 3 10 6" xfId="12708" xr:uid="{00000000-0005-0000-0000-000085310000}"/>
    <cellStyle name="Calculation 13 3 10 6 2" xfId="12709" xr:uid="{00000000-0005-0000-0000-000086310000}"/>
    <cellStyle name="Calculation 13 3 10 6 3" xfId="12710" xr:uid="{00000000-0005-0000-0000-000087310000}"/>
    <cellStyle name="Calculation 13 3 10 6 4" xfId="12711" xr:uid="{00000000-0005-0000-0000-000088310000}"/>
    <cellStyle name="Calculation 13 3 10 6 5" xfId="12712" xr:uid="{00000000-0005-0000-0000-000089310000}"/>
    <cellStyle name="Calculation 13 3 10 6 6" xfId="12713" xr:uid="{00000000-0005-0000-0000-00008A310000}"/>
    <cellStyle name="Calculation 13 3 10 7" xfId="12714" xr:uid="{00000000-0005-0000-0000-00008B310000}"/>
    <cellStyle name="Calculation 13 3 10 7 2" xfId="12715" xr:uid="{00000000-0005-0000-0000-00008C310000}"/>
    <cellStyle name="Calculation 13 3 10 7 3" xfId="12716" xr:uid="{00000000-0005-0000-0000-00008D310000}"/>
    <cellStyle name="Calculation 13 3 10 7 4" xfId="12717" xr:uid="{00000000-0005-0000-0000-00008E310000}"/>
    <cellStyle name="Calculation 13 3 10 7 5" xfId="12718" xr:uid="{00000000-0005-0000-0000-00008F310000}"/>
    <cellStyle name="Calculation 13 3 10 7 6" xfId="12719" xr:uid="{00000000-0005-0000-0000-000090310000}"/>
    <cellStyle name="Calculation 13 3 10 8" xfId="12720" xr:uid="{00000000-0005-0000-0000-000091310000}"/>
    <cellStyle name="Calculation 13 3 10 9" xfId="12721" xr:uid="{00000000-0005-0000-0000-000092310000}"/>
    <cellStyle name="Calculation 13 3 11" xfId="12722" xr:uid="{00000000-0005-0000-0000-000093310000}"/>
    <cellStyle name="Calculation 13 3 11 10" xfId="12723" xr:uid="{00000000-0005-0000-0000-000094310000}"/>
    <cellStyle name="Calculation 13 3 11 2" xfId="12724" xr:uid="{00000000-0005-0000-0000-000095310000}"/>
    <cellStyle name="Calculation 13 3 11 2 2" xfId="12725" xr:uid="{00000000-0005-0000-0000-000096310000}"/>
    <cellStyle name="Calculation 13 3 11 2 3" xfId="12726" xr:uid="{00000000-0005-0000-0000-000097310000}"/>
    <cellStyle name="Calculation 13 3 11 2 4" xfId="12727" xr:uid="{00000000-0005-0000-0000-000098310000}"/>
    <cellStyle name="Calculation 13 3 11 2 5" xfId="12728" xr:uid="{00000000-0005-0000-0000-000099310000}"/>
    <cellStyle name="Calculation 13 3 11 2 6" xfId="12729" xr:uid="{00000000-0005-0000-0000-00009A310000}"/>
    <cellStyle name="Calculation 13 3 11 3" xfId="12730" xr:uid="{00000000-0005-0000-0000-00009B310000}"/>
    <cellStyle name="Calculation 13 3 11 3 2" xfId="12731" xr:uid="{00000000-0005-0000-0000-00009C310000}"/>
    <cellStyle name="Calculation 13 3 11 3 3" xfId="12732" xr:uid="{00000000-0005-0000-0000-00009D310000}"/>
    <cellStyle name="Calculation 13 3 11 3 4" xfId="12733" xr:uid="{00000000-0005-0000-0000-00009E310000}"/>
    <cellStyle name="Calculation 13 3 11 3 5" xfId="12734" xr:uid="{00000000-0005-0000-0000-00009F310000}"/>
    <cellStyle name="Calculation 13 3 11 3 6" xfId="12735" xr:uid="{00000000-0005-0000-0000-0000A0310000}"/>
    <cellStyle name="Calculation 13 3 11 4" xfId="12736" xr:uid="{00000000-0005-0000-0000-0000A1310000}"/>
    <cellStyle name="Calculation 13 3 11 4 2" xfId="12737" xr:uid="{00000000-0005-0000-0000-0000A2310000}"/>
    <cellStyle name="Calculation 13 3 11 4 3" xfId="12738" xr:uid="{00000000-0005-0000-0000-0000A3310000}"/>
    <cellStyle name="Calculation 13 3 11 4 4" xfId="12739" xr:uid="{00000000-0005-0000-0000-0000A4310000}"/>
    <cellStyle name="Calculation 13 3 11 4 5" xfId="12740" xr:uid="{00000000-0005-0000-0000-0000A5310000}"/>
    <cellStyle name="Calculation 13 3 11 4 6" xfId="12741" xr:uid="{00000000-0005-0000-0000-0000A6310000}"/>
    <cellStyle name="Calculation 13 3 11 5" xfId="12742" xr:uid="{00000000-0005-0000-0000-0000A7310000}"/>
    <cellStyle name="Calculation 13 3 11 5 2" xfId="12743" xr:uid="{00000000-0005-0000-0000-0000A8310000}"/>
    <cellStyle name="Calculation 13 3 11 5 3" xfId="12744" xr:uid="{00000000-0005-0000-0000-0000A9310000}"/>
    <cellStyle name="Calculation 13 3 11 5 4" xfId="12745" xr:uid="{00000000-0005-0000-0000-0000AA310000}"/>
    <cellStyle name="Calculation 13 3 11 5 5" xfId="12746" xr:uid="{00000000-0005-0000-0000-0000AB310000}"/>
    <cellStyle name="Calculation 13 3 11 5 6" xfId="12747" xr:uid="{00000000-0005-0000-0000-0000AC310000}"/>
    <cellStyle name="Calculation 13 3 11 6" xfId="12748" xr:uid="{00000000-0005-0000-0000-0000AD310000}"/>
    <cellStyle name="Calculation 13 3 11 6 2" xfId="12749" xr:uid="{00000000-0005-0000-0000-0000AE310000}"/>
    <cellStyle name="Calculation 13 3 11 6 3" xfId="12750" xr:uid="{00000000-0005-0000-0000-0000AF310000}"/>
    <cellStyle name="Calculation 13 3 11 6 4" xfId="12751" xr:uid="{00000000-0005-0000-0000-0000B0310000}"/>
    <cellStyle name="Calculation 13 3 11 6 5" xfId="12752" xr:uid="{00000000-0005-0000-0000-0000B1310000}"/>
    <cellStyle name="Calculation 13 3 11 6 6" xfId="12753" xr:uid="{00000000-0005-0000-0000-0000B2310000}"/>
    <cellStyle name="Calculation 13 3 11 7" xfId="12754" xr:uid="{00000000-0005-0000-0000-0000B3310000}"/>
    <cellStyle name="Calculation 13 3 11 7 2" xfId="12755" xr:uid="{00000000-0005-0000-0000-0000B4310000}"/>
    <cellStyle name="Calculation 13 3 11 7 3" xfId="12756" xr:uid="{00000000-0005-0000-0000-0000B5310000}"/>
    <cellStyle name="Calculation 13 3 11 7 4" xfId="12757" xr:uid="{00000000-0005-0000-0000-0000B6310000}"/>
    <cellStyle name="Calculation 13 3 11 7 5" xfId="12758" xr:uid="{00000000-0005-0000-0000-0000B7310000}"/>
    <cellStyle name="Calculation 13 3 11 7 6" xfId="12759" xr:uid="{00000000-0005-0000-0000-0000B8310000}"/>
    <cellStyle name="Calculation 13 3 11 8" xfId="12760" xr:uid="{00000000-0005-0000-0000-0000B9310000}"/>
    <cellStyle name="Calculation 13 3 11 9" xfId="12761" xr:uid="{00000000-0005-0000-0000-0000BA310000}"/>
    <cellStyle name="Calculation 13 3 12" xfId="12762" xr:uid="{00000000-0005-0000-0000-0000BB310000}"/>
    <cellStyle name="Calculation 13 3 12 10" xfId="12763" xr:uid="{00000000-0005-0000-0000-0000BC310000}"/>
    <cellStyle name="Calculation 13 3 12 2" xfId="12764" xr:uid="{00000000-0005-0000-0000-0000BD310000}"/>
    <cellStyle name="Calculation 13 3 12 2 2" xfId="12765" xr:uid="{00000000-0005-0000-0000-0000BE310000}"/>
    <cellStyle name="Calculation 13 3 12 2 3" xfId="12766" xr:uid="{00000000-0005-0000-0000-0000BF310000}"/>
    <cellStyle name="Calculation 13 3 12 2 4" xfId="12767" xr:uid="{00000000-0005-0000-0000-0000C0310000}"/>
    <cellStyle name="Calculation 13 3 12 2 5" xfId="12768" xr:uid="{00000000-0005-0000-0000-0000C1310000}"/>
    <cellStyle name="Calculation 13 3 12 2 6" xfId="12769" xr:uid="{00000000-0005-0000-0000-0000C2310000}"/>
    <cellStyle name="Calculation 13 3 12 3" xfId="12770" xr:uid="{00000000-0005-0000-0000-0000C3310000}"/>
    <cellStyle name="Calculation 13 3 12 3 2" xfId="12771" xr:uid="{00000000-0005-0000-0000-0000C4310000}"/>
    <cellStyle name="Calculation 13 3 12 3 3" xfId="12772" xr:uid="{00000000-0005-0000-0000-0000C5310000}"/>
    <cellStyle name="Calculation 13 3 12 3 4" xfId="12773" xr:uid="{00000000-0005-0000-0000-0000C6310000}"/>
    <cellStyle name="Calculation 13 3 12 3 5" xfId="12774" xr:uid="{00000000-0005-0000-0000-0000C7310000}"/>
    <cellStyle name="Calculation 13 3 12 3 6" xfId="12775" xr:uid="{00000000-0005-0000-0000-0000C8310000}"/>
    <cellStyle name="Calculation 13 3 12 4" xfId="12776" xr:uid="{00000000-0005-0000-0000-0000C9310000}"/>
    <cellStyle name="Calculation 13 3 12 4 2" xfId="12777" xr:uid="{00000000-0005-0000-0000-0000CA310000}"/>
    <cellStyle name="Calculation 13 3 12 4 3" xfId="12778" xr:uid="{00000000-0005-0000-0000-0000CB310000}"/>
    <cellStyle name="Calculation 13 3 12 4 4" xfId="12779" xr:uid="{00000000-0005-0000-0000-0000CC310000}"/>
    <cellStyle name="Calculation 13 3 12 4 5" xfId="12780" xr:uid="{00000000-0005-0000-0000-0000CD310000}"/>
    <cellStyle name="Calculation 13 3 12 4 6" xfId="12781" xr:uid="{00000000-0005-0000-0000-0000CE310000}"/>
    <cellStyle name="Calculation 13 3 12 5" xfId="12782" xr:uid="{00000000-0005-0000-0000-0000CF310000}"/>
    <cellStyle name="Calculation 13 3 12 5 2" xfId="12783" xr:uid="{00000000-0005-0000-0000-0000D0310000}"/>
    <cellStyle name="Calculation 13 3 12 5 3" xfId="12784" xr:uid="{00000000-0005-0000-0000-0000D1310000}"/>
    <cellStyle name="Calculation 13 3 12 5 4" xfId="12785" xr:uid="{00000000-0005-0000-0000-0000D2310000}"/>
    <cellStyle name="Calculation 13 3 12 5 5" xfId="12786" xr:uid="{00000000-0005-0000-0000-0000D3310000}"/>
    <cellStyle name="Calculation 13 3 12 5 6" xfId="12787" xr:uid="{00000000-0005-0000-0000-0000D4310000}"/>
    <cellStyle name="Calculation 13 3 12 6" xfId="12788" xr:uid="{00000000-0005-0000-0000-0000D5310000}"/>
    <cellStyle name="Calculation 13 3 12 6 2" xfId="12789" xr:uid="{00000000-0005-0000-0000-0000D6310000}"/>
    <cellStyle name="Calculation 13 3 12 6 3" xfId="12790" xr:uid="{00000000-0005-0000-0000-0000D7310000}"/>
    <cellStyle name="Calculation 13 3 12 6 4" xfId="12791" xr:uid="{00000000-0005-0000-0000-0000D8310000}"/>
    <cellStyle name="Calculation 13 3 12 6 5" xfId="12792" xr:uid="{00000000-0005-0000-0000-0000D9310000}"/>
    <cellStyle name="Calculation 13 3 12 6 6" xfId="12793" xr:uid="{00000000-0005-0000-0000-0000DA310000}"/>
    <cellStyle name="Calculation 13 3 12 7" xfId="12794" xr:uid="{00000000-0005-0000-0000-0000DB310000}"/>
    <cellStyle name="Calculation 13 3 12 7 2" xfId="12795" xr:uid="{00000000-0005-0000-0000-0000DC310000}"/>
    <cellStyle name="Calculation 13 3 12 7 3" xfId="12796" xr:uid="{00000000-0005-0000-0000-0000DD310000}"/>
    <cellStyle name="Calculation 13 3 12 7 4" xfId="12797" xr:uid="{00000000-0005-0000-0000-0000DE310000}"/>
    <cellStyle name="Calculation 13 3 12 7 5" xfId="12798" xr:uid="{00000000-0005-0000-0000-0000DF310000}"/>
    <cellStyle name="Calculation 13 3 12 7 6" xfId="12799" xr:uid="{00000000-0005-0000-0000-0000E0310000}"/>
    <cellStyle name="Calculation 13 3 12 8" xfId="12800" xr:uid="{00000000-0005-0000-0000-0000E1310000}"/>
    <cellStyle name="Calculation 13 3 12 9" xfId="12801" xr:uid="{00000000-0005-0000-0000-0000E2310000}"/>
    <cellStyle name="Calculation 13 3 13" xfId="12802" xr:uid="{00000000-0005-0000-0000-0000E3310000}"/>
    <cellStyle name="Calculation 13 3 13 10" xfId="12803" xr:uid="{00000000-0005-0000-0000-0000E4310000}"/>
    <cellStyle name="Calculation 13 3 13 2" xfId="12804" xr:uid="{00000000-0005-0000-0000-0000E5310000}"/>
    <cellStyle name="Calculation 13 3 13 2 2" xfId="12805" xr:uid="{00000000-0005-0000-0000-0000E6310000}"/>
    <cellStyle name="Calculation 13 3 13 2 3" xfId="12806" xr:uid="{00000000-0005-0000-0000-0000E7310000}"/>
    <cellStyle name="Calculation 13 3 13 2 4" xfId="12807" xr:uid="{00000000-0005-0000-0000-0000E8310000}"/>
    <cellStyle name="Calculation 13 3 13 2 5" xfId="12808" xr:uid="{00000000-0005-0000-0000-0000E9310000}"/>
    <cellStyle name="Calculation 13 3 13 2 6" xfId="12809" xr:uid="{00000000-0005-0000-0000-0000EA310000}"/>
    <cellStyle name="Calculation 13 3 13 3" xfId="12810" xr:uid="{00000000-0005-0000-0000-0000EB310000}"/>
    <cellStyle name="Calculation 13 3 13 3 2" xfId="12811" xr:uid="{00000000-0005-0000-0000-0000EC310000}"/>
    <cellStyle name="Calculation 13 3 13 3 3" xfId="12812" xr:uid="{00000000-0005-0000-0000-0000ED310000}"/>
    <cellStyle name="Calculation 13 3 13 3 4" xfId="12813" xr:uid="{00000000-0005-0000-0000-0000EE310000}"/>
    <cellStyle name="Calculation 13 3 13 3 5" xfId="12814" xr:uid="{00000000-0005-0000-0000-0000EF310000}"/>
    <cellStyle name="Calculation 13 3 13 3 6" xfId="12815" xr:uid="{00000000-0005-0000-0000-0000F0310000}"/>
    <cellStyle name="Calculation 13 3 13 4" xfId="12816" xr:uid="{00000000-0005-0000-0000-0000F1310000}"/>
    <cellStyle name="Calculation 13 3 13 4 2" xfId="12817" xr:uid="{00000000-0005-0000-0000-0000F2310000}"/>
    <cellStyle name="Calculation 13 3 13 4 3" xfId="12818" xr:uid="{00000000-0005-0000-0000-0000F3310000}"/>
    <cellStyle name="Calculation 13 3 13 4 4" xfId="12819" xr:uid="{00000000-0005-0000-0000-0000F4310000}"/>
    <cellStyle name="Calculation 13 3 13 4 5" xfId="12820" xr:uid="{00000000-0005-0000-0000-0000F5310000}"/>
    <cellStyle name="Calculation 13 3 13 4 6" xfId="12821" xr:uid="{00000000-0005-0000-0000-0000F6310000}"/>
    <cellStyle name="Calculation 13 3 13 5" xfId="12822" xr:uid="{00000000-0005-0000-0000-0000F7310000}"/>
    <cellStyle name="Calculation 13 3 13 5 2" xfId="12823" xr:uid="{00000000-0005-0000-0000-0000F8310000}"/>
    <cellStyle name="Calculation 13 3 13 5 3" xfId="12824" xr:uid="{00000000-0005-0000-0000-0000F9310000}"/>
    <cellStyle name="Calculation 13 3 13 5 4" xfId="12825" xr:uid="{00000000-0005-0000-0000-0000FA310000}"/>
    <cellStyle name="Calculation 13 3 13 5 5" xfId="12826" xr:uid="{00000000-0005-0000-0000-0000FB310000}"/>
    <cellStyle name="Calculation 13 3 13 5 6" xfId="12827" xr:uid="{00000000-0005-0000-0000-0000FC310000}"/>
    <cellStyle name="Calculation 13 3 13 6" xfId="12828" xr:uid="{00000000-0005-0000-0000-0000FD310000}"/>
    <cellStyle name="Calculation 13 3 13 6 2" xfId="12829" xr:uid="{00000000-0005-0000-0000-0000FE310000}"/>
    <cellStyle name="Calculation 13 3 13 6 3" xfId="12830" xr:uid="{00000000-0005-0000-0000-0000FF310000}"/>
    <cellStyle name="Calculation 13 3 13 6 4" xfId="12831" xr:uid="{00000000-0005-0000-0000-000000320000}"/>
    <cellStyle name="Calculation 13 3 13 6 5" xfId="12832" xr:uid="{00000000-0005-0000-0000-000001320000}"/>
    <cellStyle name="Calculation 13 3 13 6 6" xfId="12833" xr:uid="{00000000-0005-0000-0000-000002320000}"/>
    <cellStyle name="Calculation 13 3 13 7" xfId="12834" xr:uid="{00000000-0005-0000-0000-000003320000}"/>
    <cellStyle name="Calculation 13 3 13 7 2" xfId="12835" xr:uid="{00000000-0005-0000-0000-000004320000}"/>
    <cellStyle name="Calculation 13 3 13 7 3" xfId="12836" xr:uid="{00000000-0005-0000-0000-000005320000}"/>
    <cellStyle name="Calculation 13 3 13 7 4" xfId="12837" xr:uid="{00000000-0005-0000-0000-000006320000}"/>
    <cellStyle name="Calculation 13 3 13 7 5" xfId="12838" xr:uid="{00000000-0005-0000-0000-000007320000}"/>
    <cellStyle name="Calculation 13 3 13 7 6" xfId="12839" xr:uid="{00000000-0005-0000-0000-000008320000}"/>
    <cellStyle name="Calculation 13 3 13 8" xfId="12840" xr:uid="{00000000-0005-0000-0000-000009320000}"/>
    <cellStyle name="Calculation 13 3 13 9" xfId="12841" xr:uid="{00000000-0005-0000-0000-00000A320000}"/>
    <cellStyle name="Calculation 13 3 14" xfId="12842" xr:uid="{00000000-0005-0000-0000-00000B320000}"/>
    <cellStyle name="Calculation 13 3 14 10" xfId="12843" xr:uid="{00000000-0005-0000-0000-00000C320000}"/>
    <cellStyle name="Calculation 13 3 14 2" xfId="12844" xr:uid="{00000000-0005-0000-0000-00000D320000}"/>
    <cellStyle name="Calculation 13 3 14 2 2" xfId="12845" xr:uid="{00000000-0005-0000-0000-00000E320000}"/>
    <cellStyle name="Calculation 13 3 14 2 3" xfId="12846" xr:uid="{00000000-0005-0000-0000-00000F320000}"/>
    <cellStyle name="Calculation 13 3 14 2 4" xfId="12847" xr:uid="{00000000-0005-0000-0000-000010320000}"/>
    <cellStyle name="Calculation 13 3 14 2 5" xfId="12848" xr:uid="{00000000-0005-0000-0000-000011320000}"/>
    <cellStyle name="Calculation 13 3 14 2 6" xfId="12849" xr:uid="{00000000-0005-0000-0000-000012320000}"/>
    <cellStyle name="Calculation 13 3 14 3" xfId="12850" xr:uid="{00000000-0005-0000-0000-000013320000}"/>
    <cellStyle name="Calculation 13 3 14 3 2" xfId="12851" xr:uid="{00000000-0005-0000-0000-000014320000}"/>
    <cellStyle name="Calculation 13 3 14 3 3" xfId="12852" xr:uid="{00000000-0005-0000-0000-000015320000}"/>
    <cellStyle name="Calculation 13 3 14 3 4" xfId="12853" xr:uid="{00000000-0005-0000-0000-000016320000}"/>
    <cellStyle name="Calculation 13 3 14 3 5" xfId="12854" xr:uid="{00000000-0005-0000-0000-000017320000}"/>
    <cellStyle name="Calculation 13 3 14 3 6" xfId="12855" xr:uid="{00000000-0005-0000-0000-000018320000}"/>
    <cellStyle name="Calculation 13 3 14 4" xfId="12856" xr:uid="{00000000-0005-0000-0000-000019320000}"/>
    <cellStyle name="Calculation 13 3 14 4 2" xfId="12857" xr:uid="{00000000-0005-0000-0000-00001A320000}"/>
    <cellStyle name="Calculation 13 3 14 4 3" xfId="12858" xr:uid="{00000000-0005-0000-0000-00001B320000}"/>
    <cellStyle name="Calculation 13 3 14 4 4" xfId="12859" xr:uid="{00000000-0005-0000-0000-00001C320000}"/>
    <cellStyle name="Calculation 13 3 14 4 5" xfId="12860" xr:uid="{00000000-0005-0000-0000-00001D320000}"/>
    <cellStyle name="Calculation 13 3 14 4 6" xfId="12861" xr:uid="{00000000-0005-0000-0000-00001E320000}"/>
    <cellStyle name="Calculation 13 3 14 5" xfId="12862" xr:uid="{00000000-0005-0000-0000-00001F320000}"/>
    <cellStyle name="Calculation 13 3 14 5 2" xfId="12863" xr:uid="{00000000-0005-0000-0000-000020320000}"/>
    <cellStyle name="Calculation 13 3 14 5 3" xfId="12864" xr:uid="{00000000-0005-0000-0000-000021320000}"/>
    <cellStyle name="Calculation 13 3 14 5 4" xfId="12865" xr:uid="{00000000-0005-0000-0000-000022320000}"/>
    <cellStyle name="Calculation 13 3 14 5 5" xfId="12866" xr:uid="{00000000-0005-0000-0000-000023320000}"/>
    <cellStyle name="Calculation 13 3 14 5 6" xfId="12867" xr:uid="{00000000-0005-0000-0000-000024320000}"/>
    <cellStyle name="Calculation 13 3 14 6" xfId="12868" xr:uid="{00000000-0005-0000-0000-000025320000}"/>
    <cellStyle name="Calculation 13 3 14 6 2" xfId="12869" xr:uid="{00000000-0005-0000-0000-000026320000}"/>
    <cellStyle name="Calculation 13 3 14 6 3" xfId="12870" xr:uid="{00000000-0005-0000-0000-000027320000}"/>
    <cellStyle name="Calculation 13 3 14 6 4" xfId="12871" xr:uid="{00000000-0005-0000-0000-000028320000}"/>
    <cellStyle name="Calculation 13 3 14 6 5" xfId="12872" xr:uid="{00000000-0005-0000-0000-000029320000}"/>
    <cellStyle name="Calculation 13 3 14 6 6" xfId="12873" xr:uid="{00000000-0005-0000-0000-00002A320000}"/>
    <cellStyle name="Calculation 13 3 14 7" xfId="12874" xr:uid="{00000000-0005-0000-0000-00002B320000}"/>
    <cellStyle name="Calculation 13 3 14 7 2" xfId="12875" xr:uid="{00000000-0005-0000-0000-00002C320000}"/>
    <cellStyle name="Calculation 13 3 14 7 3" xfId="12876" xr:uid="{00000000-0005-0000-0000-00002D320000}"/>
    <cellStyle name="Calculation 13 3 14 7 4" xfId="12877" xr:uid="{00000000-0005-0000-0000-00002E320000}"/>
    <cellStyle name="Calculation 13 3 14 7 5" xfId="12878" xr:uid="{00000000-0005-0000-0000-00002F320000}"/>
    <cellStyle name="Calculation 13 3 14 7 6" xfId="12879" xr:uid="{00000000-0005-0000-0000-000030320000}"/>
    <cellStyle name="Calculation 13 3 14 8" xfId="12880" xr:uid="{00000000-0005-0000-0000-000031320000}"/>
    <cellStyle name="Calculation 13 3 14 9" xfId="12881" xr:uid="{00000000-0005-0000-0000-000032320000}"/>
    <cellStyle name="Calculation 13 3 15" xfId="12882" xr:uid="{00000000-0005-0000-0000-000033320000}"/>
    <cellStyle name="Calculation 13 3 15 10" xfId="12883" xr:uid="{00000000-0005-0000-0000-000034320000}"/>
    <cellStyle name="Calculation 13 3 15 2" xfId="12884" xr:uid="{00000000-0005-0000-0000-000035320000}"/>
    <cellStyle name="Calculation 13 3 15 2 2" xfId="12885" xr:uid="{00000000-0005-0000-0000-000036320000}"/>
    <cellStyle name="Calculation 13 3 15 2 3" xfId="12886" xr:uid="{00000000-0005-0000-0000-000037320000}"/>
    <cellStyle name="Calculation 13 3 15 2 4" xfId="12887" xr:uid="{00000000-0005-0000-0000-000038320000}"/>
    <cellStyle name="Calculation 13 3 15 2 5" xfId="12888" xr:uid="{00000000-0005-0000-0000-000039320000}"/>
    <cellStyle name="Calculation 13 3 15 2 6" xfId="12889" xr:uid="{00000000-0005-0000-0000-00003A320000}"/>
    <cellStyle name="Calculation 13 3 15 3" xfId="12890" xr:uid="{00000000-0005-0000-0000-00003B320000}"/>
    <cellStyle name="Calculation 13 3 15 3 2" xfId="12891" xr:uid="{00000000-0005-0000-0000-00003C320000}"/>
    <cellStyle name="Calculation 13 3 15 3 3" xfId="12892" xr:uid="{00000000-0005-0000-0000-00003D320000}"/>
    <cellStyle name="Calculation 13 3 15 3 4" xfId="12893" xr:uid="{00000000-0005-0000-0000-00003E320000}"/>
    <cellStyle name="Calculation 13 3 15 3 5" xfId="12894" xr:uid="{00000000-0005-0000-0000-00003F320000}"/>
    <cellStyle name="Calculation 13 3 15 3 6" xfId="12895" xr:uid="{00000000-0005-0000-0000-000040320000}"/>
    <cellStyle name="Calculation 13 3 15 4" xfId="12896" xr:uid="{00000000-0005-0000-0000-000041320000}"/>
    <cellStyle name="Calculation 13 3 15 4 2" xfId="12897" xr:uid="{00000000-0005-0000-0000-000042320000}"/>
    <cellStyle name="Calculation 13 3 15 4 3" xfId="12898" xr:uid="{00000000-0005-0000-0000-000043320000}"/>
    <cellStyle name="Calculation 13 3 15 4 4" xfId="12899" xr:uid="{00000000-0005-0000-0000-000044320000}"/>
    <cellStyle name="Calculation 13 3 15 4 5" xfId="12900" xr:uid="{00000000-0005-0000-0000-000045320000}"/>
    <cellStyle name="Calculation 13 3 15 4 6" xfId="12901" xr:uid="{00000000-0005-0000-0000-000046320000}"/>
    <cellStyle name="Calculation 13 3 15 5" xfId="12902" xr:uid="{00000000-0005-0000-0000-000047320000}"/>
    <cellStyle name="Calculation 13 3 15 5 2" xfId="12903" xr:uid="{00000000-0005-0000-0000-000048320000}"/>
    <cellStyle name="Calculation 13 3 15 5 3" xfId="12904" xr:uid="{00000000-0005-0000-0000-000049320000}"/>
    <cellStyle name="Calculation 13 3 15 5 4" xfId="12905" xr:uid="{00000000-0005-0000-0000-00004A320000}"/>
    <cellStyle name="Calculation 13 3 15 5 5" xfId="12906" xr:uid="{00000000-0005-0000-0000-00004B320000}"/>
    <cellStyle name="Calculation 13 3 15 5 6" xfId="12907" xr:uid="{00000000-0005-0000-0000-00004C320000}"/>
    <cellStyle name="Calculation 13 3 15 6" xfId="12908" xr:uid="{00000000-0005-0000-0000-00004D320000}"/>
    <cellStyle name="Calculation 13 3 15 6 2" xfId="12909" xr:uid="{00000000-0005-0000-0000-00004E320000}"/>
    <cellStyle name="Calculation 13 3 15 6 3" xfId="12910" xr:uid="{00000000-0005-0000-0000-00004F320000}"/>
    <cellStyle name="Calculation 13 3 15 6 4" xfId="12911" xr:uid="{00000000-0005-0000-0000-000050320000}"/>
    <cellStyle name="Calculation 13 3 15 6 5" xfId="12912" xr:uid="{00000000-0005-0000-0000-000051320000}"/>
    <cellStyle name="Calculation 13 3 15 6 6" xfId="12913" xr:uid="{00000000-0005-0000-0000-000052320000}"/>
    <cellStyle name="Calculation 13 3 15 7" xfId="12914" xr:uid="{00000000-0005-0000-0000-000053320000}"/>
    <cellStyle name="Calculation 13 3 15 7 2" xfId="12915" xr:uid="{00000000-0005-0000-0000-000054320000}"/>
    <cellStyle name="Calculation 13 3 15 7 3" xfId="12916" xr:uid="{00000000-0005-0000-0000-000055320000}"/>
    <cellStyle name="Calculation 13 3 15 7 4" xfId="12917" xr:uid="{00000000-0005-0000-0000-000056320000}"/>
    <cellStyle name="Calculation 13 3 15 7 5" xfId="12918" xr:uid="{00000000-0005-0000-0000-000057320000}"/>
    <cellStyle name="Calculation 13 3 15 7 6" xfId="12919" xr:uid="{00000000-0005-0000-0000-000058320000}"/>
    <cellStyle name="Calculation 13 3 15 8" xfId="12920" xr:uid="{00000000-0005-0000-0000-000059320000}"/>
    <cellStyle name="Calculation 13 3 15 9" xfId="12921" xr:uid="{00000000-0005-0000-0000-00005A320000}"/>
    <cellStyle name="Calculation 13 3 16" xfId="12922" xr:uid="{00000000-0005-0000-0000-00005B320000}"/>
    <cellStyle name="Calculation 13 3 16 10" xfId="12923" xr:uid="{00000000-0005-0000-0000-00005C320000}"/>
    <cellStyle name="Calculation 13 3 16 2" xfId="12924" xr:uid="{00000000-0005-0000-0000-00005D320000}"/>
    <cellStyle name="Calculation 13 3 16 2 2" xfId="12925" xr:uid="{00000000-0005-0000-0000-00005E320000}"/>
    <cellStyle name="Calculation 13 3 16 2 3" xfId="12926" xr:uid="{00000000-0005-0000-0000-00005F320000}"/>
    <cellStyle name="Calculation 13 3 16 2 4" xfId="12927" xr:uid="{00000000-0005-0000-0000-000060320000}"/>
    <cellStyle name="Calculation 13 3 16 2 5" xfId="12928" xr:uid="{00000000-0005-0000-0000-000061320000}"/>
    <cellStyle name="Calculation 13 3 16 2 6" xfId="12929" xr:uid="{00000000-0005-0000-0000-000062320000}"/>
    <cellStyle name="Calculation 13 3 16 3" xfId="12930" xr:uid="{00000000-0005-0000-0000-000063320000}"/>
    <cellStyle name="Calculation 13 3 16 3 2" xfId="12931" xr:uid="{00000000-0005-0000-0000-000064320000}"/>
    <cellStyle name="Calculation 13 3 16 3 3" xfId="12932" xr:uid="{00000000-0005-0000-0000-000065320000}"/>
    <cellStyle name="Calculation 13 3 16 3 4" xfId="12933" xr:uid="{00000000-0005-0000-0000-000066320000}"/>
    <cellStyle name="Calculation 13 3 16 3 5" xfId="12934" xr:uid="{00000000-0005-0000-0000-000067320000}"/>
    <cellStyle name="Calculation 13 3 16 3 6" xfId="12935" xr:uid="{00000000-0005-0000-0000-000068320000}"/>
    <cellStyle name="Calculation 13 3 16 4" xfId="12936" xr:uid="{00000000-0005-0000-0000-000069320000}"/>
    <cellStyle name="Calculation 13 3 16 4 2" xfId="12937" xr:uid="{00000000-0005-0000-0000-00006A320000}"/>
    <cellStyle name="Calculation 13 3 16 4 3" xfId="12938" xr:uid="{00000000-0005-0000-0000-00006B320000}"/>
    <cellStyle name="Calculation 13 3 16 4 4" xfId="12939" xr:uid="{00000000-0005-0000-0000-00006C320000}"/>
    <cellStyle name="Calculation 13 3 16 4 5" xfId="12940" xr:uid="{00000000-0005-0000-0000-00006D320000}"/>
    <cellStyle name="Calculation 13 3 16 4 6" xfId="12941" xr:uid="{00000000-0005-0000-0000-00006E320000}"/>
    <cellStyle name="Calculation 13 3 16 5" xfId="12942" xr:uid="{00000000-0005-0000-0000-00006F320000}"/>
    <cellStyle name="Calculation 13 3 16 5 2" xfId="12943" xr:uid="{00000000-0005-0000-0000-000070320000}"/>
    <cellStyle name="Calculation 13 3 16 5 3" xfId="12944" xr:uid="{00000000-0005-0000-0000-000071320000}"/>
    <cellStyle name="Calculation 13 3 16 5 4" xfId="12945" xr:uid="{00000000-0005-0000-0000-000072320000}"/>
    <cellStyle name="Calculation 13 3 16 5 5" xfId="12946" xr:uid="{00000000-0005-0000-0000-000073320000}"/>
    <cellStyle name="Calculation 13 3 16 5 6" xfId="12947" xr:uid="{00000000-0005-0000-0000-000074320000}"/>
    <cellStyle name="Calculation 13 3 16 6" xfId="12948" xr:uid="{00000000-0005-0000-0000-000075320000}"/>
    <cellStyle name="Calculation 13 3 16 6 2" xfId="12949" xr:uid="{00000000-0005-0000-0000-000076320000}"/>
    <cellStyle name="Calculation 13 3 16 6 3" xfId="12950" xr:uid="{00000000-0005-0000-0000-000077320000}"/>
    <cellStyle name="Calculation 13 3 16 6 4" xfId="12951" xr:uid="{00000000-0005-0000-0000-000078320000}"/>
    <cellStyle name="Calculation 13 3 16 6 5" xfId="12952" xr:uid="{00000000-0005-0000-0000-000079320000}"/>
    <cellStyle name="Calculation 13 3 16 6 6" xfId="12953" xr:uid="{00000000-0005-0000-0000-00007A320000}"/>
    <cellStyle name="Calculation 13 3 16 7" xfId="12954" xr:uid="{00000000-0005-0000-0000-00007B320000}"/>
    <cellStyle name="Calculation 13 3 16 7 2" xfId="12955" xr:uid="{00000000-0005-0000-0000-00007C320000}"/>
    <cellStyle name="Calculation 13 3 16 7 3" xfId="12956" xr:uid="{00000000-0005-0000-0000-00007D320000}"/>
    <cellStyle name="Calculation 13 3 16 7 4" xfId="12957" xr:uid="{00000000-0005-0000-0000-00007E320000}"/>
    <cellStyle name="Calculation 13 3 16 7 5" xfId="12958" xr:uid="{00000000-0005-0000-0000-00007F320000}"/>
    <cellStyle name="Calculation 13 3 16 7 6" xfId="12959" xr:uid="{00000000-0005-0000-0000-000080320000}"/>
    <cellStyle name="Calculation 13 3 16 8" xfId="12960" xr:uid="{00000000-0005-0000-0000-000081320000}"/>
    <cellStyle name="Calculation 13 3 16 9" xfId="12961" xr:uid="{00000000-0005-0000-0000-000082320000}"/>
    <cellStyle name="Calculation 13 3 17" xfId="12962" xr:uid="{00000000-0005-0000-0000-000083320000}"/>
    <cellStyle name="Calculation 13 3 17 10" xfId="12963" xr:uid="{00000000-0005-0000-0000-000084320000}"/>
    <cellStyle name="Calculation 13 3 17 2" xfId="12964" xr:uid="{00000000-0005-0000-0000-000085320000}"/>
    <cellStyle name="Calculation 13 3 17 2 2" xfId="12965" xr:uid="{00000000-0005-0000-0000-000086320000}"/>
    <cellStyle name="Calculation 13 3 17 2 3" xfId="12966" xr:uid="{00000000-0005-0000-0000-000087320000}"/>
    <cellStyle name="Calculation 13 3 17 2 4" xfId="12967" xr:uid="{00000000-0005-0000-0000-000088320000}"/>
    <cellStyle name="Calculation 13 3 17 2 5" xfId="12968" xr:uid="{00000000-0005-0000-0000-000089320000}"/>
    <cellStyle name="Calculation 13 3 17 2 6" xfId="12969" xr:uid="{00000000-0005-0000-0000-00008A320000}"/>
    <cellStyle name="Calculation 13 3 17 3" xfId="12970" xr:uid="{00000000-0005-0000-0000-00008B320000}"/>
    <cellStyle name="Calculation 13 3 17 3 2" xfId="12971" xr:uid="{00000000-0005-0000-0000-00008C320000}"/>
    <cellStyle name="Calculation 13 3 17 3 3" xfId="12972" xr:uid="{00000000-0005-0000-0000-00008D320000}"/>
    <cellStyle name="Calculation 13 3 17 3 4" xfId="12973" xr:uid="{00000000-0005-0000-0000-00008E320000}"/>
    <cellStyle name="Calculation 13 3 17 3 5" xfId="12974" xr:uid="{00000000-0005-0000-0000-00008F320000}"/>
    <cellStyle name="Calculation 13 3 17 3 6" xfId="12975" xr:uid="{00000000-0005-0000-0000-000090320000}"/>
    <cellStyle name="Calculation 13 3 17 4" xfId="12976" xr:uid="{00000000-0005-0000-0000-000091320000}"/>
    <cellStyle name="Calculation 13 3 17 4 2" xfId="12977" xr:uid="{00000000-0005-0000-0000-000092320000}"/>
    <cellStyle name="Calculation 13 3 17 4 3" xfId="12978" xr:uid="{00000000-0005-0000-0000-000093320000}"/>
    <cellStyle name="Calculation 13 3 17 4 4" xfId="12979" xr:uid="{00000000-0005-0000-0000-000094320000}"/>
    <cellStyle name="Calculation 13 3 17 4 5" xfId="12980" xr:uid="{00000000-0005-0000-0000-000095320000}"/>
    <cellStyle name="Calculation 13 3 17 4 6" xfId="12981" xr:uid="{00000000-0005-0000-0000-000096320000}"/>
    <cellStyle name="Calculation 13 3 17 5" xfId="12982" xr:uid="{00000000-0005-0000-0000-000097320000}"/>
    <cellStyle name="Calculation 13 3 17 5 2" xfId="12983" xr:uid="{00000000-0005-0000-0000-000098320000}"/>
    <cellStyle name="Calculation 13 3 17 5 3" xfId="12984" xr:uid="{00000000-0005-0000-0000-000099320000}"/>
    <cellStyle name="Calculation 13 3 17 5 4" xfId="12985" xr:uid="{00000000-0005-0000-0000-00009A320000}"/>
    <cellStyle name="Calculation 13 3 17 5 5" xfId="12986" xr:uid="{00000000-0005-0000-0000-00009B320000}"/>
    <cellStyle name="Calculation 13 3 17 5 6" xfId="12987" xr:uid="{00000000-0005-0000-0000-00009C320000}"/>
    <cellStyle name="Calculation 13 3 17 6" xfId="12988" xr:uid="{00000000-0005-0000-0000-00009D320000}"/>
    <cellStyle name="Calculation 13 3 17 6 2" xfId="12989" xr:uid="{00000000-0005-0000-0000-00009E320000}"/>
    <cellStyle name="Calculation 13 3 17 6 3" xfId="12990" xr:uid="{00000000-0005-0000-0000-00009F320000}"/>
    <cellStyle name="Calculation 13 3 17 6 4" xfId="12991" xr:uid="{00000000-0005-0000-0000-0000A0320000}"/>
    <cellStyle name="Calculation 13 3 17 6 5" xfId="12992" xr:uid="{00000000-0005-0000-0000-0000A1320000}"/>
    <cellStyle name="Calculation 13 3 17 6 6" xfId="12993" xr:uid="{00000000-0005-0000-0000-0000A2320000}"/>
    <cellStyle name="Calculation 13 3 17 7" xfId="12994" xr:uid="{00000000-0005-0000-0000-0000A3320000}"/>
    <cellStyle name="Calculation 13 3 17 7 2" xfId="12995" xr:uid="{00000000-0005-0000-0000-0000A4320000}"/>
    <cellStyle name="Calculation 13 3 17 7 3" xfId="12996" xr:uid="{00000000-0005-0000-0000-0000A5320000}"/>
    <cellStyle name="Calculation 13 3 17 7 4" xfId="12997" xr:uid="{00000000-0005-0000-0000-0000A6320000}"/>
    <cellStyle name="Calculation 13 3 17 7 5" xfId="12998" xr:uid="{00000000-0005-0000-0000-0000A7320000}"/>
    <cellStyle name="Calculation 13 3 17 7 6" xfId="12999" xr:uid="{00000000-0005-0000-0000-0000A8320000}"/>
    <cellStyle name="Calculation 13 3 17 8" xfId="13000" xr:uid="{00000000-0005-0000-0000-0000A9320000}"/>
    <cellStyle name="Calculation 13 3 17 9" xfId="13001" xr:uid="{00000000-0005-0000-0000-0000AA320000}"/>
    <cellStyle name="Calculation 13 3 18" xfId="13002" xr:uid="{00000000-0005-0000-0000-0000AB320000}"/>
    <cellStyle name="Calculation 13 3 18 10" xfId="13003" xr:uid="{00000000-0005-0000-0000-0000AC320000}"/>
    <cellStyle name="Calculation 13 3 18 2" xfId="13004" xr:uid="{00000000-0005-0000-0000-0000AD320000}"/>
    <cellStyle name="Calculation 13 3 18 2 2" xfId="13005" xr:uid="{00000000-0005-0000-0000-0000AE320000}"/>
    <cellStyle name="Calculation 13 3 18 2 3" xfId="13006" xr:uid="{00000000-0005-0000-0000-0000AF320000}"/>
    <cellStyle name="Calculation 13 3 18 2 4" xfId="13007" xr:uid="{00000000-0005-0000-0000-0000B0320000}"/>
    <cellStyle name="Calculation 13 3 18 2 5" xfId="13008" xr:uid="{00000000-0005-0000-0000-0000B1320000}"/>
    <cellStyle name="Calculation 13 3 18 2 6" xfId="13009" xr:uid="{00000000-0005-0000-0000-0000B2320000}"/>
    <cellStyle name="Calculation 13 3 18 3" xfId="13010" xr:uid="{00000000-0005-0000-0000-0000B3320000}"/>
    <cellStyle name="Calculation 13 3 18 3 2" xfId="13011" xr:uid="{00000000-0005-0000-0000-0000B4320000}"/>
    <cellStyle name="Calculation 13 3 18 3 3" xfId="13012" xr:uid="{00000000-0005-0000-0000-0000B5320000}"/>
    <cellStyle name="Calculation 13 3 18 3 4" xfId="13013" xr:uid="{00000000-0005-0000-0000-0000B6320000}"/>
    <cellStyle name="Calculation 13 3 18 3 5" xfId="13014" xr:uid="{00000000-0005-0000-0000-0000B7320000}"/>
    <cellStyle name="Calculation 13 3 18 3 6" xfId="13015" xr:uid="{00000000-0005-0000-0000-0000B8320000}"/>
    <cellStyle name="Calculation 13 3 18 4" xfId="13016" xr:uid="{00000000-0005-0000-0000-0000B9320000}"/>
    <cellStyle name="Calculation 13 3 18 4 2" xfId="13017" xr:uid="{00000000-0005-0000-0000-0000BA320000}"/>
    <cellStyle name="Calculation 13 3 18 4 3" xfId="13018" xr:uid="{00000000-0005-0000-0000-0000BB320000}"/>
    <cellStyle name="Calculation 13 3 18 4 4" xfId="13019" xr:uid="{00000000-0005-0000-0000-0000BC320000}"/>
    <cellStyle name="Calculation 13 3 18 4 5" xfId="13020" xr:uid="{00000000-0005-0000-0000-0000BD320000}"/>
    <cellStyle name="Calculation 13 3 18 4 6" xfId="13021" xr:uid="{00000000-0005-0000-0000-0000BE320000}"/>
    <cellStyle name="Calculation 13 3 18 5" xfId="13022" xr:uid="{00000000-0005-0000-0000-0000BF320000}"/>
    <cellStyle name="Calculation 13 3 18 5 2" xfId="13023" xr:uid="{00000000-0005-0000-0000-0000C0320000}"/>
    <cellStyle name="Calculation 13 3 18 5 3" xfId="13024" xr:uid="{00000000-0005-0000-0000-0000C1320000}"/>
    <cellStyle name="Calculation 13 3 18 5 4" xfId="13025" xr:uid="{00000000-0005-0000-0000-0000C2320000}"/>
    <cellStyle name="Calculation 13 3 18 5 5" xfId="13026" xr:uid="{00000000-0005-0000-0000-0000C3320000}"/>
    <cellStyle name="Calculation 13 3 18 5 6" xfId="13027" xr:uid="{00000000-0005-0000-0000-0000C4320000}"/>
    <cellStyle name="Calculation 13 3 18 6" xfId="13028" xr:uid="{00000000-0005-0000-0000-0000C5320000}"/>
    <cellStyle name="Calculation 13 3 18 6 2" xfId="13029" xr:uid="{00000000-0005-0000-0000-0000C6320000}"/>
    <cellStyle name="Calculation 13 3 18 6 3" xfId="13030" xr:uid="{00000000-0005-0000-0000-0000C7320000}"/>
    <cellStyle name="Calculation 13 3 18 6 4" xfId="13031" xr:uid="{00000000-0005-0000-0000-0000C8320000}"/>
    <cellStyle name="Calculation 13 3 18 6 5" xfId="13032" xr:uid="{00000000-0005-0000-0000-0000C9320000}"/>
    <cellStyle name="Calculation 13 3 18 6 6" xfId="13033" xr:uid="{00000000-0005-0000-0000-0000CA320000}"/>
    <cellStyle name="Calculation 13 3 18 7" xfId="13034" xr:uid="{00000000-0005-0000-0000-0000CB320000}"/>
    <cellStyle name="Calculation 13 3 18 7 2" xfId="13035" xr:uid="{00000000-0005-0000-0000-0000CC320000}"/>
    <cellStyle name="Calculation 13 3 18 7 3" xfId="13036" xr:uid="{00000000-0005-0000-0000-0000CD320000}"/>
    <cellStyle name="Calculation 13 3 18 7 4" xfId="13037" xr:uid="{00000000-0005-0000-0000-0000CE320000}"/>
    <cellStyle name="Calculation 13 3 18 7 5" xfId="13038" xr:uid="{00000000-0005-0000-0000-0000CF320000}"/>
    <cellStyle name="Calculation 13 3 18 7 6" xfId="13039" xr:uid="{00000000-0005-0000-0000-0000D0320000}"/>
    <cellStyle name="Calculation 13 3 18 8" xfId="13040" xr:uid="{00000000-0005-0000-0000-0000D1320000}"/>
    <cellStyle name="Calculation 13 3 18 9" xfId="13041" xr:uid="{00000000-0005-0000-0000-0000D2320000}"/>
    <cellStyle name="Calculation 13 3 19" xfId="13042" xr:uid="{00000000-0005-0000-0000-0000D3320000}"/>
    <cellStyle name="Calculation 13 3 19 10" xfId="13043" xr:uid="{00000000-0005-0000-0000-0000D4320000}"/>
    <cellStyle name="Calculation 13 3 19 2" xfId="13044" xr:uid="{00000000-0005-0000-0000-0000D5320000}"/>
    <cellStyle name="Calculation 13 3 19 2 2" xfId="13045" xr:uid="{00000000-0005-0000-0000-0000D6320000}"/>
    <cellStyle name="Calculation 13 3 19 2 3" xfId="13046" xr:uid="{00000000-0005-0000-0000-0000D7320000}"/>
    <cellStyle name="Calculation 13 3 19 2 4" xfId="13047" xr:uid="{00000000-0005-0000-0000-0000D8320000}"/>
    <cellStyle name="Calculation 13 3 19 2 5" xfId="13048" xr:uid="{00000000-0005-0000-0000-0000D9320000}"/>
    <cellStyle name="Calculation 13 3 19 2 6" xfId="13049" xr:uid="{00000000-0005-0000-0000-0000DA320000}"/>
    <cellStyle name="Calculation 13 3 19 3" xfId="13050" xr:uid="{00000000-0005-0000-0000-0000DB320000}"/>
    <cellStyle name="Calculation 13 3 19 3 2" xfId="13051" xr:uid="{00000000-0005-0000-0000-0000DC320000}"/>
    <cellStyle name="Calculation 13 3 19 3 3" xfId="13052" xr:uid="{00000000-0005-0000-0000-0000DD320000}"/>
    <cellStyle name="Calculation 13 3 19 3 4" xfId="13053" xr:uid="{00000000-0005-0000-0000-0000DE320000}"/>
    <cellStyle name="Calculation 13 3 19 3 5" xfId="13054" xr:uid="{00000000-0005-0000-0000-0000DF320000}"/>
    <cellStyle name="Calculation 13 3 19 3 6" xfId="13055" xr:uid="{00000000-0005-0000-0000-0000E0320000}"/>
    <cellStyle name="Calculation 13 3 19 4" xfId="13056" xr:uid="{00000000-0005-0000-0000-0000E1320000}"/>
    <cellStyle name="Calculation 13 3 19 4 2" xfId="13057" xr:uid="{00000000-0005-0000-0000-0000E2320000}"/>
    <cellStyle name="Calculation 13 3 19 4 3" xfId="13058" xr:uid="{00000000-0005-0000-0000-0000E3320000}"/>
    <cellStyle name="Calculation 13 3 19 4 4" xfId="13059" xr:uid="{00000000-0005-0000-0000-0000E4320000}"/>
    <cellStyle name="Calculation 13 3 19 4 5" xfId="13060" xr:uid="{00000000-0005-0000-0000-0000E5320000}"/>
    <cellStyle name="Calculation 13 3 19 4 6" xfId="13061" xr:uid="{00000000-0005-0000-0000-0000E6320000}"/>
    <cellStyle name="Calculation 13 3 19 5" xfId="13062" xr:uid="{00000000-0005-0000-0000-0000E7320000}"/>
    <cellStyle name="Calculation 13 3 19 5 2" xfId="13063" xr:uid="{00000000-0005-0000-0000-0000E8320000}"/>
    <cellStyle name="Calculation 13 3 19 5 3" xfId="13064" xr:uid="{00000000-0005-0000-0000-0000E9320000}"/>
    <cellStyle name="Calculation 13 3 19 5 4" xfId="13065" xr:uid="{00000000-0005-0000-0000-0000EA320000}"/>
    <cellStyle name="Calculation 13 3 19 5 5" xfId="13066" xr:uid="{00000000-0005-0000-0000-0000EB320000}"/>
    <cellStyle name="Calculation 13 3 19 5 6" xfId="13067" xr:uid="{00000000-0005-0000-0000-0000EC320000}"/>
    <cellStyle name="Calculation 13 3 19 6" xfId="13068" xr:uid="{00000000-0005-0000-0000-0000ED320000}"/>
    <cellStyle name="Calculation 13 3 19 6 2" xfId="13069" xr:uid="{00000000-0005-0000-0000-0000EE320000}"/>
    <cellStyle name="Calculation 13 3 19 6 3" xfId="13070" xr:uid="{00000000-0005-0000-0000-0000EF320000}"/>
    <cellStyle name="Calculation 13 3 19 6 4" xfId="13071" xr:uid="{00000000-0005-0000-0000-0000F0320000}"/>
    <cellStyle name="Calculation 13 3 19 6 5" xfId="13072" xr:uid="{00000000-0005-0000-0000-0000F1320000}"/>
    <cellStyle name="Calculation 13 3 19 6 6" xfId="13073" xr:uid="{00000000-0005-0000-0000-0000F2320000}"/>
    <cellStyle name="Calculation 13 3 19 7" xfId="13074" xr:uid="{00000000-0005-0000-0000-0000F3320000}"/>
    <cellStyle name="Calculation 13 3 19 7 2" xfId="13075" xr:uid="{00000000-0005-0000-0000-0000F4320000}"/>
    <cellStyle name="Calculation 13 3 19 7 3" xfId="13076" xr:uid="{00000000-0005-0000-0000-0000F5320000}"/>
    <cellStyle name="Calculation 13 3 19 7 4" xfId="13077" xr:uid="{00000000-0005-0000-0000-0000F6320000}"/>
    <cellStyle name="Calculation 13 3 19 7 5" xfId="13078" xr:uid="{00000000-0005-0000-0000-0000F7320000}"/>
    <cellStyle name="Calculation 13 3 19 7 6" xfId="13079" xr:uid="{00000000-0005-0000-0000-0000F8320000}"/>
    <cellStyle name="Calculation 13 3 19 8" xfId="13080" xr:uid="{00000000-0005-0000-0000-0000F9320000}"/>
    <cellStyle name="Calculation 13 3 19 9" xfId="13081" xr:uid="{00000000-0005-0000-0000-0000FA320000}"/>
    <cellStyle name="Calculation 13 3 2" xfId="13082" xr:uid="{00000000-0005-0000-0000-0000FB320000}"/>
    <cellStyle name="Calculation 13 3 2 10" xfId="13083" xr:uid="{00000000-0005-0000-0000-0000FC320000}"/>
    <cellStyle name="Calculation 13 3 2 2" xfId="13084" xr:uid="{00000000-0005-0000-0000-0000FD320000}"/>
    <cellStyle name="Calculation 13 3 2 2 2" xfId="13085" xr:uid="{00000000-0005-0000-0000-0000FE320000}"/>
    <cellStyle name="Calculation 13 3 2 2 3" xfId="13086" xr:uid="{00000000-0005-0000-0000-0000FF320000}"/>
    <cellStyle name="Calculation 13 3 2 2 4" xfId="13087" xr:uid="{00000000-0005-0000-0000-000000330000}"/>
    <cellStyle name="Calculation 13 3 2 2 5" xfId="13088" xr:uid="{00000000-0005-0000-0000-000001330000}"/>
    <cellStyle name="Calculation 13 3 2 2 6" xfId="13089" xr:uid="{00000000-0005-0000-0000-000002330000}"/>
    <cellStyle name="Calculation 13 3 2 3" xfId="13090" xr:uid="{00000000-0005-0000-0000-000003330000}"/>
    <cellStyle name="Calculation 13 3 2 3 2" xfId="13091" xr:uid="{00000000-0005-0000-0000-000004330000}"/>
    <cellStyle name="Calculation 13 3 2 3 3" xfId="13092" xr:uid="{00000000-0005-0000-0000-000005330000}"/>
    <cellStyle name="Calculation 13 3 2 3 4" xfId="13093" xr:uid="{00000000-0005-0000-0000-000006330000}"/>
    <cellStyle name="Calculation 13 3 2 3 5" xfId="13094" xr:uid="{00000000-0005-0000-0000-000007330000}"/>
    <cellStyle name="Calculation 13 3 2 3 6" xfId="13095" xr:uid="{00000000-0005-0000-0000-000008330000}"/>
    <cellStyle name="Calculation 13 3 2 4" xfId="13096" xr:uid="{00000000-0005-0000-0000-000009330000}"/>
    <cellStyle name="Calculation 13 3 2 4 2" xfId="13097" xr:uid="{00000000-0005-0000-0000-00000A330000}"/>
    <cellStyle name="Calculation 13 3 2 4 3" xfId="13098" xr:uid="{00000000-0005-0000-0000-00000B330000}"/>
    <cellStyle name="Calculation 13 3 2 4 4" xfId="13099" xr:uid="{00000000-0005-0000-0000-00000C330000}"/>
    <cellStyle name="Calculation 13 3 2 4 5" xfId="13100" xr:uid="{00000000-0005-0000-0000-00000D330000}"/>
    <cellStyle name="Calculation 13 3 2 4 6" xfId="13101" xr:uid="{00000000-0005-0000-0000-00000E330000}"/>
    <cellStyle name="Calculation 13 3 2 5" xfId="13102" xr:uid="{00000000-0005-0000-0000-00000F330000}"/>
    <cellStyle name="Calculation 13 3 2 5 2" xfId="13103" xr:uid="{00000000-0005-0000-0000-000010330000}"/>
    <cellStyle name="Calculation 13 3 2 5 3" xfId="13104" xr:uid="{00000000-0005-0000-0000-000011330000}"/>
    <cellStyle name="Calculation 13 3 2 5 4" xfId="13105" xr:uid="{00000000-0005-0000-0000-000012330000}"/>
    <cellStyle name="Calculation 13 3 2 5 5" xfId="13106" xr:uid="{00000000-0005-0000-0000-000013330000}"/>
    <cellStyle name="Calculation 13 3 2 5 6" xfId="13107" xr:uid="{00000000-0005-0000-0000-000014330000}"/>
    <cellStyle name="Calculation 13 3 2 6" xfId="13108" xr:uid="{00000000-0005-0000-0000-000015330000}"/>
    <cellStyle name="Calculation 13 3 2 6 2" xfId="13109" xr:uid="{00000000-0005-0000-0000-000016330000}"/>
    <cellStyle name="Calculation 13 3 2 6 3" xfId="13110" xr:uid="{00000000-0005-0000-0000-000017330000}"/>
    <cellStyle name="Calculation 13 3 2 6 4" xfId="13111" xr:uid="{00000000-0005-0000-0000-000018330000}"/>
    <cellStyle name="Calculation 13 3 2 6 5" xfId="13112" xr:uid="{00000000-0005-0000-0000-000019330000}"/>
    <cellStyle name="Calculation 13 3 2 6 6" xfId="13113" xr:uid="{00000000-0005-0000-0000-00001A330000}"/>
    <cellStyle name="Calculation 13 3 2 7" xfId="13114" xr:uid="{00000000-0005-0000-0000-00001B330000}"/>
    <cellStyle name="Calculation 13 3 2 7 2" xfId="13115" xr:uid="{00000000-0005-0000-0000-00001C330000}"/>
    <cellStyle name="Calculation 13 3 2 7 3" xfId="13116" xr:uid="{00000000-0005-0000-0000-00001D330000}"/>
    <cellStyle name="Calculation 13 3 2 7 4" xfId="13117" xr:uid="{00000000-0005-0000-0000-00001E330000}"/>
    <cellStyle name="Calculation 13 3 2 7 5" xfId="13118" xr:uid="{00000000-0005-0000-0000-00001F330000}"/>
    <cellStyle name="Calculation 13 3 2 7 6" xfId="13119" xr:uid="{00000000-0005-0000-0000-000020330000}"/>
    <cellStyle name="Calculation 13 3 2 8" xfId="13120" xr:uid="{00000000-0005-0000-0000-000021330000}"/>
    <cellStyle name="Calculation 13 3 2 9" xfId="13121" xr:uid="{00000000-0005-0000-0000-000022330000}"/>
    <cellStyle name="Calculation 13 3 20" xfId="13122" xr:uid="{00000000-0005-0000-0000-000023330000}"/>
    <cellStyle name="Calculation 13 3 20 10" xfId="13123" xr:uid="{00000000-0005-0000-0000-000024330000}"/>
    <cellStyle name="Calculation 13 3 20 2" xfId="13124" xr:uid="{00000000-0005-0000-0000-000025330000}"/>
    <cellStyle name="Calculation 13 3 20 2 2" xfId="13125" xr:uid="{00000000-0005-0000-0000-000026330000}"/>
    <cellStyle name="Calculation 13 3 20 2 3" xfId="13126" xr:uid="{00000000-0005-0000-0000-000027330000}"/>
    <cellStyle name="Calculation 13 3 20 2 4" xfId="13127" xr:uid="{00000000-0005-0000-0000-000028330000}"/>
    <cellStyle name="Calculation 13 3 20 2 5" xfId="13128" xr:uid="{00000000-0005-0000-0000-000029330000}"/>
    <cellStyle name="Calculation 13 3 20 2 6" xfId="13129" xr:uid="{00000000-0005-0000-0000-00002A330000}"/>
    <cellStyle name="Calculation 13 3 20 3" xfId="13130" xr:uid="{00000000-0005-0000-0000-00002B330000}"/>
    <cellStyle name="Calculation 13 3 20 3 2" xfId="13131" xr:uid="{00000000-0005-0000-0000-00002C330000}"/>
    <cellStyle name="Calculation 13 3 20 3 3" xfId="13132" xr:uid="{00000000-0005-0000-0000-00002D330000}"/>
    <cellStyle name="Calculation 13 3 20 3 4" xfId="13133" xr:uid="{00000000-0005-0000-0000-00002E330000}"/>
    <cellStyle name="Calculation 13 3 20 3 5" xfId="13134" xr:uid="{00000000-0005-0000-0000-00002F330000}"/>
    <cellStyle name="Calculation 13 3 20 3 6" xfId="13135" xr:uid="{00000000-0005-0000-0000-000030330000}"/>
    <cellStyle name="Calculation 13 3 20 4" xfId="13136" xr:uid="{00000000-0005-0000-0000-000031330000}"/>
    <cellStyle name="Calculation 13 3 20 4 2" xfId="13137" xr:uid="{00000000-0005-0000-0000-000032330000}"/>
    <cellStyle name="Calculation 13 3 20 4 3" xfId="13138" xr:uid="{00000000-0005-0000-0000-000033330000}"/>
    <cellStyle name="Calculation 13 3 20 4 4" xfId="13139" xr:uid="{00000000-0005-0000-0000-000034330000}"/>
    <cellStyle name="Calculation 13 3 20 4 5" xfId="13140" xr:uid="{00000000-0005-0000-0000-000035330000}"/>
    <cellStyle name="Calculation 13 3 20 4 6" xfId="13141" xr:uid="{00000000-0005-0000-0000-000036330000}"/>
    <cellStyle name="Calculation 13 3 20 5" xfId="13142" xr:uid="{00000000-0005-0000-0000-000037330000}"/>
    <cellStyle name="Calculation 13 3 20 5 2" xfId="13143" xr:uid="{00000000-0005-0000-0000-000038330000}"/>
    <cellStyle name="Calculation 13 3 20 5 3" xfId="13144" xr:uid="{00000000-0005-0000-0000-000039330000}"/>
    <cellStyle name="Calculation 13 3 20 5 4" xfId="13145" xr:uid="{00000000-0005-0000-0000-00003A330000}"/>
    <cellStyle name="Calculation 13 3 20 5 5" xfId="13146" xr:uid="{00000000-0005-0000-0000-00003B330000}"/>
    <cellStyle name="Calculation 13 3 20 5 6" xfId="13147" xr:uid="{00000000-0005-0000-0000-00003C330000}"/>
    <cellStyle name="Calculation 13 3 20 6" xfId="13148" xr:uid="{00000000-0005-0000-0000-00003D330000}"/>
    <cellStyle name="Calculation 13 3 20 6 2" xfId="13149" xr:uid="{00000000-0005-0000-0000-00003E330000}"/>
    <cellStyle name="Calculation 13 3 20 6 3" xfId="13150" xr:uid="{00000000-0005-0000-0000-00003F330000}"/>
    <cellStyle name="Calculation 13 3 20 6 4" xfId="13151" xr:uid="{00000000-0005-0000-0000-000040330000}"/>
    <cellStyle name="Calculation 13 3 20 6 5" xfId="13152" xr:uid="{00000000-0005-0000-0000-000041330000}"/>
    <cellStyle name="Calculation 13 3 20 6 6" xfId="13153" xr:uid="{00000000-0005-0000-0000-000042330000}"/>
    <cellStyle name="Calculation 13 3 20 7" xfId="13154" xr:uid="{00000000-0005-0000-0000-000043330000}"/>
    <cellStyle name="Calculation 13 3 20 7 2" xfId="13155" xr:uid="{00000000-0005-0000-0000-000044330000}"/>
    <cellStyle name="Calculation 13 3 20 7 3" xfId="13156" xr:uid="{00000000-0005-0000-0000-000045330000}"/>
    <cellStyle name="Calculation 13 3 20 7 4" xfId="13157" xr:uid="{00000000-0005-0000-0000-000046330000}"/>
    <cellStyle name="Calculation 13 3 20 7 5" xfId="13158" xr:uid="{00000000-0005-0000-0000-000047330000}"/>
    <cellStyle name="Calculation 13 3 20 7 6" xfId="13159" xr:uid="{00000000-0005-0000-0000-000048330000}"/>
    <cellStyle name="Calculation 13 3 20 8" xfId="13160" xr:uid="{00000000-0005-0000-0000-000049330000}"/>
    <cellStyle name="Calculation 13 3 20 9" xfId="13161" xr:uid="{00000000-0005-0000-0000-00004A330000}"/>
    <cellStyle name="Calculation 13 3 21" xfId="13162" xr:uid="{00000000-0005-0000-0000-00004B330000}"/>
    <cellStyle name="Calculation 13 3 21 10" xfId="13163" xr:uid="{00000000-0005-0000-0000-00004C330000}"/>
    <cellStyle name="Calculation 13 3 21 2" xfId="13164" xr:uid="{00000000-0005-0000-0000-00004D330000}"/>
    <cellStyle name="Calculation 13 3 21 2 2" xfId="13165" xr:uid="{00000000-0005-0000-0000-00004E330000}"/>
    <cellStyle name="Calculation 13 3 21 2 3" xfId="13166" xr:uid="{00000000-0005-0000-0000-00004F330000}"/>
    <cellStyle name="Calculation 13 3 21 2 4" xfId="13167" xr:uid="{00000000-0005-0000-0000-000050330000}"/>
    <cellStyle name="Calculation 13 3 21 2 5" xfId="13168" xr:uid="{00000000-0005-0000-0000-000051330000}"/>
    <cellStyle name="Calculation 13 3 21 2 6" xfId="13169" xr:uid="{00000000-0005-0000-0000-000052330000}"/>
    <cellStyle name="Calculation 13 3 21 3" xfId="13170" xr:uid="{00000000-0005-0000-0000-000053330000}"/>
    <cellStyle name="Calculation 13 3 21 3 2" xfId="13171" xr:uid="{00000000-0005-0000-0000-000054330000}"/>
    <cellStyle name="Calculation 13 3 21 3 3" xfId="13172" xr:uid="{00000000-0005-0000-0000-000055330000}"/>
    <cellStyle name="Calculation 13 3 21 3 4" xfId="13173" xr:uid="{00000000-0005-0000-0000-000056330000}"/>
    <cellStyle name="Calculation 13 3 21 3 5" xfId="13174" xr:uid="{00000000-0005-0000-0000-000057330000}"/>
    <cellStyle name="Calculation 13 3 21 3 6" xfId="13175" xr:uid="{00000000-0005-0000-0000-000058330000}"/>
    <cellStyle name="Calculation 13 3 21 4" xfId="13176" xr:uid="{00000000-0005-0000-0000-000059330000}"/>
    <cellStyle name="Calculation 13 3 21 4 2" xfId="13177" xr:uid="{00000000-0005-0000-0000-00005A330000}"/>
    <cellStyle name="Calculation 13 3 21 4 3" xfId="13178" xr:uid="{00000000-0005-0000-0000-00005B330000}"/>
    <cellStyle name="Calculation 13 3 21 4 4" xfId="13179" xr:uid="{00000000-0005-0000-0000-00005C330000}"/>
    <cellStyle name="Calculation 13 3 21 4 5" xfId="13180" xr:uid="{00000000-0005-0000-0000-00005D330000}"/>
    <cellStyle name="Calculation 13 3 21 4 6" xfId="13181" xr:uid="{00000000-0005-0000-0000-00005E330000}"/>
    <cellStyle name="Calculation 13 3 21 5" xfId="13182" xr:uid="{00000000-0005-0000-0000-00005F330000}"/>
    <cellStyle name="Calculation 13 3 21 5 2" xfId="13183" xr:uid="{00000000-0005-0000-0000-000060330000}"/>
    <cellStyle name="Calculation 13 3 21 5 3" xfId="13184" xr:uid="{00000000-0005-0000-0000-000061330000}"/>
    <cellStyle name="Calculation 13 3 21 5 4" xfId="13185" xr:uid="{00000000-0005-0000-0000-000062330000}"/>
    <cellStyle name="Calculation 13 3 21 5 5" xfId="13186" xr:uid="{00000000-0005-0000-0000-000063330000}"/>
    <cellStyle name="Calculation 13 3 21 5 6" xfId="13187" xr:uid="{00000000-0005-0000-0000-000064330000}"/>
    <cellStyle name="Calculation 13 3 21 6" xfId="13188" xr:uid="{00000000-0005-0000-0000-000065330000}"/>
    <cellStyle name="Calculation 13 3 21 6 2" xfId="13189" xr:uid="{00000000-0005-0000-0000-000066330000}"/>
    <cellStyle name="Calculation 13 3 21 6 3" xfId="13190" xr:uid="{00000000-0005-0000-0000-000067330000}"/>
    <cellStyle name="Calculation 13 3 21 6 4" xfId="13191" xr:uid="{00000000-0005-0000-0000-000068330000}"/>
    <cellStyle name="Calculation 13 3 21 6 5" xfId="13192" xr:uid="{00000000-0005-0000-0000-000069330000}"/>
    <cellStyle name="Calculation 13 3 21 6 6" xfId="13193" xr:uid="{00000000-0005-0000-0000-00006A330000}"/>
    <cellStyle name="Calculation 13 3 21 7" xfId="13194" xr:uid="{00000000-0005-0000-0000-00006B330000}"/>
    <cellStyle name="Calculation 13 3 21 7 2" xfId="13195" xr:uid="{00000000-0005-0000-0000-00006C330000}"/>
    <cellStyle name="Calculation 13 3 21 7 3" xfId="13196" xr:uid="{00000000-0005-0000-0000-00006D330000}"/>
    <cellStyle name="Calculation 13 3 21 7 4" xfId="13197" xr:uid="{00000000-0005-0000-0000-00006E330000}"/>
    <cellStyle name="Calculation 13 3 21 7 5" xfId="13198" xr:uid="{00000000-0005-0000-0000-00006F330000}"/>
    <cellStyle name="Calculation 13 3 21 7 6" xfId="13199" xr:uid="{00000000-0005-0000-0000-000070330000}"/>
    <cellStyle name="Calculation 13 3 21 8" xfId="13200" xr:uid="{00000000-0005-0000-0000-000071330000}"/>
    <cellStyle name="Calculation 13 3 21 9" xfId="13201" xr:uid="{00000000-0005-0000-0000-000072330000}"/>
    <cellStyle name="Calculation 13 3 22" xfId="13202" xr:uid="{00000000-0005-0000-0000-000073330000}"/>
    <cellStyle name="Calculation 13 3 22 10" xfId="13203" xr:uid="{00000000-0005-0000-0000-000074330000}"/>
    <cellStyle name="Calculation 13 3 22 2" xfId="13204" xr:uid="{00000000-0005-0000-0000-000075330000}"/>
    <cellStyle name="Calculation 13 3 22 2 2" xfId="13205" xr:uid="{00000000-0005-0000-0000-000076330000}"/>
    <cellStyle name="Calculation 13 3 22 2 3" xfId="13206" xr:uid="{00000000-0005-0000-0000-000077330000}"/>
    <cellStyle name="Calculation 13 3 22 2 4" xfId="13207" xr:uid="{00000000-0005-0000-0000-000078330000}"/>
    <cellStyle name="Calculation 13 3 22 2 5" xfId="13208" xr:uid="{00000000-0005-0000-0000-000079330000}"/>
    <cellStyle name="Calculation 13 3 22 2 6" xfId="13209" xr:uid="{00000000-0005-0000-0000-00007A330000}"/>
    <cellStyle name="Calculation 13 3 22 3" xfId="13210" xr:uid="{00000000-0005-0000-0000-00007B330000}"/>
    <cellStyle name="Calculation 13 3 22 3 2" xfId="13211" xr:uid="{00000000-0005-0000-0000-00007C330000}"/>
    <cellStyle name="Calculation 13 3 22 3 3" xfId="13212" xr:uid="{00000000-0005-0000-0000-00007D330000}"/>
    <cellStyle name="Calculation 13 3 22 3 4" xfId="13213" xr:uid="{00000000-0005-0000-0000-00007E330000}"/>
    <cellStyle name="Calculation 13 3 22 3 5" xfId="13214" xr:uid="{00000000-0005-0000-0000-00007F330000}"/>
    <cellStyle name="Calculation 13 3 22 3 6" xfId="13215" xr:uid="{00000000-0005-0000-0000-000080330000}"/>
    <cellStyle name="Calculation 13 3 22 4" xfId="13216" xr:uid="{00000000-0005-0000-0000-000081330000}"/>
    <cellStyle name="Calculation 13 3 22 4 2" xfId="13217" xr:uid="{00000000-0005-0000-0000-000082330000}"/>
    <cellStyle name="Calculation 13 3 22 4 3" xfId="13218" xr:uid="{00000000-0005-0000-0000-000083330000}"/>
    <cellStyle name="Calculation 13 3 22 4 4" xfId="13219" xr:uid="{00000000-0005-0000-0000-000084330000}"/>
    <cellStyle name="Calculation 13 3 22 4 5" xfId="13220" xr:uid="{00000000-0005-0000-0000-000085330000}"/>
    <cellStyle name="Calculation 13 3 22 4 6" xfId="13221" xr:uid="{00000000-0005-0000-0000-000086330000}"/>
    <cellStyle name="Calculation 13 3 22 5" xfId="13222" xr:uid="{00000000-0005-0000-0000-000087330000}"/>
    <cellStyle name="Calculation 13 3 22 5 2" xfId="13223" xr:uid="{00000000-0005-0000-0000-000088330000}"/>
    <cellStyle name="Calculation 13 3 22 5 3" xfId="13224" xr:uid="{00000000-0005-0000-0000-000089330000}"/>
    <cellStyle name="Calculation 13 3 22 5 4" xfId="13225" xr:uid="{00000000-0005-0000-0000-00008A330000}"/>
    <cellStyle name="Calculation 13 3 22 5 5" xfId="13226" xr:uid="{00000000-0005-0000-0000-00008B330000}"/>
    <cellStyle name="Calculation 13 3 22 5 6" xfId="13227" xr:uid="{00000000-0005-0000-0000-00008C330000}"/>
    <cellStyle name="Calculation 13 3 22 6" xfId="13228" xr:uid="{00000000-0005-0000-0000-00008D330000}"/>
    <cellStyle name="Calculation 13 3 22 6 2" xfId="13229" xr:uid="{00000000-0005-0000-0000-00008E330000}"/>
    <cellStyle name="Calculation 13 3 22 6 3" xfId="13230" xr:uid="{00000000-0005-0000-0000-00008F330000}"/>
    <cellStyle name="Calculation 13 3 22 6 4" xfId="13231" xr:uid="{00000000-0005-0000-0000-000090330000}"/>
    <cellStyle name="Calculation 13 3 22 6 5" xfId="13232" xr:uid="{00000000-0005-0000-0000-000091330000}"/>
    <cellStyle name="Calculation 13 3 22 6 6" xfId="13233" xr:uid="{00000000-0005-0000-0000-000092330000}"/>
    <cellStyle name="Calculation 13 3 22 7" xfId="13234" xr:uid="{00000000-0005-0000-0000-000093330000}"/>
    <cellStyle name="Calculation 13 3 22 7 2" xfId="13235" xr:uid="{00000000-0005-0000-0000-000094330000}"/>
    <cellStyle name="Calculation 13 3 22 7 3" xfId="13236" xr:uid="{00000000-0005-0000-0000-000095330000}"/>
    <cellStyle name="Calculation 13 3 22 7 4" xfId="13237" xr:uid="{00000000-0005-0000-0000-000096330000}"/>
    <cellStyle name="Calculation 13 3 22 7 5" xfId="13238" xr:uid="{00000000-0005-0000-0000-000097330000}"/>
    <cellStyle name="Calculation 13 3 22 7 6" xfId="13239" xr:uid="{00000000-0005-0000-0000-000098330000}"/>
    <cellStyle name="Calculation 13 3 22 8" xfId="13240" xr:uid="{00000000-0005-0000-0000-000099330000}"/>
    <cellStyle name="Calculation 13 3 22 9" xfId="13241" xr:uid="{00000000-0005-0000-0000-00009A330000}"/>
    <cellStyle name="Calculation 13 3 23" xfId="13242" xr:uid="{00000000-0005-0000-0000-00009B330000}"/>
    <cellStyle name="Calculation 13 3 23 10" xfId="13243" xr:uid="{00000000-0005-0000-0000-00009C330000}"/>
    <cellStyle name="Calculation 13 3 23 2" xfId="13244" xr:uid="{00000000-0005-0000-0000-00009D330000}"/>
    <cellStyle name="Calculation 13 3 23 2 2" xfId="13245" xr:uid="{00000000-0005-0000-0000-00009E330000}"/>
    <cellStyle name="Calculation 13 3 23 2 3" xfId="13246" xr:uid="{00000000-0005-0000-0000-00009F330000}"/>
    <cellStyle name="Calculation 13 3 23 2 4" xfId="13247" xr:uid="{00000000-0005-0000-0000-0000A0330000}"/>
    <cellStyle name="Calculation 13 3 23 2 5" xfId="13248" xr:uid="{00000000-0005-0000-0000-0000A1330000}"/>
    <cellStyle name="Calculation 13 3 23 2 6" xfId="13249" xr:uid="{00000000-0005-0000-0000-0000A2330000}"/>
    <cellStyle name="Calculation 13 3 23 3" xfId="13250" xr:uid="{00000000-0005-0000-0000-0000A3330000}"/>
    <cellStyle name="Calculation 13 3 23 3 2" xfId="13251" xr:uid="{00000000-0005-0000-0000-0000A4330000}"/>
    <cellStyle name="Calculation 13 3 23 3 3" xfId="13252" xr:uid="{00000000-0005-0000-0000-0000A5330000}"/>
    <cellStyle name="Calculation 13 3 23 3 4" xfId="13253" xr:uid="{00000000-0005-0000-0000-0000A6330000}"/>
    <cellStyle name="Calculation 13 3 23 3 5" xfId="13254" xr:uid="{00000000-0005-0000-0000-0000A7330000}"/>
    <cellStyle name="Calculation 13 3 23 3 6" xfId="13255" xr:uid="{00000000-0005-0000-0000-0000A8330000}"/>
    <cellStyle name="Calculation 13 3 23 4" xfId="13256" xr:uid="{00000000-0005-0000-0000-0000A9330000}"/>
    <cellStyle name="Calculation 13 3 23 4 2" xfId="13257" xr:uid="{00000000-0005-0000-0000-0000AA330000}"/>
    <cellStyle name="Calculation 13 3 23 4 3" xfId="13258" xr:uid="{00000000-0005-0000-0000-0000AB330000}"/>
    <cellStyle name="Calculation 13 3 23 4 4" xfId="13259" xr:uid="{00000000-0005-0000-0000-0000AC330000}"/>
    <cellStyle name="Calculation 13 3 23 4 5" xfId="13260" xr:uid="{00000000-0005-0000-0000-0000AD330000}"/>
    <cellStyle name="Calculation 13 3 23 4 6" xfId="13261" xr:uid="{00000000-0005-0000-0000-0000AE330000}"/>
    <cellStyle name="Calculation 13 3 23 5" xfId="13262" xr:uid="{00000000-0005-0000-0000-0000AF330000}"/>
    <cellStyle name="Calculation 13 3 23 5 2" xfId="13263" xr:uid="{00000000-0005-0000-0000-0000B0330000}"/>
    <cellStyle name="Calculation 13 3 23 5 3" xfId="13264" xr:uid="{00000000-0005-0000-0000-0000B1330000}"/>
    <cellStyle name="Calculation 13 3 23 5 4" xfId="13265" xr:uid="{00000000-0005-0000-0000-0000B2330000}"/>
    <cellStyle name="Calculation 13 3 23 5 5" xfId="13266" xr:uid="{00000000-0005-0000-0000-0000B3330000}"/>
    <cellStyle name="Calculation 13 3 23 5 6" xfId="13267" xr:uid="{00000000-0005-0000-0000-0000B4330000}"/>
    <cellStyle name="Calculation 13 3 23 6" xfId="13268" xr:uid="{00000000-0005-0000-0000-0000B5330000}"/>
    <cellStyle name="Calculation 13 3 23 6 2" xfId="13269" xr:uid="{00000000-0005-0000-0000-0000B6330000}"/>
    <cellStyle name="Calculation 13 3 23 6 3" xfId="13270" xr:uid="{00000000-0005-0000-0000-0000B7330000}"/>
    <cellStyle name="Calculation 13 3 23 6 4" xfId="13271" xr:uid="{00000000-0005-0000-0000-0000B8330000}"/>
    <cellStyle name="Calculation 13 3 23 6 5" xfId="13272" xr:uid="{00000000-0005-0000-0000-0000B9330000}"/>
    <cellStyle name="Calculation 13 3 23 6 6" xfId="13273" xr:uid="{00000000-0005-0000-0000-0000BA330000}"/>
    <cellStyle name="Calculation 13 3 23 7" xfId="13274" xr:uid="{00000000-0005-0000-0000-0000BB330000}"/>
    <cellStyle name="Calculation 13 3 23 7 2" xfId="13275" xr:uid="{00000000-0005-0000-0000-0000BC330000}"/>
    <cellStyle name="Calculation 13 3 23 7 3" xfId="13276" xr:uid="{00000000-0005-0000-0000-0000BD330000}"/>
    <cellStyle name="Calculation 13 3 23 7 4" xfId="13277" xr:uid="{00000000-0005-0000-0000-0000BE330000}"/>
    <cellStyle name="Calculation 13 3 23 7 5" xfId="13278" xr:uid="{00000000-0005-0000-0000-0000BF330000}"/>
    <cellStyle name="Calculation 13 3 23 7 6" xfId="13279" xr:uid="{00000000-0005-0000-0000-0000C0330000}"/>
    <cellStyle name="Calculation 13 3 23 8" xfId="13280" xr:uid="{00000000-0005-0000-0000-0000C1330000}"/>
    <cellStyle name="Calculation 13 3 23 9" xfId="13281" xr:uid="{00000000-0005-0000-0000-0000C2330000}"/>
    <cellStyle name="Calculation 13 3 24" xfId="13282" xr:uid="{00000000-0005-0000-0000-0000C3330000}"/>
    <cellStyle name="Calculation 13 3 24 10" xfId="13283" xr:uid="{00000000-0005-0000-0000-0000C4330000}"/>
    <cellStyle name="Calculation 13 3 24 2" xfId="13284" xr:uid="{00000000-0005-0000-0000-0000C5330000}"/>
    <cellStyle name="Calculation 13 3 24 2 2" xfId="13285" xr:uid="{00000000-0005-0000-0000-0000C6330000}"/>
    <cellStyle name="Calculation 13 3 24 2 3" xfId="13286" xr:uid="{00000000-0005-0000-0000-0000C7330000}"/>
    <cellStyle name="Calculation 13 3 24 2 4" xfId="13287" xr:uid="{00000000-0005-0000-0000-0000C8330000}"/>
    <cellStyle name="Calculation 13 3 24 2 5" xfId="13288" xr:uid="{00000000-0005-0000-0000-0000C9330000}"/>
    <cellStyle name="Calculation 13 3 24 2 6" xfId="13289" xr:uid="{00000000-0005-0000-0000-0000CA330000}"/>
    <cellStyle name="Calculation 13 3 24 3" xfId="13290" xr:uid="{00000000-0005-0000-0000-0000CB330000}"/>
    <cellStyle name="Calculation 13 3 24 3 2" xfId="13291" xr:uid="{00000000-0005-0000-0000-0000CC330000}"/>
    <cellStyle name="Calculation 13 3 24 3 3" xfId="13292" xr:uid="{00000000-0005-0000-0000-0000CD330000}"/>
    <cellStyle name="Calculation 13 3 24 3 4" xfId="13293" xr:uid="{00000000-0005-0000-0000-0000CE330000}"/>
    <cellStyle name="Calculation 13 3 24 3 5" xfId="13294" xr:uid="{00000000-0005-0000-0000-0000CF330000}"/>
    <cellStyle name="Calculation 13 3 24 3 6" xfId="13295" xr:uid="{00000000-0005-0000-0000-0000D0330000}"/>
    <cellStyle name="Calculation 13 3 24 4" xfId="13296" xr:uid="{00000000-0005-0000-0000-0000D1330000}"/>
    <cellStyle name="Calculation 13 3 24 4 2" xfId="13297" xr:uid="{00000000-0005-0000-0000-0000D2330000}"/>
    <cellStyle name="Calculation 13 3 24 4 3" xfId="13298" xr:uid="{00000000-0005-0000-0000-0000D3330000}"/>
    <cellStyle name="Calculation 13 3 24 4 4" xfId="13299" xr:uid="{00000000-0005-0000-0000-0000D4330000}"/>
    <cellStyle name="Calculation 13 3 24 4 5" xfId="13300" xr:uid="{00000000-0005-0000-0000-0000D5330000}"/>
    <cellStyle name="Calculation 13 3 24 4 6" xfId="13301" xr:uid="{00000000-0005-0000-0000-0000D6330000}"/>
    <cellStyle name="Calculation 13 3 24 5" xfId="13302" xr:uid="{00000000-0005-0000-0000-0000D7330000}"/>
    <cellStyle name="Calculation 13 3 24 5 2" xfId="13303" xr:uid="{00000000-0005-0000-0000-0000D8330000}"/>
    <cellStyle name="Calculation 13 3 24 5 3" xfId="13304" xr:uid="{00000000-0005-0000-0000-0000D9330000}"/>
    <cellStyle name="Calculation 13 3 24 5 4" xfId="13305" xr:uid="{00000000-0005-0000-0000-0000DA330000}"/>
    <cellStyle name="Calculation 13 3 24 5 5" xfId="13306" xr:uid="{00000000-0005-0000-0000-0000DB330000}"/>
    <cellStyle name="Calculation 13 3 24 5 6" xfId="13307" xr:uid="{00000000-0005-0000-0000-0000DC330000}"/>
    <cellStyle name="Calculation 13 3 24 6" xfId="13308" xr:uid="{00000000-0005-0000-0000-0000DD330000}"/>
    <cellStyle name="Calculation 13 3 24 6 2" xfId="13309" xr:uid="{00000000-0005-0000-0000-0000DE330000}"/>
    <cellStyle name="Calculation 13 3 24 6 3" xfId="13310" xr:uid="{00000000-0005-0000-0000-0000DF330000}"/>
    <cellStyle name="Calculation 13 3 24 6 4" xfId="13311" xr:uid="{00000000-0005-0000-0000-0000E0330000}"/>
    <cellStyle name="Calculation 13 3 24 6 5" xfId="13312" xr:uid="{00000000-0005-0000-0000-0000E1330000}"/>
    <cellStyle name="Calculation 13 3 24 6 6" xfId="13313" xr:uid="{00000000-0005-0000-0000-0000E2330000}"/>
    <cellStyle name="Calculation 13 3 24 7" xfId="13314" xr:uid="{00000000-0005-0000-0000-0000E3330000}"/>
    <cellStyle name="Calculation 13 3 24 7 2" xfId="13315" xr:uid="{00000000-0005-0000-0000-0000E4330000}"/>
    <cellStyle name="Calculation 13 3 24 7 3" xfId="13316" xr:uid="{00000000-0005-0000-0000-0000E5330000}"/>
    <cellStyle name="Calculation 13 3 24 7 4" xfId="13317" xr:uid="{00000000-0005-0000-0000-0000E6330000}"/>
    <cellStyle name="Calculation 13 3 24 7 5" xfId="13318" xr:uid="{00000000-0005-0000-0000-0000E7330000}"/>
    <cellStyle name="Calculation 13 3 24 7 6" xfId="13319" xr:uid="{00000000-0005-0000-0000-0000E8330000}"/>
    <cellStyle name="Calculation 13 3 24 8" xfId="13320" xr:uid="{00000000-0005-0000-0000-0000E9330000}"/>
    <cellStyle name="Calculation 13 3 24 9" xfId="13321" xr:uid="{00000000-0005-0000-0000-0000EA330000}"/>
    <cellStyle name="Calculation 13 3 25" xfId="13322" xr:uid="{00000000-0005-0000-0000-0000EB330000}"/>
    <cellStyle name="Calculation 13 3 25 10" xfId="13323" xr:uid="{00000000-0005-0000-0000-0000EC330000}"/>
    <cellStyle name="Calculation 13 3 25 2" xfId="13324" xr:uid="{00000000-0005-0000-0000-0000ED330000}"/>
    <cellStyle name="Calculation 13 3 25 2 2" xfId="13325" xr:uid="{00000000-0005-0000-0000-0000EE330000}"/>
    <cellStyle name="Calculation 13 3 25 2 3" xfId="13326" xr:uid="{00000000-0005-0000-0000-0000EF330000}"/>
    <cellStyle name="Calculation 13 3 25 2 4" xfId="13327" xr:uid="{00000000-0005-0000-0000-0000F0330000}"/>
    <cellStyle name="Calculation 13 3 25 2 5" xfId="13328" xr:uid="{00000000-0005-0000-0000-0000F1330000}"/>
    <cellStyle name="Calculation 13 3 25 2 6" xfId="13329" xr:uid="{00000000-0005-0000-0000-0000F2330000}"/>
    <cellStyle name="Calculation 13 3 25 3" xfId="13330" xr:uid="{00000000-0005-0000-0000-0000F3330000}"/>
    <cellStyle name="Calculation 13 3 25 3 2" xfId="13331" xr:uid="{00000000-0005-0000-0000-0000F4330000}"/>
    <cellStyle name="Calculation 13 3 25 3 3" xfId="13332" xr:uid="{00000000-0005-0000-0000-0000F5330000}"/>
    <cellStyle name="Calculation 13 3 25 3 4" xfId="13333" xr:uid="{00000000-0005-0000-0000-0000F6330000}"/>
    <cellStyle name="Calculation 13 3 25 3 5" xfId="13334" xr:uid="{00000000-0005-0000-0000-0000F7330000}"/>
    <cellStyle name="Calculation 13 3 25 3 6" xfId="13335" xr:uid="{00000000-0005-0000-0000-0000F8330000}"/>
    <cellStyle name="Calculation 13 3 25 4" xfId="13336" xr:uid="{00000000-0005-0000-0000-0000F9330000}"/>
    <cellStyle name="Calculation 13 3 25 4 2" xfId="13337" xr:uid="{00000000-0005-0000-0000-0000FA330000}"/>
    <cellStyle name="Calculation 13 3 25 4 3" xfId="13338" xr:uid="{00000000-0005-0000-0000-0000FB330000}"/>
    <cellStyle name="Calculation 13 3 25 4 4" xfId="13339" xr:uid="{00000000-0005-0000-0000-0000FC330000}"/>
    <cellStyle name="Calculation 13 3 25 4 5" xfId="13340" xr:uid="{00000000-0005-0000-0000-0000FD330000}"/>
    <cellStyle name="Calculation 13 3 25 4 6" xfId="13341" xr:uid="{00000000-0005-0000-0000-0000FE330000}"/>
    <cellStyle name="Calculation 13 3 25 5" xfId="13342" xr:uid="{00000000-0005-0000-0000-0000FF330000}"/>
    <cellStyle name="Calculation 13 3 25 5 2" xfId="13343" xr:uid="{00000000-0005-0000-0000-000000340000}"/>
    <cellStyle name="Calculation 13 3 25 5 3" xfId="13344" xr:uid="{00000000-0005-0000-0000-000001340000}"/>
    <cellStyle name="Calculation 13 3 25 5 4" xfId="13345" xr:uid="{00000000-0005-0000-0000-000002340000}"/>
    <cellStyle name="Calculation 13 3 25 5 5" xfId="13346" xr:uid="{00000000-0005-0000-0000-000003340000}"/>
    <cellStyle name="Calculation 13 3 25 5 6" xfId="13347" xr:uid="{00000000-0005-0000-0000-000004340000}"/>
    <cellStyle name="Calculation 13 3 25 6" xfId="13348" xr:uid="{00000000-0005-0000-0000-000005340000}"/>
    <cellStyle name="Calculation 13 3 25 6 2" xfId="13349" xr:uid="{00000000-0005-0000-0000-000006340000}"/>
    <cellStyle name="Calculation 13 3 25 6 3" xfId="13350" xr:uid="{00000000-0005-0000-0000-000007340000}"/>
    <cellStyle name="Calculation 13 3 25 6 4" xfId="13351" xr:uid="{00000000-0005-0000-0000-000008340000}"/>
    <cellStyle name="Calculation 13 3 25 6 5" xfId="13352" xr:uid="{00000000-0005-0000-0000-000009340000}"/>
    <cellStyle name="Calculation 13 3 25 6 6" xfId="13353" xr:uid="{00000000-0005-0000-0000-00000A340000}"/>
    <cellStyle name="Calculation 13 3 25 7" xfId="13354" xr:uid="{00000000-0005-0000-0000-00000B340000}"/>
    <cellStyle name="Calculation 13 3 25 7 2" xfId="13355" xr:uid="{00000000-0005-0000-0000-00000C340000}"/>
    <cellStyle name="Calculation 13 3 25 7 3" xfId="13356" xr:uid="{00000000-0005-0000-0000-00000D340000}"/>
    <cellStyle name="Calculation 13 3 25 7 4" xfId="13357" xr:uid="{00000000-0005-0000-0000-00000E340000}"/>
    <cellStyle name="Calculation 13 3 25 7 5" xfId="13358" xr:uid="{00000000-0005-0000-0000-00000F340000}"/>
    <cellStyle name="Calculation 13 3 25 7 6" xfId="13359" xr:uid="{00000000-0005-0000-0000-000010340000}"/>
    <cellStyle name="Calculation 13 3 25 8" xfId="13360" xr:uid="{00000000-0005-0000-0000-000011340000}"/>
    <cellStyle name="Calculation 13 3 25 9" xfId="13361" xr:uid="{00000000-0005-0000-0000-000012340000}"/>
    <cellStyle name="Calculation 13 3 26" xfId="13362" xr:uid="{00000000-0005-0000-0000-000013340000}"/>
    <cellStyle name="Calculation 13 3 26 10" xfId="13363" xr:uid="{00000000-0005-0000-0000-000014340000}"/>
    <cellStyle name="Calculation 13 3 26 2" xfId="13364" xr:uid="{00000000-0005-0000-0000-000015340000}"/>
    <cellStyle name="Calculation 13 3 26 2 2" xfId="13365" xr:uid="{00000000-0005-0000-0000-000016340000}"/>
    <cellStyle name="Calculation 13 3 26 2 3" xfId="13366" xr:uid="{00000000-0005-0000-0000-000017340000}"/>
    <cellStyle name="Calculation 13 3 26 2 4" xfId="13367" xr:uid="{00000000-0005-0000-0000-000018340000}"/>
    <cellStyle name="Calculation 13 3 26 2 5" xfId="13368" xr:uid="{00000000-0005-0000-0000-000019340000}"/>
    <cellStyle name="Calculation 13 3 26 2 6" xfId="13369" xr:uid="{00000000-0005-0000-0000-00001A340000}"/>
    <cellStyle name="Calculation 13 3 26 3" xfId="13370" xr:uid="{00000000-0005-0000-0000-00001B340000}"/>
    <cellStyle name="Calculation 13 3 26 3 2" xfId="13371" xr:uid="{00000000-0005-0000-0000-00001C340000}"/>
    <cellStyle name="Calculation 13 3 26 3 3" xfId="13372" xr:uid="{00000000-0005-0000-0000-00001D340000}"/>
    <cellStyle name="Calculation 13 3 26 3 4" xfId="13373" xr:uid="{00000000-0005-0000-0000-00001E340000}"/>
    <cellStyle name="Calculation 13 3 26 3 5" xfId="13374" xr:uid="{00000000-0005-0000-0000-00001F340000}"/>
    <cellStyle name="Calculation 13 3 26 3 6" xfId="13375" xr:uid="{00000000-0005-0000-0000-000020340000}"/>
    <cellStyle name="Calculation 13 3 26 4" xfId="13376" xr:uid="{00000000-0005-0000-0000-000021340000}"/>
    <cellStyle name="Calculation 13 3 26 4 2" xfId="13377" xr:uid="{00000000-0005-0000-0000-000022340000}"/>
    <cellStyle name="Calculation 13 3 26 4 3" xfId="13378" xr:uid="{00000000-0005-0000-0000-000023340000}"/>
    <cellStyle name="Calculation 13 3 26 4 4" xfId="13379" xr:uid="{00000000-0005-0000-0000-000024340000}"/>
    <cellStyle name="Calculation 13 3 26 4 5" xfId="13380" xr:uid="{00000000-0005-0000-0000-000025340000}"/>
    <cellStyle name="Calculation 13 3 26 4 6" xfId="13381" xr:uid="{00000000-0005-0000-0000-000026340000}"/>
    <cellStyle name="Calculation 13 3 26 5" xfId="13382" xr:uid="{00000000-0005-0000-0000-000027340000}"/>
    <cellStyle name="Calculation 13 3 26 5 2" xfId="13383" xr:uid="{00000000-0005-0000-0000-000028340000}"/>
    <cellStyle name="Calculation 13 3 26 5 3" xfId="13384" xr:uid="{00000000-0005-0000-0000-000029340000}"/>
    <cellStyle name="Calculation 13 3 26 5 4" xfId="13385" xr:uid="{00000000-0005-0000-0000-00002A340000}"/>
    <cellStyle name="Calculation 13 3 26 5 5" xfId="13386" xr:uid="{00000000-0005-0000-0000-00002B340000}"/>
    <cellStyle name="Calculation 13 3 26 5 6" xfId="13387" xr:uid="{00000000-0005-0000-0000-00002C340000}"/>
    <cellStyle name="Calculation 13 3 26 6" xfId="13388" xr:uid="{00000000-0005-0000-0000-00002D340000}"/>
    <cellStyle name="Calculation 13 3 26 6 2" xfId="13389" xr:uid="{00000000-0005-0000-0000-00002E340000}"/>
    <cellStyle name="Calculation 13 3 26 6 3" xfId="13390" xr:uid="{00000000-0005-0000-0000-00002F340000}"/>
    <cellStyle name="Calculation 13 3 26 6 4" xfId="13391" xr:uid="{00000000-0005-0000-0000-000030340000}"/>
    <cellStyle name="Calculation 13 3 26 6 5" xfId="13392" xr:uid="{00000000-0005-0000-0000-000031340000}"/>
    <cellStyle name="Calculation 13 3 26 6 6" xfId="13393" xr:uid="{00000000-0005-0000-0000-000032340000}"/>
    <cellStyle name="Calculation 13 3 26 7" xfId="13394" xr:uid="{00000000-0005-0000-0000-000033340000}"/>
    <cellStyle name="Calculation 13 3 26 7 2" xfId="13395" xr:uid="{00000000-0005-0000-0000-000034340000}"/>
    <cellStyle name="Calculation 13 3 26 7 3" xfId="13396" xr:uid="{00000000-0005-0000-0000-000035340000}"/>
    <cellStyle name="Calculation 13 3 26 7 4" xfId="13397" xr:uid="{00000000-0005-0000-0000-000036340000}"/>
    <cellStyle name="Calculation 13 3 26 7 5" xfId="13398" xr:uid="{00000000-0005-0000-0000-000037340000}"/>
    <cellStyle name="Calculation 13 3 26 7 6" xfId="13399" xr:uid="{00000000-0005-0000-0000-000038340000}"/>
    <cellStyle name="Calculation 13 3 26 8" xfId="13400" xr:uid="{00000000-0005-0000-0000-000039340000}"/>
    <cellStyle name="Calculation 13 3 26 9" xfId="13401" xr:uid="{00000000-0005-0000-0000-00003A340000}"/>
    <cellStyle name="Calculation 13 3 27" xfId="13402" xr:uid="{00000000-0005-0000-0000-00003B340000}"/>
    <cellStyle name="Calculation 13 3 27 2" xfId="13403" xr:uid="{00000000-0005-0000-0000-00003C340000}"/>
    <cellStyle name="Calculation 13 3 27 3" xfId="13404" xr:uid="{00000000-0005-0000-0000-00003D340000}"/>
    <cellStyle name="Calculation 13 3 27 4" xfId="13405" xr:uid="{00000000-0005-0000-0000-00003E340000}"/>
    <cellStyle name="Calculation 13 3 27 5" xfId="13406" xr:uid="{00000000-0005-0000-0000-00003F340000}"/>
    <cellStyle name="Calculation 13 3 27 6" xfId="13407" xr:uid="{00000000-0005-0000-0000-000040340000}"/>
    <cellStyle name="Calculation 13 3 28" xfId="13408" xr:uid="{00000000-0005-0000-0000-000041340000}"/>
    <cellStyle name="Calculation 13 3 28 2" xfId="13409" xr:uid="{00000000-0005-0000-0000-000042340000}"/>
    <cellStyle name="Calculation 13 3 28 3" xfId="13410" xr:uid="{00000000-0005-0000-0000-000043340000}"/>
    <cellStyle name="Calculation 13 3 28 4" xfId="13411" xr:uid="{00000000-0005-0000-0000-000044340000}"/>
    <cellStyle name="Calculation 13 3 28 5" xfId="13412" xr:uid="{00000000-0005-0000-0000-000045340000}"/>
    <cellStyle name="Calculation 13 3 28 6" xfId="13413" xr:uid="{00000000-0005-0000-0000-000046340000}"/>
    <cellStyle name="Calculation 13 3 29" xfId="13414" xr:uid="{00000000-0005-0000-0000-000047340000}"/>
    <cellStyle name="Calculation 13 3 29 2" xfId="13415" xr:uid="{00000000-0005-0000-0000-000048340000}"/>
    <cellStyle name="Calculation 13 3 29 3" xfId="13416" xr:uid="{00000000-0005-0000-0000-000049340000}"/>
    <cellStyle name="Calculation 13 3 29 4" xfId="13417" xr:uid="{00000000-0005-0000-0000-00004A340000}"/>
    <cellStyle name="Calculation 13 3 29 5" xfId="13418" xr:uid="{00000000-0005-0000-0000-00004B340000}"/>
    <cellStyle name="Calculation 13 3 29 6" xfId="13419" xr:uid="{00000000-0005-0000-0000-00004C340000}"/>
    <cellStyle name="Calculation 13 3 3" xfId="13420" xr:uid="{00000000-0005-0000-0000-00004D340000}"/>
    <cellStyle name="Calculation 13 3 3 10" xfId="13421" xr:uid="{00000000-0005-0000-0000-00004E340000}"/>
    <cellStyle name="Calculation 13 3 3 2" xfId="13422" xr:uid="{00000000-0005-0000-0000-00004F340000}"/>
    <cellStyle name="Calculation 13 3 3 2 2" xfId="13423" xr:uid="{00000000-0005-0000-0000-000050340000}"/>
    <cellStyle name="Calculation 13 3 3 2 3" xfId="13424" xr:uid="{00000000-0005-0000-0000-000051340000}"/>
    <cellStyle name="Calculation 13 3 3 2 4" xfId="13425" xr:uid="{00000000-0005-0000-0000-000052340000}"/>
    <cellStyle name="Calculation 13 3 3 2 5" xfId="13426" xr:uid="{00000000-0005-0000-0000-000053340000}"/>
    <cellStyle name="Calculation 13 3 3 2 6" xfId="13427" xr:uid="{00000000-0005-0000-0000-000054340000}"/>
    <cellStyle name="Calculation 13 3 3 3" xfId="13428" xr:uid="{00000000-0005-0000-0000-000055340000}"/>
    <cellStyle name="Calculation 13 3 3 3 2" xfId="13429" xr:uid="{00000000-0005-0000-0000-000056340000}"/>
    <cellStyle name="Calculation 13 3 3 3 3" xfId="13430" xr:uid="{00000000-0005-0000-0000-000057340000}"/>
    <cellStyle name="Calculation 13 3 3 3 4" xfId="13431" xr:uid="{00000000-0005-0000-0000-000058340000}"/>
    <cellStyle name="Calculation 13 3 3 3 5" xfId="13432" xr:uid="{00000000-0005-0000-0000-000059340000}"/>
    <cellStyle name="Calculation 13 3 3 3 6" xfId="13433" xr:uid="{00000000-0005-0000-0000-00005A340000}"/>
    <cellStyle name="Calculation 13 3 3 4" xfId="13434" xr:uid="{00000000-0005-0000-0000-00005B340000}"/>
    <cellStyle name="Calculation 13 3 3 4 2" xfId="13435" xr:uid="{00000000-0005-0000-0000-00005C340000}"/>
    <cellStyle name="Calculation 13 3 3 4 3" xfId="13436" xr:uid="{00000000-0005-0000-0000-00005D340000}"/>
    <cellStyle name="Calculation 13 3 3 4 4" xfId="13437" xr:uid="{00000000-0005-0000-0000-00005E340000}"/>
    <cellStyle name="Calculation 13 3 3 4 5" xfId="13438" xr:uid="{00000000-0005-0000-0000-00005F340000}"/>
    <cellStyle name="Calculation 13 3 3 4 6" xfId="13439" xr:uid="{00000000-0005-0000-0000-000060340000}"/>
    <cellStyle name="Calculation 13 3 3 5" xfId="13440" xr:uid="{00000000-0005-0000-0000-000061340000}"/>
    <cellStyle name="Calculation 13 3 3 5 2" xfId="13441" xr:uid="{00000000-0005-0000-0000-000062340000}"/>
    <cellStyle name="Calculation 13 3 3 5 3" xfId="13442" xr:uid="{00000000-0005-0000-0000-000063340000}"/>
    <cellStyle name="Calculation 13 3 3 5 4" xfId="13443" xr:uid="{00000000-0005-0000-0000-000064340000}"/>
    <cellStyle name="Calculation 13 3 3 5 5" xfId="13444" xr:uid="{00000000-0005-0000-0000-000065340000}"/>
    <cellStyle name="Calculation 13 3 3 5 6" xfId="13445" xr:uid="{00000000-0005-0000-0000-000066340000}"/>
    <cellStyle name="Calculation 13 3 3 6" xfId="13446" xr:uid="{00000000-0005-0000-0000-000067340000}"/>
    <cellStyle name="Calculation 13 3 3 6 2" xfId="13447" xr:uid="{00000000-0005-0000-0000-000068340000}"/>
    <cellStyle name="Calculation 13 3 3 6 3" xfId="13448" xr:uid="{00000000-0005-0000-0000-000069340000}"/>
    <cellStyle name="Calculation 13 3 3 6 4" xfId="13449" xr:uid="{00000000-0005-0000-0000-00006A340000}"/>
    <cellStyle name="Calculation 13 3 3 6 5" xfId="13450" xr:uid="{00000000-0005-0000-0000-00006B340000}"/>
    <cellStyle name="Calculation 13 3 3 6 6" xfId="13451" xr:uid="{00000000-0005-0000-0000-00006C340000}"/>
    <cellStyle name="Calculation 13 3 3 7" xfId="13452" xr:uid="{00000000-0005-0000-0000-00006D340000}"/>
    <cellStyle name="Calculation 13 3 3 7 2" xfId="13453" xr:uid="{00000000-0005-0000-0000-00006E340000}"/>
    <cellStyle name="Calculation 13 3 3 7 3" xfId="13454" xr:uid="{00000000-0005-0000-0000-00006F340000}"/>
    <cellStyle name="Calculation 13 3 3 7 4" xfId="13455" xr:uid="{00000000-0005-0000-0000-000070340000}"/>
    <cellStyle name="Calculation 13 3 3 7 5" xfId="13456" xr:uid="{00000000-0005-0000-0000-000071340000}"/>
    <cellStyle name="Calculation 13 3 3 7 6" xfId="13457" xr:uid="{00000000-0005-0000-0000-000072340000}"/>
    <cellStyle name="Calculation 13 3 3 8" xfId="13458" xr:uid="{00000000-0005-0000-0000-000073340000}"/>
    <cellStyle name="Calculation 13 3 3 9" xfId="13459" xr:uid="{00000000-0005-0000-0000-000074340000}"/>
    <cellStyle name="Calculation 13 3 30" xfId="13460" xr:uid="{00000000-0005-0000-0000-000075340000}"/>
    <cellStyle name="Calculation 13 3 30 2" xfId="13461" xr:uid="{00000000-0005-0000-0000-000076340000}"/>
    <cellStyle name="Calculation 13 3 30 3" xfId="13462" xr:uid="{00000000-0005-0000-0000-000077340000}"/>
    <cellStyle name="Calculation 13 3 30 4" xfId="13463" xr:uid="{00000000-0005-0000-0000-000078340000}"/>
    <cellStyle name="Calculation 13 3 30 5" xfId="13464" xr:uid="{00000000-0005-0000-0000-000079340000}"/>
    <cellStyle name="Calculation 13 3 30 6" xfId="13465" xr:uid="{00000000-0005-0000-0000-00007A340000}"/>
    <cellStyle name="Calculation 13 3 31" xfId="13466" xr:uid="{00000000-0005-0000-0000-00007B340000}"/>
    <cellStyle name="Calculation 13 3 31 2" xfId="13467" xr:uid="{00000000-0005-0000-0000-00007C340000}"/>
    <cellStyle name="Calculation 13 3 31 3" xfId="13468" xr:uid="{00000000-0005-0000-0000-00007D340000}"/>
    <cellStyle name="Calculation 13 3 31 4" xfId="13469" xr:uid="{00000000-0005-0000-0000-00007E340000}"/>
    <cellStyle name="Calculation 13 3 31 5" xfId="13470" xr:uid="{00000000-0005-0000-0000-00007F340000}"/>
    <cellStyle name="Calculation 13 3 31 6" xfId="13471" xr:uid="{00000000-0005-0000-0000-000080340000}"/>
    <cellStyle name="Calculation 13 3 32" xfId="13472" xr:uid="{00000000-0005-0000-0000-000081340000}"/>
    <cellStyle name="Calculation 13 3 32 2" xfId="13473" xr:uid="{00000000-0005-0000-0000-000082340000}"/>
    <cellStyle name="Calculation 13 3 32 3" xfId="13474" xr:uid="{00000000-0005-0000-0000-000083340000}"/>
    <cellStyle name="Calculation 13 3 32 4" xfId="13475" xr:uid="{00000000-0005-0000-0000-000084340000}"/>
    <cellStyle name="Calculation 13 3 32 5" xfId="13476" xr:uid="{00000000-0005-0000-0000-000085340000}"/>
    <cellStyle name="Calculation 13 3 32 6" xfId="13477" xr:uid="{00000000-0005-0000-0000-000086340000}"/>
    <cellStyle name="Calculation 13 3 33" xfId="13478" xr:uid="{00000000-0005-0000-0000-000087340000}"/>
    <cellStyle name="Calculation 13 3 34" xfId="13479" xr:uid="{00000000-0005-0000-0000-000088340000}"/>
    <cellStyle name="Calculation 13 3 35" xfId="13480" xr:uid="{00000000-0005-0000-0000-000089340000}"/>
    <cellStyle name="Calculation 13 3 4" xfId="13481" xr:uid="{00000000-0005-0000-0000-00008A340000}"/>
    <cellStyle name="Calculation 13 3 4 10" xfId="13482" xr:uid="{00000000-0005-0000-0000-00008B340000}"/>
    <cellStyle name="Calculation 13 3 4 2" xfId="13483" xr:uid="{00000000-0005-0000-0000-00008C340000}"/>
    <cellStyle name="Calculation 13 3 4 2 2" xfId="13484" xr:uid="{00000000-0005-0000-0000-00008D340000}"/>
    <cellStyle name="Calculation 13 3 4 2 3" xfId="13485" xr:uid="{00000000-0005-0000-0000-00008E340000}"/>
    <cellStyle name="Calculation 13 3 4 2 4" xfId="13486" xr:uid="{00000000-0005-0000-0000-00008F340000}"/>
    <cellStyle name="Calculation 13 3 4 2 5" xfId="13487" xr:uid="{00000000-0005-0000-0000-000090340000}"/>
    <cellStyle name="Calculation 13 3 4 2 6" xfId="13488" xr:uid="{00000000-0005-0000-0000-000091340000}"/>
    <cellStyle name="Calculation 13 3 4 3" xfId="13489" xr:uid="{00000000-0005-0000-0000-000092340000}"/>
    <cellStyle name="Calculation 13 3 4 3 2" xfId="13490" xr:uid="{00000000-0005-0000-0000-000093340000}"/>
    <cellStyle name="Calculation 13 3 4 3 3" xfId="13491" xr:uid="{00000000-0005-0000-0000-000094340000}"/>
    <cellStyle name="Calculation 13 3 4 3 4" xfId="13492" xr:uid="{00000000-0005-0000-0000-000095340000}"/>
    <cellStyle name="Calculation 13 3 4 3 5" xfId="13493" xr:uid="{00000000-0005-0000-0000-000096340000}"/>
    <cellStyle name="Calculation 13 3 4 3 6" xfId="13494" xr:uid="{00000000-0005-0000-0000-000097340000}"/>
    <cellStyle name="Calculation 13 3 4 4" xfId="13495" xr:uid="{00000000-0005-0000-0000-000098340000}"/>
    <cellStyle name="Calculation 13 3 4 4 2" xfId="13496" xr:uid="{00000000-0005-0000-0000-000099340000}"/>
    <cellStyle name="Calculation 13 3 4 4 3" xfId="13497" xr:uid="{00000000-0005-0000-0000-00009A340000}"/>
    <cellStyle name="Calculation 13 3 4 4 4" xfId="13498" xr:uid="{00000000-0005-0000-0000-00009B340000}"/>
    <cellStyle name="Calculation 13 3 4 4 5" xfId="13499" xr:uid="{00000000-0005-0000-0000-00009C340000}"/>
    <cellStyle name="Calculation 13 3 4 4 6" xfId="13500" xr:uid="{00000000-0005-0000-0000-00009D340000}"/>
    <cellStyle name="Calculation 13 3 4 5" xfId="13501" xr:uid="{00000000-0005-0000-0000-00009E340000}"/>
    <cellStyle name="Calculation 13 3 4 5 2" xfId="13502" xr:uid="{00000000-0005-0000-0000-00009F340000}"/>
    <cellStyle name="Calculation 13 3 4 5 3" xfId="13503" xr:uid="{00000000-0005-0000-0000-0000A0340000}"/>
    <cellStyle name="Calculation 13 3 4 5 4" xfId="13504" xr:uid="{00000000-0005-0000-0000-0000A1340000}"/>
    <cellStyle name="Calculation 13 3 4 5 5" xfId="13505" xr:uid="{00000000-0005-0000-0000-0000A2340000}"/>
    <cellStyle name="Calculation 13 3 4 5 6" xfId="13506" xr:uid="{00000000-0005-0000-0000-0000A3340000}"/>
    <cellStyle name="Calculation 13 3 4 6" xfId="13507" xr:uid="{00000000-0005-0000-0000-0000A4340000}"/>
    <cellStyle name="Calculation 13 3 4 6 2" xfId="13508" xr:uid="{00000000-0005-0000-0000-0000A5340000}"/>
    <cellStyle name="Calculation 13 3 4 6 3" xfId="13509" xr:uid="{00000000-0005-0000-0000-0000A6340000}"/>
    <cellStyle name="Calculation 13 3 4 6 4" xfId="13510" xr:uid="{00000000-0005-0000-0000-0000A7340000}"/>
    <cellStyle name="Calculation 13 3 4 6 5" xfId="13511" xr:uid="{00000000-0005-0000-0000-0000A8340000}"/>
    <cellStyle name="Calculation 13 3 4 6 6" xfId="13512" xr:uid="{00000000-0005-0000-0000-0000A9340000}"/>
    <cellStyle name="Calculation 13 3 4 7" xfId="13513" xr:uid="{00000000-0005-0000-0000-0000AA340000}"/>
    <cellStyle name="Calculation 13 3 4 7 2" xfId="13514" xr:uid="{00000000-0005-0000-0000-0000AB340000}"/>
    <cellStyle name="Calculation 13 3 4 7 3" xfId="13515" xr:uid="{00000000-0005-0000-0000-0000AC340000}"/>
    <cellStyle name="Calculation 13 3 4 7 4" xfId="13516" xr:uid="{00000000-0005-0000-0000-0000AD340000}"/>
    <cellStyle name="Calculation 13 3 4 7 5" xfId="13517" xr:uid="{00000000-0005-0000-0000-0000AE340000}"/>
    <cellStyle name="Calculation 13 3 4 7 6" xfId="13518" xr:uid="{00000000-0005-0000-0000-0000AF340000}"/>
    <cellStyle name="Calculation 13 3 4 8" xfId="13519" xr:uid="{00000000-0005-0000-0000-0000B0340000}"/>
    <cellStyle name="Calculation 13 3 4 9" xfId="13520" xr:uid="{00000000-0005-0000-0000-0000B1340000}"/>
    <cellStyle name="Calculation 13 3 5" xfId="13521" xr:uid="{00000000-0005-0000-0000-0000B2340000}"/>
    <cellStyle name="Calculation 13 3 5 10" xfId="13522" xr:uid="{00000000-0005-0000-0000-0000B3340000}"/>
    <cellStyle name="Calculation 13 3 5 2" xfId="13523" xr:uid="{00000000-0005-0000-0000-0000B4340000}"/>
    <cellStyle name="Calculation 13 3 5 2 2" xfId="13524" xr:uid="{00000000-0005-0000-0000-0000B5340000}"/>
    <cellStyle name="Calculation 13 3 5 2 3" xfId="13525" xr:uid="{00000000-0005-0000-0000-0000B6340000}"/>
    <cellStyle name="Calculation 13 3 5 2 4" xfId="13526" xr:uid="{00000000-0005-0000-0000-0000B7340000}"/>
    <cellStyle name="Calculation 13 3 5 2 5" xfId="13527" xr:uid="{00000000-0005-0000-0000-0000B8340000}"/>
    <cellStyle name="Calculation 13 3 5 2 6" xfId="13528" xr:uid="{00000000-0005-0000-0000-0000B9340000}"/>
    <cellStyle name="Calculation 13 3 5 3" xfId="13529" xr:uid="{00000000-0005-0000-0000-0000BA340000}"/>
    <cellStyle name="Calculation 13 3 5 3 2" xfId="13530" xr:uid="{00000000-0005-0000-0000-0000BB340000}"/>
    <cellStyle name="Calculation 13 3 5 3 3" xfId="13531" xr:uid="{00000000-0005-0000-0000-0000BC340000}"/>
    <cellStyle name="Calculation 13 3 5 3 4" xfId="13532" xr:uid="{00000000-0005-0000-0000-0000BD340000}"/>
    <cellStyle name="Calculation 13 3 5 3 5" xfId="13533" xr:uid="{00000000-0005-0000-0000-0000BE340000}"/>
    <cellStyle name="Calculation 13 3 5 3 6" xfId="13534" xr:uid="{00000000-0005-0000-0000-0000BF340000}"/>
    <cellStyle name="Calculation 13 3 5 4" xfId="13535" xr:uid="{00000000-0005-0000-0000-0000C0340000}"/>
    <cellStyle name="Calculation 13 3 5 4 2" xfId="13536" xr:uid="{00000000-0005-0000-0000-0000C1340000}"/>
    <cellStyle name="Calculation 13 3 5 4 3" xfId="13537" xr:uid="{00000000-0005-0000-0000-0000C2340000}"/>
    <cellStyle name="Calculation 13 3 5 4 4" xfId="13538" xr:uid="{00000000-0005-0000-0000-0000C3340000}"/>
    <cellStyle name="Calculation 13 3 5 4 5" xfId="13539" xr:uid="{00000000-0005-0000-0000-0000C4340000}"/>
    <cellStyle name="Calculation 13 3 5 4 6" xfId="13540" xr:uid="{00000000-0005-0000-0000-0000C5340000}"/>
    <cellStyle name="Calculation 13 3 5 5" xfId="13541" xr:uid="{00000000-0005-0000-0000-0000C6340000}"/>
    <cellStyle name="Calculation 13 3 5 5 2" xfId="13542" xr:uid="{00000000-0005-0000-0000-0000C7340000}"/>
    <cellStyle name="Calculation 13 3 5 5 3" xfId="13543" xr:uid="{00000000-0005-0000-0000-0000C8340000}"/>
    <cellStyle name="Calculation 13 3 5 5 4" xfId="13544" xr:uid="{00000000-0005-0000-0000-0000C9340000}"/>
    <cellStyle name="Calculation 13 3 5 5 5" xfId="13545" xr:uid="{00000000-0005-0000-0000-0000CA340000}"/>
    <cellStyle name="Calculation 13 3 5 5 6" xfId="13546" xr:uid="{00000000-0005-0000-0000-0000CB340000}"/>
    <cellStyle name="Calculation 13 3 5 6" xfId="13547" xr:uid="{00000000-0005-0000-0000-0000CC340000}"/>
    <cellStyle name="Calculation 13 3 5 6 2" xfId="13548" xr:uid="{00000000-0005-0000-0000-0000CD340000}"/>
    <cellStyle name="Calculation 13 3 5 6 3" xfId="13549" xr:uid="{00000000-0005-0000-0000-0000CE340000}"/>
    <cellStyle name="Calculation 13 3 5 6 4" xfId="13550" xr:uid="{00000000-0005-0000-0000-0000CF340000}"/>
    <cellStyle name="Calculation 13 3 5 6 5" xfId="13551" xr:uid="{00000000-0005-0000-0000-0000D0340000}"/>
    <cellStyle name="Calculation 13 3 5 6 6" xfId="13552" xr:uid="{00000000-0005-0000-0000-0000D1340000}"/>
    <cellStyle name="Calculation 13 3 5 7" xfId="13553" xr:uid="{00000000-0005-0000-0000-0000D2340000}"/>
    <cellStyle name="Calculation 13 3 5 7 2" xfId="13554" xr:uid="{00000000-0005-0000-0000-0000D3340000}"/>
    <cellStyle name="Calculation 13 3 5 7 3" xfId="13555" xr:uid="{00000000-0005-0000-0000-0000D4340000}"/>
    <cellStyle name="Calculation 13 3 5 7 4" xfId="13556" xr:uid="{00000000-0005-0000-0000-0000D5340000}"/>
    <cellStyle name="Calculation 13 3 5 7 5" xfId="13557" xr:uid="{00000000-0005-0000-0000-0000D6340000}"/>
    <cellStyle name="Calculation 13 3 5 7 6" xfId="13558" xr:uid="{00000000-0005-0000-0000-0000D7340000}"/>
    <cellStyle name="Calculation 13 3 5 8" xfId="13559" xr:uid="{00000000-0005-0000-0000-0000D8340000}"/>
    <cellStyle name="Calculation 13 3 5 9" xfId="13560" xr:uid="{00000000-0005-0000-0000-0000D9340000}"/>
    <cellStyle name="Calculation 13 3 6" xfId="13561" xr:uid="{00000000-0005-0000-0000-0000DA340000}"/>
    <cellStyle name="Calculation 13 3 6 10" xfId="13562" xr:uid="{00000000-0005-0000-0000-0000DB340000}"/>
    <cellStyle name="Calculation 13 3 6 2" xfId="13563" xr:uid="{00000000-0005-0000-0000-0000DC340000}"/>
    <cellStyle name="Calculation 13 3 6 2 2" xfId="13564" xr:uid="{00000000-0005-0000-0000-0000DD340000}"/>
    <cellStyle name="Calculation 13 3 6 2 3" xfId="13565" xr:uid="{00000000-0005-0000-0000-0000DE340000}"/>
    <cellStyle name="Calculation 13 3 6 2 4" xfId="13566" xr:uid="{00000000-0005-0000-0000-0000DF340000}"/>
    <cellStyle name="Calculation 13 3 6 2 5" xfId="13567" xr:uid="{00000000-0005-0000-0000-0000E0340000}"/>
    <cellStyle name="Calculation 13 3 6 2 6" xfId="13568" xr:uid="{00000000-0005-0000-0000-0000E1340000}"/>
    <cellStyle name="Calculation 13 3 6 3" xfId="13569" xr:uid="{00000000-0005-0000-0000-0000E2340000}"/>
    <cellStyle name="Calculation 13 3 6 3 2" xfId="13570" xr:uid="{00000000-0005-0000-0000-0000E3340000}"/>
    <cellStyle name="Calculation 13 3 6 3 3" xfId="13571" xr:uid="{00000000-0005-0000-0000-0000E4340000}"/>
    <cellStyle name="Calculation 13 3 6 3 4" xfId="13572" xr:uid="{00000000-0005-0000-0000-0000E5340000}"/>
    <cellStyle name="Calculation 13 3 6 3 5" xfId="13573" xr:uid="{00000000-0005-0000-0000-0000E6340000}"/>
    <cellStyle name="Calculation 13 3 6 3 6" xfId="13574" xr:uid="{00000000-0005-0000-0000-0000E7340000}"/>
    <cellStyle name="Calculation 13 3 6 4" xfId="13575" xr:uid="{00000000-0005-0000-0000-0000E8340000}"/>
    <cellStyle name="Calculation 13 3 6 4 2" xfId="13576" xr:uid="{00000000-0005-0000-0000-0000E9340000}"/>
    <cellStyle name="Calculation 13 3 6 4 3" xfId="13577" xr:uid="{00000000-0005-0000-0000-0000EA340000}"/>
    <cellStyle name="Calculation 13 3 6 4 4" xfId="13578" xr:uid="{00000000-0005-0000-0000-0000EB340000}"/>
    <cellStyle name="Calculation 13 3 6 4 5" xfId="13579" xr:uid="{00000000-0005-0000-0000-0000EC340000}"/>
    <cellStyle name="Calculation 13 3 6 4 6" xfId="13580" xr:uid="{00000000-0005-0000-0000-0000ED340000}"/>
    <cellStyle name="Calculation 13 3 6 5" xfId="13581" xr:uid="{00000000-0005-0000-0000-0000EE340000}"/>
    <cellStyle name="Calculation 13 3 6 5 2" xfId="13582" xr:uid="{00000000-0005-0000-0000-0000EF340000}"/>
    <cellStyle name="Calculation 13 3 6 5 3" xfId="13583" xr:uid="{00000000-0005-0000-0000-0000F0340000}"/>
    <cellStyle name="Calculation 13 3 6 5 4" xfId="13584" xr:uid="{00000000-0005-0000-0000-0000F1340000}"/>
    <cellStyle name="Calculation 13 3 6 5 5" xfId="13585" xr:uid="{00000000-0005-0000-0000-0000F2340000}"/>
    <cellStyle name="Calculation 13 3 6 5 6" xfId="13586" xr:uid="{00000000-0005-0000-0000-0000F3340000}"/>
    <cellStyle name="Calculation 13 3 6 6" xfId="13587" xr:uid="{00000000-0005-0000-0000-0000F4340000}"/>
    <cellStyle name="Calculation 13 3 6 6 2" xfId="13588" xr:uid="{00000000-0005-0000-0000-0000F5340000}"/>
    <cellStyle name="Calculation 13 3 6 6 3" xfId="13589" xr:uid="{00000000-0005-0000-0000-0000F6340000}"/>
    <cellStyle name="Calculation 13 3 6 6 4" xfId="13590" xr:uid="{00000000-0005-0000-0000-0000F7340000}"/>
    <cellStyle name="Calculation 13 3 6 6 5" xfId="13591" xr:uid="{00000000-0005-0000-0000-0000F8340000}"/>
    <cellStyle name="Calculation 13 3 6 6 6" xfId="13592" xr:uid="{00000000-0005-0000-0000-0000F9340000}"/>
    <cellStyle name="Calculation 13 3 6 7" xfId="13593" xr:uid="{00000000-0005-0000-0000-0000FA340000}"/>
    <cellStyle name="Calculation 13 3 6 7 2" xfId="13594" xr:uid="{00000000-0005-0000-0000-0000FB340000}"/>
    <cellStyle name="Calculation 13 3 6 7 3" xfId="13595" xr:uid="{00000000-0005-0000-0000-0000FC340000}"/>
    <cellStyle name="Calculation 13 3 6 7 4" xfId="13596" xr:uid="{00000000-0005-0000-0000-0000FD340000}"/>
    <cellStyle name="Calculation 13 3 6 7 5" xfId="13597" xr:uid="{00000000-0005-0000-0000-0000FE340000}"/>
    <cellStyle name="Calculation 13 3 6 7 6" xfId="13598" xr:uid="{00000000-0005-0000-0000-0000FF340000}"/>
    <cellStyle name="Calculation 13 3 6 8" xfId="13599" xr:uid="{00000000-0005-0000-0000-000000350000}"/>
    <cellStyle name="Calculation 13 3 6 9" xfId="13600" xr:uid="{00000000-0005-0000-0000-000001350000}"/>
    <cellStyle name="Calculation 13 3 7" xfId="13601" xr:uid="{00000000-0005-0000-0000-000002350000}"/>
    <cellStyle name="Calculation 13 3 7 10" xfId="13602" xr:uid="{00000000-0005-0000-0000-000003350000}"/>
    <cellStyle name="Calculation 13 3 7 2" xfId="13603" xr:uid="{00000000-0005-0000-0000-000004350000}"/>
    <cellStyle name="Calculation 13 3 7 2 2" xfId="13604" xr:uid="{00000000-0005-0000-0000-000005350000}"/>
    <cellStyle name="Calculation 13 3 7 2 3" xfId="13605" xr:uid="{00000000-0005-0000-0000-000006350000}"/>
    <cellStyle name="Calculation 13 3 7 2 4" xfId="13606" xr:uid="{00000000-0005-0000-0000-000007350000}"/>
    <cellStyle name="Calculation 13 3 7 2 5" xfId="13607" xr:uid="{00000000-0005-0000-0000-000008350000}"/>
    <cellStyle name="Calculation 13 3 7 2 6" xfId="13608" xr:uid="{00000000-0005-0000-0000-000009350000}"/>
    <cellStyle name="Calculation 13 3 7 3" xfId="13609" xr:uid="{00000000-0005-0000-0000-00000A350000}"/>
    <cellStyle name="Calculation 13 3 7 3 2" xfId="13610" xr:uid="{00000000-0005-0000-0000-00000B350000}"/>
    <cellStyle name="Calculation 13 3 7 3 3" xfId="13611" xr:uid="{00000000-0005-0000-0000-00000C350000}"/>
    <cellStyle name="Calculation 13 3 7 3 4" xfId="13612" xr:uid="{00000000-0005-0000-0000-00000D350000}"/>
    <cellStyle name="Calculation 13 3 7 3 5" xfId="13613" xr:uid="{00000000-0005-0000-0000-00000E350000}"/>
    <cellStyle name="Calculation 13 3 7 3 6" xfId="13614" xr:uid="{00000000-0005-0000-0000-00000F350000}"/>
    <cellStyle name="Calculation 13 3 7 4" xfId="13615" xr:uid="{00000000-0005-0000-0000-000010350000}"/>
    <cellStyle name="Calculation 13 3 7 4 2" xfId="13616" xr:uid="{00000000-0005-0000-0000-000011350000}"/>
    <cellStyle name="Calculation 13 3 7 4 3" xfId="13617" xr:uid="{00000000-0005-0000-0000-000012350000}"/>
    <cellStyle name="Calculation 13 3 7 4 4" xfId="13618" xr:uid="{00000000-0005-0000-0000-000013350000}"/>
    <cellStyle name="Calculation 13 3 7 4 5" xfId="13619" xr:uid="{00000000-0005-0000-0000-000014350000}"/>
    <cellStyle name="Calculation 13 3 7 4 6" xfId="13620" xr:uid="{00000000-0005-0000-0000-000015350000}"/>
    <cellStyle name="Calculation 13 3 7 5" xfId="13621" xr:uid="{00000000-0005-0000-0000-000016350000}"/>
    <cellStyle name="Calculation 13 3 7 5 2" xfId="13622" xr:uid="{00000000-0005-0000-0000-000017350000}"/>
    <cellStyle name="Calculation 13 3 7 5 3" xfId="13623" xr:uid="{00000000-0005-0000-0000-000018350000}"/>
    <cellStyle name="Calculation 13 3 7 5 4" xfId="13624" xr:uid="{00000000-0005-0000-0000-000019350000}"/>
    <cellStyle name="Calculation 13 3 7 5 5" xfId="13625" xr:uid="{00000000-0005-0000-0000-00001A350000}"/>
    <cellStyle name="Calculation 13 3 7 5 6" xfId="13626" xr:uid="{00000000-0005-0000-0000-00001B350000}"/>
    <cellStyle name="Calculation 13 3 7 6" xfId="13627" xr:uid="{00000000-0005-0000-0000-00001C350000}"/>
    <cellStyle name="Calculation 13 3 7 6 2" xfId="13628" xr:uid="{00000000-0005-0000-0000-00001D350000}"/>
    <cellStyle name="Calculation 13 3 7 6 3" xfId="13629" xr:uid="{00000000-0005-0000-0000-00001E350000}"/>
    <cellStyle name="Calculation 13 3 7 6 4" xfId="13630" xr:uid="{00000000-0005-0000-0000-00001F350000}"/>
    <cellStyle name="Calculation 13 3 7 6 5" xfId="13631" xr:uid="{00000000-0005-0000-0000-000020350000}"/>
    <cellStyle name="Calculation 13 3 7 6 6" xfId="13632" xr:uid="{00000000-0005-0000-0000-000021350000}"/>
    <cellStyle name="Calculation 13 3 7 7" xfId="13633" xr:uid="{00000000-0005-0000-0000-000022350000}"/>
    <cellStyle name="Calculation 13 3 7 7 2" xfId="13634" xr:uid="{00000000-0005-0000-0000-000023350000}"/>
    <cellStyle name="Calculation 13 3 7 7 3" xfId="13635" xr:uid="{00000000-0005-0000-0000-000024350000}"/>
    <cellStyle name="Calculation 13 3 7 7 4" xfId="13636" xr:uid="{00000000-0005-0000-0000-000025350000}"/>
    <cellStyle name="Calculation 13 3 7 7 5" xfId="13637" xr:uid="{00000000-0005-0000-0000-000026350000}"/>
    <cellStyle name="Calculation 13 3 7 7 6" xfId="13638" xr:uid="{00000000-0005-0000-0000-000027350000}"/>
    <cellStyle name="Calculation 13 3 7 8" xfId="13639" xr:uid="{00000000-0005-0000-0000-000028350000}"/>
    <cellStyle name="Calculation 13 3 7 9" xfId="13640" xr:uid="{00000000-0005-0000-0000-000029350000}"/>
    <cellStyle name="Calculation 13 3 8" xfId="13641" xr:uid="{00000000-0005-0000-0000-00002A350000}"/>
    <cellStyle name="Calculation 13 3 8 10" xfId="13642" xr:uid="{00000000-0005-0000-0000-00002B350000}"/>
    <cellStyle name="Calculation 13 3 8 2" xfId="13643" xr:uid="{00000000-0005-0000-0000-00002C350000}"/>
    <cellStyle name="Calculation 13 3 8 2 2" xfId="13644" xr:uid="{00000000-0005-0000-0000-00002D350000}"/>
    <cellStyle name="Calculation 13 3 8 2 3" xfId="13645" xr:uid="{00000000-0005-0000-0000-00002E350000}"/>
    <cellStyle name="Calculation 13 3 8 2 4" xfId="13646" xr:uid="{00000000-0005-0000-0000-00002F350000}"/>
    <cellStyle name="Calculation 13 3 8 2 5" xfId="13647" xr:uid="{00000000-0005-0000-0000-000030350000}"/>
    <cellStyle name="Calculation 13 3 8 2 6" xfId="13648" xr:uid="{00000000-0005-0000-0000-000031350000}"/>
    <cellStyle name="Calculation 13 3 8 3" xfId="13649" xr:uid="{00000000-0005-0000-0000-000032350000}"/>
    <cellStyle name="Calculation 13 3 8 3 2" xfId="13650" xr:uid="{00000000-0005-0000-0000-000033350000}"/>
    <cellStyle name="Calculation 13 3 8 3 3" xfId="13651" xr:uid="{00000000-0005-0000-0000-000034350000}"/>
    <cellStyle name="Calculation 13 3 8 3 4" xfId="13652" xr:uid="{00000000-0005-0000-0000-000035350000}"/>
    <cellStyle name="Calculation 13 3 8 3 5" xfId="13653" xr:uid="{00000000-0005-0000-0000-000036350000}"/>
    <cellStyle name="Calculation 13 3 8 3 6" xfId="13654" xr:uid="{00000000-0005-0000-0000-000037350000}"/>
    <cellStyle name="Calculation 13 3 8 4" xfId="13655" xr:uid="{00000000-0005-0000-0000-000038350000}"/>
    <cellStyle name="Calculation 13 3 8 4 2" xfId="13656" xr:uid="{00000000-0005-0000-0000-000039350000}"/>
    <cellStyle name="Calculation 13 3 8 4 3" xfId="13657" xr:uid="{00000000-0005-0000-0000-00003A350000}"/>
    <cellStyle name="Calculation 13 3 8 4 4" xfId="13658" xr:uid="{00000000-0005-0000-0000-00003B350000}"/>
    <cellStyle name="Calculation 13 3 8 4 5" xfId="13659" xr:uid="{00000000-0005-0000-0000-00003C350000}"/>
    <cellStyle name="Calculation 13 3 8 4 6" xfId="13660" xr:uid="{00000000-0005-0000-0000-00003D350000}"/>
    <cellStyle name="Calculation 13 3 8 5" xfId="13661" xr:uid="{00000000-0005-0000-0000-00003E350000}"/>
    <cellStyle name="Calculation 13 3 8 5 2" xfId="13662" xr:uid="{00000000-0005-0000-0000-00003F350000}"/>
    <cellStyle name="Calculation 13 3 8 5 3" xfId="13663" xr:uid="{00000000-0005-0000-0000-000040350000}"/>
    <cellStyle name="Calculation 13 3 8 5 4" xfId="13664" xr:uid="{00000000-0005-0000-0000-000041350000}"/>
    <cellStyle name="Calculation 13 3 8 5 5" xfId="13665" xr:uid="{00000000-0005-0000-0000-000042350000}"/>
    <cellStyle name="Calculation 13 3 8 5 6" xfId="13666" xr:uid="{00000000-0005-0000-0000-000043350000}"/>
    <cellStyle name="Calculation 13 3 8 6" xfId="13667" xr:uid="{00000000-0005-0000-0000-000044350000}"/>
    <cellStyle name="Calculation 13 3 8 6 2" xfId="13668" xr:uid="{00000000-0005-0000-0000-000045350000}"/>
    <cellStyle name="Calculation 13 3 8 6 3" xfId="13669" xr:uid="{00000000-0005-0000-0000-000046350000}"/>
    <cellStyle name="Calculation 13 3 8 6 4" xfId="13670" xr:uid="{00000000-0005-0000-0000-000047350000}"/>
    <cellStyle name="Calculation 13 3 8 6 5" xfId="13671" xr:uid="{00000000-0005-0000-0000-000048350000}"/>
    <cellStyle name="Calculation 13 3 8 6 6" xfId="13672" xr:uid="{00000000-0005-0000-0000-000049350000}"/>
    <cellStyle name="Calculation 13 3 8 7" xfId="13673" xr:uid="{00000000-0005-0000-0000-00004A350000}"/>
    <cellStyle name="Calculation 13 3 8 7 2" xfId="13674" xr:uid="{00000000-0005-0000-0000-00004B350000}"/>
    <cellStyle name="Calculation 13 3 8 7 3" xfId="13675" xr:uid="{00000000-0005-0000-0000-00004C350000}"/>
    <cellStyle name="Calculation 13 3 8 7 4" xfId="13676" xr:uid="{00000000-0005-0000-0000-00004D350000}"/>
    <cellStyle name="Calculation 13 3 8 7 5" xfId="13677" xr:uid="{00000000-0005-0000-0000-00004E350000}"/>
    <cellStyle name="Calculation 13 3 8 7 6" xfId="13678" xr:uid="{00000000-0005-0000-0000-00004F350000}"/>
    <cellStyle name="Calculation 13 3 8 8" xfId="13679" xr:uid="{00000000-0005-0000-0000-000050350000}"/>
    <cellStyle name="Calculation 13 3 8 9" xfId="13680" xr:uid="{00000000-0005-0000-0000-000051350000}"/>
    <cellStyle name="Calculation 13 3 9" xfId="13681" xr:uid="{00000000-0005-0000-0000-000052350000}"/>
    <cellStyle name="Calculation 13 3 9 10" xfId="13682" xr:uid="{00000000-0005-0000-0000-000053350000}"/>
    <cellStyle name="Calculation 13 3 9 2" xfId="13683" xr:uid="{00000000-0005-0000-0000-000054350000}"/>
    <cellStyle name="Calculation 13 3 9 2 2" xfId="13684" xr:uid="{00000000-0005-0000-0000-000055350000}"/>
    <cellStyle name="Calculation 13 3 9 2 3" xfId="13685" xr:uid="{00000000-0005-0000-0000-000056350000}"/>
    <cellStyle name="Calculation 13 3 9 2 4" xfId="13686" xr:uid="{00000000-0005-0000-0000-000057350000}"/>
    <cellStyle name="Calculation 13 3 9 2 5" xfId="13687" xr:uid="{00000000-0005-0000-0000-000058350000}"/>
    <cellStyle name="Calculation 13 3 9 2 6" xfId="13688" xr:uid="{00000000-0005-0000-0000-000059350000}"/>
    <cellStyle name="Calculation 13 3 9 3" xfId="13689" xr:uid="{00000000-0005-0000-0000-00005A350000}"/>
    <cellStyle name="Calculation 13 3 9 3 2" xfId="13690" xr:uid="{00000000-0005-0000-0000-00005B350000}"/>
    <cellStyle name="Calculation 13 3 9 3 3" xfId="13691" xr:uid="{00000000-0005-0000-0000-00005C350000}"/>
    <cellStyle name="Calculation 13 3 9 3 4" xfId="13692" xr:uid="{00000000-0005-0000-0000-00005D350000}"/>
    <cellStyle name="Calculation 13 3 9 3 5" xfId="13693" xr:uid="{00000000-0005-0000-0000-00005E350000}"/>
    <cellStyle name="Calculation 13 3 9 3 6" xfId="13694" xr:uid="{00000000-0005-0000-0000-00005F350000}"/>
    <cellStyle name="Calculation 13 3 9 4" xfId="13695" xr:uid="{00000000-0005-0000-0000-000060350000}"/>
    <cellStyle name="Calculation 13 3 9 4 2" xfId="13696" xr:uid="{00000000-0005-0000-0000-000061350000}"/>
    <cellStyle name="Calculation 13 3 9 4 3" xfId="13697" xr:uid="{00000000-0005-0000-0000-000062350000}"/>
    <cellStyle name="Calculation 13 3 9 4 4" xfId="13698" xr:uid="{00000000-0005-0000-0000-000063350000}"/>
    <cellStyle name="Calculation 13 3 9 4 5" xfId="13699" xr:uid="{00000000-0005-0000-0000-000064350000}"/>
    <cellStyle name="Calculation 13 3 9 4 6" xfId="13700" xr:uid="{00000000-0005-0000-0000-000065350000}"/>
    <cellStyle name="Calculation 13 3 9 5" xfId="13701" xr:uid="{00000000-0005-0000-0000-000066350000}"/>
    <cellStyle name="Calculation 13 3 9 5 2" xfId="13702" xr:uid="{00000000-0005-0000-0000-000067350000}"/>
    <cellStyle name="Calculation 13 3 9 5 3" xfId="13703" xr:uid="{00000000-0005-0000-0000-000068350000}"/>
    <cellStyle name="Calculation 13 3 9 5 4" xfId="13704" xr:uid="{00000000-0005-0000-0000-000069350000}"/>
    <cellStyle name="Calculation 13 3 9 5 5" xfId="13705" xr:uid="{00000000-0005-0000-0000-00006A350000}"/>
    <cellStyle name="Calculation 13 3 9 5 6" xfId="13706" xr:uid="{00000000-0005-0000-0000-00006B350000}"/>
    <cellStyle name="Calculation 13 3 9 6" xfId="13707" xr:uid="{00000000-0005-0000-0000-00006C350000}"/>
    <cellStyle name="Calculation 13 3 9 6 2" xfId="13708" xr:uid="{00000000-0005-0000-0000-00006D350000}"/>
    <cellStyle name="Calculation 13 3 9 6 3" xfId="13709" xr:uid="{00000000-0005-0000-0000-00006E350000}"/>
    <cellStyle name="Calculation 13 3 9 6 4" xfId="13710" xr:uid="{00000000-0005-0000-0000-00006F350000}"/>
    <cellStyle name="Calculation 13 3 9 6 5" xfId="13711" xr:uid="{00000000-0005-0000-0000-000070350000}"/>
    <cellStyle name="Calculation 13 3 9 6 6" xfId="13712" xr:uid="{00000000-0005-0000-0000-000071350000}"/>
    <cellStyle name="Calculation 13 3 9 7" xfId="13713" xr:uid="{00000000-0005-0000-0000-000072350000}"/>
    <cellStyle name="Calculation 13 3 9 7 2" xfId="13714" xr:uid="{00000000-0005-0000-0000-000073350000}"/>
    <cellStyle name="Calculation 13 3 9 7 3" xfId="13715" xr:uid="{00000000-0005-0000-0000-000074350000}"/>
    <cellStyle name="Calculation 13 3 9 7 4" xfId="13716" xr:uid="{00000000-0005-0000-0000-000075350000}"/>
    <cellStyle name="Calculation 13 3 9 7 5" xfId="13717" xr:uid="{00000000-0005-0000-0000-000076350000}"/>
    <cellStyle name="Calculation 13 3 9 7 6" xfId="13718" xr:uid="{00000000-0005-0000-0000-000077350000}"/>
    <cellStyle name="Calculation 13 3 9 8" xfId="13719" xr:uid="{00000000-0005-0000-0000-000078350000}"/>
    <cellStyle name="Calculation 13 3 9 9" xfId="13720" xr:uid="{00000000-0005-0000-0000-000079350000}"/>
    <cellStyle name="Calculation 13 30" xfId="13721" xr:uid="{00000000-0005-0000-0000-00007A350000}"/>
    <cellStyle name="Calculation 13 30 2" xfId="13722" xr:uid="{00000000-0005-0000-0000-00007B350000}"/>
    <cellStyle name="Calculation 13 30 3" xfId="13723" xr:uid="{00000000-0005-0000-0000-00007C350000}"/>
    <cellStyle name="Calculation 13 30 4" xfId="13724" xr:uid="{00000000-0005-0000-0000-00007D350000}"/>
    <cellStyle name="Calculation 13 30 5" xfId="13725" xr:uid="{00000000-0005-0000-0000-00007E350000}"/>
    <cellStyle name="Calculation 13 30 6" xfId="13726" xr:uid="{00000000-0005-0000-0000-00007F350000}"/>
    <cellStyle name="Calculation 13 31" xfId="13727" xr:uid="{00000000-0005-0000-0000-000080350000}"/>
    <cellStyle name="Calculation 13 31 2" xfId="13728" xr:uid="{00000000-0005-0000-0000-000081350000}"/>
    <cellStyle name="Calculation 13 31 3" xfId="13729" xr:uid="{00000000-0005-0000-0000-000082350000}"/>
    <cellStyle name="Calculation 13 31 4" xfId="13730" xr:uid="{00000000-0005-0000-0000-000083350000}"/>
    <cellStyle name="Calculation 13 31 5" xfId="13731" xr:uid="{00000000-0005-0000-0000-000084350000}"/>
    <cellStyle name="Calculation 13 31 6" xfId="13732" xr:uid="{00000000-0005-0000-0000-000085350000}"/>
    <cellStyle name="Calculation 13 32" xfId="13733" xr:uid="{00000000-0005-0000-0000-000086350000}"/>
    <cellStyle name="Calculation 13 33" xfId="13734" xr:uid="{00000000-0005-0000-0000-000087350000}"/>
    <cellStyle name="Calculation 13 34" xfId="13735" xr:uid="{00000000-0005-0000-0000-000088350000}"/>
    <cellStyle name="Calculation 13 4" xfId="13736" xr:uid="{00000000-0005-0000-0000-000089350000}"/>
    <cellStyle name="Calculation 13 4 10" xfId="13737" xr:uid="{00000000-0005-0000-0000-00008A350000}"/>
    <cellStyle name="Calculation 13 4 2" xfId="13738" xr:uid="{00000000-0005-0000-0000-00008B350000}"/>
    <cellStyle name="Calculation 13 4 2 2" xfId="13739" xr:uid="{00000000-0005-0000-0000-00008C350000}"/>
    <cellStyle name="Calculation 13 4 2 3" xfId="13740" xr:uid="{00000000-0005-0000-0000-00008D350000}"/>
    <cellStyle name="Calculation 13 4 2 4" xfId="13741" xr:uid="{00000000-0005-0000-0000-00008E350000}"/>
    <cellStyle name="Calculation 13 4 2 5" xfId="13742" xr:uid="{00000000-0005-0000-0000-00008F350000}"/>
    <cellStyle name="Calculation 13 4 2 6" xfId="13743" xr:uid="{00000000-0005-0000-0000-000090350000}"/>
    <cellStyle name="Calculation 13 4 3" xfId="13744" xr:uid="{00000000-0005-0000-0000-000091350000}"/>
    <cellStyle name="Calculation 13 4 3 2" xfId="13745" xr:uid="{00000000-0005-0000-0000-000092350000}"/>
    <cellStyle name="Calculation 13 4 3 3" xfId="13746" xr:uid="{00000000-0005-0000-0000-000093350000}"/>
    <cellStyle name="Calculation 13 4 3 4" xfId="13747" xr:uid="{00000000-0005-0000-0000-000094350000}"/>
    <cellStyle name="Calculation 13 4 3 5" xfId="13748" xr:uid="{00000000-0005-0000-0000-000095350000}"/>
    <cellStyle name="Calculation 13 4 3 6" xfId="13749" xr:uid="{00000000-0005-0000-0000-000096350000}"/>
    <cellStyle name="Calculation 13 4 4" xfId="13750" xr:uid="{00000000-0005-0000-0000-000097350000}"/>
    <cellStyle name="Calculation 13 4 4 2" xfId="13751" xr:uid="{00000000-0005-0000-0000-000098350000}"/>
    <cellStyle name="Calculation 13 4 4 3" xfId="13752" xr:uid="{00000000-0005-0000-0000-000099350000}"/>
    <cellStyle name="Calculation 13 4 4 4" xfId="13753" xr:uid="{00000000-0005-0000-0000-00009A350000}"/>
    <cellStyle name="Calculation 13 4 4 5" xfId="13754" xr:uid="{00000000-0005-0000-0000-00009B350000}"/>
    <cellStyle name="Calculation 13 4 4 6" xfId="13755" xr:uid="{00000000-0005-0000-0000-00009C350000}"/>
    <cellStyle name="Calculation 13 4 5" xfId="13756" xr:uid="{00000000-0005-0000-0000-00009D350000}"/>
    <cellStyle name="Calculation 13 4 5 2" xfId="13757" xr:uid="{00000000-0005-0000-0000-00009E350000}"/>
    <cellStyle name="Calculation 13 4 5 3" xfId="13758" xr:uid="{00000000-0005-0000-0000-00009F350000}"/>
    <cellStyle name="Calculation 13 4 5 4" xfId="13759" xr:uid="{00000000-0005-0000-0000-0000A0350000}"/>
    <cellStyle name="Calculation 13 4 5 5" xfId="13760" xr:uid="{00000000-0005-0000-0000-0000A1350000}"/>
    <cellStyle name="Calculation 13 4 5 6" xfId="13761" xr:uid="{00000000-0005-0000-0000-0000A2350000}"/>
    <cellStyle name="Calculation 13 4 6" xfId="13762" xr:uid="{00000000-0005-0000-0000-0000A3350000}"/>
    <cellStyle name="Calculation 13 4 6 2" xfId="13763" xr:uid="{00000000-0005-0000-0000-0000A4350000}"/>
    <cellStyle name="Calculation 13 4 6 3" xfId="13764" xr:uid="{00000000-0005-0000-0000-0000A5350000}"/>
    <cellStyle name="Calculation 13 4 6 4" xfId="13765" xr:uid="{00000000-0005-0000-0000-0000A6350000}"/>
    <cellStyle name="Calculation 13 4 6 5" xfId="13766" xr:uid="{00000000-0005-0000-0000-0000A7350000}"/>
    <cellStyle name="Calculation 13 4 6 6" xfId="13767" xr:uid="{00000000-0005-0000-0000-0000A8350000}"/>
    <cellStyle name="Calculation 13 4 7" xfId="13768" xr:uid="{00000000-0005-0000-0000-0000A9350000}"/>
    <cellStyle name="Calculation 13 4 7 2" xfId="13769" xr:uid="{00000000-0005-0000-0000-0000AA350000}"/>
    <cellStyle name="Calculation 13 4 7 3" xfId="13770" xr:uid="{00000000-0005-0000-0000-0000AB350000}"/>
    <cellStyle name="Calculation 13 4 7 4" xfId="13771" xr:uid="{00000000-0005-0000-0000-0000AC350000}"/>
    <cellStyle name="Calculation 13 4 7 5" xfId="13772" xr:uid="{00000000-0005-0000-0000-0000AD350000}"/>
    <cellStyle name="Calculation 13 4 7 6" xfId="13773" xr:uid="{00000000-0005-0000-0000-0000AE350000}"/>
    <cellStyle name="Calculation 13 4 8" xfId="13774" xr:uid="{00000000-0005-0000-0000-0000AF350000}"/>
    <cellStyle name="Calculation 13 4 9" xfId="13775" xr:uid="{00000000-0005-0000-0000-0000B0350000}"/>
    <cellStyle name="Calculation 13 5" xfId="13776" xr:uid="{00000000-0005-0000-0000-0000B1350000}"/>
    <cellStyle name="Calculation 13 5 10" xfId="13777" xr:uid="{00000000-0005-0000-0000-0000B2350000}"/>
    <cellStyle name="Calculation 13 5 2" xfId="13778" xr:uid="{00000000-0005-0000-0000-0000B3350000}"/>
    <cellStyle name="Calculation 13 5 2 2" xfId="13779" xr:uid="{00000000-0005-0000-0000-0000B4350000}"/>
    <cellStyle name="Calculation 13 5 2 3" xfId="13780" xr:uid="{00000000-0005-0000-0000-0000B5350000}"/>
    <cellStyle name="Calculation 13 5 2 4" xfId="13781" xr:uid="{00000000-0005-0000-0000-0000B6350000}"/>
    <cellStyle name="Calculation 13 5 2 5" xfId="13782" xr:uid="{00000000-0005-0000-0000-0000B7350000}"/>
    <cellStyle name="Calculation 13 5 2 6" xfId="13783" xr:uid="{00000000-0005-0000-0000-0000B8350000}"/>
    <cellStyle name="Calculation 13 5 3" xfId="13784" xr:uid="{00000000-0005-0000-0000-0000B9350000}"/>
    <cellStyle name="Calculation 13 5 3 2" xfId="13785" xr:uid="{00000000-0005-0000-0000-0000BA350000}"/>
    <cellStyle name="Calculation 13 5 3 3" xfId="13786" xr:uid="{00000000-0005-0000-0000-0000BB350000}"/>
    <cellStyle name="Calculation 13 5 3 4" xfId="13787" xr:uid="{00000000-0005-0000-0000-0000BC350000}"/>
    <cellStyle name="Calculation 13 5 3 5" xfId="13788" xr:uid="{00000000-0005-0000-0000-0000BD350000}"/>
    <cellStyle name="Calculation 13 5 3 6" xfId="13789" xr:uid="{00000000-0005-0000-0000-0000BE350000}"/>
    <cellStyle name="Calculation 13 5 4" xfId="13790" xr:uid="{00000000-0005-0000-0000-0000BF350000}"/>
    <cellStyle name="Calculation 13 5 4 2" xfId="13791" xr:uid="{00000000-0005-0000-0000-0000C0350000}"/>
    <cellStyle name="Calculation 13 5 4 3" xfId="13792" xr:uid="{00000000-0005-0000-0000-0000C1350000}"/>
    <cellStyle name="Calculation 13 5 4 4" xfId="13793" xr:uid="{00000000-0005-0000-0000-0000C2350000}"/>
    <cellStyle name="Calculation 13 5 4 5" xfId="13794" xr:uid="{00000000-0005-0000-0000-0000C3350000}"/>
    <cellStyle name="Calculation 13 5 4 6" xfId="13795" xr:uid="{00000000-0005-0000-0000-0000C4350000}"/>
    <cellStyle name="Calculation 13 5 5" xfId="13796" xr:uid="{00000000-0005-0000-0000-0000C5350000}"/>
    <cellStyle name="Calculation 13 5 5 2" xfId="13797" xr:uid="{00000000-0005-0000-0000-0000C6350000}"/>
    <cellStyle name="Calculation 13 5 5 3" xfId="13798" xr:uid="{00000000-0005-0000-0000-0000C7350000}"/>
    <cellStyle name="Calculation 13 5 5 4" xfId="13799" xr:uid="{00000000-0005-0000-0000-0000C8350000}"/>
    <cellStyle name="Calculation 13 5 5 5" xfId="13800" xr:uid="{00000000-0005-0000-0000-0000C9350000}"/>
    <cellStyle name="Calculation 13 5 5 6" xfId="13801" xr:uid="{00000000-0005-0000-0000-0000CA350000}"/>
    <cellStyle name="Calculation 13 5 6" xfId="13802" xr:uid="{00000000-0005-0000-0000-0000CB350000}"/>
    <cellStyle name="Calculation 13 5 6 2" xfId="13803" xr:uid="{00000000-0005-0000-0000-0000CC350000}"/>
    <cellStyle name="Calculation 13 5 6 3" xfId="13804" xr:uid="{00000000-0005-0000-0000-0000CD350000}"/>
    <cellStyle name="Calculation 13 5 6 4" xfId="13805" xr:uid="{00000000-0005-0000-0000-0000CE350000}"/>
    <cellStyle name="Calculation 13 5 6 5" xfId="13806" xr:uid="{00000000-0005-0000-0000-0000CF350000}"/>
    <cellStyle name="Calculation 13 5 6 6" xfId="13807" xr:uid="{00000000-0005-0000-0000-0000D0350000}"/>
    <cellStyle name="Calculation 13 5 7" xfId="13808" xr:uid="{00000000-0005-0000-0000-0000D1350000}"/>
    <cellStyle name="Calculation 13 5 7 2" xfId="13809" xr:uid="{00000000-0005-0000-0000-0000D2350000}"/>
    <cellStyle name="Calculation 13 5 7 3" xfId="13810" xr:uid="{00000000-0005-0000-0000-0000D3350000}"/>
    <cellStyle name="Calculation 13 5 7 4" xfId="13811" xr:uid="{00000000-0005-0000-0000-0000D4350000}"/>
    <cellStyle name="Calculation 13 5 7 5" xfId="13812" xr:uid="{00000000-0005-0000-0000-0000D5350000}"/>
    <cellStyle name="Calculation 13 5 7 6" xfId="13813" xr:uid="{00000000-0005-0000-0000-0000D6350000}"/>
    <cellStyle name="Calculation 13 5 8" xfId="13814" xr:uid="{00000000-0005-0000-0000-0000D7350000}"/>
    <cellStyle name="Calculation 13 5 9" xfId="13815" xr:uid="{00000000-0005-0000-0000-0000D8350000}"/>
    <cellStyle name="Calculation 13 6" xfId="13816" xr:uid="{00000000-0005-0000-0000-0000D9350000}"/>
    <cellStyle name="Calculation 13 6 10" xfId="13817" xr:uid="{00000000-0005-0000-0000-0000DA350000}"/>
    <cellStyle name="Calculation 13 6 2" xfId="13818" xr:uid="{00000000-0005-0000-0000-0000DB350000}"/>
    <cellStyle name="Calculation 13 6 2 2" xfId="13819" xr:uid="{00000000-0005-0000-0000-0000DC350000}"/>
    <cellStyle name="Calculation 13 6 2 3" xfId="13820" xr:uid="{00000000-0005-0000-0000-0000DD350000}"/>
    <cellStyle name="Calculation 13 6 2 4" xfId="13821" xr:uid="{00000000-0005-0000-0000-0000DE350000}"/>
    <cellStyle name="Calculation 13 6 2 5" xfId="13822" xr:uid="{00000000-0005-0000-0000-0000DF350000}"/>
    <cellStyle name="Calculation 13 6 2 6" xfId="13823" xr:uid="{00000000-0005-0000-0000-0000E0350000}"/>
    <cellStyle name="Calculation 13 6 3" xfId="13824" xr:uid="{00000000-0005-0000-0000-0000E1350000}"/>
    <cellStyle name="Calculation 13 6 3 2" xfId="13825" xr:uid="{00000000-0005-0000-0000-0000E2350000}"/>
    <cellStyle name="Calculation 13 6 3 3" xfId="13826" xr:uid="{00000000-0005-0000-0000-0000E3350000}"/>
    <cellStyle name="Calculation 13 6 3 4" xfId="13827" xr:uid="{00000000-0005-0000-0000-0000E4350000}"/>
    <cellStyle name="Calculation 13 6 3 5" xfId="13828" xr:uid="{00000000-0005-0000-0000-0000E5350000}"/>
    <cellStyle name="Calculation 13 6 3 6" xfId="13829" xr:uid="{00000000-0005-0000-0000-0000E6350000}"/>
    <cellStyle name="Calculation 13 6 4" xfId="13830" xr:uid="{00000000-0005-0000-0000-0000E7350000}"/>
    <cellStyle name="Calculation 13 6 4 2" xfId="13831" xr:uid="{00000000-0005-0000-0000-0000E8350000}"/>
    <cellStyle name="Calculation 13 6 4 3" xfId="13832" xr:uid="{00000000-0005-0000-0000-0000E9350000}"/>
    <cellStyle name="Calculation 13 6 4 4" xfId="13833" xr:uid="{00000000-0005-0000-0000-0000EA350000}"/>
    <cellStyle name="Calculation 13 6 4 5" xfId="13834" xr:uid="{00000000-0005-0000-0000-0000EB350000}"/>
    <cellStyle name="Calculation 13 6 4 6" xfId="13835" xr:uid="{00000000-0005-0000-0000-0000EC350000}"/>
    <cellStyle name="Calculation 13 6 5" xfId="13836" xr:uid="{00000000-0005-0000-0000-0000ED350000}"/>
    <cellStyle name="Calculation 13 6 5 2" xfId="13837" xr:uid="{00000000-0005-0000-0000-0000EE350000}"/>
    <cellStyle name="Calculation 13 6 5 3" xfId="13838" xr:uid="{00000000-0005-0000-0000-0000EF350000}"/>
    <cellStyle name="Calculation 13 6 5 4" xfId="13839" xr:uid="{00000000-0005-0000-0000-0000F0350000}"/>
    <cellStyle name="Calculation 13 6 5 5" xfId="13840" xr:uid="{00000000-0005-0000-0000-0000F1350000}"/>
    <cellStyle name="Calculation 13 6 5 6" xfId="13841" xr:uid="{00000000-0005-0000-0000-0000F2350000}"/>
    <cellStyle name="Calculation 13 6 6" xfId="13842" xr:uid="{00000000-0005-0000-0000-0000F3350000}"/>
    <cellStyle name="Calculation 13 6 6 2" xfId="13843" xr:uid="{00000000-0005-0000-0000-0000F4350000}"/>
    <cellStyle name="Calculation 13 6 6 3" xfId="13844" xr:uid="{00000000-0005-0000-0000-0000F5350000}"/>
    <cellStyle name="Calculation 13 6 6 4" xfId="13845" xr:uid="{00000000-0005-0000-0000-0000F6350000}"/>
    <cellStyle name="Calculation 13 6 6 5" xfId="13846" xr:uid="{00000000-0005-0000-0000-0000F7350000}"/>
    <cellStyle name="Calculation 13 6 6 6" xfId="13847" xr:uid="{00000000-0005-0000-0000-0000F8350000}"/>
    <cellStyle name="Calculation 13 6 7" xfId="13848" xr:uid="{00000000-0005-0000-0000-0000F9350000}"/>
    <cellStyle name="Calculation 13 6 7 2" xfId="13849" xr:uid="{00000000-0005-0000-0000-0000FA350000}"/>
    <cellStyle name="Calculation 13 6 7 3" xfId="13850" xr:uid="{00000000-0005-0000-0000-0000FB350000}"/>
    <cellStyle name="Calculation 13 6 7 4" xfId="13851" xr:uid="{00000000-0005-0000-0000-0000FC350000}"/>
    <cellStyle name="Calculation 13 6 7 5" xfId="13852" xr:uid="{00000000-0005-0000-0000-0000FD350000}"/>
    <cellStyle name="Calculation 13 6 7 6" xfId="13853" xr:uid="{00000000-0005-0000-0000-0000FE350000}"/>
    <cellStyle name="Calculation 13 6 8" xfId="13854" xr:uid="{00000000-0005-0000-0000-0000FF350000}"/>
    <cellStyle name="Calculation 13 6 9" xfId="13855" xr:uid="{00000000-0005-0000-0000-000000360000}"/>
    <cellStyle name="Calculation 13 7" xfId="13856" xr:uid="{00000000-0005-0000-0000-000001360000}"/>
    <cellStyle name="Calculation 13 7 10" xfId="13857" xr:uid="{00000000-0005-0000-0000-000002360000}"/>
    <cellStyle name="Calculation 13 7 2" xfId="13858" xr:uid="{00000000-0005-0000-0000-000003360000}"/>
    <cellStyle name="Calculation 13 7 2 2" xfId="13859" xr:uid="{00000000-0005-0000-0000-000004360000}"/>
    <cellStyle name="Calculation 13 7 2 3" xfId="13860" xr:uid="{00000000-0005-0000-0000-000005360000}"/>
    <cellStyle name="Calculation 13 7 2 4" xfId="13861" xr:uid="{00000000-0005-0000-0000-000006360000}"/>
    <cellStyle name="Calculation 13 7 2 5" xfId="13862" xr:uid="{00000000-0005-0000-0000-000007360000}"/>
    <cellStyle name="Calculation 13 7 2 6" xfId="13863" xr:uid="{00000000-0005-0000-0000-000008360000}"/>
    <cellStyle name="Calculation 13 7 3" xfId="13864" xr:uid="{00000000-0005-0000-0000-000009360000}"/>
    <cellStyle name="Calculation 13 7 3 2" xfId="13865" xr:uid="{00000000-0005-0000-0000-00000A360000}"/>
    <cellStyle name="Calculation 13 7 3 3" xfId="13866" xr:uid="{00000000-0005-0000-0000-00000B360000}"/>
    <cellStyle name="Calculation 13 7 3 4" xfId="13867" xr:uid="{00000000-0005-0000-0000-00000C360000}"/>
    <cellStyle name="Calculation 13 7 3 5" xfId="13868" xr:uid="{00000000-0005-0000-0000-00000D360000}"/>
    <cellStyle name="Calculation 13 7 3 6" xfId="13869" xr:uid="{00000000-0005-0000-0000-00000E360000}"/>
    <cellStyle name="Calculation 13 7 4" xfId="13870" xr:uid="{00000000-0005-0000-0000-00000F360000}"/>
    <cellStyle name="Calculation 13 7 4 2" xfId="13871" xr:uid="{00000000-0005-0000-0000-000010360000}"/>
    <cellStyle name="Calculation 13 7 4 3" xfId="13872" xr:uid="{00000000-0005-0000-0000-000011360000}"/>
    <cellStyle name="Calculation 13 7 4 4" xfId="13873" xr:uid="{00000000-0005-0000-0000-000012360000}"/>
    <cellStyle name="Calculation 13 7 4 5" xfId="13874" xr:uid="{00000000-0005-0000-0000-000013360000}"/>
    <cellStyle name="Calculation 13 7 4 6" xfId="13875" xr:uid="{00000000-0005-0000-0000-000014360000}"/>
    <cellStyle name="Calculation 13 7 5" xfId="13876" xr:uid="{00000000-0005-0000-0000-000015360000}"/>
    <cellStyle name="Calculation 13 7 5 2" xfId="13877" xr:uid="{00000000-0005-0000-0000-000016360000}"/>
    <cellStyle name="Calculation 13 7 5 3" xfId="13878" xr:uid="{00000000-0005-0000-0000-000017360000}"/>
    <cellStyle name="Calculation 13 7 5 4" xfId="13879" xr:uid="{00000000-0005-0000-0000-000018360000}"/>
    <cellStyle name="Calculation 13 7 5 5" xfId="13880" xr:uid="{00000000-0005-0000-0000-000019360000}"/>
    <cellStyle name="Calculation 13 7 5 6" xfId="13881" xr:uid="{00000000-0005-0000-0000-00001A360000}"/>
    <cellStyle name="Calculation 13 7 6" xfId="13882" xr:uid="{00000000-0005-0000-0000-00001B360000}"/>
    <cellStyle name="Calculation 13 7 6 2" xfId="13883" xr:uid="{00000000-0005-0000-0000-00001C360000}"/>
    <cellStyle name="Calculation 13 7 6 3" xfId="13884" xr:uid="{00000000-0005-0000-0000-00001D360000}"/>
    <cellStyle name="Calculation 13 7 6 4" xfId="13885" xr:uid="{00000000-0005-0000-0000-00001E360000}"/>
    <cellStyle name="Calculation 13 7 6 5" xfId="13886" xr:uid="{00000000-0005-0000-0000-00001F360000}"/>
    <cellStyle name="Calculation 13 7 6 6" xfId="13887" xr:uid="{00000000-0005-0000-0000-000020360000}"/>
    <cellStyle name="Calculation 13 7 7" xfId="13888" xr:uid="{00000000-0005-0000-0000-000021360000}"/>
    <cellStyle name="Calculation 13 7 7 2" xfId="13889" xr:uid="{00000000-0005-0000-0000-000022360000}"/>
    <cellStyle name="Calculation 13 7 7 3" xfId="13890" xr:uid="{00000000-0005-0000-0000-000023360000}"/>
    <cellStyle name="Calculation 13 7 7 4" xfId="13891" xr:uid="{00000000-0005-0000-0000-000024360000}"/>
    <cellStyle name="Calculation 13 7 7 5" xfId="13892" xr:uid="{00000000-0005-0000-0000-000025360000}"/>
    <cellStyle name="Calculation 13 7 7 6" xfId="13893" xr:uid="{00000000-0005-0000-0000-000026360000}"/>
    <cellStyle name="Calculation 13 7 8" xfId="13894" xr:uid="{00000000-0005-0000-0000-000027360000}"/>
    <cellStyle name="Calculation 13 7 9" xfId="13895" xr:uid="{00000000-0005-0000-0000-000028360000}"/>
    <cellStyle name="Calculation 13 8" xfId="13896" xr:uid="{00000000-0005-0000-0000-000029360000}"/>
    <cellStyle name="Calculation 13 8 10" xfId="13897" xr:uid="{00000000-0005-0000-0000-00002A360000}"/>
    <cellStyle name="Calculation 13 8 2" xfId="13898" xr:uid="{00000000-0005-0000-0000-00002B360000}"/>
    <cellStyle name="Calculation 13 8 2 2" xfId="13899" xr:uid="{00000000-0005-0000-0000-00002C360000}"/>
    <cellStyle name="Calculation 13 8 2 3" xfId="13900" xr:uid="{00000000-0005-0000-0000-00002D360000}"/>
    <cellStyle name="Calculation 13 8 2 4" xfId="13901" xr:uid="{00000000-0005-0000-0000-00002E360000}"/>
    <cellStyle name="Calculation 13 8 2 5" xfId="13902" xr:uid="{00000000-0005-0000-0000-00002F360000}"/>
    <cellStyle name="Calculation 13 8 2 6" xfId="13903" xr:uid="{00000000-0005-0000-0000-000030360000}"/>
    <cellStyle name="Calculation 13 8 3" xfId="13904" xr:uid="{00000000-0005-0000-0000-000031360000}"/>
    <cellStyle name="Calculation 13 8 3 2" xfId="13905" xr:uid="{00000000-0005-0000-0000-000032360000}"/>
    <cellStyle name="Calculation 13 8 3 3" xfId="13906" xr:uid="{00000000-0005-0000-0000-000033360000}"/>
    <cellStyle name="Calculation 13 8 3 4" xfId="13907" xr:uid="{00000000-0005-0000-0000-000034360000}"/>
    <cellStyle name="Calculation 13 8 3 5" xfId="13908" xr:uid="{00000000-0005-0000-0000-000035360000}"/>
    <cellStyle name="Calculation 13 8 3 6" xfId="13909" xr:uid="{00000000-0005-0000-0000-000036360000}"/>
    <cellStyle name="Calculation 13 8 4" xfId="13910" xr:uid="{00000000-0005-0000-0000-000037360000}"/>
    <cellStyle name="Calculation 13 8 4 2" xfId="13911" xr:uid="{00000000-0005-0000-0000-000038360000}"/>
    <cellStyle name="Calculation 13 8 4 3" xfId="13912" xr:uid="{00000000-0005-0000-0000-000039360000}"/>
    <cellStyle name="Calculation 13 8 4 4" xfId="13913" xr:uid="{00000000-0005-0000-0000-00003A360000}"/>
    <cellStyle name="Calculation 13 8 4 5" xfId="13914" xr:uid="{00000000-0005-0000-0000-00003B360000}"/>
    <cellStyle name="Calculation 13 8 4 6" xfId="13915" xr:uid="{00000000-0005-0000-0000-00003C360000}"/>
    <cellStyle name="Calculation 13 8 5" xfId="13916" xr:uid="{00000000-0005-0000-0000-00003D360000}"/>
    <cellStyle name="Calculation 13 8 5 2" xfId="13917" xr:uid="{00000000-0005-0000-0000-00003E360000}"/>
    <cellStyle name="Calculation 13 8 5 3" xfId="13918" xr:uid="{00000000-0005-0000-0000-00003F360000}"/>
    <cellStyle name="Calculation 13 8 5 4" xfId="13919" xr:uid="{00000000-0005-0000-0000-000040360000}"/>
    <cellStyle name="Calculation 13 8 5 5" xfId="13920" xr:uid="{00000000-0005-0000-0000-000041360000}"/>
    <cellStyle name="Calculation 13 8 5 6" xfId="13921" xr:uid="{00000000-0005-0000-0000-000042360000}"/>
    <cellStyle name="Calculation 13 8 6" xfId="13922" xr:uid="{00000000-0005-0000-0000-000043360000}"/>
    <cellStyle name="Calculation 13 8 6 2" xfId="13923" xr:uid="{00000000-0005-0000-0000-000044360000}"/>
    <cellStyle name="Calculation 13 8 6 3" xfId="13924" xr:uid="{00000000-0005-0000-0000-000045360000}"/>
    <cellStyle name="Calculation 13 8 6 4" xfId="13925" xr:uid="{00000000-0005-0000-0000-000046360000}"/>
    <cellStyle name="Calculation 13 8 6 5" xfId="13926" xr:uid="{00000000-0005-0000-0000-000047360000}"/>
    <cellStyle name="Calculation 13 8 6 6" xfId="13927" xr:uid="{00000000-0005-0000-0000-000048360000}"/>
    <cellStyle name="Calculation 13 8 7" xfId="13928" xr:uid="{00000000-0005-0000-0000-000049360000}"/>
    <cellStyle name="Calculation 13 8 7 2" xfId="13929" xr:uid="{00000000-0005-0000-0000-00004A360000}"/>
    <cellStyle name="Calculation 13 8 7 3" xfId="13930" xr:uid="{00000000-0005-0000-0000-00004B360000}"/>
    <cellStyle name="Calculation 13 8 7 4" xfId="13931" xr:uid="{00000000-0005-0000-0000-00004C360000}"/>
    <cellStyle name="Calculation 13 8 7 5" xfId="13932" xr:uid="{00000000-0005-0000-0000-00004D360000}"/>
    <cellStyle name="Calculation 13 8 7 6" xfId="13933" xr:uid="{00000000-0005-0000-0000-00004E360000}"/>
    <cellStyle name="Calculation 13 8 8" xfId="13934" xr:uid="{00000000-0005-0000-0000-00004F360000}"/>
    <cellStyle name="Calculation 13 8 9" xfId="13935" xr:uid="{00000000-0005-0000-0000-000050360000}"/>
    <cellStyle name="Calculation 13 9" xfId="13936" xr:uid="{00000000-0005-0000-0000-000051360000}"/>
    <cellStyle name="Calculation 13 9 10" xfId="13937" xr:uid="{00000000-0005-0000-0000-000052360000}"/>
    <cellStyle name="Calculation 13 9 2" xfId="13938" xr:uid="{00000000-0005-0000-0000-000053360000}"/>
    <cellStyle name="Calculation 13 9 2 2" xfId="13939" xr:uid="{00000000-0005-0000-0000-000054360000}"/>
    <cellStyle name="Calculation 13 9 2 3" xfId="13940" xr:uid="{00000000-0005-0000-0000-000055360000}"/>
    <cellStyle name="Calculation 13 9 2 4" xfId="13941" xr:uid="{00000000-0005-0000-0000-000056360000}"/>
    <cellStyle name="Calculation 13 9 2 5" xfId="13942" xr:uid="{00000000-0005-0000-0000-000057360000}"/>
    <cellStyle name="Calculation 13 9 2 6" xfId="13943" xr:uid="{00000000-0005-0000-0000-000058360000}"/>
    <cellStyle name="Calculation 13 9 3" xfId="13944" xr:uid="{00000000-0005-0000-0000-000059360000}"/>
    <cellStyle name="Calculation 13 9 3 2" xfId="13945" xr:uid="{00000000-0005-0000-0000-00005A360000}"/>
    <cellStyle name="Calculation 13 9 3 3" xfId="13946" xr:uid="{00000000-0005-0000-0000-00005B360000}"/>
    <cellStyle name="Calculation 13 9 3 4" xfId="13947" xr:uid="{00000000-0005-0000-0000-00005C360000}"/>
    <cellStyle name="Calculation 13 9 3 5" xfId="13948" xr:uid="{00000000-0005-0000-0000-00005D360000}"/>
    <cellStyle name="Calculation 13 9 3 6" xfId="13949" xr:uid="{00000000-0005-0000-0000-00005E360000}"/>
    <cellStyle name="Calculation 13 9 4" xfId="13950" xr:uid="{00000000-0005-0000-0000-00005F360000}"/>
    <cellStyle name="Calculation 13 9 4 2" xfId="13951" xr:uid="{00000000-0005-0000-0000-000060360000}"/>
    <cellStyle name="Calculation 13 9 4 3" xfId="13952" xr:uid="{00000000-0005-0000-0000-000061360000}"/>
    <cellStyle name="Calculation 13 9 4 4" xfId="13953" xr:uid="{00000000-0005-0000-0000-000062360000}"/>
    <cellStyle name="Calculation 13 9 4 5" xfId="13954" xr:uid="{00000000-0005-0000-0000-000063360000}"/>
    <cellStyle name="Calculation 13 9 4 6" xfId="13955" xr:uid="{00000000-0005-0000-0000-000064360000}"/>
    <cellStyle name="Calculation 13 9 5" xfId="13956" xr:uid="{00000000-0005-0000-0000-000065360000}"/>
    <cellStyle name="Calculation 13 9 5 2" xfId="13957" xr:uid="{00000000-0005-0000-0000-000066360000}"/>
    <cellStyle name="Calculation 13 9 5 3" xfId="13958" xr:uid="{00000000-0005-0000-0000-000067360000}"/>
    <cellStyle name="Calculation 13 9 5 4" xfId="13959" xr:uid="{00000000-0005-0000-0000-000068360000}"/>
    <cellStyle name="Calculation 13 9 5 5" xfId="13960" xr:uid="{00000000-0005-0000-0000-000069360000}"/>
    <cellStyle name="Calculation 13 9 5 6" xfId="13961" xr:uid="{00000000-0005-0000-0000-00006A360000}"/>
    <cellStyle name="Calculation 13 9 6" xfId="13962" xr:uid="{00000000-0005-0000-0000-00006B360000}"/>
    <cellStyle name="Calculation 13 9 6 2" xfId="13963" xr:uid="{00000000-0005-0000-0000-00006C360000}"/>
    <cellStyle name="Calculation 13 9 6 3" xfId="13964" xr:uid="{00000000-0005-0000-0000-00006D360000}"/>
    <cellStyle name="Calculation 13 9 6 4" xfId="13965" xr:uid="{00000000-0005-0000-0000-00006E360000}"/>
    <cellStyle name="Calculation 13 9 6 5" xfId="13966" xr:uid="{00000000-0005-0000-0000-00006F360000}"/>
    <cellStyle name="Calculation 13 9 6 6" xfId="13967" xr:uid="{00000000-0005-0000-0000-000070360000}"/>
    <cellStyle name="Calculation 13 9 7" xfId="13968" xr:uid="{00000000-0005-0000-0000-000071360000}"/>
    <cellStyle name="Calculation 13 9 7 2" xfId="13969" xr:uid="{00000000-0005-0000-0000-000072360000}"/>
    <cellStyle name="Calculation 13 9 7 3" xfId="13970" xr:uid="{00000000-0005-0000-0000-000073360000}"/>
    <cellStyle name="Calculation 13 9 7 4" xfId="13971" xr:uid="{00000000-0005-0000-0000-000074360000}"/>
    <cellStyle name="Calculation 13 9 7 5" xfId="13972" xr:uid="{00000000-0005-0000-0000-000075360000}"/>
    <cellStyle name="Calculation 13 9 7 6" xfId="13973" xr:uid="{00000000-0005-0000-0000-000076360000}"/>
    <cellStyle name="Calculation 13 9 8" xfId="13974" xr:uid="{00000000-0005-0000-0000-000077360000}"/>
    <cellStyle name="Calculation 13 9 9" xfId="13975" xr:uid="{00000000-0005-0000-0000-000078360000}"/>
    <cellStyle name="Calculation 14" xfId="13976" xr:uid="{00000000-0005-0000-0000-000079360000}"/>
    <cellStyle name="Calculation 14 10" xfId="13977" xr:uid="{00000000-0005-0000-0000-00007A360000}"/>
    <cellStyle name="Calculation 14 10 10" xfId="13978" xr:uid="{00000000-0005-0000-0000-00007B360000}"/>
    <cellStyle name="Calculation 14 10 2" xfId="13979" xr:uid="{00000000-0005-0000-0000-00007C360000}"/>
    <cellStyle name="Calculation 14 10 2 2" xfId="13980" xr:uid="{00000000-0005-0000-0000-00007D360000}"/>
    <cellStyle name="Calculation 14 10 2 3" xfId="13981" xr:uid="{00000000-0005-0000-0000-00007E360000}"/>
    <cellStyle name="Calculation 14 10 2 4" xfId="13982" xr:uid="{00000000-0005-0000-0000-00007F360000}"/>
    <cellStyle name="Calculation 14 10 2 5" xfId="13983" xr:uid="{00000000-0005-0000-0000-000080360000}"/>
    <cellStyle name="Calculation 14 10 2 6" xfId="13984" xr:uid="{00000000-0005-0000-0000-000081360000}"/>
    <cellStyle name="Calculation 14 10 3" xfId="13985" xr:uid="{00000000-0005-0000-0000-000082360000}"/>
    <cellStyle name="Calculation 14 10 3 2" xfId="13986" xr:uid="{00000000-0005-0000-0000-000083360000}"/>
    <cellStyle name="Calculation 14 10 3 3" xfId="13987" xr:uid="{00000000-0005-0000-0000-000084360000}"/>
    <cellStyle name="Calculation 14 10 3 4" xfId="13988" xr:uid="{00000000-0005-0000-0000-000085360000}"/>
    <cellStyle name="Calculation 14 10 3 5" xfId="13989" xr:uid="{00000000-0005-0000-0000-000086360000}"/>
    <cellStyle name="Calculation 14 10 3 6" xfId="13990" xr:uid="{00000000-0005-0000-0000-000087360000}"/>
    <cellStyle name="Calculation 14 10 4" xfId="13991" xr:uid="{00000000-0005-0000-0000-000088360000}"/>
    <cellStyle name="Calculation 14 10 4 2" xfId="13992" xr:uid="{00000000-0005-0000-0000-000089360000}"/>
    <cellStyle name="Calculation 14 10 4 3" xfId="13993" xr:uid="{00000000-0005-0000-0000-00008A360000}"/>
    <cellStyle name="Calculation 14 10 4 4" xfId="13994" xr:uid="{00000000-0005-0000-0000-00008B360000}"/>
    <cellStyle name="Calculation 14 10 4 5" xfId="13995" xr:uid="{00000000-0005-0000-0000-00008C360000}"/>
    <cellStyle name="Calculation 14 10 4 6" xfId="13996" xr:uid="{00000000-0005-0000-0000-00008D360000}"/>
    <cellStyle name="Calculation 14 10 5" xfId="13997" xr:uid="{00000000-0005-0000-0000-00008E360000}"/>
    <cellStyle name="Calculation 14 10 5 2" xfId="13998" xr:uid="{00000000-0005-0000-0000-00008F360000}"/>
    <cellStyle name="Calculation 14 10 5 3" xfId="13999" xr:uid="{00000000-0005-0000-0000-000090360000}"/>
    <cellStyle name="Calculation 14 10 5 4" xfId="14000" xr:uid="{00000000-0005-0000-0000-000091360000}"/>
    <cellStyle name="Calculation 14 10 5 5" xfId="14001" xr:uid="{00000000-0005-0000-0000-000092360000}"/>
    <cellStyle name="Calculation 14 10 5 6" xfId="14002" xr:uid="{00000000-0005-0000-0000-000093360000}"/>
    <cellStyle name="Calculation 14 10 6" xfId="14003" xr:uid="{00000000-0005-0000-0000-000094360000}"/>
    <cellStyle name="Calculation 14 10 6 2" xfId="14004" xr:uid="{00000000-0005-0000-0000-000095360000}"/>
    <cellStyle name="Calculation 14 10 6 3" xfId="14005" xr:uid="{00000000-0005-0000-0000-000096360000}"/>
    <cellStyle name="Calculation 14 10 6 4" xfId="14006" xr:uid="{00000000-0005-0000-0000-000097360000}"/>
    <cellStyle name="Calculation 14 10 6 5" xfId="14007" xr:uid="{00000000-0005-0000-0000-000098360000}"/>
    <cellStyle name="Calculation 14 10 6 6" xfId="14008" xr:uid="{00000000-0005-0000-0000-000099360000}"/>
    <cellStyle name="Calculation 14 10 7" xfId="14009" xr:uid="{00000000-0005-0000-0000-00009A360000}"/>
    <cellStyle name="Calculation 14 10 7 2" xfId="14010" xr:uid="{00000000-0005-0000-0000-00009B360000}"/>
    <cellStyle name="Calculation 14 10 7 3" xfId="14011" xr:uid="{00000000-0005-0000-0000-00009C360000}"/>
    <cellStyle name="Calculation 14 10 7 4" xfId="14012" xr:uid="{00000000-0005-0000-0000-00009D360000}"/>
    <cellStyle name="Calculation 14 10 7 5" xfId="14013" xr:uid="{00000000-0005-0000-0000-00009E360000}"/>
    <cellStyle name="Calculation 14 10 7 6" xfId="14014" xr:uid="{00000000-0005-0000-0000-00009F360000}"/>
    <cellStyle name="Calculation 14 10 8" xfId="14015" xr:uid="{00000000-0005-0000-0000-0000A0360000}"/>
    <cellStyle name="Calculation 14 10 9" xfId="14016" xr:uid="{00000000-0005-0000-0000-0000A1360000}"/>
    <cellStyle name="Calculation 14 11" xfId="14017" xr:uid="{00000000-0005-0000-0000-0000A2360000}"/>
    <cellStyle name="Calculation 14 11 10" xfId="14018" xr:uid="{00000000-0005-0000-0000-0000A3360000}"/>
    <cellStyle name="Calculation 14 11 2" xfId="14019" xr:uid="{00000000-0005-0000-0000-0000A4360000}"/>
    <cellStyle name="Calculation 14 11 2 2" xfId="14020" xr:uid="{00000000-0005-0000-0000-0000A5360000}"/>
    <cellStyle name="Calculation 14 11 2 3" xfId="14021" xr:uid="{00000000-0005-0000-0000-0000A6360000}"/>
    <cellStyle name="Calculation 14 11 2 4" xfId="14022" xr:uid="{00000000-0005-0000-0000-0000A7360000}"/>
    <cellStyle name="Calculation 14 11 2 5" xfId="14023" xr:uid="{00000000-0005-0000-0000-0000A8360000}"/>
    <cellStyle name="Calculation 14 11 2 6" xfId="14024" xr:uid="{00000000-0005-0000-0000-0000A9360000}"/>
    <cellStyle name="Calculation 14 11 3" xfId="14025" xr:uid="{00000000-0005-0000-0000-0000AA360000}"/>
    <cellStyle name="Calculation 14 11 3 2" xfId="14026" xr:uid="{00000000-0005-0000-0000-0000AB360000}"/>
    <cellStyle name="Calculation 14 11 3 3" xfId="14027" xr:uid="{00000000-0005-0000-0000-0000AC360000}"/>
    <cellStyle name="Calculation 14 11 3 4" xfId="14028" xr:uid="{00000000-0005-0000-0000-0000AD360000}"/>
    <cellStyle name="Calculation 14 11 3 5" xfId="14029" xr:uid="{00000000-0005-0000-0000-0000AE360000}"/>
    <cellStyle name="Calculation 14 11 3 6" xfId="14030" xr:uid="{00000000-0005-0000-0000-0000AF360000}"/>
    <cellStyle name="Calculation 14 11 4" xfId="14031" xr:uid="{00000000-0005-0000-0000-0000B0360000}"/>
    <cellStyle name="Calculation 14 11 4 2" xfId="14032" xr:uid="{00000000-0005-0000-0000-0000B1360000}"/>
    <cellStyle name="Calculation 14 11 4 3" xfId="14033" xr:uid="{00000000-0005-0000-0000-0000B2360000}"/>
    <cellStyle name="Calculation 14 11 4 4" xfId="14034" xr:uid="{00000000-0005-0000-0000-0000B3360000}"/>
    <cellStyle name="Calculation 14 11 4 5" xfId="14035" xr:uid="{00000000-0005-0000-0000-0000B4360000}"/>
    <cellStyle name="Calculation 14 11 4 6" xfId="14036" xr:uid="{00000000-0005-0000-0000-0000B5360000}"/>
    <cellStyle name="Calculation 14 11 5" xfId="14037" xr:uid="{00000000-0005-0000-0000-0000B6360000}"/>
    <cellStyle name="Calculation 14 11 5 2" xfId="14038" xr:uid="{00000000-0005-0000-0000-0000B7360000}"/>
    <cellStyle name="Calculation 14 11 5 3" xfId="14039" xr:uid="{00000000-0005-0000-0000-0000B8360000}"/>
    <cellStyle name="Calculation 14 11 5 4" xfId="14040" xr:uid="{00000000-0005-0000-0000-0000B9360000}"/>
    <cellStyle name="Calculation 14 11 5 5" xfId="14041" xr:uid="{00000000-0005-0000-0000-0000BA360000}"/>
    <cellStyle name="Calculation 14 11 5 6" xfId="14042" xr:uid="{00000000-0005-0000-0000-0000BB360000}"/>
    <cellStyle name="Calculation 14 11 6" xfId="14043" xr:uid="{00000000-0005-0000-0000-0000BC360000}"/>
    <cellStyle name="Calculation 14 11 6 2" xfId="14044" xr:uid="{00000000-0005-0000-0000-0000BD360000}"/>
    <cellStyle name="Calculation 14 11 6 3" xfId="14045" xr:uid="{00000000-0005-0000-0000-0000BE360000}"/>
    <cellStyle name="Calculation 14 11 6 4" xfId="14046" xr:uid="{00000000-0005-0000-0000-0000BF360000}"/>
    <cellStyle name="Calculation 14 11 6 5" xfId="14047" xr:uid="{00000000-0005-0000-0000-0000C0360000}"/>
    <cellStyle name="Calculation 14 11 6 6" xfId="14048" xr:uid="{00000000-0005-0000-0000-0000C1360000}"/>
    <cellStyle name="Calculation 14 11 7" xfId="14049" xr:uid="{00000000-0005-0000-0000-0000C2360000}"/>
    <cellStyle name="Calculation 14 11 7 2" xfId="14050" xr:uid="{00000000-0005-0000-0000-0000C3360000}"/>
    <cellStyle name="Calculation 14 11 7 3" xfId="14051" xr:uid="{00000000-0005-0000-0000-0000C4360000}"/>
    <cellStyle name="Calculation 14 11 7 4" xfId="14052" xr:uid="{00000000-0005-0000-0000-0000C5360000}"/>
    <cellStyle name="Calculation 14 11 7 5" xfId="14053" xr:uid="{00000000-0005-0000-0000-0000C6360000}"/>
    <cellStyle name="Calculation 14 11 7 6" xfId="14054" xr:uid="{00000000-0005-0000-0000-0000C7360000}"/>
    <cellStyle name="Calculation 14 11 8" xfId="14055" xr:uid="{00000000-0005-0000-0000-0000C8360000}"/>
    <cellStyle name="Calculation 14 11 9" xfId="14056" xr:uid="{00000000-0005-0000-0000-0000C9360000}"/>
    <cellStyle name="Calculation 14 12" xfId="14057" xr:uid="{00000000-0005-0000-0000-0000CA360000}"/>
    <cellStyle name="Calculation 14 12 10" xfId="14058" xr:uid="{00000000-0005-0000-0000-0000CB360000}"/>
    <cellStyle name="Calculation 14 12 2" xfId="14059" xr:uid="{00000000-0005-0000-0000-0000CC360000}"/>
    <cellStyle name="Calculation 14 12 2 2" xfId="14060" xr:uid="{00000000-0005-0000-0000-0000CD360000}"/>
    <cellStyle name="Calculation 14 12 2 3" xfId="14061" xr:uid="{00000000-0005-0000-0000-0000CE360000}"/>
    <cellStyle name="Calculation 14 12 2 4" xfId="14062" xr:uid="{00000000-0005-0000-0000-0000CF360000}"/>
    <cellStyle name="Calculation 14 12 2 5" xfId="14063" xr:uid="{00000000-0005-0000-0000-0000D0360000}"/>
    <cellStyle name="Calculation 14 12 2 6" xfId="14064" xr:uid="{00000000-0005-0000-0000-0000D1360000}"/>
    <cellStyle name="Calculation 14 12 3" xfId="14065" xr:uid="{00000000-0005-0000-0000-0000D2360000}"/>
    <cellStyle name="Calculation 14 12 3 2" xfId="14066" xr:uid="{00000000-0005-0000-0000-0000D3360000}"/>
    <cellStyle name="Calculation 14 12 3 3" xfId="14067" xr:uid="{00000000-0005-0000-0000-0000D4360000}"/>
    <cellStyle name="Calculation 14 12 3 4" xfId="14068" xr:uid="{00000000-0005-0000-0000-0000D5360000}"/>
    <cellStyle name="Calculation 14 12 3 5" xfId="14069" xr:uid="{00000000-0005-0000-0000-0000D6360000}"/>
    <cellStyle name="Calculation 14 12 3 6" xfId="14070" xr:uid="{00000000-0005-0000-0000-0000D7360000}"/>
    <cellStyle name="Calculation 14 12 4" xfId="14071" xr:uid="{00000000-0005-0000-0000-0000D8360000}"/>
    <cellStyle name="Calculation 14 12 4 2" xfId="14072" xr:uid="{00000000-0005-0000-0000-0000D9360000}"/>
    <cellStyle name="Calculation 14 12 4 3" xfId="14073" xr:uid="{00000000-0005-0000-0000-0000DA360000}"/>
    <cellStyle name="Calculation 14 12 4 4" xfId="14074" xr:uid="{00000000-0005-0000-0000-0000DB360000}"/>
    <cellStyle name="Calculation 14 12 4 5" xfId="14075" xr:uid="{00000000-0005-0000-0000-0000DC360000}"/>
    <cellStyle name="Calculation 14 12 4 6" xfId="14076" xr:uid="{00000000-0005-0000-0000-0000DD360000}"/>
    <cellStyle name="Calculation 14 12 5" xfId="14077" xr:uid="{00000000-0005-0000-0000-0000DE360000}"/>
    <cellStyle name="Calculation 14 12 5 2" xfId="14078" xr:uid="{00000000-0005-0000-0000-0000DF360000}"/>
    <cellStyle name="Calculation 14 12 5 3" xfId="14079" xr:uid="{00000000-0005-0000-0000-0000E0360000}"/>
    <cellStyle name="Calculation 14 12 5 4" xfId="14080" xr:uid="{00000000-0005-0000-0000-0000E1360000}"/>
    <cellStyle name="Calculation 14 12 5 5" xfId="14081" xr:uid="{00000000-0005-0000-0000-0000E2360000}"/>
    <cellStyle name="Calculation 14 12 5 6" xfId="14082" xr:uid="{00000000-0005-0000-0000-0000E3360000}"/>
    <cellStyle name="Calculation 14 12 6" xfId="14083" xr:uid="{00000000-0005-0000-0000-0000E4360000}"/>
    <cellStyle name="Calculation 14 12 6 2" xfId="14084" xr:uid="{00000000-0005-0000-0000-0000E5360000}"/>
    <cellStyle name="Calculation 14 12 6 3" xfId="14085" xr:uid="{00000000-0005-0000-0000-0000E6360000}"/>
    <cellStyle name="Calculation 14 12 6 4" xfId="14086" xr:uid="{00000000-0005-0000-0000-0000E7360000}"/>
    <cellStyle name="Calculation 14 12 6 5" xfId="14087" xr:uid="{00000000-0005-0000-0000-0000E8360000}"/>
    <cellStyle name="Calculation 14 12 6 6" xfId="14088" xr:uid="{00000000-0005-0000-0000-0000E9360000}"/>
    <cellStyle name="Calculation 14 12 7" xfId="14089" xr:uid="{00000000-0005-0000-0000-0000EA360000}"/>
    <cellStyle name="Calculation 14 12 7 2" xfId="14090" xr:uid="{00000000-0005-0000-0000-0000EB360000}"/>
    <cellStyle name="Calculation 14 12 7 3" xfId="14091" xr:uid="{00000000-0005-0000-0000-0000EC360000}"/>
    <cellStyle name="Calculation 14 12 7 4" xfId="14092" xr:uid="{00000000-0005-0000-0000-0000ED360000}"/>
    <cellStyle name="Calculation 14 12 7 5" xfId="14093" xr:uid="{00000000-0005-0000-0000-0000EE360000}"/>
    <cellStyle name="Calculation 14 12 7 6" xfId="14094" xr:uid="{00000000-0005-0000-0000-0000EF360000}"/>
    <cellStyle name="Calculation 14 12 8" xfId="14095" xr:uid="{00000000-0005-0000-0000-0000F0360000}"/>
    <cellStyle name="Calculation 14 12 9" xfId="14096" xr:uid="{00000000-0005-0000-0000-0000F1360000}"/>
    <cellStyle name="Calculation 14 13" xfId="14097" xr:uid="{00000000-0005-0000-0000-0000F2360000}"/>
    <cellStyle name="Calculation 14 13 10" xfId="14098" xr:uid="{00000000-0005-0000-0000-0000F3360000}"/>
    <cellStyle name="Calculation 14 13 2" xfId="14099" xr:uid="{00000000-0005-0000-0000-0000F4360000}"/>
    <cellStyle name="Calculation 14 13 2 2" xfId="14100" xr:uid="{00000000-0005-0000-0000-0000F5360000}"/>
    <cellStyle name="Calculation 14 13 2 3" xfId="14101" xr:uid="{00000000-0005-0000-0000-0000F6360000}"/>
    <cellStyle name="Calculation 14 13 2 4" xfId="14102" xr:uid="{00000000-0005-0000-0000-0000F7360000}"/>
    <cellStyle name="Calculation 14 13 2 5" xfId="14103" xr:uid="{00000000-0005-0000-0000-0000F8360000}"/>
    <cellStyle name="Calculation 14 13 2 6" xfId="14104" xr:uid="{00000000-0005-0000-0000-0000F9360000}"/>
    <cellStyle name="Calculation 14 13 3" xfId="14105" xr:uid="{00000000-0005-0000-0000-0000FA360000}"/>
    <cellStyle name="Calculation 14 13 3 2" xfId="14106" xr:uid="{00000000-0005-0000-0000-0000FB360000}"/>
    <cellStyle name="Calculation 14 13 3 3" xfId="14107" xr:uid="{00000000-0005-0000-0000-0000FC360000}"/>
    <cellStyle name="Calculation 14 13 3 4" xfId="14108" xr:uid="{00000000-0005-0000-0000-0000FD360000}"/>
    <cellStyle name="Calculation 14 13 3 5" xfId="14109" xr:uid="{00000000-0005-0000-0000-0000FE360000}"/>
    <cellStyle name="Calculation 14 13 3 6" xfId="14110" xr:uid="{00000000-0005-0000-0000-0000FF360000}"/>
    <cellStyle name="Calculation 14 13 4" xfId="14111" xr:uid="{00000000-0005-0000-0000-000000370000}"/>
    <cellStyle name="Calculation 14 13 4 2" xfId="14112" xr:uid="{00000000-0005-0000-0000-000001370000}"/>
    <cellStyle name="Calculation 14 13 4 3" xfId="14113" xr:uid="{00000000-0005-0000-0000-000002370000}"/>
    <cellStyle name="Calculation 14 13 4 4" xfId="14114" xr:uid="{00000000-0005-0000-0000-000003370000}"/>
    <cellStyle name="Calculation 14 13 4 5" xfId="14115" xr:uid="{00000000-0005-0000-0000-000004370000}"/>
    <cellStyle name="Calculation 14 13 4 6" xfId="14116" xr:uid="{00000000-0005-0000-0000-000005370000}"/>
    <cellStyle name="Calculation 14 13 5" xfId="14117" xr:uid="{00000000-0005-0000-0000-000006370000}"/>
    <cellStyle name="Calculation 14 13 5 2" xfId="14118" xr:uid="{00000000-0005-0000-0000-000007370000}"/>
    <cellStyle name="Calculation 14 13 5 3" xfId="14119" xr:uid="{00000000-0005-0000-0000-000008370000}"/>
    <cellStyle name="Calculation 14 13 5 4" xfId="14120" xr:uid="{00000000-0005-0000-0000-000009370000}"/>
    <cellStyle name="Calculation 14 13 5 5" xfId="14121" xr:uid="{00000000-0005-0000-0000-00000A370000}"/>
    <cellStyle name="Calculation 14 13 5 6" xfId="14122" xr:uid="{00000000-0005-0000-0000-00000B370000}"/>
    <cellStyle name="Calculation 14 13 6" xfId="14123" xr:uid="{00000000-0005-0000-0000-00000C370000}"/>
    <cellStyle name="Calculation 14 13 6 2" xfId="14124" xr:uid="{00000000-0005-0000-0000-00000D370000}"/>
    <cellStyle name="Calculation 14 13 6 3" xfId="14125" xr:uid="{00000000-0005-0000-0000-00000E370000}"/>
    <cellStyle name="Calculation 14 13 6 4" xfId="14126" xr:uid="{00000000-0005-0000-0000-00000F370000}"/>
    <cellStyle name="Calculation 14 13 6 5" xfId="14127" xr:uid="{00000000-0005-0000-0000-000010370000}"/>
    <cellStyle name="Calculation 14 13 6 6" xfId="14128" xr:uid="{00000000-0005-0000-0000-000011370000}"/>
    <cellStyle name="Calculation 14 13 7" xfId="14129" xr:uid="{00000000-0005-0000-0000-000012370000}"/>
    <cellStyle name="Calculation 14 13 7 2" xfId="14130" xr:uid="{00000000-0005-0000-0000-000013370000}"/>
    <cellStyle name="Calculation 14 13 7 3" xfId="14131" xr:uid="{00000000-0005-0000-0000-000014370000}"/>
    <cellStyle name="Calculation 14 13 7 4" xfId="14132" xr:uid="{00000000-0005-0000-0000-000015370000}"/>
    <cellStyle name="Calculation 14 13 7 5" xfId="14133" xr:uid="{00000000-0005-0000-0000-000016370000}"/>
    <cellStyle name="Calculation 14 13 7 6" xfId="14134" xr:uid="{00000000-0005-0000-0000-000017370000}"/>
    <cellStyle name="Calculation 14 13 8" xfId="14135" xr:uid="{00000000-0005-0000-0000-000018370000}"/>
    <cellStyle name="Calculation 14 13 9" xfId="14136" xr:uid="{00000000-0005-0000-0000-000019370000}"/>
    <cellStyle name="Calculation 14 14" xfId="14137" xr:uid="{00000000-0005-0000-0000-00001A370000}"/>
    <cellStyle name="Calculation 14 14 10" xfId="14138" xr:uid="{00000000-0005-0000-0000-00001B370000}"/>
    <cellStyle name="Calculation 14 14 2" xfId="14139" xr:uid="{00000000-0005-0000-0000-00001C370000}"/>
    <cellStyle name="Calculation 14 14 2 2" xfId="14140" xr:uid="{00000000-0005-0000-0000-00001D370000}"/>
    <cellStyle name="Calculation 14 14 2 3" xfId="14141" xr:uid="{00000000-0005-0000-0000-00001E370000}"/>
    <cellStyle name="Calculation 14 14 2 4" xfId="14142" xr:uid="{00000000-0005-0000-0000-00001F370000}"/>
    <cellStyle name="Calculation 14 14 2 5" xfId="14143" xr:uid="{00000000-0005-0000-0000-000020370000}"/>
    <cellStyle name="Calculation 14 14 2 6" xfId="14144" xr:uid="{00000000-0005-0000-0000-000021370000}"/>
    <cellStyle name="Calculation 14 14 3" xfId="14145" xr:uid="{00000000-0005-0000-0000-000022370000}"/>
    <cellStyle name="Calculation 14 14 3 2" xfId="14146" xr:uid="{00000000-0005-0000-0000-000023370000}"/>
    <cellStyle name="Calculation 14 14 3 3" xfId="14147" xr:uid="{00000000-0005-0000-0000-000024370000}"/>
    <cellStyle name="Calculation 14 14 3 4" xfId="14148" xr:uid="{00000000-0005-0000-0000-000025370000}"/>
    <cellStyle name="Calculation 14 14 3 5" xfId="14149" xr:uid="{00000000-0005-0000-0000-000026370000}"/>
    <cellStyle name="Calculation 14 14 3 6" xfId="14150" xr:uid="{00000000-0005-0000-0000-000027370000}"/>
    <cellStyle name="Calculation 14 14 4" xfId="14151" xr:uid="{00000000-0005-0000-0000-000028370000}"/>
    <cellStyle name="Calculation 14 14 4 2" xfId="14152" xr:uid="{00000000-0005-0000-0000-000029370000}"/>
    <cellStyle name="Calculation 14 14 4 3" xfId="14153" xr:uid="{00000000-0005-0000-0000-00002A370000}"/>
    <cellStyle name="Calculation 14 14 4 4" xfId="14154" xr:uid="{00000000-0005-0000-0000-00002B370000}"/>
    <cellStyle name="Calculation 14 14 4 5" xfId="14155" xr:uid="{00000000-0005-0000-0000-00002C370000}"/>
    <cellStyle name="Calculation 14 14 4 6" xfId="14156" xr:uid="{00000000-0005-0000-0000-00002D370000}"/>
    <cellStyle name="Calculation 14 14 5" xfId="14157" xr:uid="{00000000-0005-0000-0000-00002E370000}"/>
    <cellStyle name="Calculation 14 14 5 2" xfId="14158" xr:uid="{00000000-0005-0000-0000-00002F370000}"/>
    <cellStyle name="Calculation 14 14 5 3" xfId="14159" xr:uid="{00000000-0005-0000-0000-000030370000}"/>
    <cellStyle name="Calculation 14 14 5 4" xfId="14160" xr:uid="{00000000-0005-0000-0000-000031370000}"/>
    <cellStyle name="Calculation 14 14 5 5" xfId="14161" xr:uid="{00000000-0005-0000-0000-000032370000}"/>
    <cellStyle name="Calculation 14 14 5 6" xfId="14162" xr:uid="{00000000-0005-0000-0000-000033370000}"/>
    <cellStyle name="Calculation 14 14 6" xfId="14163" xr:uid="{00000000-0005-0000-0000-000034370000}"/>
    <cellStyle name="Calculation 14 14 6 2" xfId="14164" xr:uid="{00000000-0005-0000-0000-000035370000}"/>
    <cellStyle name="Calculation 14 14 6 3" xfId="14165" xr:uid="{00000000-0005-0000-0000-000036370000}"/>
    <cellStyle name="Calculation 14 14 6 4" xfId="14166" xr:uid="{00000000-0005-0000-0000-000037370000}"/>
    <cellStyle name="Calculation 14 14 6 5" xfId="14167" xr:uid="{00000000-0005-0000-0000-000038370000}"/>
    <cellStyle name="Calculation 14 14 6 6" xfId="14168" xr:uid="{00000000-0005-0000-0000-000039370000}"/>
    <cellStyle name="Calculation 14 14 7" xfId="14169" xr:uid="{00000000-0005-0000-0000-00003A370000}"/>
    <cellStyle name="Calculation 14 14 7 2" xfId="14170" xr:uid="{00000000-0005-0000-0000-00003B370000}"/>
    <cellStyle name="Calculation 14 14 7 3" xfId="14171" xr:uid="{00000000-0005-0000-0000-00003C370000}"/>
    <cellStyle name="Calculation 14 14 7 4" xfId="14172" xr:uid="{00000000-0005-0000-0000-00003D370000}"/>
    <cellStyle name="Calculation 14 14 7 5" xfId="14173" xr:uid="{00000000-0005-0000-0000-00003E370000}"/>
    <cellStyle name="Calculation 14 14 7 6" xfId="14174" xr:uid="{00000000-0005-0000-0000-00003F370000}"/>
    <cellStyle name="Calculation 14 14 8" xfId="14175" xr:uid="{00000000-0005-0000-0000-000040370000}"/>
    <cellStyle name="Calculation 14 14 9" xfId="14176" xr:uid="{00000000-0005-0000-0000-000041370000}"/>
    <cellStyle name="Calculation 14 15" xfId="14177" xr:uid="{00000000-0005-0000-0000-000042370000}"/>
    <cellStyle name="Calculation 14 15 10" xfId="14178" xr:uid="{00000000-0005-0000-0000-000043370000}"/>
    <cellStyle name="Calculation 14 15 2" xfId="14179" xr:uid="{00000000-0005-0000-0000-000044370000}"/>
    <cellStyle name="Calculation 14 15 2 2" xfId="14180" xr:uid="{00000000-0005-0000-0000-000045370000}"/>
    <cellStyle name="Calculation 14 15 2 3" xfId="14181" xr:uid="{00000000-0005-0000-0000-000046370000}"/>
    <cellStyle name="Calculation 14 15 2 4" xfId="14182" xr:uid="{00000000-0005-0000-0000-000047370000}"/>
    <cellStyle name="Calculation 14 15 2 5" xfId="14183" xr:uid="{00000000-0005-0000-0000-000048370000}"/>
    <cellStyle name="Calculation 14 15 2 6" xfId="14184" xr:uid="{00000000-0005-0000-0000-000049370000}"/>
    <cellStyle name="Calculation 14 15 3" xfId="14185" xr:uid="{00000000-0005-0000-0000-00004A370000}"/>
    <cellStyle name="Calculation 14 15 3 2" xfId="14186" xr:uid="{00000000-0005-0000-0000-00004B370000}"/>
    <cellStyle name="Calculation 14 15 3 3" xfId="14187" xr:uid="{00000000-0005-0000-0000-00004C370000}"/>
    <cellStyle name="Calculation 14 15 3 4" xfId="14188" xr:uid="{00000000-0005-0000-0000-00004D370000}"/>
    <cellStyle name="Calculation 14 15 3 5" xfId="14189" xr:uid="{00000000-0005-0000-0000-00004E370000}"/>
    <cellStyle name="Calculation 14 15 3 6" xfId="14190" xr:uid="{00000000-0005-0000-0000-00004F370000}"/>
    <cellStyle name="Calculation 14 15 4" xfId="14191" xr:uid="{00000000-0005-0000-0000-000050370000}"/>
    <cellStyle name="Calculation 14 15 4 2" xfId="14192" xr:uid="{00000000-0005-0000-0000-000051370000}"/>
    <cellStyle name="Calculation 14 15 4 3" xfId="14193" xr:uid="{00000000-0005-0000-0000-000052370000}"/>
    <cellStyle name="Calculation 14 15 4 4" xfId="14194" xr:uid="{00000000-0005-0000-0000-000053370000}"/>
    <cellStyle name="Calculation 14 15 4 5" xfId="14195" xr:uid="{00000000-0005-0000-0000-000054370000}"/>
    <cellStyle name="Calculation 14 15 4 6" xfId="14196" xr:uid="{00000000-0005-0000-0000-000055370000}"/>
    <cellStyle name="Calculation 14 15 5" xfId="14197" xr:uid="{00000000-0005-0000-0000-000056370000}"/>
    <cellStyle name="Calculation 14 15 5 2" xfId="14198" xr:uid="{00000000-0005-0000-0000-000057370000}"/>
    <cellStyle name="Calculation 14 15 5 3" xfId="14199" xr:uid="{00000000-0005-0000-0000-000058370000}"/>
    <cellStyle name="Calculation 14 15 5 4" xfId="14200" xr:uid="{00000000-0005-0000-0000-000059370000}"/>
    <cellStyle name="Calculation 14 15 5 5" xfId="14201" xr:uid="{00000000-0005-0000-0000-00005A370000}"/>
    <cellStyle name="Calculation 14 15 5 6" xfId="14202" xr:uid="{00000000-0005-0000-0000-00005B370000}"/>
    <cellStyle name="Calculation 14 15 6" xfId="14203" xr:uid="{00000000-0005-0000-0000-00005C370000}"/>
    <cellStyle name="Calculation 14 15 6 2" xfId="14204" xr:uid="{00000000-0005-0000-0000-00005D370000}"/>
    <cellStyle name="Calculation 14 15 6 3" xfId="14205" xr:uid="{00000000-0005-0000-0000-00005E370000}"/>
    <cellStyle name="Calculation 14 15 6 4" xfId="14206" xr:uid="{00000000-0005-0000-0000-00005F370000}"/>
    <cellStyle name="Calculation 14 15 6 5" xfId="14207" xr:uid="{00000000-0005-0000-0000-000060370000}"/>
    <cellStyle name="Calculation 14 15 6 6" xfId="14208" xr:uid="{00000000-0005-0000-0000-000061370000}"/>
    <cellStyle name="Calculation 14 15 7" xfId="14209" xr:uid="{00000000-0005-0000-0000-000062370000}"/>
    <cellStyle name="Calculation 14 15 7 2" xfId="14210" xr:uid="{00000000-0005-0000-0000-000063370000}"/>
    <cellStyle name="Calculation 14 15 7 3" xfId="14211" xr:uid="{00000000-0005-0000-0000-000064370000}"/>
    <cellStyle name="Calculation 14 15 7 4" xfId="14212" xr:uid="{00000000-0005-0000-0000-000065370000}"/>
    <cellStyle name="Calculation 14 15 7 5" xfId="14213" xr:uid="{00000000-0005-0000-0000-000066370000}"/>
    <cellStyle name="Calculation 14 15 7 6" xfId="14214" xr:uid="{00000000-0005-0000-0000-000067370000}"/>
    <cellStyle name="Calculation 14 15 8" xfId="14215" xr:uid="{00000000-0005-0000-0000-000068370000}"/>
    <cellStyle name="Calculation 14 15 9" xfId="14216" xr:uid="{00000000-0005-0000-0000-000069370000}"/>
    <cellStyle name="Calculation 14 16" xfId="14217" xr:uid="{00000000-0005-0000-0000-00006A370000}"/>
    <cellStyle name="Calculation 14 16 10" xfId="14218" xr:uid="{00000000-0005-0000-0000-00006B370000}"/>
    <cellStyle name="Calculation 14 16 2" xfId="14219" xr:uid="{00000000-0005-0000-0000-00006C370000}"/>
    <cellStyle name="Calculation 14 16 2 2" xfId="14220" xr:uid="{00000000-0005-0000-0000-00006D370000}"/>
    <cellStyle name="Calculation 14 16 2 3" xfId="14221" xr:uid="{00000000-0005-0000-0000-00006E370000}"/>
    <cellStyle name="Calculation 14 16 2 4" xfId="14222" xr:uid="{00000000-0005-0000-0000-00006F370000}"/>
    <cellStyle name="Calculation 14 16 2 5" xfId="14223" xr:uid="{00000000-0005-0000-0000-000070370000}"/>
    <cellStyle name="Calculation 14 16 2 6" xfId="14224" xr:uid="{00000000-0005-0000-0000-000071370000}"/>
    <cellStyle name="Calculation 14 16 3" xfId="14225" xr:uid="{00000000-0005-0000-0000-000072370000}"/>
    <cellStyle name="Calculation 14 16 3 2" xfId="14226" xr:uid="{00000000-0005-0000-0000-000073370000}"/>
    <cellStyle name="Calculation 14 16 3 3" xfId="14227" xr:uid="{00000000-0005-0000-0000-000074370000}"/>
    <cellStyle name="Calculation 14 16 3 4" xfId="14228" xr:uid="{00000000-0005-0000-0000-000075370000}"/>
    <cellStyle name="Calculation 14 16 3 5" xfId="14229" xr:uid="{00000000-0005-0000-0000-000076370000}"/>
    <cellStyle name="Calculation 14 16 3 6" xfId="14230" xr:uid="{00000000-0005-0000-0000-000077370000}"/>
    <cellStyle name="Calculation 14 16 4" xfId="14231" xr:uid="{00000000-0005-0000-0000-000078370000}"/>
    <cellStyle name="Calculation 14 16 4 2" xfId="14232" xr:uid="{00000000-0005-0000-0000-000079370000}"/>
    <cellStyle name="Calculation 14 16 4 3" xfId="14233" xr:uid="{00000000-0005-0000-0000-00007A370000}"/>
    <cellStyle name="Calculation 14 16 4 4" xfId="14234" xr:uid="{00000000-0005-0000-0000-00007B370000}"/>
    <cellStyle name="Calculation 14 16 4 5" xfId="14235" xr:uid="{00000000-0005-0000-0000-00007C370000}"/>
    <cellStyle name="Calculation 14 16 4 6" xfId="14236" xr:uid="{00000000-0005-0000-0000-00007D370000}"/>
    <cellStyle name="Calculation 14 16 5" xfId="14237" xr:uid="{00000000-0005-0000-0000-00007E370000}"/>
    <cellStyle name="Calculation 14 16 5 2" xfId="14238" xr:uid="{00000000-0005-0000-0000-00007F370000}"/>
    <cellStyle name="Calculation 14 16 5 3" xfId="14239" xr:uid="{00000000-0005-0000-0000-000080370000}"/>
    <cellStyle name="Calculation 14 16 5 4" xfId="14240" xr:uid="{00000000-0005-0000-0000-000081370000}"/>
    <cellStyle name="Calculation 14 16 5 5" xfId="14241" xr:uid="{00000000-0005-0000-0000-000082370000}"/>
    <cellStyle name="Calculation 14 16 5 6" xfId="14242" xr:uid="{00000000-0005-0000-0000-000083370000}"/>
    <cellStyle name="Calculation 14 16 6" xfId="14243" xr:uid="{00000000-0005-0000-0000-000084370000}"/>
    <cellStyle name="Calculation 14 16 6 2" xfId="14244" xr:uid="{00000000-0005-0000-0000-000085370000}"/>
    <cellStyle name="Calculation 14 16 6 3" xfId="14245" xr:uid="{00000000-0005-0000-0000-000086370000}"/>
    <cellStyle name="Calculation 14 16 6 4" xfId="14246" xr:uid="{00000000-0005-0000-0000-000087370000}"/>
    <cellStyle name="Calculation 14 16 6 5" xfId="14247" xr:uid="{00000000-0005-0000-0000-000088370000}"/>
    <cellStyle name="Calculation 14 16 6 6" xfId="14248" xr:uid="{00000000-0005-0000-0000-000089370000}"/>
    <cellStyle name="Calculation 14 16 7" xfId="14249" xr:uid="{00000000-0005-0000-0000-00008A370000}"/>
    <cellStyle name="Calculation 14 16 7 2" xfId="14250" xr:uid="{00000000-0005-0000-0000-00008B370000}"/>
    <cellStyle name="Calculation 14 16 7 3" xfId="14251" xr:uid="{00000000-0005-0000-0000-00008C370000}"/>
    <cellStyle name="Calculation 14 16 7 4" xfId="14252" xr:uid="{00000000-0005-0000-0000-00008D370000}"/>
    <cellStyle name="Calculation 14 16 7 5" xfId="14253" xr:uid="{00000000-0005-0000-0000-00008E370000}"/>
    <cellStyle name="Calculation 14 16 7 6" xfId="14254" xr:uid="{00000000-0005-0000-0000-00008F370000}"/>
    <cellStyle name="Calculation 14 16 8" xfId="14255" xr:uid="{00000000-0005-0000-0000-000090370000}"/>
    <cellStyle name="Calculation 14 16 9" xfId="14256" xr:uid="{00000000-0005-0000-0000-000091370000}"/>
    <cellStyle name="Calculation 14 17" xfId="14257" xr:uid="{00000000-0005-0000-0000-000092370000}"/>
    <cellStyle name="Calculation 14 17 10" xfId="14258" xr:uid="{00000000-0005-0000-0000-000093370000}"/>
    <cellStyle name="Calculation 14 17 2" xfId="14259" xr:uid="{00000000-0005-0000-0000-000094370000}"/>
    <cellStyle name="Calculation 14 17 2 2" xfId="14260" xr:uid="{00000000-0005-0000-0000-000095370000}"/>
    <cellStyle name="Calculation 14 17 2 3" xfId="14261" xr:uid="{00000000-0005-0000-0000-000096370000}"/>
    <cellStyle name="Calculation 14 17 2 4" xfId="14262" xr:uid="{00000000-0005-0000-0000-000097370000}"/>
    <cellStyle name="Calculation 14 17 2 5" xfId="14263" xr:uid="{00000000-0005-0000-0000-000098370000}"/>
    <cellStyle name="Calculation 14 17 2 6" xfId="14264" xr:uid="{00000000-0005-0000-0000-000099370000}"/>
    <cellStyle name="Calculation 14 17 3" xfId="14265" xr:uid="{00000000-0005-0000-0000-00009A370000}"/>
    <cellStyle name="Calculation 14 17 3 2" xfId="14266" xr:uid="{00000000-0005-0000-0000-00009B370000}"/>
    <cellStyle name="Calculation 14 17 3 3" xfId="14267" xr:uid="{00000000-0005-0000-0000-00009C370000}"/>
    <cellStyle name="Calculation 14 17 3 4" xfId="14268" xr:uid="{00000000-0005-0000-0000-00009D370000}"/>
    <cellStyle name="Calculation 14 17 3 5" xfId="14269" xr:uid="{00000000-0005-0000-0000-00009E370000}"/>
    <cellStyle name="Calculation 14 17 3 6" xfId="14270" xr:uid="{00000000-0005-0000-0000-00009F370000}"/>
    <cellStyle name="Calculation 14 17 4" xfId="14271" xr:uid="{00000000-0005-0000-0000-0000A0370000}"/>
    <cellStyle name="Calculation 14 17 4 2" xfId="14272" xr:uid="{00000000-0005-0000-0000-0000A1370000}"/>
    <cellStyle name="Calculation 14 17 4 3" xfId="14273" xr:uid="{00000000-0005-0000-0000-0000A2370000}"/>
    <cellStyle name="Calculation 14 17 4 4" xfId="14274" xr:uid="{00000000-0005-0000-0000-0000A3370000}"/>
    <cellStyle name="Calculation 14 17 4 5" xfId="14275" xr:uid="{00000000-0005-0000-0000-0000A4370000}"/>
    <cellStyle name="Calculation 14 17 4 6" xfId="14276" xr:uid="{00000000-0005-0000-0000-0000A5370000}"/>
    <cellStyle name="Calculation 14 17 5" xfId="14277" xr:uid="{00000000-0005-0000-0000-0000A6370000}"/>
    <cellStyle name="Calculation 14 17 5 2" xfId="14278" xr:uid="{00000000-0005-0000-0000-0000A7370000}"/>
    <cellStyle name="Calculation 14 17 5 3" xfId="14279" xr:uid="{00000000-0005-0000-0000-0000A8370000}"/>
    <cellStyle name="Calculation 14 17 5 4" xfId="14280" xr:uid="{00000000-0005-0000-0000-0000A9370000}"/>
    <cellStyle name="Calculation 14 17 5 5" xfId="14281" xr:uid="{00000000-0005-0000-0000-0000AA370000}"/>
    <cellStyle name="Calculation 14 17 5 6" xfId="14282" xr:uid="{00000000-0005-0000-0000-0000AB370000}"/>
    <cellStyle name="Calculation 14 17 6" xfId="14283" xr:uid="{00000000-0005-0000-0000-0000AC370000}"/>
    <cellStyle name="Calculation 14 17 6 2" xfId="14284" xr:uid="{00000000-0005-0000-0000-0000AD370000}"/>
    <cellStyle name="Calculation 14 17 6 3" xfId="14285" xr:uid="{00000000-0005-0000-0000-0000AE370000}"/>
    <cellStyle name="Calculation 14 17 6 4" xfId="14286" xr:uid="{00000000-0005-0000-0000-0000AF370000}"/>
    <cellStyle name="Calculation 14 17 6 5" xfId="14287" xr:uid="{00000000-0005-0000-0000-0000B0370000}"/>
    <cellStyle name="Calculation 14 17 6 6" xfId="14288" xr:uid="{00000000-0005-0000-0000-0000B1370000}"/>
    <cellStyle name="Calculation 14 17 7" xfId="14289" xr:uid="{00000000-0005-0000-0000-0000B2370000}"/>
    <cellStyle name="Calculation 14 17 7 2" xfId="14290" xr:uid="{00000000-0005-0000-0000-0000B3370000}"/>
    <cellStyle name="Calculation 14 17 7 3" xfId="14291" xr:uid="{00000000-0005-0000-0000-0000B4370000}"/>
    <cellStyle name="Calculation 14 17 7 4" xfId="14292" xr:uid="{00000000-0005-0000-0000-0000B5370000}"/>
    <cellStyle name="Calculation 14 17 7 5" xfId="14293" xr:uid="{00000000-0005-0000-0000-0000B6370000}"/>
    <cellStyle name="Calculation 14 17 7 6" xfId="14294" xr:uid="{00000000-0005-0000-0000-0000B7370000}"/>
    <cellStyle name="Calculation 14 17 8" xfId="14295" xr:uid="{00000000-0005-0000-0000-0000B8370000}"/>
    <cellStyle name="Calculation 14 17 9" xfId="14296" xr:uid="{00000000-0005-0000-0000-0000B9370000}"/>
    <cellStyle name="Calculation 14 18" xfId="14297" xr:uid="{00000000-0005-0000-0000-0000BA370000}"/>
    <cellStyle name="Calculation 14 18 10" xfId="14298" xr:uid="{00000000-0005-0000-0000-0000BB370000}"/>
    <cellStyle name="Calculation 14 18 2" xfId="14299" xr:uid="{00000000-0005-0000-0000-0000BC370000}"/>
    <cellStyle name="Calculation 14 18 2 2" xfId="14300" xr:uid="{00000000-0005-0000-0000-0000BD370000}"/>
    <cellStyle name="Calculation 14 18 2 3" xfId="14301" xr:uid="{00000000-0005-0000-0000-0000BE370000}"/>
    <cellStyle name="Calculation 14 18 2 4" xfId="14302" xr:uid="{00000000-0005-0000-0000-0000BF370000}"/>
    <cellStyle name="Calculation 14 18 2 5" xfId="14303" xr:uid="{00000000-0005-0000-0000-0000C0370000}"/>
    <cellStyle name="Calculation 14 18 2 6" xfId="14304" xr:uid="{00000000-0005-0000-0000-0000C1370000}"/>
    <cellStyle name="Calculation 14 18 3" xfId="14305" xr:uid="{00000000-0005-0000-0000-0000C2370000}"/>
    <cellStyle name="Calculation 14 18 3 2" xfId="14306" xr:uid="{00000000-0005-0000-0000-0000C3370000}"/>
    <cellStyle name="Calculation 14 18 3 3" xfId="14307" xr:uid="{00000000-0005-0000-0000-0000C4370000}"/>
    <cellStyle name="Calculation 14 18 3 4" xfId="14308" xr:uid="{00000000-0005-0000-0000-0000C5370000}"/>
    <cellStyle name="Calculation 14 18 3 5" xfId="14309" xr:uid="{00000000-0005-0000-0000-0000C6370000}"/>
    <cellStyle name="Calculation 14 18 3 6" xfId="14310" xr:uid="{00000000-0005-0000-0000-0000C7370000}"/>
    <cellStyle name="Calculation 14 18 4" xfId="14311" xr:uid="{00000000-0005-0000-0000-0000C8370000}"/>
    <cellStyle name="Calculation 14 18 4 2" xfId="14312" xr:uid="{00000000-0005-0000-0000-0000C9370000}"/>
    <cellStyle name="Calculation 14 18 4 3" xfId="14313" xr:uid="{00000000-0005-0000-0000-0000CA370000}"/>
    <cellStyle name="Calculation 14 18 4 4" xfId="14314" xr:uid="{00000000-0005-0000-0000-0000CB370000}"/>
    <cellStyle name="Calculation 14 18 4 5" xfId="14315" xr:uid="{00000000-0005-0000-0000-0000CC370000}"/>
    <cellStyle name="Calculation 14 18 4 6" xfId="14316" xr:uid="{00000000-0005-0000-0000-0000CD370000}"/>
    <cellStyle name="Calculation 14 18 5" xfId="14317" xr:uid="{00000000-0005-0000-0000-0000CE370000}"/>
    <cellStyle name="Calculation 14 18 5 2" xfId="14318" xr:uid="{00000000-0005-0000-0000-0000CF370000}"/>
    <cellStyle name="Calculation 14 18 5 3" xfId="14319" xr:uid="{00000000-0005-0000-0000-0000D0370000}"/>
    <cellStyle name="Calculation 14 18 5 4" xfId="14320" xr:uid="{00000000-0005-0000-0000-0000D1370000}"/>
    <cellStyle name="Calculation 14 18 5 5" xfId="14321" xr:uid="{00000000-0005-0000-0000-0000D2370000}"/>
    <cellStyle name="Calculation 14 18 5 6" xfId="14322" xr:uid="{00000000-0005-0000-0000-0000D3370000}"/>
    <cellStyle name="Calculation 14 18 6" xfId="14323" xr:uid="{00000000-0005-0000-0000-0000D4370000}"/>
    <cellStyle name="Calculation 14 18 6 2" xfId="14324" xr:uid="{00000000-0005-0000-0000-0000D5370000}"/>
    <cellStyle name="Calculation 14 18 6 3" xfId="14325" xr:uid="{00000000-0005-0000-0000-0000D6370000}"/>
    <cellStyle name="Calculation 14 18 6 4" xfId="14326" xr:uid="{00000000-0005-0000-0000-0000D7370000}"/>
    <cellStyle name="Calculation 14 18 6 5" xfId="14327" xr:uid="{00000000-0005-0000-0000-0000D8370000}"/>
    <cellStyle name="Calculation 14 18 6 6" xfId="14328" xr:uid="{00000000-0005-0000-0000-0000D9370000}"/>
    <cellStyle name="Calculation 14 18 7" xfId="14329" xr:uid="{00000000-0005-0000-0000-0000DA370000}"/>
    <cellStyle name="Calculation 14 18 7 2" xfId="14330" xr:uid="{00000000-0005-0000-0000-0000DB370000}"/>
    <cellStyle name="Calculation 14 18 7 3" xfId="14331" xr:uid="{00000000-0005-0000-0000-0000DC370000}"/>
    <cellStyle name="Calculation 14 18 7 4" xfId="14332" xr:uid="{00000000-0005-0000-0000-0000DD370000}"/>
    <cellStyle name="Calculation 14 18 7 5" xfId="14333" xr:uid="{00000000-0005-0000-0000-0000DE370000}"/>
    <cellStyle name="Calculation 14 18 7 6" xfId="14334" xr:uid="{00000000-0005-0000-0000-0000DF370000}"/>
    <cellStyle name="Calculation 14 18 8" xfId="14335" xr:uid="{00000000-0005-0000-0000-0000E0370000}"/>
    <cellStyle name="Calculation 14 18 9" xfId="14336" xr:uid="{00000000-0005-0000-0000-0000E1370000}"/>
    <cellStyle name="Calculation 14 19" xfId="14337" xr:uid="{00000000-0005-0000-0000-0000E2370000}"/>
    <cellStyle name="Calculation 14 19 10" xfId="14338" xr:uid="{00000000-0005-0000-0000-0000E3370000}"/>
    <cellStyle name="Calculation 14 19 2" xfId="14339" xr:uid="{00000000-0005-0000-0000-0000E4370000}"/>
    <cellStyle name="Calculation 14 19 2 2" xfId="14340" xr:uid="{00000000-0005-0000-0000-0000E5370000}"/>
    <cellStyle name="Calculation 14 19 2 3" xfId="14341" xr:uid="{00000000-0005-0000-0000-0000E6370000}"/>
    <cellStyle name="Calculation 14 19 2 4" xfId="14342" xr:uid="{00000000-0005-0000-0000-0000E7370000}"/>
    <cellStyle name="Calculation 14 19 2 5" xfId="14343" xr:uid="{00000000-0005-0000-0000-0000E8370000}"/>
    <cellStyle name="Calculation 14 19 2 6" xfId="14344" xr:uid="{00000000-0005-0000-0000-0000E9370000}"/>
    <cellStyle name="Calculation 14 19 3" xfId="14345" xr:uid="{00000000-0005-0000-0000-0000EA370000}"/>
    <cellStyle name="Calculation 14 19 3 2" xfId="14346" xr:uid="{00000000-0005-0000-0000-0000EB370000}"/>
    <cellStyle name="Calculation 14 19 3 3" xfId="14347" xr:uid="{00000000-0005-0000-0000-0000EC370000}"/>
    <cellStyle name="Calculation 14 19 3 4" xfId="14348" xr:uid="{00000000-0005-0000-0000-0000ED370000}"/>
    <cellStyle name="Calculation 14 19 3 5" xfId="14349" xr:uid="{00000000-0005-0000-0000-0000EE370000}"/>
    <cellStyle name="Calculation 14 19 3 6" xfId="14350" xr:uid="{00000000-0005-0000-0000-0000EF370000}"/>
    <cellStyle name="Calculation 14 19 4" xfId="14351" xr:uid="{00000000-0005-0000-0000-0000F0370000}"/>
    <cellStyle name="Calculation 14 19 4 2" xfId="14352" xr:uid="{00000000-0005-0000-0000-0000F1370000}"/>
    <cellStyle name="Calculation 14 19 4 3" xfId="14353" xr:uid="{00000000-0005-0000-0000-0000F2370000}"/>
    <cellStyle name="Calculation 14 19 4 4" xfId="14354" xr:uid="{00000000-0005-0000-0000-0000F3370000}"/>
    <cellStyle name="Calculation 14 19 4 5" xfId="14355" xr:uid="{00000000-0005-0000-0000-0000F4370000}"/>
    <cellStyle name="Calculation 14 19 4 6" xfId="14356" xr:uid="{00000000-0005-0000-0000-0000F5370000}"/>
    <cellStyle name="Calculation 14 19 5" xfId="14357" xr:uid="{00000000-0005-0000-0000-0000F6370000}"/>
    <cellStyle name="Calculation 14 19 5 2" xfId="14358" xr:uid="{00000000-0005-0000-0000-0000F7370000}"/>
    <cellStyle name="Calculation 14 19 5 3" xfId="14359" xr:uid="{00000000-0005-0000-0000-0000F8370000}"/>
    <cellStyle name="Calculation 14 19 5 4" xfId="14360" xr:uid="{00000000-0005-0000-0000-0000F9370000}"/>
    <cellStyle name="Calculation 14 19 5 5" xfId="14361" xr:uid="{00000000-0005-0000-0000-0000FA370000}"/>
    <cellStyle name="Calculation 14 19 5 6" xfId="14362" xr:uid="{00000000-0005-0000-0000-0000FB370000}"/>
    <cellStyle name="Calculation 14 19 6" xfId="14363" xr:uid="{00000000-0005-0000-0000-0000FC370000}"/>
    <cellStyle name="Calculation 14 19 6 2" xfId="14364" xr:uid="{00000000-0005-0000-0000-0000FD370000}"/>
    <cellStyle name="Calculation 14 19 6 3" xfId="14365" xr:uid="{00000000-0005-0000-0000-0000FE370000}"/>
    <cellStyle name="Calculation 14 19 6 4" xfId="14366" xr:uid="{00000000-0005-0000-0000-0000FF370000}"/>
    <cellStyle name="Calculation 14 19 6 5" xfId="14367" xr:uid="{00000000-0005-0000-0000-000000380000}"/>
    <cellStyle name="Calculation 14 19 6 6" xfId="14368" xr:uid="{00000000-0005-0000-0000-000001380000}"/>
    <cellStyle name="Calculation 14 19 7" xfId="14369" xr:uid="{00000000-0005-0000-0000-000002380000}"/>
    <cellStyle name="Calculation 14 19 7 2" xfId="14370" xr:uid="{00000000-0005-0000-0000-000003380000}"/>
    <cellStyle name="Calculation 14 19 7 3" xfId="14371" xr:uid="{00000000-0005-0000-0000-000004380000}"/>
    <cellStyle name="Calculation 14 19 7 4" xfId="14372" xr:uid="{00000000-0005-0000-0000-000005380000}"/>
    <cellStyle name="Calculation 14 19 7 5" xfId="14373" xr:uid="{00000000-0005-0000-0000-000006380000}"/>
    <cellStyle name="Calculation 14 19 7 6" xfId="14374" xr:uid="{00000000-0005-0000-0000-000007380000}"/>
    <cellStyle name="Calculation 14 19 8" xfId="14375" xr:uid="{00000000-0005-0000-0000-000008380000}"/>
    <cellStyle name="Calculation 14 19 9" xfId="14376" xr:uid="{00000000-0005-0000-0000-000009380000}"/>
    <cellStyle name="Calculation 14 2" xfId="14377" xr:uid="{00000000-0005-0000-0000-00000A380000}"/>
    <cellStyle name="Calculation 14 2 10" xfId="14378" xr:uid="{00000000-0005-0000-0000-00000B380000}"/>
    <cellStyle name="Calculation 14 2 10 10" xfId="14379" xr:uid="{00000000-0005-0000-0000-00000C380000}"/>
    <cellStyle name="Calculation 14 2 10 2" xfId="14380" xr:uid="{00000000-0005-0000-0000-00000D380000}"/>
    <cellStyle name="Calculation 14 2 10 2 2" xfId="14381" xr:uid="{00000000-0005-0000-0000-00000E380000}"/>
    <cellStyle name="Calculation 14 2 10 2 3" xfId="14382" xr:uid="{00000000-0005-0000-0000-00000F380000}"/>
    <cellStyle name="Calculation 14 2 10 2 4" xfId="14383" xr:uid="{00000000-0005-0000-0000-000010380000}"/>
    <cellStyle name="Calculation 14 2 10 2 5" xfId="14384" xr:uid="{00000000-0005-0000-0000-000011380000}"/>
    <cellStyle name="Calculation 14 2 10 2 6" xfId="14385" xr:uid="{00000000-0005-0000-0000-000012380000}"/>
    <cellStyle name="Calculation 14 2 10 3" xfId="14386" xr:uid="{00000000-0005-0000-0000-000013380000}"/>
    <cellStyle name="Calculation 14 2 10 3 2" xfId="14387" xr:uid="{00000000-0005-0000-0000-000014380000}"/>
    <cellStyle name="Calculation 14 2 10 3 3" xfId="14388" xr:uid="{00000000-0005-0000-0000-000015380000}"/>
    <cellStyle name="Calculation 14 2 10 3 4" xfId="14389" xr:uid="{00000000-0005-0000-0000-000016380000}"/>
    <cellStyle name="Calculation 14 2 10 3 5" xfId="14390" xr:uid="{00000000-0005-0000-0000-000017380000}"/>
    <cellStyle name="Calculation 14 2 10 3 6" xfId="14391" xr:uid="{00000000-0005-0000-0000-000018380000}"/>
    <cellStyle name="Calculation 14 2 10 4" xfId="14392" xr:uid="{00000000-0005-0000-0000-000019380000}"/>
    <cellStyle name="Calculation 14 2 10 4 2" xfId="14393" xr:uid="{00000000-0005-0000-0000-00001A380000}"/>
    <cellStyle name="Calculation 14 2 10 4 3" xfId="14394" xr:uid="{00000000-0005-0000-0000-00001B380000}"/>
    <cellStyle name="Calculation 14 2 10 4 4" xfId="14395" xr:uid="{00000000-0005-0000-0000-00001C380000}"/>
    <cellStyle name="Calculation 14 2 10 4 5" xfId="14396" xr:uid="{00000000-0005-0000-0000-00001D380000}"/>
    <cellStyle name="Calculation 14 2 10 4 6" xfId="14397" xr:uid="{00000000-0005-0000-0000-00001E380000}"/>
    <cellStyle name="Calculation 14 2 10 5" xfId="14398" xr:uid="{00000000-0005-0000-0000-00001F380000}"/>
    <cellStyle name="Calculation 14 2 10 5 2" xfId="14399" xr:uid="{00000000-0005-0000-0000-000020380000}"/>
    <cellStyle name="Calculation 14 2 10 5 3" xfId="14400" xr:uid="{00000000-0005-0000-0000-000021380000}"/>
    <cellStyle name="Calculation 14 2 10 5 4" xfId="14401" xr:uid="{00000000-0005-0000-0000-000022380000}"/>
    <cellStyle name="Calculation 14 2 10 5 5" xfId="14402" xr:uid="{00000000-0005-0000-0000-000023380000}"/>
    <cellStyle name="Calculation 14 2 10 5 6" xfId="14403" xr:uid="{00000000-0005-0000-0000-000024380000}"/>
    <cellStyle name="Calculation 14 2 10 6" xfId="14404" xr:uid="{00000000-0005-0000-0000-000025380000}"/>
    <cellStyle name="Calculation 14 2 10 6 2" xfId="14405" xr:uid="{00000000-0005-0000-0000-000026380000}"/>
    <cellStyle name="Calculation 14 2 10 6 3" xfId="14406" xr:uid="{00000000-0005-0000-0000-000027380000}"/>
    <cellStyle name="Calculation 14 2 10 6 4" xfId="14407" xr:uid="{00000000-0005-0000-0000-000028380000}"/>
    <cellStyle name="Calculation 14 2 10 6 5" xfId="14408" xr:uid="{00000000-0005-0000-0000-000029380000}"/>
    <cellStyle name="Calculation 14 2 10 6 6" xfId="14409" xr:uid="{00000000-0005-0000-0000-00002A380000}"/>
    <cellStyle name="Calculation 14 2 10 7" xfId="14410" xr:uid="{00000000-0005-0000-0000-00002B380000}"/>
    <cellStyle name="Calculation 14 2 10 7 2" xfId="14411" xr:uid="{00000000-0005-0000-0000-00002C380000}"/>
    <cellStyle name="Calculation 14 2 10 7 3" xfId="14412" xr:uid="{00000000-0005-0000-0000-00002D380000}"/>
    <cellStyle name="Calculation 14 2 10 7 4" xfId="14413" xr:uid="{00000000-0005-0000-0000-00002E380000}"/>
    <cellStyle name="Calculation 14 2 10 7 5" xfId="14414" xr:uid="{00000000-0005-0000-0000-00002F380000}"/>
    <cellStyle name="Calculation 14 2 10 7 6" xfId="14415" xr:uid="{00000000-0005-0000-0000-000030380000}"/>
    <cellStyle name="Calculation 14 2 10 8" xfId="14416" xr:uid="{00000000-0005-0000-0000-000031380000}"/>
    <cellStyle name="Calculation 14 2 10 9" xfId="14417" xr:uid="{00000000-0005-0000-0000-000032380000}"/>
    <cellStyle name="Calculation 14 2 11" xfId="14418" xr:uid="{00000000-0005-0000-0000-000033380000}"/>
    <cellStyle name="Calculation 14 2 11 10" xfId="14419" xr:uid="{00000000-0005-0000-0000-000034380000}"/>
    <cellStyle name="Calculation 14 2 11 2" xfId="14420" xr:uid="{00000000-0005-0000-0000-000035380000}"/>
    <cellStyle name="Calculation 14 2 11 2 2" xfId="14421" xr:uid="{00000000-0005-0000-0000-000036380000}"/>
    <cellStyle name="Calculation 14 2 11 2 3" xfId="14422" xr:uid="{00000000-0005-0000-0000-000037380000}"/>
    <cellStyle name="Calculation 14 2 11 2 4" xfId="14423" xr:uid="{00000000-0005-0000-0000-000038380000}"/>
    <cellStyle name="Calculation 14 2 11 2 5" xfId="14424" xr:uid="{00000000-0005-0000-0000-000039380000}"/>
    <cellStyle name="Calculation 14 2 11 2 6" xfId="14425" xr:uid="{00000000-0005-0000-0000-00003A380000}"/>
    <cellStyle name="Calculation 14 2 11 3" xfId="14426" xr:uid="{00000000-0005-0000-0000-00003B380000}"/>
    <cellStyle name="Calculation 14 2 11 3 2" xfId="14427" xr:uid="{00000000-0005-0000-0000-00003C380000}"/>
    <cellStyle name="Calculation 14 2 11 3 3" xfId="14428" xr:uid="{00000000-0005-0000-0000-00003D380000}"/>
    <cellStyle name="Calculation 14 2 11 3 4" xfId="14429" xr:uid="{00000000-0005-0000-0000-00003E380000}"/>
    <cellStyle name="Calculation 14 2 11 3 5" xfId="14430" xr:uid="{00000000-0005-0000-0000-00003F380000}"/>
    <cellStyle name="Calculation 14 2 11 3 6" xfId="14431" xr:uid="{00000000-0005-0000-0000-000040380000}"/>
    <cellStyle name="Calculation 14 2 11 4" xfId="14432" xr:uid="{00000000-0005-0000-0000-000041380000}"/>
    <cellStyle name="Calculation 14 2 11 4 2" xfId="14433" xr:uid="{00000000-0005-0000-0000-000042380000}"/>
    <cellStyle name="Calculation 14 2 11 4 3" xfId="14434" xr:uid="{00000000-0005-0000-0000-000043380000}"/>
    <cellStyle name="Calculation 14 2 11 4 4" xfId="14435" xr:uid="{00000000-0005-0000-0000-000044380000}"/>
    <cellStyle name="Calculation 14 2 11 4 5" xfId="14436" xr:uid="{00000000-0005-0000-0000-000045380000}"/>
    <cellStyle name="Calculation 14 2 11 4 6" xfId="14437" xr:uid="{00000000-0005-0000-0000-000046380000}"/>
    <cellStyle name="Calculation 14 2 11 5" xfId="14438" xr:uid="{00000000-0005-0000-0000-000047380000}"/>
    <cellStyle name="Calculation 14 2 11 5 2" xfId="14439" xr:uid="{00000000-0005-0000-0000-000048380000}"/>
    <cellStyle name="Calculation 14 2 11 5 3" xfId="14440" xr:uid="{00000000-0005-0000-0000-000049380000}"/>
    <cellStyle name="Calculation 14 2 11 5 4" xfId="14441" xr:uid="{00000000-0005-0000-0000-00004A380000}"/>
    <cellStyle name="Calculation 14 2 11 5 5" xfId="14442" xr:uid="{00000000-0005-0000-0000-00004B380000}"/>
    <cellStyle name="Calculation 14 2 11 5 6" xfId="14443" xr:uid="{00000000-0005-0000-0000-00004C380000}"/>
    <cellStyle name="Calculation 14 2 11 6" xfId="14444" xr:uid="{00000000-0005-0000-0000-00004D380000}"/>
    <cellStyle name="Calculation 14 2 11 6 2" xfId="14445" xr:uid="{00000000-0005-0000-0000-00004E380000}"/>
    <cellStyle name="Calculation 14 2 11 6 3" xfId="14446" xr:uid="{00000000-0005-0000-0000-00004F380000}"/>
    <cellStyle name="Calculation 14 2 11 6 4" xfId="14447" xr:uid="{00000000-0005-0000-0000-000050380000}"/>
    <cellStyle name="Calculation 14 2 11 6 5" xfId="14448" xr:uid="{00000000-0005-0000-0000-000051380000}"/>
    <cellStyle name="Calculation 14 2 11 6 6" xfId="14449" xr:uid="{00000000-0005-0000-0000-000052380000}"/>
    <cellStyle name="Calculation 14 2 11 7" xfId="14450" xr:uid="{00000000-0005-0000-0000-000053380000}"/>
    <cellStyle name="Calculation 14 2 11 7 2" xfId="14451" xr:uid="{00000000-0005-0000-0000-000054380000}"/>
    <cellStyle name="Calculation 14 2 11 7 3" xfId="14452" xr:uid="{00000000-0005-0000-0000-000055380000}"/>
    <cellStyle name="Calculation 14 2 11 7 4" xfId="14453" xr:uid="{00000000-0005-0000-0000-000056380000}"/>
    <cellStyle name="Calculation 14 2 11 7 5" xfId="14454" xr:uid="{00000000-0005-0000-0000-000057380000}"/>
    <cellStyle name="Calculation 14 2 11 7 6" xfId="14455" xr:uid="{00000000-0005-0000-0000-000058380000}"/>
    <cellStyle name="Calculation 14 2 11 8" xfId="14456" xr:uid="{00000000-0005-0000-0000-000059380000}"/>
    <cellStyle name="Calculation 14 2 11 9" xfId="14457" xr:uid="{00000000-0005-0000-0000-00005A380000}"/>
    <cellStyle name="Calculation 14 2 12" xfId="14458" xr:uid="{00000000-0005-0000-0000-00005B380000}"/>
    <cellStyle name="Calculation 14 2 12 10" xfId="14459" xr:uid="{00000000-0005-0000-0000-00005C380000}"/>
    <cellStyle name="Calculation 14 2 12 2" xfId="14460" xr:uid="{00000000-0005-0000-0000-00005D380000}"/>
    <cellStyle name="Calculation 14 2 12 2 2" xfId="14461" xr:uid="{00000000-0005-0000-0000-00005E380000}"/>
    <cellStyle name="Calculation 14 2 12 2 3" xfId="14462" xr:uid="{00000000-0005-0000-0000-00005F380000}"/>
    <cellStyle name="Calculation 14 2 12 2 4" xfId="14463" xr:uid="{00000000-0005-0000-0000-000060380000}"/>
    <cellStyle name="Calculation 14 2 12 2 5" xfId="14464" xr:uid="{00000000-0005-0000-0000-000061380000}"/>
    <cellStyle name="Calculation 14 2 12 2 6" xfId="14465" xr:uid="{00000000-0005-0000-0000-000062380000}"/>
    <cellStyle name="Calculation 14 2 12 3" xfId="14466" xr:uid="{00000000-0005-0000-0000-000063380000}"/>
    <cellStyle name="Calculation 14 2 12 3 2" xfId="14467" xr:uid="{00000000-0005-0000-0000-000064380000}"/>
    <cellStyle name="Calculation 14 2 12 3 3" xfId="14468" xr:uid="{00000000-0005-0000-0000-000065380000}"/>
    <cellStyle name="Calculation 14 2 12 3 4" xfId="14469" xr:uid="{00000000-0005-0000-0000-000066380000}"/>
    <cellStyle name="Calculation 14 2 12 3 5" xfId="14470" xr:uid="{00000000-0005-0000-0000-000067380000}"/>
    <cellStyle name="Calculation 14 2 12 3 6" xfId="14471" xr:uid="{00000000-0005-0000-0000-000068380000}"/>
    <cellStyle name="Calculation 14 2 12 4" xfId="14472" xr:uid="{00000000-0005-0000-0000-000069380000}"/>
    <cellStyle name="Calculation 14 2 12 4 2" xfId="14473" xr:uid="{00000000-0005-0000-0000-00006A380000}"/>
    <cellStyle name="Calculation 14 2 12 4 3" xfId="14474" xr:uid="{00000000-0005-0000-0000-00006B380000}"/>
    <cellStyle name="Calculation 14 2 12 4 4" xfId="14475" xr:uid="{00000000-0005-0000-0000-00006C380000}"/>
    <cellStyle name="Calculation 14 2 12 4 5" xfId="14476" xr:uid="{00000000-0005-0000-0000-00006D380000}"/>
    <cellStyle name="Calculation 14 2 12 4 6" xfId="14477" xr:uid="{00000000-0005-0000-0000-00006E380000}"/>
    <cellStyle name="Calculation 14 2 12 5" xfId="14478" xr:uid="{00000000-0005-0000-0000-00006F380000}"/>
    <cellStyle name="Calculation 14 2 12 5 2" xfId="14479" xr:uid="{00000000-0005-0000-0000-000070380000}"/>
    <cellStyle name="Calculation 14 2 12 5 3" xfId="14480" xr:uid="{00000000-0005-0000-0000-000071380000}"/>
    <cellStyle name="Calculation 14 2 12 5 4" xfId="14481" xr:uid="{00000000-0005-0000-0000-000072380000}"/>
    <cellStyle name="Calculation 14 2 12 5 5" xfId="14482" xr:uid="{00000000-0005-0000-0000-000073380000}"/>
    <cellStyle name="Calculation 14 2 12 5 6" xfId="14483" xr:uid="{00000000-0005-0000-0000-000074380000}"/>
    <cellStyle name="Calculation 14 2 12 6" xfId="14484" xr:uid="{00000000-0005-0000-0000-000075380000}"/>
    <cellStyle name="Calculation 14 2 12 6 2" xfId="14485" xr:uid="{00000000-0005-0000-0000-000076380000}"/>
    <cellStyle name="Calculation 14 2 12 6 3" xfId="14486" xr:uid="{00000000-0005-0000-0000-000077380000}"/>
    <cellStyle name="Calculation 14 2 12 6 4" xfId="14487" xr:uid="{00000000-0005-0000-0000-000078380000}"/>
    <cellStyle name="Calculation 14 2 12 6 5" xfId="14488" xr:uid="{00000000-0005-0000-0000-000079380000}"/>
    <cellStyle name="Calculation 14 2 12 6 6" xfId="14489" xr:uid="{00000000-0005-0000-0000-00007A380000}"/>
    <cellStyle name="Calculation 14 2 12 7" xfId="14490" xr:uid="{00000000-0005-0000-0000-00007B380000}"/>
    <cellStyle name="Calculation 14 2 12 7 2" xfId="14491" xr:uid="{00000000-0005-0000-0000-00007C380000}"/>
    <cellStyle name="Calculation 14 2 12 7 3" xfId="14492" xr:uid="{00000000-0005-0000-0000-00007D380000}"/>
    <cellStyle name="Calculation 14 2 12 7 4" xfId="14493" xr:uid="{00000000-0005-0000-0000-00007E380000}"/>
    <cellStyle name="Calculation 14 2 12 7 5" xfId="14494" xr:uid="{00000000-0005-0000-0000-00007F380000}"/>
    <cellStyle name="Calculation 14 2 12 7 6" xfId="14495" xr:uid="{00000000-0005-0000-0000-000080380000}"/>
    <cellStyle name="Calculation 14 2 12 8" xfId="14496" xr:uid="{00000000-0005-0000-0000-000081380000}"/>
    <cellStyle name="Calculation 14 2 12 9" xfId="14497" xr:uid="{00000000-0005-0000-0000-000082380000}"/>
    <cellStyle name="Calculation 14 2 13" xfId="14498" xr:uid="{00000000-0005-0000-0000-000083380000}"/>
    <cellStyle name="Calculation 14 2 13 10" xfId="14499" xr:uid="{00000000-0005-0000-0000-000084380000}"/>
    <cellStyle name="Calculation 14 2 13 2" xfId="14500" xr:uid="{00000000-0005-0000-0000-000085380000}"/>
    <cellStyle name="Calculation 14 2 13 2 2" xfId="14501" xr:uid="{00000000-0005-0000-0000-000086380000}"/>
    <cellStyle name="Calculation 14 2 13 2 3" xfId="14502" xr:uid="{00000000-0005-0000-0000-000087380000}"/>
    <cellStyle name="Calculation 14 2 13 2 4" xfId="14503" xr:uid="{00000000-0005-0000-0000-000088380000}"/>
    <cellStyle name="Calculation 14 2 13 2 5" xfId="14504" xr:uid="{00000000-0005-0000-0000-000089380000}"/>
    <cellStyle name="Calculation 14 2 13 2 6" xfId="14505" xr:uid="{00000000-0005-0000-0000-00008A380000}"/>
    <cellStyle name="Calculation 14 2 13 3" xfId="14506" xr:uid="{00000000-0005-0000-0000-00008B380000}"/>
    <cellStyle name="Calculation 14 2 13 3 2" xfId="14507" xr:uid="{00000000-0005-0000-0000-00008C380000}"/>
    <cellStyle name="Calculation 14 2 13 3 3" xfId="14508" xr:uid="{00000000-0005-0000-0000-00008D380000}"/>
    <cellStyle name="Calculation 14 2 13 3 4" xfId="14509" xr:uid="{00000000-0005-0000-0000-00008E380000}"/>
    <cellStyle name="Calculation 14 2 13 3 5" xfId="14510" xr:uid="{00000000-0005-0000-0000-00008F380000}"/>
    <cellStyle name="Calculation 14 2 13 3 6" xfId="14511" xr:uid="{00000000-0005-0000-0000-000090380000}"/>
    <cellStyle name="Calculation 14 2 13 4" xfId="14512" xr:uid="{00000000-0005-0000-0000-000091380000}"/>
    <cellStyle name="Calculation 14 2 13 4 2" xfId="14513" xr:uid="{00000000-0005-0000-0000-000092380000}"/>
    <cellStyle name="Calculation 14 2 13 4 3" xfId="14514" xr:uid="{00000000-0005-0000-0000-000093380000}"/>
    <cellStyle name="Calculation 14 2 13 4 4" xfId="14515" xr:uid="{00000000-0005-0000-0000-000094380000}"/>
    <cellStyle name="Calculation 14 2 13 4 5" xfId="14516" xr:uid="{00000000-0005-0000-0000-000095380000}"/>
    <cellStyle name="Calculation 14 2 13 4 6" xfId="14517" xr:uid="{00000000-0005-0000-0000-000096380000}"/>
    <cellStyle name="Calculation 14 2 13 5" xfId="14518" xr:uid="{00000000-0005-0000-0000-000097380000}"/>
    <cellStyle name="Calculation 14 2 13 5 2" xfId="14519" xr:uid="{00000000-0005-0000-0000-000098380000}"/>
    <cellStyle name="Calculation 14 2 13 5 3" xfId="14520" xr:uid="{00000000-0005-0000-0000-000099380000}"/>
    <cellStyle name="Calculation 14 2 13 5 4" xfId="14521" xr:uid="{00000000-0005-0000-0000-00009A380000}"/>
    <cellStyle name="Calculation 14 2 13 5 5" xfId="14522" xr:uid="{00000000-0005-0000-0000-00009B380000}"/>
    <cellStyle name="Calculation 14 2 13 5 6" xfId="14523" xr:uid="{00000000-0005-0000-0000-00009C380000}"/>
    <cellStyle name="Calculation 14 2 13 6" xfId="14524" xr:uid="{00000000-0005-0000-0000-00009D380000}"/>
    <cellStyle name="Calculation 14 2 13 6 2" xfId="14525" xr:uid="{00000000-0005-0000-0000-00009E380000}"/>
    <cellStyle name="Calculation 14 2 13 6 3" xfId="14526" xr:uid="{00000000-0005-0000-0000-00009F380000}"/>
    <cellStyle name="Calculation 14 2 13 6 4" xfId="14527" xr:uid="{00000000-0005-0000-0000-0000A0380000}"/>
    <cellStyle name="Calculation 14 2 13 6 5" xfId="14528" xr:uid="{00000000-0005-0000-0000-0000A1380000}"/>
    <cellStyle name="Calculation 14 2 13 6 6" xfId="14529" xr:uid="{00000000-0005-0000-0000-0000A2380000}"/>
    <cellStyle name="Calculation 14 2 13 7" xfId="14530" xr:uid="{00000000-0005-0000-0000-0000A3380000}"/>
    <cellStyle name="Calculation 14 2 13 7 2" xfId="14531" xr:uid="{00000000-0005-0000-0000-0000A4380000}"/>
    <cellStyle name="Calculation 14 2 13 7 3" xfId="14532" xr:uid="{00000000-0005-0000-0000-0000A5380000}"/>
    <cellStyle name="Calculation 14 2 13 7 4" xfId="14533" xr:uid="{00000000-0005-0000-0000-0000A6380000}"/>
    <cellStyle name="Calculation 14 2 13 7 5" xfId="14534" xr:uid="{00000000-0005-0000-0000-0000A7380000}"/>
    <cellStyle name="Calculation 14 2 13 7 6" xfId="14535" xr:uid="{00000000-0005-0000-0000-0000A8380000}"/>
    <cellStyle name="Calculation 14 2 13 8" xfId="14536" xr:uid="{00000000-0005-0000-0000-0000A9380000}"/>
    <cellStyle name="Calculation 14 2 13 9" xfId="14537" xr:uid="{00000000-0005-0000-0000-0000AA380000}"/>
    <cellStyle name="Calculation 14 2 14" xfId="14538" xr:uid="{00000000-0005-0000-0000-0000AB380000}"/>
    <cellStyle name="Calculation 14 2 14 10" xfId="14539" xr:uid="{00000000-0005-0000-0000-0000AC380000}"/>
    <cellStyle name="Calculation 14 2 14 2" xfId="14540" xr:uid="{00000000-0005-0000-0000-0000AD380000}"/>
    <cellStyle name="Calculation 14 2 14 2 2" xfId="14541" xr:uid="{00000000-0005-0000-0000-0000AE380000}"/>
    <cellStyle name="Calculation 14 2 14 2 3" xfId="14542" xr:uid="{00000000-0005-0000-0000-0000AF380000}"/>
    <cellStyle name="Calculation 14 2 14 2 4" xfId="14543" xr:uid="{00000000-0005-0000-0000-0000B0380000}"/>
    <cellStyle name="Calculation 14 2 14 2 5" xfId="14544" xr:uid="{00000000-0005-0000-0000-0000B1380000}"/>
    <cellStyle name="Calculation 14 2 14 2 6" xfId="14545" xr:uid="{00000000-0005-0000-0000-0000B2380000}"/>
    <cellStyle name="Calculation 14 2 14 3" xfId="14546" xr:uid="{00000000-0005-0000-0000-0000B3380000}"/>
    <cellStyle name="Calculation 14 2 14 3 2" xfId="14547" xr:uid="{00000000-0005-0000-0000-0000B4380000}"/>
    <cellStyle name="Calculation 14 2 14 3 3" xfId="14548" xr:uid="{00000000-0005-0000-0000-0000B5380000}"/>
    <cellStyle name="Calculation 14 2 14 3 4" xfId="14549" xr:uid="{00000000-0005-0000-0000-0000B6380000}"/>
    <cellStyle name="Calculation 14 2 14 3 5" xfId="14550" xr:uid="{00000000-0005-0000-0000-0000B7380000}"/>
    <cellStyle name="Calculation 14 2 14 3 6" xfId="14551" xr:uid="{00000000-0005-0000-0000-0000B8380000}"/>
    <cellStyle name="Calculation 14 2 14 4" xfId="14552" xr:uid="{00000000-0005-0000-0000-0000B9380000}"/>
    <cellStyle name="Calculation 14 2 14 4 2" xfId="14553" xr:uid="{00000000-0005-0000-0000-0000BA380000}"/>
    <cellStyle name="Calculation 14 2 14 4 3" xfId="14554" xr:uid="{00000000-0005-0000-0000-0000BB380000}"/>
    <cellStyle name="Calculation 14 2 14 4 4" xfId="14555" xr:uid="{00000000-0005-0000-0000-0000BC380000}"/>
    <cellStyle name="Calculation 14 2 14 4 5" xfId="14556" xr:uid="{00000000-0005-0000-0000-0000BD380000}"/>
    <cellStyle name="Calculation 14 2 14 4 6" xfId="14557" xr:uid="{00000000-0005-0000-0000-0000BE380000}"/>
    <cellStyle name="Calculation 14 2 14 5" xfId="14558" xr:uid="{00000000-0005-0000-0000-0000BF380000}"/>
    <cellStyle name="Calculation 14 2 14 5 2" xfId="14559" xr:uid="{00000000-0005-0000-0000-0000C0380000}"/>
    <cellStyle name="Calculation 14 2 14 5 3" xfId="14560" xr:uid="{00000000-0005-0000-0000-0000C1380000}"/>
    <cellStyle name="Calculation 14 2 14 5 4" xfId="14561" xr:uid="{00000000-0005-0000-0000-0000C2380000}"/>
    <cellStyle name="Calculation 14 2 14 5 5" xfId="14562" xr:uid="{00000000-0005-0000-0000-0000C3380000}"/>
    <cellStyle name="Calculation 14 2 14 5 6" xfId="14563" xr:uid="{00000000-0005-0000-0000-0000C4380000}"/>
    <cellStyle name="Calculation 14 2 14 6" xfId="14564" xr:uid="{00000000-0005-0000-0000-0000C5380000}"/>
    <cellStyle name="Calculation 14 2 14 6 2" xfId="14565" xr:uid="{00000000-0005-0000-0000-0000C6380000}"/>
    <cellStyle name="Calculation 14 2 14 6 3" xfId="14566" xr:uid="{00000000-0005-0000-0000-0000C7380000}"/>
    <cellStyle name="Calculation 14 2 14 6 4" xfId="14567" xr:uid="{00000000-0005-0000-0000-0000C8380000}"/>
    <cellStyle name="Calculation 14 2 14 6 5" xfId="14568" xr:uid="{00000000-0005-0000-0000-0000C9380000}"/>
    <cellStyle name="Calculation 14 2 14 6 6" xfId="14569" xr:uid="{00000000-0005-0000-0000-0000CA380000}"/>
    <cellStyle name="Calculation 14 2 14 7" xfId="14570" xr:uid="{00000000-0005-0000-0000-0000CB380000}"/>
    <cellStyle name="Calculation 14 2 14 7 2" xfId="14571" xr:uid="{00000000-0005-0000-0000-0000CC380000}"/>
    <cellStyle name="Calculation 14 2 14 7 3" xfId="14572" xr:uid="{00000000-0005-0000-0000-0000CD380000}"/>
    <cellStyle name="Calculation 14 2 14 7 4" xfId="14573" xr:uid="{00000000-0005-0000-0000-0000CE380000}"/>
    <cellStyle name="Calculation 14 2 14 7 5" xfId="14574" xr:uid="{00000000-0005-0000-0000-0000CF380000}"/>
    <cellStyle name="Calculation 14 2 14 7 6" xfId="14575" xr:uid="{00000000-0005-0000-0000-0000D0380000}"/>
    <cellStyle name="Calculation 14 2 14 8" xfId="14576" xr:uid="{00000000-0005-0000-0000-0000D1380000}"/>
    <cellStyle name="Calculation 14 2 14 9" xfId="14577" xr:uid="{00000000-0005-0000-0000-0000D2380000}"/>
    <cellStyle name="Calculation 14 2 15" xfId="14578" xr:uid="{00000000-0005-0000-0000-0000D3380000}"/>
    <cellStyle name="Calculation 14 2 15 10" xfId="14579" xr:uid="{00000000-0005-0000-0000-0000D4380000}"/>
    <cellStyle name="Calculation 14 2 15 2" xfId="14580" xr:uid="{00000000-0005-0000-0000-0000D5380000}"/>
    <cellStyle name="Calculation 14 2 15 2 2" xfId="14581" xr:uid="{00000000-0005-0000-0000-0000D6380000}"/>
    <cellStyle name="Calculation 14 2 15 2 3" xfId="14582" xr:uid="{00000000-0005-0000-0000-0000D7380000}"/>
    <cellStyle name="Calculation 14 2 15 2 4" xfId="14583" xr:uid="{00000000-0005-0000-0000-0000D8380000}"/>
    <cellStyle name="Calculation 14 2 15 2 5" xfId="14584" xr:uid="{00000000-0005-0000-0000-0000D9380000}"/>
    <cellStyle name="Calculation 14 2 15 2 6" xfId="14585" xr:uid="{00000000-0005-0000-0000-0000DA380000}"/>
    <cellStyle name="Calculation 14 2 15 3" xfId="14586" xr:uid="{00000000-0005-0000-0000-0000DB380000}"/>
    <cellStyle name="Calculation 14 2 15 3 2" xfId="14587" xr:uid="{00000000-0005-0000-0000-0000DC380000}"/>
    <cellStyle name="Calculation 14 2 15 3 3" xfId="14588" xr:uid="{00000000-0005-0000-0000-0000DD380000}"/>
    <cellStyle name="Calculation 14 2 15 3 4" xfId="14589" xr:uid="{00000000-0005-0000-0000-0000DE380000}"/>
    <cellStyle name="Calculation 14 2 15 3 5" xfId="14590" xr:uid="{00000000-0005-0000-0000-0000DF380000}"/>
    <cellStyle name="Calculation 14 2 15 3 6" xfId="14591" xr:uid="{00000000-0005-0000-0000-0000E0380000}"/>
    <cellStyle name="Calculation 14 2 15 4" xfId="14592" xr:uid="{00000000-0005-0000-0000-0000E1380000}"/>
    <cellStyle name="Calculation 14 2 15 4 2" xfId="14593" xr:uid="{00000000-0005-0000-0000-0000E2380000}"/>
    <cellStyle name="Calculation 14 2 15 4 3" xfId="14594" xr:uid="{00000000-0005-0000-0000-0000E3380000}"/>
    <cellStyle name="Calculation 14 2 15 4 4" xfId="14595" xr:uid="{00000000-0005-0000-0000-0000E4380000}"/>
    <cellStyle name="Calculation 14 2 15 4 5" xfId="14596" xr:uid="{00000000-0005-0000-0000-0000E5380000}"/>
    <cellStyle name="Calculation 14 2 15 4 6" xfId="14597" xr:uid="{00000000-0005-0000-0000-0000E6380000}"/>
    <cellStyle name="Calculation 14 2 15 5" xfId="14598" xr:uid="{00000000-0005-0000-0000-0000E7380000}"/>
    <cellStyle name="Calculation 14 2 15 5 2" xfId="14599" xr:uid="{00000000-0005-0000-0000-0000E8380000}"/>
    <cellStyle name="Calculation 14 2 15 5 3" xfId="14600" xr:uid="{00000000-0005-0000-0000-0000E9380000}"/>
    <cellStyle name="Calculation 14 2 15 5 4" xfId="14601" xr:uid="{00000000-0005-0000-0000-0000EA380000}"/>
    <cellStyle name="Calculation 14 2 15 5 5" xfId="14602" xr:uid="{00000000-0005-0000-0000-0000EB380000}"/>
    <cellStyle name="Calculation 14 2 15 5 6" xfId="14603" xr:uid="{00000000-0005-0000-0000-0000EC380000}"/>
    <cellStyle name="Calculation 14 2 15 6" xfId="14604" xr:uid="{00000000-0005-0000-0000-0000ED380000}"/>
    <cellStyle name="Calculation 14 2 15 6 2" xfId="14605" xr:uid="{00000000-0005-0000-0000-0000EE380000}"/>
    <cellStyle name="Calculation 14 2 15 6 3" xfId="14606" xr:uid="{00000000-0005-0000-0000-0000EF380000}"/>
    <cellStyle name="Calculation 14 2 15 6 4" xfId="14607" xr:uid="{00000000-0005-0000-0000-0000F0380000}"/>
    <cellStyle name="Calculation 14 2 15 6 5" xfId="14608" xr:uid="{00000000-0005-0000-0000-0000F1380000}"/>
    <cellStyle name="Calculation 14 2 15 6 6" xfId="14609" xr:uid="{00000000-0005-0000-0000-0000F2380000}"/>
    <cellStyle name="Calculation 14 2 15 7" xfId="14610" xr:uid="{00000000-0005-0000-0000-0000F3380000}"/>
    <cellStyle name="Calculation 14 2 15 7 2" xfId="14611" xr:uid="{00000000-0005-0000-0000-0000F4380000}"/>
    <cellStyle name="Calculation 14 2 15 7 3" xfId="14612" xr:uid="{00000000-0005-0000-0000-0000F5380000}"/>
    <cellStyle name="Calculation 14 2 15 7 4" xfId="14613" xr:uid="{00000000-0005-0000-0000-0000F6380000}"/>
    <cellStyle name="Calculation 14 2 15 7 5" xfId="14614" xr:uid="{00000000-0005-0000-0000-0000F7380000}"/>
    <cellStyle name="Calculation 14 2 15 7 6" xfId="14615" xr:uid="{00000000-0005-0000-0000-0000F8380000}"/>
    <cellStyle name="Calculation 14 2 15 8" xfId="14616" xr:uid="{00000000-0005-0000-0000-0000F9380000}"/>
    <cellStyle name="Calculation 14 2 15 9" xfId="14617" xr:uid="{00000000-0005-0000-0000-0000FA380000}"/>
    <cellStyle name="Calculation 14 2 16" xfId="14618" xr:uid="{00000000-0005-0000-0000-0000FB380000}"/>
    <cellStyle name="Calculation 14 2 16 10" xfId="14619" xr:uid="{00000000-0005-0000-0000-0000FC380000}"/>
    <cellStyle name="Calculation 14 2 16 2" xfId="14620" xr:uid="{00000000-0005-0000-0000-0000FD380000}"/>
    <cellStyle name="Calculation 14 2 16 2 2" xfId="14621" xr:uid="{00000000-0005-0000-0000-0000FE380000}"/>
    <cellStyle name="Calculation 14 2 16 2 3" xfId="14622" xr:uid="{00000000-0005-0000-0000-0000FF380000}"/>
    <cellStyle name="Calculation 14 2 16 2 4" xfId="14623" xr:uid="{00000000-0005-0000-0000-000000390000}"/>
    <cellStyle name="Calculation 14 2 16 2 5" xfId="14624" xr:uid="{00000000-0005-0000-0000-000001390000}"/>
    <cellStyle name="Calculation 14 2 16 2 6" xfId="14625" xr:uid="{00000000-0005-0000-0000-000002390000}"/>
    <cellStyle name="Calculation 14 2 16 3" xfId="14626" xr:uid="{00000000-0005-0000-0000-000003390000}"/>
    <cellStyle name="Calculation 14 2 16 3 2" xfId="14627" xr:uid="{00000000-0005-0000-0000-000004390000}"/>
    <cellStyle name="Calculation 14 2 16 3 3" xfId="14628" xr:uid="{00000000-0005-0000-0000-000005390000}"/>
    <cellStyle name="Calculation 14 2 16 3 4" xfId="14629" xr:uid="{00000000-0005-0000-0000-000006390000}"/>
    <cellStyle name="Calculation 14 2 16 3 5" xfId="14630" xr:uid="{00000000-0005-0000-0000-000007390000}"/>
    <cellStyle name="Calculation 14 2 16 3 6" xfId="14631" xr:uid="{00000000-0005-0000-0000-000008390000}"/>
    <cellStyle name="Calculation 14 2 16 4" xfId="14632" xr:uid="{00000000-0005-0000-0000-000009390000}"/>
    <cellStyle name="Calculation 14 2 16 4 2" xfId="14633" xr:uid="{00000000-0005-0000-0000-00000A390000}"/>
    <cellStyle name="Calculation 14 2 16 4 3" xfId="14634" xr:uid="{00000000-0005-0000-0000-00000B390000}"/>
    <cellStyle name="Calculation 14 2 16 4 4" xfId="14635" xr:uid="{00000000-0005-0000-0000-00000C390000}"/>
    <cellStyle name="Calculation 14 2 16 4 5" xfId="14636" xr:uid="{00000000-0005-0000-0000-00000D390000}"/>
    <cellStyle name="Calculation 14 2 16 4 6" xfId="14637" xr:uid="{00000000-0005-0000-0000-00000E390000}"/>
    <cellStyle name="Calculation 14 2 16 5" xfId="14638" xr:uid="{00000000-0005-0000-0000-00000F390000}"/>
    <cellStyle name="Calculation 14 2 16 5 2" xfId="14639" xr:uid="{00000000-0005-0000-0000-000010390000}"/>
    <cellStyle name="Calculation 14 2 16 5 3" xfId="14640" xr:uid="{00000000-0005-0000-0000-000011390000}"/>
    <cellStyle name="Calculation 14 2 16 5 4" xfId="14641" xr:uid="{00000000-0005-0000-0000-000012390000}"/>
    <cellStyle name="Calculation 14 2 16 5 5" xfId="14642" xr:uid="{00000000-0005-0000-0000-000013390000}"/>
    <cellStyle name="Calculation 14 2 16 5 6" xfId="14643" xr:uid="{00000000-0005-0000-0000-000014390000}"/>
    <cellStyle name="Calculation 14 2 16 6" xfId="14644" xr:uid="{00000000-0005-0000-0000-000015390000}"/>
    <cellStyle name="Calculation 14 2 16 6 2" xfId="14645" xr:uid="{00000000-0005-0000-0000-000016390000}"/>
    <cellStyle name="Calculation 14 2 16 6 3" xfId="14646" xr:uid="{00000000-0005-0000-0000-000017390000}"/>
    <cellStyle name="Calculation 14 2 16 6 4" xfId="14647" xr:uid="{00000000-0005-0000-0000-000018390000}"/>
    <cellStyle name="Calculation 14 2 16 6 5" xfId="14648" xr:uid="{00000000-0005-0000-0000-000019390000}"/>
    <cellStyle name="Calculation 14 2 16 6 6" xfId="14649" xr:uid="{00000000-0005-0000-0000-00001A390000}"/>
    <cellStyle name="Calculation 14 2 16 7" xfId="14650" xr:uid="{00000000-0005-0000-0000-00001B390000}"/>
    <cellStyle name="Calculation 14 2 16 7 2" xfId="14651" xr:uid="{00000000-0005-0000-0000-00001C390000}"/>
    <cellStyle name="Calculation 14 2 16 7 3" xfId="14652" xr:uid="{00000000-0005-0000-0000-00001D390000}"/>
    <cellStyle name="Calculation 14 2 16 7 4" xfId="14653" xr:uid="{00000000-0005-0000-0000-00001E390000}"/>
    <cellStyle name="Calculation 14 2 16 7 5" xfId="14654" xr:uid="{00000000-0005-0000-0000-00001F390000}"/>
    <cellStyle name="Calculation 14 2 16 7 6" xfId="14655" xr:uid="{00000000-0005-0000-0000-000020390000}"/>
    <cellStyle name="Calculation 14 2 16 8" xfId="14656" xr:uid="{00000000-0005-0000-0000-000021390000}"/>
    <cellStyle name="Calculation 14 2 16 9" xfId="14657" xr:uid="{00000000-0005-0000-0000-000022390000}"/>
    <cellStyle name="Calculation 14 2 17" xfId="14658" xr:uid="{00000000-0005-0000-0000-000023390000}"/>
    <cellStyle name="Calculation 14 2 17 10" xfId="14659" xr:uid="{00000000-0005-0000-0000-000024390000}"/>
    <cellStyle name="Calculation 14 2 17 2" xfId="14660" xr:uid="{00000000-0005-0000-0000-000025390000}"/>
    <cellStyle name="Calculation 14 2 17 2 2" xfId="14661" xr:uid="{00000000-0005-0000-0000-000026390000}"/>
    <cellStyle name="Calculation 14 2 17 2 3" xfId="14662" xr:uid="{00000000-0005-0000-0000-000027390000}"/>
    <cellStyle name="Calculation 14 2 17 2 4" xfId="14663" xr:uid="{00000000-0005-0000-0000-000028390000}"/>
    <cellStyle name="Calculation 14 2 17 2 5" xfId="14664" xr:uid="{00000000-0005-0000-0000-000029390000}"/>
    <cellStyle name="Calculation 14 2 17 2 6" xfId="14665" xr:uid="{00000000-0005-0000-0000-00002A390000}"/>
    <cellStyle name="Calculation 14 2 17 3" xfId="14666" xr:uid="{00000000-0005-0000-0000-00002B390000}"/>
    <cellStyle name="Calculation 14 2 17 3 2" xfId="14667" xr:uid="{00000000-0005-0000-0000-00002C390000}"/>
    <cellStyle name="Calculation 14 2 17 3 3" xfId="14668" xr:uid="{00000000-0005-0000-0000-00002D390000}"/>
    <cellStyle name="Calculation 14 2 17 3 4" xfId="14669" xr:uid="{00000000-0005-0000-0000-00002E390000}"/>
    <cellStyle name="Calculation 14 2 17 3 5" xfId="14670" xr:uid="{00000000-0005-0000-0000-00002F390000}"/>
    <cellStyle name="Calculation 14 2 17 3 6" xfId="14671" xr:uid="{00000000-0005-0000-0000-000030390000}"/>
    <cellStyle name="Calculation 14 2 17 4" xfId="14672" xr:uid="{00000000-0005-0000-0000-000031390000}"/>
    <cellStyle name="Calculation 14 2 17 4 2" xfId="14673" xr:uid="{00000000-0005-0000-0000-000032390000}"/>
    <cellStyle name="Calculation 14 2 17 4 3" xfId="14674" xr:uid="{00000000-0005-0000-0000-000033390000}"/>
    <cellStyle name="Calculation 14 2 17 4 4" xfId="14675" xr:uid="{00000000-0005-0000-0000-000034390000}"/>
    <cellStyle name="Calculation 14 2 17 4 5" xfId="14676" xr:uid="{00000000-0005-0000-0000-000035390000}"/>
    <cellStyle name="Calculation 14 2 17 4 6" xfId="14677" xr:uid="{00000000-0005-0000-0000-000036390000}"/>
    <cellStyle name="Calculation 14 2 17 5" xfId="14678" xr:uid="{00000000-0005-0000-0000-000037390000}"/>
    <cellStyle name="Calculation 14 2 17 5 2" xfId="14679" xr:uid="{00000000-0005-0000-0000-000038390000}"/>
    <cellStyle name="Calculation 14 2 17 5 3" xfId="14680" xr:uid="{00000000-0005-0000-0000-000039390000}"/>
    <cellStyle name="Calculation 14 2 17 5 4" xfId="14681" xr:uid="{00000000-0005-0000-0000-00003A390000}"/>
    <cellStyle name="Calculation 14 2 17 5 5" xfId="14682" xr:uid="{00000000-0005-0000-0000-00003B390000}"/>
    <cellStyle name="Calculation 14 2 17 5 6" xfId="14683" xr:uid="{00000000-0005-0000-0000-00003C390000}"/>
    <cellStyle name="Calculation 14 2 17 6" xfId="14684" xr:uid="{00000000-0005-0000-0000-00003D390000}"/>
    <cellStyle name="Calculation 14 2 17 6 2" xfId="14685" xr:uid="{00000000-0005-0000-0000-00003E390000}"/>
    <cellStyle name="Calculation 14 2 17 6 3" xfId="14686" xr:uid="{00000000-0005-0000-0000-00003F390000}"/>
    <cellStyle name="Calculation 14 2 17 6 4" xfId="14687" xr:uid="{00000000-0005-0000-0000-000040390000}"/>
    <cellStyle name="Calculation 14 2 17 6 5" xfId="14688" xr:uid="{00000000-0005-0000-0000-000041390000}"/>
    <cellStyle name="Calculation 14 2 17 6 6" xfId="14689" xr:uid="{00000000-0005-0000-0000-000042390000}"/>
    <cellStyle name="Calculation 14 2 17 7" xfId="14690" xr:uid="{00000000-0005-0000-0000-000043390000}"/>
    <cellStyle name="Calculation 14 2 17 7 2" xfId="14691" xr:uid="{00000000-0005-0000-0000-000044390000}"/>
    <cellStyle name="Calculation 14 2 17 7 3" xfId="14692" xr:uid="{00000000-0005-0000-0000-000045390000}"/>
    <cellStyle name="Calculation 14 2 17 7 4" xfId="14693" xr:uid="{00000000-0005-0000-0000-000046390000}"/>
    <cellStyle name="Calculation 14 2 17 7 5" xfId="14694" xr:uid="{00000000-0005-0000-0000-000047390000}"/>
    <cellStyle name="Calculation 14 2 17 7 6" xfId="14695" xr:uid="{00000000-0005-0000-0000-000048390000}"/>
    <cellStyle name="Calculation 14 2 17 8" xfId="14696" xr:uid="{00000000-0005-0000-0000-000049390000}"/>
    <cellStyle name="Calculation 14 2 17 9" xfId="14697" xr:uid="{00000000-0005-0000-0000-00004A390000}"/>
    <cellStyle name="Calculation 14 2 18" xfId="14698" xr:uid="{00000000-0005-0000-0000-00004B390000}"/>
    <cellStyle name="Calculation 14 2 18 10" xfId="14699" xr:uid="{00000000-0005-0000-0000-00004C390000}"/>
    <cellStyle name="Calculation 14 2 18 2" xfId="14700" xr:uid="{00000000-0005-0000-0000-00004D390000}"/>
    <cellStyle name="Calculation 14 2 18 2 2" xfId="14701" xr:uid="{00000000-0005-0000-0000-00004E390000}"/>
    <cellStyle name="Calculation 14 2 18 2 3" xfId="14702" xr:uid="{00000000-0005-0000-0000-00004F390000}"/>
    <cellStyle name="Calculation 14 2 18 2 4" xfId="14703" xr:uid="{00000000-0005-0000-0000-000050390000}"/>
    <cellStyle name="Calculation 14 2 18 2 5" xfId="14704" xr:uid="{00000000-0005-0000-0000-000051390000}"/>
    <cellStyle name="Calculation 14 2 18 2 6" xfId="14705" xr:uid="{00000000-0005-0000-0000-000052390000}"/>
    <cellStyle name="Calculation 14 2 18 3" xfId="14706" xr:uid="{00000000-0005-0000-0000-000053390000}"/>
    <cellStyle name="Calculation 14 2 18 3 2" xfId="14707" xr:uid="{00000000-0005-0000-0000-000054390000}"/>
    <cellStyle name="Calculation 14 2 18 3 3" xfId="14708" xr:uid="{00000000-0005-0000-0000-000055390000}"/>
    <cellStyle name="Calculation 14 2 18 3 4" xfId="14709" xr:uid="{00000000-0005-0000-0000-000056390000}"/>
    <cellStyle name="Calculation 14 2 18 3 5" xfId="14710" xr:uid="{00000000-0005-0000-0000-000057390000}"/>
    <cellStyle name="Calculation 14 2 18 3 6" xfId="14711" xr:uid="{00000000-0005-0000-0000-000058390000}"/>
    <cellStyle name="Calculation 14 2 18 4" xfId="14712" xr:uid="{00000000-0005-0000-0000-000059390000}"/>
    <cellStyle name="Calculation 14 2 18 4 2" xfId="14713" xr:uid="{00000000-0005-0000-0000-00005A390000}"/>
    <cellStyle name="Calculation 14 2 18 4 3" xfId="14714" xr:uid="{00000000-0005-0000-0000-00005B390000}"/>
    <cellStyle name="Calculation 14 2 18 4 4" xfId="14715" xr:uid="{00000000-0005-0000-0000-00005C390000}"/>
    <cellStyle name="Calculation 14 2 18 4 5" xfId="14716" xr:uid="{00000000-0005-0000-0000-00005D390000}"/>
    <cellStyle name="Calculation 14 2 18 4 6" xfId="14717" xr:uid="{00000000-0005-0000-0000-00005E390000}"/>
    <cellStyle name="Calculation 14 2 18 5" xfId="14718" xr:uid="{00000000-0005-0000-0000-00005F390000}"/>
    <cellStyle name="Calculation 14 2 18 5 2" xfId="14719" xr:uid="{00000000-0005-0000-0000-000060390000}"/>
    <cellStyle name="Calculation 14 2 18 5 3" xfId="14720" xr:uid="{00000000-0005-0000-0000-000061390000}"/>
    <cellStyle name="Calculation 14 2 18 5 4" xfId="14721" xr:uid="{00000000-0005-0000-0000-000062390000}"/>
    <cellStyle name="Calculation 14 2 18 5 5" xfId="14722" xr:uid="{00000000-0005-0000-0000-000063390000}"/>
    <cellStyle name="Calculation 14 2 18 5 6" xfId="14723" xr:uid="{00000000-0005-0000-0000-000064390000}"/>
    <cellStyle name="Calculation 14 2 18 6" xfId="14724" xr:uid="{00000000-0005-0000-0000-000065390000}"/>
    <cellStyle name="Calculation 14 2 18 6 2" xfId="14725" xr:uid="{00000000-0005-0000-0000-000066390000}"/>
    <cellStyle name="Calculation 14 2 18 6 3" xfId="14726" xr:uid="{00000000-0005-0000-0000-000067390000}"/>
    <cellStyle name="Calculation 14 2 18 6 4" xfId="14727" xr:uid="{00000000-0005-0000-0000-000068390000}"/>
    <cellStyle name="Calculation 14 2 18 6 5" xfId="14728" xr:uid="{00000000-0005-0000-0000-000069390000}"/>
    <cellStyle name="Calculation 14 2 18 6 6" xfId="14729" xr:uid="{00000000-0005-0000-0000-00006A390000}"/>
    <cellStyle name="Calculation 14 2 18 7" xfId="14730" xr:uid="{00000000-0005-0000-0000-00006B390000}"/>
    <cellStyle name="Calculation 14 2 18 7 2" xfId="14731" xr:uid="{00000000-0005-0000-0000-00006C390000}"/>
    <cellStyle name="Calculation 14 2 18 7 3" xfId="14732" xr:uid="{00000000-0005-0000-0000-00006D390000}"/>
    <cellStyle name="Calculation 14 2 18 7 4" xfId="14733" xr:uid="{00000000-0005-0000-0000-00006E390000}"/>
    <cellStyle name="Calculation 14 2 18 7 5" xfId="14734" xr:uid="{00000000-0005-0000-0000-00006F390000}"/>
    <cellStyle name="Calculation 14 2 18 7 6" xfId="14735" xr:uid="{00000000-0005-0000-0000-000070390000}"/>
    <cellStyle name="Calculation 14 2 18 8" xfId="14736" xr:uid="{00000000-0005-0000-0000-000071390000}"/>
    <cellStyle name="Calculation 14 2 18 9" xfId="14737" xr:uid="{00000000-0005-0000-0000-000072390000}"/>
    <cellStyle name="Calculation 14 2 19" xfId="14738" xr:uid="{00000000-0005-0000-0000-000073390000}"/>
    <cellStyle name="Calculation 14 2 19 10" xfId="14739" xr:uid="{00000000-0005-0000-0000-000074390000}"/>
    <cellStyle name="Calculation 14 2 19 2" xfId="14740" xr:uid="{00000000-0005-0000-0000-000075390000}"/>
    <cellStyle name="Calculation 14 2 19 2 2" xfId="14741" xr:uid="{00000000-0005-0000-0000-000076390000}"/>
    <cellStyle name="Calculation 14 2 19 2 3" xfId="14742" xr:uid="{00000000-0005-0000-0000-000077390000}"/>
    <cellStyle name="Calculation 14 2 19 2 4" xfId="14743" xr:uid="{00000000-0005-0000-0000-000078390000}"/>
    <cellStyle name="Calculation 14 2 19 2 5" xfId="14744" xr:uid="{00000000-0005-0000-0000-000079390000}"/>
    <cellStyle name="Calculation 14 2 19 2 6" xfId="14745" xr:uid="{00000000-0005-0000-0000-00007A390000}"/>
    <cellStyle name="Calculation 14 2 19 3" xfId="14746" xr:uid="{00000000-0005-0000-0000-00007B390000}"/>
    <cellStyle name="Calculation 14 2 19 3 2" xfId="14747" xr:uid="{00000000-0005-0000-0000-00007C390000}"/>
    <cellStyle name="Calculation 14 2 19 3 3" xfId="14748" xr:uid="{00000000-0005-0000-0000-00007D390000}"/>
    <cellStyle name="Calculation 14 2 19 3 4" xfId="14749" xr:uid="{00000000-0005-0000-0000-00007E390000}"/>
    <cellStyle name="Calculation 14 2 19 3 5" xfId="14750" xr:uid="{00000000-0005-0000-0000-00007F390000}"/>
    <cellStyle name="Calculation 14 2 19 3 6" xfId="14751" xr:uid="{00000000-0005-0000-0000-000080390000}"/>
    <cellStyle name="Calculation 14 2 19 4" xfId="14752" xr:uid="{00000000-0005-0000-0000-000081390000}"/>
    <cellStyle name="Calculation 14 2 19 4 2" xfId="14753" xr:uid="{00000000-0005-0000-0000-000082390000}"/>
    <cellStyle name="Calculation 14 2 19 4 3" xfId="14754" xr:uid="{00000000-0005-0000-0000-000083390000}"/>
    <cellStyle name="Calculation 14 2 19 4 4" xfId="14755" xr:uid="{00000000-0005-0000-0000-000084390000}"/>
    <cellStyle name="Calculation 14 2 19 4 5" xfId="14756" xr:uid="{00000000-0005-0000-0000-000085390000}"/>
    <cellStyle name="Calculation 14 2 19 4 6" xfId="14757" xr:uid="{00000000-0005-0000-0000-000086390000}"/>
    <cellStyle name="Calculation 14 2 19 5" xfId="14758" xr:uid="{00000000-0005-0000-0000-000087390000}"/>
    <cellStyle name="Calculation 14 2 19 5 2" xfId="14759" xr:uid="{00000000-0005-0000-0000-000088390000}"/>
    <cellStyle name="Calculation 14 2 19 5 3" xfId="14760" xr:uid="{00000000-0005-0000-0000-000089390000}"/>
    <cellStyle name="Calculation 14 2 19 5 4" xfId="14761" xr:uid="{00000000-0005-0000-0000-00008A390000}"/>
    <cellStyle name="Calculation 14 2 19 5 5" xfId="14762" xr:uid="{00000000-0005-0000-0000-00008B390000}"/>
    <cellStyle name="Calculation 14 2 19 5 6" xfId="14763" xr:uid="{00000000-0005-0000-0000-00008C390000}"/>
    <cellStyle name="Calculation 14 2 19 6" xfId="14764" xr:uid="{00000000-0005-0000-0000-00008D390000}"/>
    <cellStyle name="Calculation 14 2 19 6 2" xfId="14765" xr:uid="{00000000-0005-0000-0000-00008E390000}"/>
    <cellStyle name="Calculation 14 2 19 6 3" xfId="14766" xr:uid="{00000000-0005-0000-0000-00008F390000}"/>
    <cellStyle name="Calculation 14 2 19 6 4" xfId="14767" xr:uid="{00000000-0005-0000-0000-000090390000}"/>
    <cellStyle name="Calculation 14 2 19 6 5" xfId="14768" xr:uid="{00000000-0005-0000-0000-000091390000}"/>
    <cellStyle name="Calculation 14 2 19 6 6" xfId="14769" xr:uid="{00000000-0005-0000-0000-000092390000}"/>
    <cellStyle name="Calculation 14 2 19 7" xfId="14770" xr:uid="{00000000-0005-0000-0000-000093390000}"/>
    <cellStyle name="Calculation 14 2 19 7 2" xfId="14771" xr:uid="{00000000-0005-0000-0000-000094390000}"/>
    <cellStyle name="Calculation 14 2 19 7 3" xfId="14772" xr:uid="{00000000-0005-0000-0000-000095390000}"/>
    <cellStyle name="Calculation 14 2 19 7 4" xfId="14773" xr:uid="{00000000-0005-0000-0000-000096390000}"/>
    <cellStyle name="Calculation 14 2 19 7 5" xfId="14774" xr:uid="{00000000-0005-0000-0000-000097390000}"/>
    <cellStyle name="Calculation 14 2 19 7 6" xfId="14775" xr:uid="{00000000-0005-0000-0000-000098390000}"/>
    <cellStyle name="Calculation 14 2 19 8" xfId="14776" xr:uid="{00000000-0005-0000-0000-000099390000}"/>
    <cellStyle name="Calculation 14 2 19 9" xfId="14777" xr:uid="{00000000-0005-0000-0000-00009A390000}"/>
    <cellStyle name="Calculation 14 2 2" xfId="14778" xr:uid="{00000000-0005-0000-0000-00009B390000}"/>
    <cellStyle name="Calculation 14 2 2 10" xfId="14779" xr:uid="{00000000-0005-0000-0000-00009C390000}"/>
    <cellStyle name="Calculation 14 2 2 2" xfId="14780" xr:uid="{00000000-0005-0000-0000-00009D390000}"/>
    <cellStyle name="Calculation 14 2 2 2 2" xfId="14781" xr:uid="{00000000-0005-0000-0000-00009E390000}"/>
    <cellStyle name="Calculation 14 2 2 2 3" xfId="14782" xr:uid="{00000000-0005-0000-0000-00009F390000}"/>
    <cellStyle name="Calculation 14 2 2 2 4" xfId="14783" xr:uid="{00000000-0005-0000-0000-0000A0390000}"/>
    <cellStyle name="Calculation 14 2 2 2 5" xfId="14784" xr:uid="{00000000-0005-0000-0000-0000A1390000}"/>
    <cellStyle name="Calculation 14 2 2 2 6" xfId="14785" xr:uid="{00000000-0005-0000-0000-0000A2390000}"/>
    <cellStyle name="Calculation 14 2 2 3" xfId="14786" xr:uid="{00000000-0005-0000-0000-0000A3390000}"/>
    <cellStyle name="Calculation 14 2 2 3 2" xfId="14787" xr:uid="{00000000-0005-0000-0000-0000A4390000}"/>
    <cellStyle name="Calculation 14 2 2 3 3" xfId="14788" xr:uid="{00000000-0005-0000-0000-0000A5390000}"/>
    <cellStyle name="Calculation 14 2 2 3 4" xfId="14789" xr:uid="{00000000-0005-0000-0000-0000A6390000}"/>
    <cellStyle name="Calculation 14 2 2 3 5" xfId="14790" xr:uid="{00000000-0005-0000-0000-0000A7390000}"/>
    <cellStyle name="Calculation 14 2 2 3 6" xfId="14791" xr:uid="{00000000-0005-0000-0000-0000A8390000}"/>
    <cellStyle name="Calculation 14 2 2 4" xfId="14792" xr:uid="{00000000-0005-0000-0000-0000A9390000}"/>
    <cellStyle name="Calculation 14 2 2 4 2" xfId="14793" xr:uid="{00000000-0005-0000-0000-0000AA390000}"/>
    <cellStyle name="Calculation 14 2 2 4 3" xfId="14794" xr:uid="{00000000-0005-0000-0000-0000AB390000}"/>
    <cellStyle name="Calculation 14 2 2 4 4" xfId="14795" xr:uid="{00000000-0005-0000-0000-0000AC390000}"/>
    <cellStyle name="Calculation 14 2 2 4 5" xfId="14796" xr:uid="{00000000-0005-0000-0000-0000AD390000}"/>
    <cellStyle name="Calculation 14 2 2 4 6" xfId="14797" xr:uid="{00000000-0005-0000-0000-0000AE390000}"/>
    <cellStyle name="Calculation 14 2 2 5" xfId="14798" xr:uid="{00000000-0005-0000-0000-0000AF390000}"/>
    <cellStyle name="Calculation 14 2 2 5 2" xfId="14799" xr:uid="{00000000-0005-0000-0000-0000B0390000}"/>
    <cellStyle name="Calculation 14 2 2 5 3" xfId="14800" xr:uid="{00000000-0005-0000-0000-0000B1390000}"/>
    <cellStyle name="Calculation 14 2 2 5 4" xfId="14801" xr:uid="{00000000-0005-0000-0000-0000B2390000}"/>
    <cellStyle name="Calculation 14 2 2 5 5" xfId="14802" xr:uid="{00000000-0005-0000-0000-0000B3390000}"/>
    <cellStyle name="Calculation 14 2 2 5 6" xfId="14803" xr:uid="{00000000-0005-0000-0000-0000B4390000}"/>
    <cellStyle name="Calculation 14 2 2 6" xfId="14804" xr:uid="{00000000-0005-0000-0000-0000B5390000}"/>
    <cellStyle name="Calculation 14 2 2 6 2" xfId="14805" xr:uid="{00000000-0005-0000-0000-0000B6390000}"/>
    <cellStyle name="Calculation 14 2 2 6 3" xfId="14806" xr:uid="{00000000-0005-0000-0000-0000B7390000}"/>
    <cellStyle name="Calculation 14 2 2 6 4" xfId="14807" xr:uid="{00000000-0005-0000-0000-0000B8390000}"/>
    <cellStyle name="Calculation 14 2 2 6 5" xfId="14808" xr:uid="{00000000-0005-0000-0000-0000B9390000}"/>
    <cellStyle name="Calculation 14 2 2 6 6" xfId="14809" xr:uid="{00000000-0005-0000-0000-0000BA390000}"/>
    <cellStyle name="Calculation 14 2 2 7" xfId="14810" xr:uid="{00000000-0005-0000-0000-0000BB390000}"/>
    <cellStyle name="Calculation 14 2 2 7 2" xfId="14811" xr:uid="{00000000-0005-0000-0000-0000BC390000}"/>
    <cellStyle name="Calculation 14 2 2 7 3" xfId="14812" xr:uid="{00000000-0005-0000-0000-0000BD390000}"/>
    <cellStyle name="Calculation 14 2 2 7 4" xfId="14813" xr:uid="{00000000-0005-0000-0000-0000BE390000}"/>
    <cellStyle name="Calculation 14 2 2 7 5" xfId="14814" xr:uid="{00000000-0005-0000-0000-0000BF390000}"/>
    <cellStyle name="Calculation 14 2 2 7 6" xfId="14815" xr:uid="{00000000-0005-0000-0000-0000C0390000}"/>
    <cellStyle name="Calculation 14 2 2 8" xfId="14816" xr:uid="{00000000-0005-0000-0000-0000C1390000}"/>
    <cellStyle name="Calculation 14 2 2 9" xfId="14817" xr:uid="{00000000-0005-0000-0000-0000C2390000}"/>
    <cellStyle name="Calculation 14 2 20" xfId="14818" xr:uid="{00000000-0005-0000-0000-0000C3390000}"/>
    <cellStyle name="Calculation 14 2 20 10" xfId="14819" xr:uid="{00000000-0005-0000-0000-0000C4390000}"/>
    <cellStyle name="Calculation 14 2 20 2" xfId="14820" xr:uid="{00000000-0005-0000-0000-0000C5390000}"/>
    <cellStyle name="Calculation 14 2 20 2 2" xfId="14821" xr:uid="{00000000-0005-0000-0000-0000C6390000}"/>
    <cellStyle name="Calculation 14 2 20 2 3" xfId="14822" xr:uid="{00000000-0005-0000-0000-0000C7390000}"/>
    <cellStyle name="Calculation 14 2 20 2 4" xfId="14823" xr:uid="{00000000-0005-0000-0000-0000C8390000}"/>
    <cellStyle name="Calculation 14 2 20 2 5" xfId="14824" xr:uid="{00000000-0005-0000-0000-0000C9390000}"/>
    <cellStyle name="Calculation 14 2 20 2 6" xfId="14825" xr:uid="{00000000-0005-0000-0000-0000CA390000}"/>
    <cellStyle name="Calculation 14 2 20 3" xfId="14826" xr:uid="{00000000-0005-0000-0000-0000CB390000}"/>
    <cellStyle name="Calculation 14 2 20 3 2" xfId="14827" xr:uid="{00000000-0005-0000-0000-0000CC390000}"/>
    <cellStyle name="Calculation 14 2 20 3 3" xfId="14828" xr:uid="{00000000-0005-0000-0000-0000CD390000}"/>
    <cellStyle name="Calculation 14 2 20 3 4" xfId="14829" xr:uid="{00000000-0005-0000-0000-0000CE390000}"/>
    <cellStyle name="Calculation 14 2 20 3 5" xfId="14830" xr:uid="{00000000-0005-0000-0000-0000CF390000}"/>
    <cellStyle name="Calculation 14 2 20 3 6" xfId="14831" xr:uid="{00000000-0005-0000-0000-0000D0390000}"/>
    <cellStyle name="Calculation 14 2 20 4" xfId="14832" xr:uid="{00000000-0005-0000-0000-0000D1390000}"/>
    <cellStyle name="Calculation 14 2 20 4 2" xfId="14833" xr:uid="{00000000-0005-0000-0000-0000D2390000}"/>
    <cellStyle name="Calculation 14 2 20 4 3" xfId="14834" xr:uid="{00000000-0005-0000-0000-0000D3390000}"/>
    <cellStyle name="Calculation 14 2 20 4 4" xfId="14835" xr:uid="{00000000-0005-0000-0000-0000D4390000}"/>
    <cellStyle name="Calculation 14 2 20 4 5" xfId="14836" xr:uid="{00000000-0005-0000-0000-0000D5390000}"/>
    <cellStyle name="Calculation 14 2 20 4 6" xfId="14837" xr:uid="{00000000-0005-0000-0000-0000D6390000}"/>
    <cellStyle name="Calculation 14 2 20 5" xfId="14838" xr:uid="{00000000-0005-0000-0000-0000D7390000}"/>
    <cellStyle name="Calculation 14 2 20 5 2" xfId="14839" xr:uid="{00000000-0005-0000-0000-0000D8390000}"/>
    <cellStyle name="Calculation 14 2 20 5 3" xfId="14840" xr:uid="{00000000-0005-0000-0000-0000D9390000}"/>
    <cellStyle name="Calculation 14 2 20 5 4" xfId="14841" xr:uid="{00000000-0005-0000-0000-0000DA390000}"/>
    <cellStyle name="Calculation 14 2 20 5 5" xfId="14842" xr:uid="{00000000-0005-0000-0000-0000DB390000}"/>
    <cellStyle name="Calculation 14 2 20 5 6" xfId="14843" xr:uid="{00000000-0005-0000-0000-0000DC390000}"/>
    <cellStyle name="Calculation 14 2 20 6" xfId="14844" xr:uid="{00000000-0005-0000-0000-0000DD390000}"/>
    <cellStyle name="Calculation 14 2 20 6 2" xfId="14845" xr:uid="{00000000-0005-0000-0000-0000DE390000}"/>
    <cellStyle name="Calculation 14 2 20 6 3" xfId="14846" xr:uid="{00000000-0005-0000-0000-0000DF390000}"/>
    <cellStyle name="Calculation 14 2 20 6 4" xfId="14847" xr:uid="{00000000-0005-0000-0000-0000E0390000}"/>
    <cellStyle name="Calculation 14 2 20 6 5" xfId="14848" xr:uid="{00000000-0005-0000-0000-0000E1390000}"/>
    <cellStyle name="Calculation 14 2 20 6 6" xfId="14849" xr:uid="{00000000-0005-0000-0000-0000E2390000}"/>
    <cellStyle name="Calculation 14 2 20 7" xfId="14850" xr:uid="{00000000-0005-0000-0000-0000E3390000}"/>
    <cellStyle name="Calculation 14 2 20 7 2" xfId="14851" xr:uid="{00000000-0005-0000-0000-0000E4390000}"/>
    <cellStyle name="Calculation 14 2 20 7 3" xfId="14852" xr:uid="{00000000-0005-0000-0000-0000E5390000}"/>
    <cellStyle name="Calculation 14 2 20 7 4" xfId="14853" xr:uid="{00000000-0005-0000-0000-0000E6390000}"/>
    <cellStyle name="Calculation 14 2 20 7 5" xfId="14854" xr:uid="{00000000-0005-0000-0000-0000E7390000}"/>
    <cellStyle name="Calculation 14 2 20 7 6" xfId="14855" xr:uid="{00000000-0005-0000-0000-0000E8390000}"/>
    <cellStyle name="Calculation 14 2 20 8" xfId="14856" xr:uid="{00000000-0005-0000-0000-0000E9390000}"/>
    <cellStyle name="Calculation 14 2 20 9" xfId="14857" xr:uid="{00000000-0005-0000-0000-0000EA390000}"/>
    <cellStyle name="Calculation 14 2 21" xfId="14858" xr:uid="{00000000-0005-0000-0000-0000EB390000}"/>
    <cellStyle name="Calculation 14 2 21 10" xfId="14859" xr:uid="{00000000-0005-0000-0000-0000EC390000}"/>
    <cellStyle name="Calculation 14 2 21 2" xfId="14860" xr:uid="{00000000-0005-0000-0000-0000ED390000}"/>
    <cellStyle name="Calculation 14 2 21 2 2" xfId="14861" xr:uid="{00000000-0005-0000-0000-0000EE390000}"/>
    <cellStyle name="Calculation 14 2 21 2 3" xfId="14862" xr:uid="{00000000-0005-0000-0000-0000EF390000}"/>
    <cellStyle name="Calculation 14 2 21 2 4" xfId="14863" xr:uid="{00000000-0005-0000-0000-0000F0390000}"/>
    <cellStyle name="Calculation 14 2 21 2 5" xfId="14864" xr:uid="{00000000-0005-0000-0000-0000F1390000}"/>
    <cellStyle name="Calculation 14 2 21 2 6" xfId="14865" xr:uid="{00000000-0005-0000-0000-0000F2390000}"/>
    <cellStyle name="Calculation 14 2 21 3" xfId="14866" xr:uid="{00000000-0005-0000-0000-0000F3390000}"/>
    <cellStyle name="Calculation 14 2 21 3 2" xfId="14867" xr:uid="{00000000-0005-0000-0000-0000F4390000}"/>
    <cellStyle name="Calculation 14 2 21 3 3" xfId="14868" xr:uid="{00000000-0005-0000-0000-0000F5390000}"/>
    <cellStyle name="Calculation 14 2 21 3 4" xfId="14869" xr:uid="{00000000-0005-0000-0000-0000F6390000}"/>
    <cellStyle name="Calculation 14 2 21 3 5" xfId="14870" xr:uid="{00000000-0005-0000-0000-0000F7390000}"/>
    <cellStyle name="Calculation 14 2 21 3 6" xfId="14871" xr:uid="{00000000-0005-0000-0000-0000F8390000}"/>
    <cellStyle name="Calculation 14 2 21 4" xfId="14872" xr:uid="{00000000-0005-0000-0000-0000F9390000}"/>
    <cellStyle name="Calculation 14 2 21 4 2" xfId="14873" xr:uid="{00000000-0005-0000-0000-0000FA390000}"/>
    <cellStyle name="Calculation 14 2 21 4 3" xfId="14874" xr:uid="{00000000-0005-0000-0000-0000FB390000}"/>
    <cellStyle name="Calculation 14 2 21 4 4" xfId="14875" xr:uid="{00000000-0005-0000-0000-0000FC390000}"/>
    <cellStyle name="Calculation 14 2 21 4 5" xfId="14876" xr:uid="{00000000-0005-0000-0000-0000FD390000}"/>
    <cellStyle name="Calculation 14 2 21 4 6" xfId="14877" xr:uid="{00000000-0005-0000-0000-0000FE390000}"/>
    <cellStyle name="Calculation 14 2 21 5" xfId="14878" xr:uid="{00000000-0005-0000-0000-0000FF390000}"/>
    <cellStyle name="Calculation 14 2 21 5 2" xfId="14879" xr:uid="{00000000-0005-0000-0000-0000003A0000}"/>
    <cellStyle name="Calculation 14 2 21 5 3" xfId="14880" xr:uid="{00000000-0005-0000-0000-0000013A0000}"/>
    <cellStyle name="Calculation 14 2 21 5 4" xfId="14881" xr:uid="{00000000-0005-0000-0000-0000023A0000}"/>
    <cellStyle name="Calculation 14 2 21 5 5" xfId="14882" xr:uid="{00000000-0005-0000-0000-0000033A0000}"/>
    <cellStyle name="Calculation 14 2 21 5 6" xfId="14883" xr:uid="{00000000-0005-0000-0000-0000043A0000}"/>
    <cellStyle name="Calculation 14 2 21 6" xfId="14884" xr:uid="{00000000-0005-0000-0000-0000053A0000}"/>
    <cellStyle name="Calculation 14 2 21 6 2" xfId="14885" xr:uid="{00000000-0005-0000-0000-0000063A0000}"/>
    <cellStyle name="Calculation 14 2 21 6 3" xfId="14886" xr:uid="{00000000-0005-0000-0000-0000073A0000}"/>
    <cellStyle name="Calculation 14 2 21 6 4" xfId="14887" xr:uid="{00000000-0005-0000-0000-0000083A0000}"/>
    <cellStyle name="Calculation 14 2 21 6 5" xfId="14888" xr:uid="{00000000-0005-0000-0000-0000093A0000}"/>
    <cellStyle name="Calculation 14 2 21 6 6" xfId="14889" xr:uid="{00000000-0005-0000-0000-00000A3A0000}"/>
    <cellStyle name="Calculation 14 2 21 7" xfId="14890" xr:uid="{00000000-0005-0000-0000-00000B3A0000}"/>
    <cellStyle name="Calculation 14 2 21 7 2" xfId="14891" xr:uid="{00000000-0005-0000-0000-00000C3A0000}"/>
    <cellStyle name="Calculation 14 2 21 7 3" xfId="14892" xr:uid="{00000000-0005-0000-0000-00000D3A0000}"/>
    <cellStyle name="Calculation 14 2 21 7 4" xfId="14893" xr:uid="{00000000-0005-0000-0000-00000E3A0000}"/>
    <cellStyle name="Calculation 14 2 21 7 5" xfId="14894" xr:uid="{00000000-0005-0000-0000-00000F3A0000}"/>
    <cellStyle name="Calculation 14 2 21 7 6" xfId="14895" xr:uid="{00000000-0005-0000-0000-0000103A0000}"/>
    <cellStyle name="Calculation 14 2 21 8" xfId="14896" xr:uid="{00000000-0005-0000-0000-0000113A0000}"/>
    <cellStyle name="Calculation 14 2 21 9" xfId="14897" xr:uid="{00000000-0005-0000-0000-0000123A0000}"/>
    <cellStyle name="Calculation 14 2 22" xfId="14898" xr:uid="{00000000-0005-0000-0000-0000133A0000}"/>
    <cellStyle name="Calculation 14 2 22 10" xfId="14899" xr:uid="{00000000-0005-0000-0000-0000143A0000}"/>
    <cellStyle name="Calculation 14 2 22 2" xfId="14900" xr:uid="{00000000-0005-0000-0000-0000153A0000}"/>
    <cellStyle name="Calculation 14 2 22 2 2" xfId="14901" xr:uid="{00000000-0005-0000-0000-0000163A0000}"/>
    <cellStyle name="Calculation 14 2 22 2 3" xfId="14902" xr:uid="{00000000-0005-0000-0000-0000173A0000}"/>
    <cellStyle name="Calculation 14 2 22 2 4" xfId="14903" xr:uid="{00000000-0005-0000-0000-0000183A0000}"/>
    <cellStyle name="Calculation 14 2 22 2 5" xfId="14904" xr:uid="{00000000-0005-0000-0000-0000193A0000}"/>
    <cellStyle name="Calculation 14 2 22 2 6" xfId="14905" xr:uid="{00000000-0005-0000-0000-00001A3A0000}"/>
    <cellStyle name="Calculation 14 2 22 3" xfId="14906" xr:uid="{00000000-0005-0000-0000-00001B3A0000}"/>
    <cellStyle name="Calculation 14 2 22 3 2" xfId="14907" xr:uid="{00000000-0005-0000-0000-00001C3A0000}"/>
    <cellStyle name="Calculation 14 2 22 3 3" xfId="14908" xr:uid="{00000000-0005-0000-0000-00001D3A0000}"/>
    <cellStyle name="Calculation 14 2 22 3 4" xfId="14909" xr:uid="{00000000-0005-0000-0000-00001E3A0000}"/>
    <cellStyle name="Calculation 14 2 22 3 5" xfId="14910" xr:uid="{00000000-0005-0000-0000-00001F3A0000}"/>
    <cellStyle name="Calculation 14 2 22 3 6" xfId="14911" xr:uid="{00000000-0005-0000-0000-0000203A0000}"/>
    <cellStyle name="Calculation 14 2 22 4" xfId="14912" xr:uid="{00000000-0005-0000-0000-0000213A0000}"/>
    <cellStyle name="Calculation 14 2 22 4 2" xfId="14913" xr:uid="{00000000-0005-0000-0000-0000223A0000}"/>
    <cellStyle name="Calculation 14 2 22 4 3" xfId="14914" xr:uid="{00000000-0005-0000-0000-0000233A0000}"/>
    <cellStyle name="Calculation 14 2 22 4 4" xfId="14915" xr:uid="{00000000-0005-0000-0000-0000243A0000}"/>
    <cellStyle name="Calculation 14 2 22 4 5" xfId="14916" xr:uid="{00000000-0005-0000-0000-0000253A0000}"/>
    <cellStyle name="Calculation 14 2 22 4 6" xfId="14917" xr:uid="{00000000-0005-0000-0000-0000263A0000}"/>
    <cellStyle name="Calculation 14 2 22 5" xfId="14918" xr:uid="{00000000-0005-0000-0000-0000273A0000}"/>
    <cellStyle name="Calculation 14 2 22 5 2" xfId="14919" xr:uid="{00000000-0005-0000-0000-0000283A0000}"/>
    <cellStyle name="Calculation 14 2 22 5 3" xfId="14920" xr:uid="{00000000-0005-0000-0000-0000293A0000}"/>
    <cellStyle name="Calculation 14 2 22 5 4" xfId="14921" xr:uid="{00000000-0005-0000-0000-00002A3A0000}"/>
    <cellStyle name="Calculation 14 2 22 5 5" xfId="14922" xr:uid="{00000000-0005-0000-0000-00002B3A0000}"/>
    <cellStyle name="Calculation 14 2 22 5 6" xfId="14923" xr:uid="{00000000-0005-0000-0000-00002C3A0000}"/>
    <cellStyle name="Calculation 14 2 22 6" xfId="14924" xr:uid="{00000000-0005-0000-0000-00002D3A0000}"/>
    <cellStyle name="Calculation 14 2 22 6 2" xfId="14925" xr:uid="{00000000-0005-0000-0000-00002E3A0000}"/>
    <cellStyle name="Calculation 14 2 22 6 3" xfId="14926" xr:uid="{00000000-0005-0000-0000-00002F3A0000}"/>
    <cellStyle name="Calculation 14 2 22 6 4" xfId="14927" xr:uid="{00000000-0005-0000-0000-0000303A0000}"/>
    <cellStyle name="Calculation 14 2 22 6 5" xfId="14928" xr:uid="{00000000-0005-0000-0000-0000313A0000}"/>
    <cellStyle name="Calculation 14 2 22 6 6" xfId="14929" xr:uid="{00000000-0005-0000-0000-0000323A0000}"/>
    <cellStyle name="Calculation 14 2 22 7" xfId="14930" xr:uid="{00000000-0005-0000-0000-0000333A0000}"/>
    <cellStyle name="Calculation 14 2 22 7 2" xfId="14931" xr:uid="{00000000-0005-0000-0000-0000343A0000}"/>
    <cellStyle name="Calculation 14 2 22 7 3" xfId="14932" xr:uid="{00000000-0005-0000-0000-0000353A0000}"/>
    <cellStyle name="Calculation 14 2 22 7 4" xfId="14933" xr:uid="{00000000-0005-0000-0000-0000363A0000}"/>
    <cellStyle name="Calculation 14 2 22 7 5" xfId="14934" xr:uid="{00000000-0005-0000-0000-0000373A0000}"/>
    <cellStyle name="Calculation 14 2 22 7 6" xfId="14935" xr:uid="{00000000-0005-0000-0000-0000383A0000}"/>
    <cellStyle name="Calculation 14 2 22 8" xfId="14936" xr:uid="{00000000-0005-0000-0000-0000393A0000}"/>
    <cellStyle name="Calculation 14 2 22 9" xfId="14937" xr:uid="{00000000-0005-0000-0000-00003A3A0000}"/>
    <cellStyle name="Calculation 14 2 23" xfId="14938" xr:uid="{00000000-0005-0000-0000-00003B3A0000}"/>
    <cellStyle name="Calculation 14 2 23 10" xfId="14939" xr:uid="{00000000-0005-0000-0000-00003C3A0000}"/>
    <cellStyle name="Calculation 14 2 23 2" xfId="14940" xr:uid="{00000000-0005-0000-0000-00003D3A0000}"/>
    <cellStyle name="Calculation 14 2 23 2 2" xfId="14941" xr:uid="{00000000-0005-0000-0000-00003E3A0000}"/>
    <cellStyle name="Calculation 14 2 23 2 3" xfId="14942" xr:uid="{00000000-0005-0000-0000-00003F3A0000}"/>
    <cellStyle name="Calculation 14 2 23 2 4" xfId="14943" xr:uid="{00000000-0005-0000-0000-0000403A0000}"/>
    <cellStyle name="Calculation 14 2 23 2 5" xfId="14944" xr:uid="{00000000-0005-0000-0000-0000413A0000}"/>
    <cellStyle name="Calculation 14 2 23 2 6" xfId="14945" xr:uid="{00000000-0005-0000-0000-0000423A0000}"/>
    <cellStyle name="Calculation 14 2 23 3" xfId="14946" xr:uid="{00000000-0005-0000-0000-0000433A0000}"/>
    <cellStyle name="Calculation 14 2 23 3 2" xfId="14947" xr:uid="{00000000-0005-0000-0000-0000443A0000}"/>
    <cellStyle name="Calculation 14 2 23 3 3" xfId="14948" xr:uid="{00000000-0005-0000-0000-0000453A0000}"/>
    <cellStyle name="Calculation 14 2 23 3 4" xfId="14949" xr:uid="{00000000-0005-0000-0000-0000463A0000}"/>
    <cellStyle name="Calculation 14 2 23 3 5" xfId="14950" xr:uid="{00000000-0005-0000-0000-0000473A0000}"/>
    <cellStyle name="Calculation 14 2 23 3 6" xfId="14951" xr:uid="{00000000-0005-0000-0000-0000483A0000}"/>
    <cellStyle name="Calculation 14 2 23 4" xfId="14952" xr:uid="{00000000-0005-0000-0000-0000493A0000}"/>
    <cellStyle name="Calculation 14 2 23 4 2" xfId="14953" xr:uid="{00000000-0005-0000-0000-00004A3A0000}"/>
    <cellStyle name="Calculation 14 2 23 4 3" xfId="14954" xr:uid="{00000000-0005-0000-0000-00004B3A0000}"/>
    <cellStyle name="Calculation 14 2 23 4 4" xfId="14955" xr:uid="{00000000-0005-0000-0000-00004C3A0000}"/>
    <cellStyle name="Calculation 14 2 23 4 5" xfId="14956" xr:uid="{00000000-0005-0000-0000-00004D3A0000}"/>
    <cellStyle name="Calculation 14 2 23 4 6" xfId="14957" xr:uid="{00000000-0005-0000-0000-00004E3A0000}"/>
    <cellStyle name="Calculation 14 2 23 5" xfId="14958" xr:uid="{00000000-0005-0000-0000-00004F3A0000}"/>
    <cellStyle name="Calculation 14 2 23 5 2" xfId="14959" xr:uid="{00000000-0005-0000-0000-0000503A0000}"/>
    <cellStyle name="Calculation 14 2 23 5 3" xfId="14960" xr:uid="{00000000-0005-0000-0000-0000513A0000}"/>
    <cellStyle name="Calculation 14 2 23 5 4" xfId="14961" xr:uid="{00000000-0005-0000-0000-0000523A0000}"/>
    <cellStyle name="Calculation 14 2 23 5 5" xfId="14962" xr:uid="{00000000-0005-0000-0000-0000533A0000}"/>
    <cellStyle name="Calculation 14 2 23 5 6" xfId="14963" xr:uid="{00000000-0005-0000-0000-0000543A0000}"/>
    <cellStyle name="Calculation 14 2 23 6" xfId="14964" xr:uid="{00000000-0005-0000-0000-0000553A0000}"/>
    <cellStyle name="Calculation 14 2 23 6 2" xfId="14965" xr:uid="{00000000-0005-0000-0000-0000563A0000}"/>
    <cellStyle name="Calculation 14 2 23 6 3" xfId="14966" xr:uid="{00000000-0005-0000-0000-0000573A0000}"/>
    <cellStyle name="Calculation 14 2 23 6 4" xfId="14967" xr:uid="{00000000-0005-0000-0000-0000583A0000}"/>
    <cellStyle name="Calculation 14 2 23 6 5" xfId="14968" xr:uid="{00000000-0005-0000-0000-0000593A0000}"/>
    <cellStyle name="Calculation 14 2 23 6 6" xfId="14969" xr:uid="{00000000-0005-0000-0000-00005A3A0000}"/>
    <cellStyle name="Calculation 14 2 23 7" xfId="14970" xr:uid="{00000000-0005-0000-0000-00005B3A0000}"/>
    <cellStyle name="Calculation 14 2 23 7 2" xfId="14971" xr:uid="{00000000-0005-0000-0000-00005C3A0000}"/>
    <cellStyle name="Calculation 14 2 23 7 3" xfId="14972" xr:uid="{00000000-0005-0000-0000-00005D3A0000}"/>
    <cellStyle name="Calculation 14 2 23 7 4" xfId="14973" xr:uid="{00000000-0005-0000-0000-00005E3A0000}"/>
    <cellStyle name="Calculation 14 2 23 7 5" xfId="14974" xr:uid="{00000000-0005-0000-0000-00005F3A0000}"/>
    <cellStyle name="Calculation 14 2 23 7 6" xfId="14975" xr:uid="{00000000-0005-0000-0000-0000603A0000}"/>
    <cellStyle name="Calculation 14 2 23 8" xfId="14976" xr:uid="{00000000-0005-0000-0000-0000613A0000}"/>
    <cellStyle name="Calculation 14 2 23 9" xfId="14977" xr:uid="{00000000-0005-0000-0000-0000623A0000}"/>
    <cellStyle name="Calculation 14 2 24" xfId="14978" xr:uid="{00000000-0005-0000-0000-0000633A0000}"/>
    <cellStyle name="Calculation 14 2 24 10" xfId="14979" xr:uid="{00000000-0005-0000-0000-0000643A0000}"/>
    <cellStyle name="Calculation 14 2 24 2" xfId="14980" xr:uid="{00000000-0005-0000-0000-0000653A0000}"/>
    <cellStyle name="Calculation 14 2 24 2 2" xfId="14981" xr:uid="{00000000-0005-0000-0000-0000663A0000}"/>
    <cellStyle name="Calculation 14 2 24 2 3" xfId="14982" xr:uid="{00000000-0005-0000-0000-0000673A0000}"/>
    <cellStyle name="Calculation 14 2 24 2 4" xfId="14983" xr:uid="{00000000-0005-0000-0000-0000683A0000}"/>
    <cellStyle name="Calculation 14 2 24 2 5" xfId="14984" xr:uid="{00000000-0005-0000-0000-0000693A0000}"/>
    <cellStyle name="Calculation 14 2 24 2 6" xfId="14985" xr:uid="{00000000-0005-0000-0000-00006A3A0000}"/>
    <cellStyle name="Calculation 14 2 24 3" xfId="14986" xr:uid="{00000000-0005-0000-0000-00006B3A0000}"/>
    <cellStyle name="Calculation 14 2 24 3 2" xfId="14987" xr:uid="{00000000-0005-0000-0000-00006C3A0000}"/>
    <cellStyle name="Calculation 14 2 24 3 3" xfId="14988" xr:uid="{00000000-0005-0000-0000-00006D3A0000}"/>
    <cellStyle name="Calculation 14 2 24 3 4" xfId="14989" xr:uid="{00000000-0005-0000-0000-00006E3A0000}"/>
    <cellStyle name="Calculation 14 2 24 3 5" xfId="14990" xr:uid="{00000000-0005-0000-0000-00006F3A0000}"/>
    <cellStyle name="Calculation 14 2 24 3 6" xfId="14991" xr:uid="{00000000-0005-0000-0000-0000703A0000}"/>
    <cellStyle name="Calculation 14 2 24 4" xfId="14992" xr:uid="{00000000-0005-0000-0000-0000713A0000}"/>
    <cellStyle name="Calculation 14 2 24 4 2" xfId="14993" xr:uid="{00000000-0005-0000-0000-0000723A0000}"/>
    <cellStyle name="Calculation 14 2 24 4 3" xfId="14994" xr:uid="{00000000-0005-0000-0000-0000733A0000}"/>
    <cellStyle name="Calculation 14 2 24 4 4" xfId="14995" xr:uid="{00000000-0005-0000-0000-0000743A0000}"/>
    <cellStyle name="Calculation 14 2 24 4 5" xfId="14996" xr:uid="{00000000-0005-0000-0000-0000753A0000}"/>
    <cellStyle name="Calculation 14 2 24 4 6" xfId="14997" xr:uid="{00000000-0005-0000-0000-0000763A0000}"/>
    <cellStyle name="Calculation 14 2 24 5" xfId="14998" xr:uid="{00000000-0005-0000-0000-0000773A0000}"/>
    <cellStyle name="Calculation 14 2 24 5 2" xfId="14999" xr:uid="{00000000-0005-0000-0000-0000783A0000}"/>
    <cellStyle name="Calculation 14 2 24 5 3" xfId="15000" xr:uid="{00000000-0005-0000-0000-0000793A0000}"/>
    <cellStyle name="Calculation 14 2 24 5 4" xfId="15001" xr:uid="{00000000-0005-0000-0000-00007A3A0000}"/>
    <cellStyle name="Calculation 14 2 24 5 5" xfId="15002" xr:uid="{00000000-0005-0000-0000-00007B3A0000}"/>
    <cellStyle name="Calculation 14 2 24 5 6" xfId="15003" xr:uid="{00000000-0005-0000-0000-00007C3A0000}"/>
    <cellStyle name="Calculation 14 2 24 6" xfId="15004" xr:uid="{00000000-0005-0000-0000-00007D3A0000}"/>
    <cellStyle name="Calculation 14 2 24 6 2" xfId="15005" xr:uid="{00000000-0005-0000-0000-00007E3A0000}"/>
    <cellStyle name="Calculation 14 2 24 6 3" xfId="15006" xr:uid="{00000000-0005-0000-0000-00007F3A0000}"/>
    <cellStyle name="Calculation 14 2 24 6 4" xfId="15007" xr:uid="{00000000-0005-0000-0000-0000803A0000}"/>
    <cellStyle name="Calculation 14 2 24 6 5" xfId="15008" xr:uid="{00000000-0005-0000-0000-0000813A0000}"/>
    <cellStyle name="Calculation 14 2 24 6 6" xfId="15009" xr:uid="{00000000-0005-0000-0000-0000823A0000}"/>
    <cellStyle name="Calculation 14 2 24 7" xfId="15010" xr:uid="{00000000-0005-0000-0000-0000833A0000}"/>
    <cellStyle name="Calculation 14 2 24 7 2" xfId="15011" xr:uid="{00000000-0005-0000-0000-0000843A0000}"/>
    <cellStyle name="Calculation 14 2 24 7 3" xfId="15012" xr:uid="{00000000-0005-0000-0000-0000853A0000}"/>
    <cellStyle name="Calculation 14 2 24 7 4" xfId="15013" xr:uid="{00000000-0005-0000-0000-0000863A0000}"/>
    <cellStyle name="Calculation 14 2 24 7 5" xfId="15014" xr:uid="{00000000-0005-0000-0000-0000873A0000}"/>
    <cellStyle name="Calculation 14 2 24 7 6" xfId="15015" xr:uid="{00000000-0005-0000-0000-0000883A0000}"/>
    <cellStyle name="Calculation 14 2 24 8" xfId="15016" xr:uid="{00000000-0005-0000-0000-0000893A0000}"/>
    <cellStyle name="Calculation 14 2 24 9" xfId="15017" xr:uid="{00000000-0005-0000-0000-00008A3A0000}"/>
    <cellStyle name="Calculation 14 2 25" xfId="15018" xr:uid="{00000000-0005-0000-0000-00008B3A0000}"/>
    <cellStyle name="Calculation 14 2 25 10" xfId="15019" xr:uid="{00000000-0005-0000-0000-00008C3A0000}"/>
    <cellStyle name="Calculation 14 2 25 2" xfId="15020" xr:uid="{00000000-0005-0000-0000-00008D3A0000}"/>
    <cellStyle name="Calculation 14 2 25 2 2" xfId="15021" xr:uid="{00000000-0005-0000-0000-00008E3A0000}"/>
    <cellStyle name="Calculation 14 2 25 2 3" xfId="15022" xr:uid="{00000000-0005-0000-0000-00008F3A0000}"/>
    <cellStyle name="Calculation 14 2 25 2 4" xfId="15023" xr:uid="{00000000-0005-0000-0000-0000903A0000}"/>
    <cellStyle name="Calculation 14 2 25 2 5" xfId="15024" xr:uid="{00000000-0005-0000-0000-0000913A0000}"/>
    <cellStyle name="Calculation 14 2 25 2 6" xfId="15025" xr:uid="{00000000-0005-0000-0000-0000923A0000}"/>
    <cellStyle name="Calculation 14 2 25 3" xfId="15026" xr:uid="{00000000-0005-0000-0000-0000933A0000}"/>
    <cellStyle name="Calculation 14 2 25 3 2" xfId="15027" xr:uid="{00000000-0005-0000-0000-0000943A0000}"/>
    <cellStyle name="Calculation 14 2 25 3 3" xfId="15028" xr:uid="{00000000-0005-0000-0000-0000953A0000}"/>
    <cellStyle name="Calculation 14 2 25 3 4" xfId="15029" xr:uid="{00000000-0005-0000-0000-0000963A0000}"/>
    <cellStyle name="Calculation 14 2 25 3 5" xfId="15030" xr:uid="{00000000-0005-0000-0000-0000973A0000}"/>
    <cellStyle name="Calculation 14 2 25 3 6" xfId="15031" xr:uid="{00000000-0005-0000-0000-0000983A0000}"/>
    <cellStyle name="Calculation 14 2 25 4" xfId="15032" xr:uid="{00000000-0005-0000-0000-0000993A0000}"/>
    <cellStyle name="Calculation 14 2 25 4 2" xfId="15033" xr:uid="{00000000-0005-0000-0000-00009A3A0000}"/>
    <cellStyle name="Calculation 14 2 25 4 3" xfId="15034" xr:uid="{00000000-0005-0000-0000-00009B3A0000}"/>
    <cellStyle name="Calculation 14 2 25 4 4" xfId="15035" xr:uid="{00000000-0005-0000-0000-00009C3A0000}"/>
    <cellStyle name="Calculation 14 2 25 4 5" xfId="15036" xr:uid="{00000000-0005-0000-0000-00009D3A0000}"/>
    <cellStyle name="Calculation 14 2 25 4 6" xfId="15037" xr:uid="{00000000-0005-0000-0000-00009E3A0000}"/>
    <cellStyle name="Calculation 14 2 25 5" xfId="15038" xr:uid="{00000000-0005-0000-0000-00009F3A0000}"/>
    <cellStyle name="Calculation 14 2 25 5 2" xfId="15039" xr:uid="{00000000-0005-0000-0000-0000A03A0000}"/>
    <cellStyle name="Calculation 14 2 25 5 3" xfId="15040" xr:uid="{00000000-0005-0000-0000-0000A13A0000}"/>
    <cellStyle name="Calculation 14 2 25 5 4" xfId="15041" xr:uid="{00000000-0005-0000-0000-0000A23A0000}"/>
    <cellStyle name="Calculation 14 2 25 5 5" xfId="15042" xr:uid="{00000000-0005-0000-0000-0000A33A0000}"/>
    <cellStyle name="Calculation 14 2 25 5 6" xfId="15043" xr:uid="{00000000-0005-0000-0000-0000A43A0000}"/>
    <cellStyle name="Calculation 14 2 25 6" xfId="15044" xr:uid="{00000000-0005-0000-0000-0000A53A0000}"/>
    <cellStyle name="Calculation 14 2 25 6 2" xfId="15045" xr:uid="{00000000-0005-0000-0000-0000A63A0000}"/>
    <cellStyle name="Calculation 14 2 25 6 3" xfId="15046" xr:uid="{00000000-0005-0000-0000-0000A73A0000}"/>
    <cellStyle name="Calculation 14 2 25 6 4" xfId="15047" xr:uid="{00000000-0005-0000-0000-0000A83A0000}"/>
    <cellStyle name="Calculation 14 2 25 6 5" xfId="15048" xr:uid="{00000000-0005-0000-0000-0000A93A0000}"/>
    <cellStyle name="Calculation 14 2 25 6 6" xfId="15049" xr:uid="{00000000-0005-0000-0000-0000AA3A0000}"/>
    <cellStyle name="Calculation 14 2 25 7" xfId="15050" xr:uid="{00000000-0005-0000-0000-0000AB3A0000}"/>
    <cellStyle name="Calculation 14 2 25 7 2" xfId="15051" xr:uid="{00000000-0005-0000-0000-0000AC3A0000}"/>
    <cellStyle name="Calculation 14 2 25 7 3" xfId="15052" xr:uid="{00000000-0005-0000-0000-0000AD3A0000}"/>
    <cellStyle name="Calculation 14 2 25 7 4" xfId="15053" xr:uid="{00000000-0005-0000-0000-0000AE3A0000}"/>
    <cellStyle name="Calculation 14 2 25 7 5" xfId="15054" xr:uid="{00000000-0005-0000-0000-0000AF3A0000}"/>
    <cellStyle name="Calculation 14 2 25 7 6" xfId="15055" xr:uid="{00000000-0005-0000-0000-0000B03A0000}"/>
    <cellStyle name="Calculation 14 2 25 8" xfId="15056" xr:uid="{00000000-0005-0000-0000-0000B13A0000}"/>
    <cellStyle name="Calculation 14 2 25 9" xfId="15057" xr:uid="{00000000-0005-0000-0000-0000B23A0000}"/>
    <cellStyle name="Calculation 14 2 26" xfId="15058" xr:uid="{00000000-0005-0000-0000-0000B33A0000}"/>
    <cellStyle name="Calculation 14 2 26 10" xfId="15059" xr:uid="{00000000-0005-0000-0000-0000B43A0000}"/>
    <cellStyle name="Calculation 14 2 26 2" xfId="15060" xr:uid="{00000000-0005-0000-0000-0000B53A0000}"/>
    <cellStyle name="Calculation 14 2 26 2 2" xfId="15061" xr:uid="{00000000-0005-0000-0000-0000B63A0000}"/>
    <cellStyle name="Calculation 14 2 26 2 3" xfId="15062" xr:uid="{00000000-0005-0000-0000-0000B73A0000}"/>
    <cellStyle name="Calculation 14 2 26 2 4" xfId="15063" xr:uid="{00000000-0005-0000-0000-0000B83A0000}"/>
    <cellStyle name="Calculation 14 2 26 2 5" xfId="15064" xr:uid="{00000000-0005-0000-0000-0000B93A0000}"/>
    <cellStyle name="Calculation 14 2 26 2 6" xfId="15065" xr:uid="{00000000-0005-0000-0000-0000BA3A0000}"/>
    <cellStyle name="Calculation 14 2 26 3" xfId="15066" xr:uid="{00000000-0005-0000-0000-0000BB3A0000}"/>
    <cellStyle name="Calculation 14 2 26 3 2" xfId="15067" xr:uid="{00000000-0005-0000-0000-0000BC3A0000}"/>
    <cellStyle name="Calculation 14 2 26 3 3" xfId="15068" xr:uid="{00000000-0005-0000-0000-0000BD3A0000}"/>
    <cellStyle name="Calculation 14 2 26 3 4" xfId="15069" xr:uid="{00000000-0005-0000-0000-0000BE3A0000}"/>
    <cellStyle name="Calculation 14 2 26 3 5" xfId="15070" xr:uid="{00000000-0005-0000-0000-0000BF3A0000}"/>
    <cellStyle name="Calculation 14 2 26 3 6" xfId="15071" xr:uid="{00000000-0005-0000-0000-0000C03A0000}"/>
    <cellStyle name="Calculation 14 2 26 4" xfId="15072" xr:uid="{00000000-0005-0000-0000-0000C13A0000}"/>
    <cellStyle name="Calculation 14 2 26 4 2" xfId="15073" xr:uid="{00000000-0005-0000-0000-0000C23A0000}"/>
    <cellStyle name="Calculation 14 2 26 4 3" xfId="15074" xr:uid="{00000000-0005-0000-0000-0000C33A0000}"/>
    <cellStyle name="Calculation 14 2 26 4 4" xfId="15075" xr:uid="{00000000-0005-0000-0000-0000C43A0000}"/>
    <cellStyle name="Calculation 14 2 26 4 5" xfId="15076" xr:uid="{00000000-0005-0000-0000-0000C53A0000}"/>
    <cellStyle name="Calculation 14 2 26 4 6" xfId="15077" xr:uid="{00000000-0005-0000-0000-0000C63A0000}"/>
    <cellStyle name="Calculation 14 2 26 5" xfId="15078" xr:uid="{00000000-0005-0000-0000-0000C73A0000}"/>
    <cellStyle name="Calculation 14 2 26 5 2" xfId="15079" xr:uid="{00000000-0005-0000-0000-0000C83A0000}"/>
    <cellStyle name="Calculation 14 2 26 5 3" xfId="15080" xr:uid="{00000000-0005-0000-0000-0000C93A0000}"/>
    <cellStyle name="Calculation 14 2 26 5 4" xfId="15081" xr:uid="{00000000-0005-0000-0000-0000CA3A0000}"/>
    <cellStyle name="Calculation 14 2 26 5 5" xfId="15082" xr:uid="{00000000-0005-0000-0000-0000CB3A0000}"/>
    <cellStyle name="Calculation 14 2 26 5 6" xfId="15083" xr:uid="{00000000-0005-0000-0000-0000CC3A0000}"/>
    <cellStyle name="Calculation 14 2 26 6" xfId="15084" xr:uid="{00000000-0005-0000-0000-0000CD3A0000}"/>
    <cellStyle name="Calculation 14 2 26 6 2" xfId="15085" xr:uid="{00000000-0005-0000-0000-0000CE3A0000}"/>
    <cellStyle name="Calculation 14 2 26 6 3" xfId="15086" xr:uid="{00000000-0005-0000-0000-0000CF3A0000}"/>
    <cellStyle name="Calculation 14 2 26 6 4" xfId="15087" xr:uid="{00000000-0005-0000-0000-0000D03A0000}"/>
    <cellStyle name="Calculation 14 2 26 6 5" xfId="15088" xr:uid="{00000000-0005-0000-0000-0000D13A0000}"/>
    <cellStyle name="Calculation 14 2 26 6 6" xfId="15089" xr:uid="{00000000-0005-0000-0000-0000D23A0000}"/>
    <cellStyle name="Calculation 14 2 26 7" xfId="15090" xr:uid="{00000000-0005-0000-0000-0000D33A0000}"/>
    <cellStyle name="Calculation 14 2 26 7 2" xfId="15091" xr:uid="{00000000-0005-0000-0000-0000D43A0000}"/>
    <cellStyle name="Calculation 14 2 26 7 3" xfId="15092" xr:uid="{00000000-0005-0000-0000-0000D53A0000}"/>
    <cellStyle name="Calculation 14 2 26 7 4" xfId="15093" xr:uid="{00000000-0005-0000-0000-0000D63A0000}"/>
    <cellStyle name="Calculation 14 2 26 7 5" xfId="15094" xr:uid="{00000000-0005-0000-0000-0000D73A0000}"/>
    <cellStyle name="Calculation 14 2 26 7 6" xfId="15095" xr:uid="{00000000-0005-0000-0000-0000D83A0000}"/>
    <cellStyle name="Calculation 14 2 26 8" xfId="15096" xr:uid="{00000000-0005-0000-0000-0000D93A0000}"/>
    <cellStyle name="Calculation 14 2 26 9" xfId="15097" xr:uid="{00000000-0005-0000-0000-0000DA3A0000}"/>
    <cellStyle name="Calculation 14 2 27" xfId="15098" xr:uid="{00000000-0005-0000-0000-0000DB3A0000}"/>
    <cellStyle name="Calculation 14 2 27 2" xfId="15099" xr:uid="{00000000-0005-0000-0000-0000DC3A0000}"/>
    <cellStyle name="Calculation 14 2 27 3" xfId="15100" xr:uid="{00000000-0005-0000-0000-0000DD3A0000}"/>
    <cellStyle name="Calculation 14 2 27 4" xfId="15101" xr:uid="{00000000-0005-0000-0000-0000DE3A0000}"/>
    <cellStyle name="Calculation 14 2 27 5" xfId="15102" xr:uid="{00000000-0005-0000-0000-0000DF3A0000}"/>
    <cellStyle name="Calculation 14 2 27 6" xfId="15103" xr:uid="{00000000-0005-0000-0000-0000E03A0000}"/>
    <cellStyle name="Calculation 14 2 28" xfId="15104" xr:uid="{00000000-0005-0000-0000-0000E13A0000}"/>
    <cellStyle name="Calculation 14 2 28 2" xfId="15105" xr:uid="{00000000-0005-0000-0000-0000E23A0000}"/>
    <cellStyle name="Calculation 14 2 28 3" xfId="15106" xr:uid="{00000000-0005-0000-0000-0000E33A0000}"/>
    <cellStyle name="Calculation 14 2 28 4" xfId="15107" xr:uid="{00000000-0005-0000-0000-0000E43A0000}"/>
    <cellStyle name="Calculation 14 2 28 5" xfId="15108" xr:uid="{00000000-0005-0000-0000-0000E53A0000}"/>
    <cellStyle name="Calculation 14 2 28 6" xfId="15109" xr:uid="{00000000-0005-0000-0000-0000E63A0000}"/>
    <cellStyle name="Calculation 14 2 29" xfId="15110" xr:uid="{00000000-0005-0000-0000-0000E73A0000}"/>
    <cellStyle name="Calculation 14 2 29 2" xfId="15111" xr:uid="{00000000-0005-0000-0000-0000E83A0000}"/>
    <cellStyle name="Calculation 14 2 29 3" xfId="15112" xr:uid="{00000000-0005-0000-0000-0000E93A0000}"/>
    <cellStyle name="Calculation 14 2 29 4" xfId="15113" xr:uid="{00000000-0005-0000-0000-0000EA3A0000}"/>
    <cellStyle name="Calculation 14 2 29 5" xfId="15114" xr:uid="{00000000-0005-0000-0000-0000EB3A0000}"/>
    <cellStyle name="Calculation 14 2 29 6" xfId="15115" xr:uid="{00000000-0005-0000-0000-0000EC3A0000}"/>
    <cellStyle name="Calculation 14 2 3" xfId="15116" xr:uid="{00000000-0005-0000-0000-0000ED3A0000}"/>
    <cellStyle name="Calculation 14 2 3 10" xfId="15117" xr:uid="{00000000-0005-0000-0000-0000EE3A0000}"/>
    <cellStyle name="Calculation 14 2 3 2" xfId="15118" xr:uid="{00000000-0005-0000-0000-0000EF3A0000}"/>
    <cellStyle name="Calculation 14 2 3 2 2" xfId="15119" xr:uid="{00000000-0005-0000-0000-0000F03A0000}"/>
    <cellStyle name="Calculation 14 2 3 2 3" xfId="15120" xr:uid="{00000000-0005-0000-0000-0000F13A0000}"/>
    <cellStyle name="Calculation 14 2 3 2 4" xfId="15121" xr:uid="{00000000-0005-0000-0000-0000F23A0000}"/>
    <cellStyle name="Calculation 14 2 3 2 5" xfId="15122" xr:uid="{00000000-0005-0000-0000-0000F33A0000}"/>
    <cellStyle name="Calculation 14 2 3 2 6" xfId="15123" xr:uid="{00000000-0005-0000-0000-0000F43A0000}"/>
    <cellStyle name="Calculation 14 2 3 3" xfId="15124" xr:uid="{00000000-0005-0000-0000-0000F53A0000}"/>
    <cellStyle name="Calculation 14 2 3 3 2" xfId="15125" xr:uid="{00000000-0005-0000-0000-0000F63A0000}"/>
    <cellStyle name="Calculation 14 2 3 3 3" xfId="15126" xr:uid="{00000000-0005-0000-0000-0000F73A0000}"/>
    <cellStyle name="Calculation 14 2 3 3 4" xfId="15127" xr:uid="{00000000-0005-0000-0000-0000F83A0000}"/>
    <cellStyle name="Calculation 14 2 3 3 5" xfId="15128" xr:uid="{00000000-0005-0000-0000-0000F93A0000}"/>
    <cellStyle name="Calculation 14 2 3 3 6" xfId="15129" xr:uid="{00000000-0005-0000-0000-0000FA3A0000}"/>
    <cellStyle name="Calculation 14 2 3 4" xfId="15130" xr:uid="{00000000-0005-0000-0000-0000FB3A0000}"/>
    <cellStyle name="Calculation 14 2 3 4 2" xfId="15131" xr:uid="{00000000-0005-0000-0000-0000FC3A0000}"/>
    <cellStyle name="Calculation 14 2 3 4 3" xfId="15132" xr:uid="{00000000-0005-0000-0000-0000FD3A0000}"/>
    <cellStyle name="Calculation 14 2 3 4 4" xfId="15133" xr:uid="{00000000-0005-0000-0000-0000FE3A0000}"/>
    <cellStyle name="Calculation 14 2 3 4 5" xfId="15134" xr:uid="{00000000-0005-0000-0000-0000FF3A0000}"/>
    <cellStyle name="Calculation 14 2 3 4 6" xfId="15135" xr:uid="{00000000-0005-0000-0000-0000003B0000}"/>
    <cellStyle name="Calculation 14 2 3 5" xfId="15136" xr:uid="{00000000-0005-0000-0000-0000013B0000}"/>
    <cellStyle name="Calculation 14 2 3 5 2" xfId="15137" xr:uid="{00000000-0005-0000-0000-0000023B0000}"/>
    <cellStyle name="Calculation 14 2 3 5 3" xfId="15138" xr:uid="{00000000-0005-0000-0000-0000033B0000}"/>
    <cellStyle name="Calculation 14 2 3 5 4" xfId="15139" xr:uid="{00000000-0005-0000-0000-0000043B0000}"/>
    <cellStyle name="Calculation 14 2 3 5 5" xfId="15140" xr:uid="{00000000-0005-0000-0000-0000053B0000}"/>
    <cellStyle name="Calculation 14 2 3 5 6" xfId="15141" xr:uid="{00000000-0005-0000-0000-0000063B0000}"/>
    <cellStyle name="Calculation 14 2 3 6" xfId="15142" xr:uid="{00000000-0005-0000-0000-0000073B0000}"/>
    <cellStyle name="Calculation 14 2 3 6 2" xfId="15143" xr:uid="{00000000-0005-0000-0000-0000083B0000}"/>
    <cellStyle name="Calculation 14 2 3 6 3" xfId="15144" xr:uid="{00000000-0005-0000-0000-0000093B0000}"/>
    <cellStyle name="Calculation 14 2 3 6 4" xfId="15145" xr:uid="{00000000-0005-0000-0000-00000A3B0000}"/>
    <cellStyle name="Calculation 14 2 3 6 5" xfId="15146" xr:uid="{00000000-0005-0000-0000-00000B3B0000}"/>
    <cellStyle name="Calculation 14 2 3 6 6" xfId="15147" xr:uid="{00000000-0005-0000-0000-00000C3B0000}"/>
    <cellStyle name="Calculation 14 2 3 7" xfId="15148" xr:uid="{00000000-0005-0000-0000-00000D3B0000}"/>
    <cellStyle name="Calculation 14 2 3 7 2" xfId="15149" xr:uid="{00000000-0005-0000-0000-00000E3B0000}"/>
    <cellStyle name="Calculation 14 2 3 7 3" xfId="15150" xr:uid="{00000000-0005-0000-0000-00000F3B0000}"/>
    <cellStyle name="Calculation 14 2 3 7 4" xfId="15151" xr:uid="{00000000-0005-0000-0000-0000103B0000}"/>
    <cellStyle name="Calculation 14 2 3 7 5" xfId="15152" xr:uid="{00000000-0005-0000-0000-0000113B0000}"/>
    <cellStyle name="Calculation 14 2 3 7 6" xfId="15153" xr:uid="{00000000-0005-0000-0000-0000123B0000}"/>
    <cellStyle name="Calculation 14 2 3 8" xfId="15154" xr:uid="{00000000-0005-0000-0000-0000133B0000}"/>
    <cellStyle name="Calculation 14 2 3 9" xfId="15155" xr:uid="{00000000-0005-0000-0000-0000143B0000}"/>
    <cellStyle name="Calculation 14 2 30" xfId="15156" xr:uid="{00000000-0005-0000-0000-0000153B0000}"/>
    <cellStyle name="Calculation 14 2 30 2" xfId="15157" xr:uid="{00000000-0005-0000-0000-0000163B0000}"/>
    <cellStyle name="Calculation 14 2 30 3" xfId="15158" xr:uid="{00000000-0005-0000-0000-0000173B0000}"/>
    <cellStyle name="Calculation 14 2 30 4" xfId="15159" xr:uid="{00000000-0005-0000-0000-0000183B0000}"/>
    <cellStyle name="Calculation 14 2 30 5" xfId="15160" xr:uid="{00000000-0005-0000-0000-0000193B0000}"/>
    <cellStyle name="Calculation 14 2 30 6" xfId="15161" xr:uid="{00000000-0005-0000-0000-00001A3B0000}"/>
    <cellStyle name="Calculation 14 2 31" xfId="15162" xr:uid="{00000000-0005-0000-0000-00001B3B0000}"/>
    <cellStyle name="Calculation 14 2 31 2" xfId="15163" xr:uid="{00000000-0005-0000-0000-00001C3B0000}"/>
    <cellStyle name="Calculation 14 2 31 3" xfId="15164" xr:uid="{00000000-0005-0000-0000-00001D3B0000}"/>
    <cellStyle name="Calculation 14 2 31 4" xfId="15165" xr:uid="{00000000-0005-0000-0000-00001E3B0000}"/>
    <cellStyle name="Calculation 14 2 31 5" xfId="15166" xr:uid="{00000000-0005-0000-0000-00001F3B0000}"/>
    <cellStyle name="Calculation 14 2 31 6" xfId="15167" xr:uid="{00000000-0005-0000-0000-0000203B0000}"/>
    <cellStyle name="Calculation 14 2 32" xfId="15168" xr:uid="{00000000-0005-0000-0000-0000213B0000}"/>
    <cellStyle name="Calculation 14 2 32 2" xfId="15169" xr:uid="{00000000-0005-0000-0000-0000223B0000}"/>
    <cellStyle name="Calculation 14 2 32 3" xfId="15170" xr:uid="{00000000-0005-0000-0000-0000233B0000}"/>
    <cellStyle name="Calculation 14 2 32 4" xfId="15171" xr:uid="{00000000-0005-0000-0000-0000243B0000}"/>
    <cellStyle name="Calculation 14 2 32 5" xfId="15172" xr:uid="{00000000-0005-0000-0000-0000253B0000}"/>
    <cellStyle name="Calculation 14 2 32 6" xfId="15173" xr:uid="{00000000-0005-0000-0000-0000263B0000}"/>
    <cellStyle name="Calculation 14 2 33" xfId="15174" xr:uid="{00000000-0005-0000-0000-0000273B0000}"/>
    <cellStyle name="Calculation 14 2 34" xfId="15175" xr:uid="{00000000-0005-0000-0000-0000283B0000}"/>
    <cellStyle name="Calculation 14 2 35" xfId="15176" xr:uid="{00000000-0005-0000-0000-0000293B0000}"/>
    <cellStyle name="Calculation 14 2 4" xfId="15177" xr:uid="{00000000-0005-0000-0000-00002A3B0000}"/>
    <cellStyle name="Calculation 14 2 4 10" xfId="15178" xr:uid="{00000000-0005-0000-0000-00002B3B0000}"/>
    <cellStyle name="Calculation 14 2 4 2" xfId="15179" xr:uid="{00000000-0005-0000-0000-00002C3B0000}"/>
    <cellStyle name="Calculation 14 2 4 2 2" xfId="15180" xr:uid="{00000000-0005-0000-0000-00002D3B0000}"/>
    <cellStyle name="Calculation 14 2 4 2 3" xfId="15181" xr:uid="{00000000-0005-0000-0000-00002E3B0000}"/>
    <cellStyle name="Calculation 14 2 4 2 4" xfId="15182" xr:uid="{00000000-0005-0000-0000-00002F3B0000}"/>
    <cellStyle name="Calculation 14 2 4 2 5" xfId="15183" xr:uid="{00000000-0005-0000-0000-0000303B0000}"/>
    <cellStyle name="Calculation 14 2 4 2 6" xfId="15184" xr:uid="{00000000-0005-0000-0000-0000313B0000}"/>
    <cellStyle name="Calculation 14 2 4 3" xfId="15185" xr:uid="{00000000-0005-0000-0000-0000323B0000}"/>
    <cellStyle name="Calculation 14 2 4 3 2" xfId="15186" xr:uid="{00000000-0005-0000-0000-0000333B0000}"/>
    <cellStyle name="Calculation 14 2 4 3 3" xfId="15187" xr:uid="{00000000-0005-0000-0000-0000343B0000}"/>
    <cellStyle name="Calculation 14 2 4 3 4" xfId="15188" xr:uid="{00000000-0005-0000-0000-0000353B0000}"/>
    <cellStyle name="Calculation 14 2 4 3 5" xfId="15189" xr:uid="{00000000-0005-0000-0000-0000363B0000}"/>
    <cellStyle name="Calculation 14 2 4 3 6" xfId="15190" xr:uid="{00000000-0005-0000-0000-0000373B0000}"/>
    <cellStyle name="Calculation 14 2 4 4" xfId="15191" xr:uid="{00000000-0005-0000-0000-0000383B0000}"/>
    <cellStyle name="Calculation 14 2 4 4 2" xfId="15192" xr:uid="{00000000-0005-0000-0000-0000393B0000}"/>
    <cellStyle name="Calculation 14 2 4 4 3" xfId="15193" xr:uid="{00000000-0005-0000-0000-00003A3B0000}"/>
    <cellStyle name="Calculation 14 2 4 4 4" xfId="15194" xr:uid="{00000000-0005-0000-0000-00003B3B0000}"/>
    <cellStyle name="Calculation 14 2 4 4 5" xfId="15195" xr:uid="{00000000-0005-0000-0000-00003C3B0000}"/>
    <cellStyle name="Calculation 14 2 4 4 6" xfId="15196" xr:uid="{00000000-0005-0000-0000-00003D3B0000}"/>
    <cellStyle name="Calculation 14 2 4 5" xfId="15197" xr:uid="{00000000-0005-0000-0000-00003E3B0000}"/>
    <cellStyle name="Calculation 14 2 4 5 2" xfId="15198" xr:uid="{00000000-0005-0000-0000-00003F3B0000}"/>
    <cellStyle name="Calculation 14 2 4 5 3" xfId="15199" xr:uid="{00000000-0005-0000-0000-0000403B0000}"/>
    <cellStyle name="Calculation 14 2 4 5 4" xfId="15200" xr:uid="{00000000-0005-0000-0000-0000413B0000}"/>
    <cellStyle name="Calculation 14 2 4 5 5" xfId="15201" xr:uid="{00000000-0005-0000-0000-0000423B0000}"/>
    <cellStyle name="Calculation 14 2 4 5 6" xfId="15202" xr:uid="{00000000-0005-0000-0000-0000433B0000}"/>
    <cellStyle name="Calculation 14 2 4 6" xfId="15203" xr:uid="{00000000-0005-0000-0000-0000443B0000}"/>
    <cellStyle name="Calculation 14 2 4 6 2" xfId="15204" xr:uid="{00000000-0005-0000-0000-0000453B0000}"/>
    <cellStyle name="Calculation 14 2 4 6 3" xfId="15205" xr:uid="{00000000-0005-0000-0000-0000463B0000}"/>
    <cellStyle name="Calculation 14 2 4 6 4" xfId="15206" xr:uid="{00000000-0005-0000-0000-0000473B0000}"/>
    <cellStyle name="Calculation 14 2 4 6 5" xfId="15207" xr:uid="{00000000-0005-0000-0000-0000483B0000}"/>
    <cellStyle name="Calculation 14 2 4 6 6" xfId="15208" xr:uid="{00000000-0005-0000-0000-0000493B0000}"/>
    <cellStyle name="Calculation 14 2 4 7" xfId="15209" xr:uid="{00000000-0005-0000-0000-00004A3B0000}"/>
    <cellStyle name="Calculation 14 2 4 7 2" xfId="15210" xr:uid="{00000000-0005-0000-0000-00004B3B0000}"/>
    <cellStyle name="Calculation 14 2 4 7 3" xfId="15211" xr:uid="{00000000-0005-0000-0000-00004C3B0000}"/>
    <cellStyle name="Calculation 14 2 4 7 4" xfId="15212" xr:uid="{00000000-0005-0000-0000-00004D3B0000}"/>
    <cellStyle name="Calculation 14 2 4 7 5" xfId="15213" xr:uid="{00000000-0005-0000-0000-00004E3B0000}"/>
    <cellStyle name="Calculation 14 2 4 7 6" xfId="15214" xr:uid="{00000000-0005-0000-0000-00004F3B0000}"/>
    <cellStyle name="Calculation 14 2 4 8" xfId="15215" xr:uid="{00000000-0005-0000-0000-0000503B0000}"/>
    <cellStyle name="Calculation 14 2 4 9" xfId="15216" xr:uid="{00000000-0005-0000-0000-0000513B0000}"/>
    <cellStyle name="Calculation 14 2 5" xfId="15217" xr:uid="{00000000-0005-0000-0000-0000523B0000}"/>
    <cellStyle name="Calculation 14 2 5 10" xfId="15218" xr:uid="{00000000-0005-0000-0000-0000533B0000}"/>
    <cellStyle name="Calculation 14 2 5 2" xfId="15219" xr:uid="{00000000-0005-0000-0000-0000543B0000}"/>
    <cellStyle name="Calculation 14 2 5 2 2" xfId="15220" xr:uid="{00000000-0005-0000-0000-0000553B0000}"/>
    <cellStyle name="Calculation 14 2 5 2 3" xfId="15221" xr:uid="{00000000-0005-0000-0000-0000563B0000}"/>
    <cellStyle name="Calculation 14 2 5 2 4" xfId="15222" xr:uid="{00000000-0005-0000-0000-0000573B0000}"/>
    <cellStyle name="Calculation 14 2 5 2 5" xfId="15223" xr:uid="{00000000-0005-0000-0000-0000583B0000}"/>
    <cellStyle name="Calculation 14 2 5 2 6" xfId="15224" xr:uid="{00000000-0005-0000-0000-0000593B0000}"/>
    <cellStyle name="Calculation 14 2 5 3" xfId="15225" xr:uid="{00000000-0005-0000-0000-00005A3B0000}"/>
    <cellStyle name="Calculation 14 2 5 3 2" xfId="15226" xr:uid="{00000000-0005-0000-0000-00005B3B0000}"/>
    <cellStyle name="Calculation 14 2 5 3 3" xfId="15227" xr:uid="{00000000-0005-0000-0000-00005C3B0000}"/>
    <cellStyle name="Calculation 14 2 5 3 4" xfId="15228" xr:uid="{00000000-0005-0000-0000-00005D3B0000}"/>
    <cellStyle name="Calculation 14 2 5 3 5" xfId="15229" xr:uid="{00000000-0005-0000-0000-00005E3B0000}"/>
    <cellStyle name="Calculation 14 2 5 3 6" xfId="15230" xr:uid="{00000000-0005-0000-0000-00005F3B0000}"/>
    <cellStyle name="Calculation 14 2 5 4" xfId="15231" xr:uid="{00000000-0005-0000-0000-0000603B0000}"/>
    <cellStyle name="Calculation 14 2 5 4 2" xfId="15232" xr:uid="{00000000-0005-0000-0000-0000613B0000}"/>
    <cellStyle name="Calculation 14 2 5 4 3" xfId="15233" xr:uid="{00000000-0005-0000-0000-0000623B0000}"/>
    <cellStyle name="Calculation 14 2 5 4 4" xfId="15234" xr:uid="{00000000-0005-0000-0000-0000633B0000}"/>
    <cellStyle name="Calculation 14 2 5 4 5" xfId="15235" xr:uid="{00000000-0005-0000-0000-0000643B0000}"/>
    <cellStyle name="Calculation 14 2 5 4 6" xfId="15236" xr:uid="{00000000-0005-0000-0000-0000653B0000}"/>
    <cellStyle name="Calculation 14 2 5 5" xfId="15237" xr:uid="{00000000-0005-0000-0000-0000663B0000}"/>
    <cellStyle name="Calculation 14 2 5 5 2" xfId="15238" xr:uid="{00000000-0005-0000-0000-0000673B0000}"/>
    <cellStyle name="Calculation 14 2 5 5 3" xfId="15239" xr:uid="{00000000-0005-0000-0000-0000683B0000}"/>
    <cellStyle name="Calculation 14 2 5 5 4" xfId="15240" xr:uid="{00000000-0005-0000-0000-0000693B0000}"/>
    <cellStyle name="Calculation 14 2 5 5 5" xfId="15241" xr:uid="{00000000-0005-0000-0000-00006A3B0000}"/>
    <cellStyle name="Calculation 14 2 5 5 6" xfId="15242" xr:uid="{00000000-0005-0000-0000-00006B3B0000}"/>
    <cellStyle name="Calculation 14 2 5 6" xfId="15243" xr:uid="{00000000-0005-0000-0000-00006C3B0000}"/>
    <cellStyle name="Calculation 14 2 5 6 2" xfId="15244" xr:uid="{00000000-0005-0000-0000-00006D3B0000}"/>
    <cellStyle name="Calculation 14 2 5 6 3" xfId="15245" xr:uid="{00000000-0005-0000-0000-00006E3B0000}"/>
    <cellStyle name="Calculation 14 2 5 6 4" xfId="15246" xr:uid="{00000000-0005-0000-0000-00006F3B0000}"/>
    <cellStyle name="Calculation 14 2 5 6 5" xfId="15247" xr:uid="{00000000-0005-0000-0000-0000703B0000}"/>
    <cellStyle name="Calculation 14 2 5 6 6" xfId="15248" xr:uid="{00000000-0005-0000-0000-0000713B0000}"/>
    <cellStyle name="Calculation 14 2 5 7" xfId="15249" xr:uid="{00000000-0005-0000-0000-0000723B0000}"/>
    <cellStyle name="Calculation 14 2 5 7 2" xfId="15250" xr:uid="{00000000-0005-0000-0000-0000733B0000}"/>
    <cellStyle name="Calculation 14 2 5 7 3" xfId="15251" xr:uid="{00000000-0005-0000-0000-0000743B0000}"/>
    <cellStyle name="Calculation 14 2 5 7 4" xfId="15252" xr:uid="{00000000-0005-0000-0000-0000753B0000}"/>
    <cellStyle name="Calculation 14 2 5 7 5" xfId="15253" xr:uid="{00000000-0005-0000-0000-0000763B0000}"/>
    <cellStyle name="Calculation 14 2 5 7 6" xfId="15254" xr:uid="{00000000-0005-0000-0000-0000773B0000}"/>
    <cellStyle name="Calculation 14 2 5 8" xfId="15255" xr:uid="{00000000-0005-0000-0000-0000783B0000}"/>
    <cellStyle name="Calculation 14 2 5 9" xfId="15256" xr:uid="{00000000-0005-0000-0000-0000793B0000}"/>
    <cellStyle name="Calculation 14 2 6" xfId="15257" xr:uid="{00000000-0005-0000-0000-00007A3B0000}"/>
    <cellStyle name="Calculation 14 2 6 10" xfId="15258" xr:uid="{00000000-0005-0000-0000-00007B3B0000}"/>
    <cellStyle name="Calculation 14 2 6 2" xfId="15259" xr:uid="{00000000-0005-0000-0000-00007C3B0000}"/>
    <cellStyle name="Calculation 14 2 6 2 2" xfId="15260" xr:uid="{00000000-0005-0000-0000-00007D3B0000}"/>
    <cellStyle name="Calculation 14 2 6 2 3" xfId="15261" xr:uid="{00000000-0005-0000-0000-00007E3B0000}"/>
    <cellStyle name="Calculation 14 2 6 2 4" xfId="15262" xr:uid="{00000000-0005-0000-0000-00007F3B0000}"/>
    <cellStyle name="Calculation 14 2 6 2 5" xfId="15263" xr:uid="{00000000-0005-0000-0000-0000803B0000}"/>
    <cellStyle name="Calculation 14 2 6 2 6" xfId="15264" xr:uid="{00000000-0005-0000-0000-0000813B0000}"/>
    <cellStyle name="Calculation 14 2 6 3" xfId="15265" xr:uid="{00000000-0005-0000-0000-0000823B0000}"/>
    <cellStyle name="Calculation 14 2 6 3 2" xfId="15266" xr:uid="{00000000-0005-0000-0000-0000833B0000}"/>
    <cellStyle name="Calculation 14 2 6 3 3" xfId="15267" xr:uid="{00000000-0005-0000-0000-0000843B0000}"/>
    <cellStyle name="Calculation 14 2 6 3 4" xfId="15268" xr:uid="{00000000-0005-0000-0000-0000853B0000}"/>
    <cellStyle name="Calculation 14 2 6 3 5" xfId="15269" xr:uid="{00000000-0005-0000-0000-0000863B0000}"/>
    <cellStyle name="Calculation 14 2 6 3 6" xfId="15270" xr:uid="{00000000-0005-0000-0000-0000873B0000}"/>
    <cellStyle name="Calculation 14 2 6 4" xfId="15271" xr:uid="{00000000-0005-0000-0000-0000883B0000}"/>
    <cellStyle name="Calculation 14 2 6 4 2" xfId="15272" xr:uid="{00000000-0005-0000-0000-0000893B0000}"/>
    <cellStyle name="Calculation 14 2 6 4 3" xfId="15273" xr:uid="{00000000-0005-0000-0000-00008A3B0000}"/>
    <cellStyle name="Calculation 14 2 6 4 4" xfId="15274" xr:uid="{00000000-0005-0000-0000-00008B3B0000}"/>
    <cellStyle name="Calculation 14 2 6 4 5" xfId="15275" xr:uid="{00000000-0005-0000-0000-00008C3B0000}"/>
    <cellStyle name="Calculation 14 2 6 4 6" xfId="15276" xr:uid="{00000000-0005-0000-0000-00008D3B0000}"/>
    <cellStyle name="Calculation 14 2 6 5" xfId="15277" xr:uid="{00000000-0005-0000-0000-00008E3B0000}"/>
    <cellStyle name="Calculation 14 2 6 5 2" xfId="15278" xr:uid="{00000000-0005-0000-0000-00008F3B0000}"/>
    <cellStyle name="Calculation 14 2 6 5 3" xfId="15279" xr:uid="{00000000-0005-0000-0000-0000903B0000}"/>
    <cellStyle name="Calculation 14 2 6 5 4" xfId="15280" xr:uid="{00000000-0005-0000-0000-0000913B0000}"/>
    <cellStyle name="Calculation 14 2 6 5 5" xfId="15281" xr:uid="{00000000-0005-0000-0000-0000923B0000}"/>
    <cellStyle name="Calculation 14 2 6 5 6" xfId="15282" xr:uid="{00000000-0005-0000-0000-0000933B0000}"/>
    <cellStyle name="Calculation 14 2 6 6" xfId="15283" xr:uid="{00000000-0005-0000-0000-0000943B0000}"/>
    <cellStyle name="Calculation 14 2 6 6 2" xfId="15284" xr:uid="{00000000-0005-0000-0000-0000953B0000}"/>
    <cellStyle name="Calculation 14 2 6 6 3" xfId="15285" xr:uid="{00000000-0005-0000-0000-0000963B0000}"/>
    <cellStyle name="Calculation 14 2 6 6 4" xfId="15286" xr:uid="{00000000-0005-0000-0000-0000973B0000}"/>
    <cellStyle name="Calculation 14 2 6 6 5" xfId="15287" xr:uid="{00000000-0005-0000-0000-0000983B0000}"/>
    <cellStyle name="Calculation 14 2 6 6 6" xfId="15288" xr:uid="{00000000-0005-0000-0000-0000993B0000}"/>
    <cellStyle name="Calculation 14 2 6 7" xfId="15289" xr:uid="{00000000-0005-0000-0000-00009A3B0000}"/>
    <cellStyle name="Calculation 14 2 6 7 2" xfId="15290" xr:uid="{00000000-0005-0000-0000-00009B3B0000}"/>
    <cellStyle name="Calculation 14 2 6 7 3" xfId="15291" xr:uid="{00000000-0005-0000-0000-00009C3B0000}"/>
    <cellStyle name="Calculation 14 2 6 7 4" xfId="15292" xr:uid="{00000000-0005-0000-0000-00009D3B0000}"/>
    <cellStyle name="Calculation 14 2 6 7 5" xfId="15293" xr:uid="{00000000-0005-0000-0000-00009E3B0000}"/>
    <cellStyle name="Calculation 14 2 6 7 6" xfId="15294" xr:uid="{00000000-0005-0000-0000-00009F3B0000}"/>
    <cellStyle name="Calculation 14 2 6 8" xfId="15295" xr:uid="{00000000-0005-0000-0000-0000A03B0000}"/>
    <cellStyle name="Calculation 14 2 6 9" xfId="15296" xr:uid="{00000000-0005-0000-0000-0000A13B0000}"/>
    <cellStyle name="Calculation 14 2 7" xfId="15297" xr:uid="{00000000-0005-0000-0000-0000A23B0000}"/>
    <cellStyle name="Calculation 14 2 7 10" xfId="15298" xr:uid="{00000000-0005-0000-0000-0000A33B0000}"/>
    <cellStyle name="Calculation 14 2 7 2" xfId="15299" xr:uid="{00000000-0005-0000-0000-0000A43B0000}"/>
    <cellStyle name="Calculation 14 2 7 2 2" xfId="15300" xr:uid="{00000000-0005-0000-0000-0000A53B0000}"/>
    <cellStyle name="Calculation 14 2 7 2 3" xfId="15301" xr:uid="{00000000-0005-0000-0000-0000A63B0000}"/>
    <cellStyle name="Calculation 14 2 7 2 4" xfId="15302" xr:uid="{00000000-0005-0000-0000-0000A73B0000}"/>
    <cellStyle name="Calculation 14 2 7 2 5" xfId="15303" xr:uid="{00000000-0005-0000-0000-0000A83B0000}"/>
    <cellStyle name="Calculation 14 2 7 2 6" xfId="15304" xr:uid="{00000000-0005-0000-0000-0000A93B0000}"/>
    <cellStyle name="Calculation 14 2 7 3" xfId="15305" xr:uid="{00000000-0005-0000-0000-0000AA3B0000}"/>
    <cellStyle name="Calculation 14 2 7 3 2" xfId="15306" xr:uid="{00000000-0005-0000-0000-0000AB3B0000}"/>
    <cellStyle name="Calculation 14 2 7 3 3" xfId="15307" xr:uid="{00000000-0005-0000-0000-0000AC3B0000}"/>
    <cellStyle name="Calculation 14 2 7 3 4" xfId="15308" xr:uid="{00000000-0005-0000-0000-0000AD3B0000}"/>
    <cellStyle name="Calculation 14 2 7 3 5" xfId="15309" xr:uid="{00000000-0005-0000-0000-0000AE3B0000}"/>
    <cellStyle name="Calculation 14 2 7 3 6" xfId="15310" xr:uid="{00000000-0005-0000-0000-0000AF3B0000}"/>
    <cellStyle name="Calculation 14 2 7 4" xfId="15311" xr:uid="{00000000-0005-0000-0000-0000B03B0000}"/>
    <cellStyle name="Calculation 14 2 7 4 2" xfId="15312" xr:uid="{00000000-0005-0000-0000-0000B13B0000}"/>
    <cellStyle name="Calculation 14 2 7 4 3" xfId="15313" xr:uid="{00000000-0005-0000-0000-0000B23B0000}"/>
    <cellStyle name="Calculation 14 2 7 4 4" xfId="15314" xr:uid="{00000000-0005-0000-0000-0000B33B0000}"/>
    <cellStyle name="Calculation 14 2 7 4 5" xfId="15315" xr:uid="{00000000-0005-0000-0000-0000B43B0000}"/>
    <cellStyle name="Calculation 14 2 7 4 6" xfId="15316" xr:uid="{00000000-0005-0000-0000-0000B53B0000}"/>
    <cellStyle name="Calculation 14 2 7 5" xfId="15317" xr:uid="{00000000-0005-0000-0000-0000B63B0000}"/>
    <cellStyle name="Calculation 14 2 7 5 2" xfId="15318" xr:uid="{00000000-0005-0000-0000-0000B73B0000}"/>
    <cellStyle name="Calculation 14 2 7 5 3" xfId="15319" xr:uid="{00000000-0005-0000-0000-0000B83B0000}"/>
    <cellStyle name="Calculation 14 2 7 5 4" xfId="15320" xr:uid="{00000000-0005-0000-0000-0000B93B0000}"/>
    <cellStyle name="Calculation 14 2 7 5 5" xfId="15321" xr:uid="{00000000-0005-0000-0000-0000BA3B0000}"/>
    <cellStyle name="Calculation 14 2 7 5 6" xfId="15322" xr:uid="{00000000-0005-0000-0000-0000BB3B0000}"/>
    <cellStyle name="Calculation 14 2 7 6" xfId="15323" xr:uid="{00000000-0005-0000-0000-0000BC3B0000}"/>
    <cellStyle name="Calculation 14 2 7 6 2" xfId="15324" xr:uid="{00000000-0005-0000-0000-0000BD3B0000}"/>
    <cellStyle name="Calculation 14 2 7 6 3" xfId="15325" xr:uid="{00000000-0005-0000-0000-0000BE3B0000}"/>
    <cellStyle name="Calculation 14 2 7 6 4" xfId="15326" xr:uid="{00000000-0005-0000-0000-0000BF3B0000}"/>
    <cellStyle name="Calculation 14 2 7 6 5" xfId="15327" xr:uid="{00000000-0005-0000-0000-0000C03B0000}"/>
    <cellStyle name="Calculation 14 2 7 6 6" xfId="15328" xr:uid="{00000000-0005-0000-0000-0000C13B0000}"/>
    <cellStyle name="Calculation 14 2 7 7" xfId="15329" xr:uid="{00000000-0005-0000-0000-0000C23B0000}"/>
    <cellStyle name="Calculation 14 2 7 7 2" xfId="15330" xr:uid="{00000000-0005-0000-0000-0000C33B0000}"/>
    <cellStyle name="Calculation 14 2 7 7 3" xfId="15331" xr:uid="{00000000-0005-0000-0000-0000C43B0000}"/>
    <cellStyle name="Calculation 14 2 7 7 4" xfId="15332" xr:uid="{00000000-0005-0000-0000-0000C53B0000}"/>
    <cellStyle name="Calculation 14 2 7 7 5" xfId="15333" xr:uid="{00000000-0005-0000-0000-0000C63B0000}"/>
    <cellStyle name="Calculation 14 2 7 7 6" xfId="15334" xr:uid="{00000000-0005-0000-0000-0000C73B0000}"/>
    <cellStyle name="Calculation 14 2 7 8" xfId="15335" xr:uid="{00000000-0005-0000-0000-0000C83B0000}"/>
    <cellStyle name="Calculation 14 2 7 9" xfId="15336" xr:uid="{00000000-0005-0000-0000-0000C93B0000}"/>
    <cellStyle name="Calculation 14 2 8" xfId="15337" xr:uid="{00000000-0005-0000-0000-0000CA3B0000}"/>
    <cellStyle name="Calculation 14 2 8 10" xfId="15338" xr:uid="{00000000-0005-0000-0000-0000CB3B0000}"/>
    <cellStyle name="Calculation 14 2 8 2" xfId="15339" xr:uid="{00000000-0005-0000-0000-0000CC3B0000}"/>
    <cellStyle name="Calculation 14 2 8 2 2" xfId="15340" xr:uid="{00000000-0005-0000-0000-0000CD3B0000}"/>
    <cellStyle name="Calculation 14 2 8 2 3" xfId="15341" xr:uid="{00000000-0005-0000-0000-0000CE3B0000}"/>
    <cellStyle name="Calculation 14 2 8 2 4" xfId="15342" xr:uid="{00000000-0005-0000-0000-0000CF3B0000}"/>
    <cellStyle name="Calculation 14 2 8 2 5" xfId="15343" xr:uid="{00000000-0005-0000-0000-0000D03B0000}"/>
    <cellStyle name="Calculation 14 2 8 2 6" xfId="15344" xr:uid="{00000000-0005-0000-0000-0000D13B0000}"/>
    <cellStyle name="Calculation 14 2 8 3" xfId="15345" xr:uid="{00000000-0005-0000-0000-0000D23B0000}"/>
    <cellStyle name="Calculation 14 2 8 3 2" xfId="15346" xr:uid="{00000000-0005-0000-0000-0000D33B0000}"/>
    <cellStyle name="Calculation 14 2 8 3 3" xfId="15347" xr:uid="{00000000-0005-0000-0000-0000D43B0000}"/>
    <cellStyle name="Calculation 14 2 8 3 4" xfId="15348" xr:uid="{00000000-0005-0000-0000-0000D53B0000}"/>
    <cellStyle name="Calculation 14 2 8 3 5" xfId="15349" xr:uid="{00000000-0005-0000-0000-0000D63B0000}"/>
    <cellStyle name="Calculation 14 2 8 3 6" xfId="15350" xr:uid="{00000000-0005-0000-0000-0000D73B0000}"/>
    <cellStyle name="Calculation 14 2 8 4" xfId="15351" xr:uid="{00000000-0005-0000-0000-0000D83B0000}"/>
    <cellStyle name="Calculation 14 2 8 4 2" xfId="15352" xr:uid="{00000000-0005-0000-0000-0000D93B0000}"/>
    <cellStyle name="Calculation 14 2 8 4 3" xfId="15353" xr:uid="{00000000-0005-0000-0000-0000DA3B0000}"/>
    <cellStyle name="Calculation 14 2 8 4 4" xfId="15354" xr:uid="{00000000-0005-0000-0000-0000DB3B0000}"/>
    <cellStyle name="Calculation 14 2 8 4 5" xfId="15355" xr:uid="{00000000-0005-0000-0000-0000DC3B0000}"/>
    <cellStyle name="Calculation 14 2 8 4 6" xfId="15356" xr:uid="{00000000-0005-0000-0000-0000DD3B0000}"/>
    <cellStyle name="Calculation 14 2 8 5" xfId="15357" xr:uid="{00000000-0005-0000-0000-0000DE3B0000}"/>
    <cellStyle name="Calculation 14 2 8 5 2" xfId="15358" xr:uid="{00000000-0005-0000-0000-0000DF3B0000}"/>
    <cellStyle name="Calculation 14 2 8 5 3" xfId="15359" xr:uid="{00000000-0005-0000-0000-0000E03B0000}"/>
    <cellStyle name="Calculation 14 2 8 5 4" xfId="15360" xr:uid="{00000000-0005-0000-0000-0000E13B0000}"/>
    <cellStyle name="Calculation 14 2 8 5 5" xfId="15361" xr:uid="{00000000-0005-0000-0000-0000E23B0000}"/>
    <cellStyle name="Calculation 14 2 8 5 6" xfId="15362" xr:uid="{00000000-0005-0000-0000-0000E33B0000}"/>
    <cellStyle name="Calculation 14 2 8 6" xfId="15363" xr:uid="{00000000-0005-0000-0000-0000E43B0000}"/>
    <cellStyle name="Calculation 14 2 8 6 2" xfId="15364" xr:uid="{00000000-0005-0000-0000-0000E53B0000}"/>
    <cellStyle name="Calculation 14 2 8 6 3" xfId="15365" xr:uid="{00000000-0005-0000-0000-0000E63B0000}"/>
    <cellStyle name="Calculation 14 2 8 6 4" xfId="15366" xr:uid="{00000000-0005-0000-0000-0000E73B0000}"/>
    <cellStyle name="Calculation 14 2 8 6 5" xfId="15367" xr:uid="{00000000-0005-0000-0000-0000E83B0000}"/>
    <cellStyle name="Calculation 14 2 8 6 6" xfId="15368" xr:uid="{00000000-0005-0000-0000-0000E93B0000}"/>
    <cellStyle name="Calculation 14 2 8 7" xfId="15369" xr:uid="{00000000-0005-0000-0000-0000EA3B0000}"/>
    <cellStyle name="Calculation 14 2 8 7 2" xfId="15370" xr:uid="{00000000-0005-0000-0000-0000EB3B0000}"/>
    <cellStyle name="Calculation 14 2 8 7 3" xfId="15371" xr:uid="{00000000-0005-0000-0000-0000EC3B0000}"/>
    <cellStyle name="Calculation 14 2 8 7 4" xfId="15372" xr:uid="{00000000-0005-0000-0000-0000ED3B0000}"/>
    <cellStyle name="Calculation 14 2 8 7 5" xfId="15373" xr:uid="{00000000-0005-0000-0000-0000EE3B0000}"/>
    <cellStyle name="Calculation 14 2 8 7 6" xfId="15374" xr:uid="{00000000-0005-0000-0000-0000EF3B0000}"/>
    <cellStyle name="Calculation 14 2 8 8" xfId="15375" xr:uid="{00000000-0005-0000-0000-0000F03B0000}"/>
    <cellStyle name="Calculation 14 2 8 9" xfId="15376" xr:uid="{00000000-0005-0000-0000-0000F13B0000}"/>
    <cellStyle name="Calculation 14 2 9" xfId="15377" xr:uid="{00000000-0005-0000-0000-0000F23B0000}"/>
    <cellStyle name="Calculation 14 2 9 10" xfId="15378" xr:uid="{00000000-0005-0000-0000-0000F33B0000}"/>
    <cellStyle name="Calculation 14 2 9 2" xfId="15379" xr:uid="{00000000-0005-0000-0000-0000F43B0000}"/>
    <cellStyle name="Calculation 14 2 9 2 2" xfId="15380" xr:uid="{00000000-0005-0000-0000-0000F53B0000}"/>
    <cellStyle name="Calculation 14 2 9 2 3" xfId="15381" xr:uid="{00000000-0005-0000-0000-0000F63B0000}"/>
    <cellStyle name="Calculation 14 2 9 2 4" xfId="15382" xr:uid="{00000000-0005-0000-0000-0000F73B0000}"/>
    <cellStyle name="Calculation 14 2 9 2 5" xfId="15383" xr:uid="{00000000-0005-0000-0000-0000F83B0000}"/>
    <cellStyle name="Calculation 14 2 9 2 6" xfId="15384" xr:uid="{00000000-0005-0000-0000-0000F93B0000}"/>
    <cellStyle name="Calculation 14 2 9 3" xfId="15385" xr:uid="{00000000-0005-0000-0000-0000FA3B0000}"/>
    <cellStyle name="Calculation 14 2 9 3 2" xfId="15386" xr:uid="{00000000-0005-0000-0000-0000FB3B0000}"/>
    <cellStyle name="Calculation 14 2 9 3 3" xfId="15387" xr:uid="{00000000-0005-0000-0000-0000FC3B0000}"/>
    <cellStyle name="Calculation 14 2 9 3 4" xfId="15388" xr:uid="{00000000-0005-0000-0000-0000FD3B0000}"/>
    <cellStyle name="Calculation 14 2 9 3 5" xfId="15389" xr:uid="{00000000-0005-0000-0000-0000FE3B0000}"/>
    <cellStyle name="Calculation 14 2 9 3 6" xfId="15390" xr:uid="{00000000-0005-0000-0000-0000FF3B0000}"/>
    <cellStyle name="Calculation 14 2 9 4" xfId="15391" xr:uid="{00000000-0005-0000-0000-0000003C0000}"/>
    <cellStyle name="Calculation 14 2 9 4 2" xfId="15392" xr:uid="{00000000-0005-0000-0000-0000013C0000}"/>
    <cellStyle name="Calculation 14 2 9 4 3" xfId="15393" xr:uid="{00000000-0005-0000-0000-0000023C0000}"/>
    <cellStyle name="Calculation 14 2 9 4 4" xfId="15394" xr:uid="{00000000-0005-0000-0000-0000033C0000}"/>
    <cellStyle name="Calculation 14 2 9 4 5" xfId="15395" xr:uid="{00000000-0005-0000-0000-0000043C0000}"/>
    <cellStyle name="Calculation 14 2 9 4 6" xfId="15396" xr:uid="{00000000-0005-0000-0000-0000053C0000}"/>
    <cellStyle name="Calculation 14 2 9 5" xfId="15397" xr:uid="{00000000-0005-0000-0000-0000063C0000}"/>
    <cellStyle name="Calculation 14 2 9 5 2" xfId="15398" xr:uid="{00000000-0005-0000-0000-0000073C0000}"/>
    <cellStyle name="Calculation 14 2 9 5 3" xfId="15399" xr:uid="{00000000-0005-0000-0000-0000083C0000}"/>
    <cellStyle name="Calculation 14 2 9 5 4" xfId="15400" xr:uid="{00000000-0005-0000-0000-0000093C0000}"/>
    <cellStyle name="Calculation 14 2 9 5 5" xfId="15401" xr:uid="{00000000-0005-0000-0000-00000A3C0000}"/>
    <cellStyle name="Calculation 14 2 9 5 6" xfId="15402" xr:uid="{00000000-0005-0000-0000-00000B3C0000}"/>
    <cellStyle name="Calculation 14 2 9 6" xfId="15403" xr:uid="{00000000-0005-0000-0000-00000C3C0000}"/>
    <cellStyle name="Calculation 14 2 9 6 2" xfId="15404" xr:uid="{00000000-0005-0000-0000-00000D3C0000}"/>
    <cellStyle name="Calculation 14 2 9 6 3" xfId="15405" xr:uid="{00000000-0005-0000-0000-00000E3C0000}"/>
    <cellStyle name="Calculation 14 2 9 6 4" xfId="15406" xr:uid="{00000000-0005-0000-0000-00000F3C0000}"/>
    <cellStyle name="Calculation 14 2 9 6 5" xfId="15407" xr:uid="{00000000-0005-0000-0000-0000103C0000}"/>
    <cellStyle name="Calculation 14 2 9 6 6" xfId="15408" xr:uid="{00000000-0005-0000-0000-0000113C0000}"/>
    <cellStyle name="Calculation 14 2 9 7" xfId="15409" xr:uid="{00000000-0005-0000-0000-0000123C0000}"/>
    <cellStyle name="Calculation 14 2 9 7 2" xfId="15410" xr:uid="{00000000-0005-0000-0000-0000133C0000}"/>
    <cellStyle name="Calculation 14 2 9 7 3" xfId="15411" xr:uid="{00000000-0005-0000-0000-0000143C0000}"/>
    <cellStyle name="Calculation 14 2 9 7 4" xfId="15412" xr:uid="{00000000-0005-0000-0000-0000153C0000}"/>
    <cellStyle name="Calculation 14 2 9 7 5" xfId="15413" xr:uid="{00000000-0005-0000-0000-0000163C0000}"/>
    <cellStyle name="Calculation 14 2 9 7 6" xfId="15414" xr:uid="{00000000-0005-0000-0000-0000173C0000}"/>
    <cellStyle name="Calculation 14 2 9 8" xfId="15415" xr:uid="{00000000-0005-0000-0000-0000183C0000}"/>
    <cellStyle name="Calculation 14 2 9 9" xfId="15416" xr:uid="{00000000-0005-0000-0000-0000193C0000}"/>
    <cellStyle name="Calculation 14 20" xfId="15417" xr:uid="{00000000-0005-0000-0000-00001A3C0000}"/>
    <cellStyle name="Calculation 14 20 10" xfId="15418" xr:uid="{00000000-0005-0000-0000-00001B3C0000}"/>
    <cellStyle name="Calculation 14 20 2" xfId="15419" xr:uid="{00000000-0005-0000-0000-00001C3C0000}"/>
    <cellStyle name="Calculation 14 20 2 2" xfId="15420" xr:uid="{00000000-0005-0000-0000-00001D3C0000}"/>
    <cellStyle name="Calculation 14 20 2 3" xfId="15421" xr:uid="{00000000-0005-0000-0000-00001E3C0000}"/>
    <cellStyle name="Calculation 14 20 2 4" xfId="15422" xr:uid="{00000000-0005-0000-0000-00001F3C0000}"/>
    <cellStyle name="Calculation 14 20 2 5" xfId="15423" xr:uid="{00000000-0005-0000-0000-0000203C0000}"/>
    <cellStyle name="Calculation 14 20 2 6" xfId="15424" xr:uid="{00000000-0005-0000-0000-0000213C0000}"/>
    <cellStyle name="Calculation 14 20 3" xfId="15425" xr:uid="{00000000-0005-0000-0000-0000223C0000}"/>
    <cellStyle name="Calculation 14 20 3 2" xfId="15426" xr:uid="{00000000-0005-0000-0000-0000233C0000}"/>
    <cellStyle name="Calculation 14 20 3 3" xfId="15427" xr:uid="{00000000-0005-0000-0000-0000243C0000}"/>
    <cellStyle name="Calculation 14 20 3 4" xfId="15428" xr:uid="{00000000-0005-0000-0000-0000253C0000}"/>
    <cellStyle name="Calculation 14 20 3 5" xfId="15429" xr:uid="{00000000-0005-0000-0000-0000263C0000}"/>
    <cellStyle name="Calculation 14 20 3 6" xfId="15430" xr:uid="{00000000-0005-0000-0000-0000273C0000}"/>
    <cellStyle name="Calculation 14 20 4" xfId="15431" xr:uid="{00000000-0005-0000-0000-0000283C0000}"/>
    <cellStyle name="Calculation 14 20 4 2" xfId="15432" xr:uid="{00000000-0005-0000-0000-0000293C0000}"/>
    <cellStyle name="Calculation 14 20 4 3" xfId="15433" xr:uid="{00000000-0005-0000-0000-00002A3C0000}"/>
    <cellStyle name="Calculation 14 20 4 4" xfId="15434" xr:uid="{00000000-0005-0000-0000-00002B3C0000}"/>
    <cellStyle name="Calculation 14 20 4 5" xfId="15435" xr:uid="{00000000-0005-0000-0000-00002C3C0000}"/>
    <cellStyle name="Calculation 14 20 4 6" xfId="15436" xr:uid="{00000000-0005-0000-0000-00002D3C0000}"/>
    <cellStyle name="Calculation 14 20 5" xfId="15437" xr:uid="{00000000-0005-0000-0000-00002E3C0000}"/>
    <cellStyle name="Calculation 14 20 5 2" xfId="15438" xr:uid="{00000000-0005-0000-0000-00002F3C0000}"/>
    <cellStyle name="Calculation 14 20 5 3" xfId="15439" xr:uid="{00000000-0005-0000-0000-0000303C0000}"/>
    <cellStyle name="Calculation 14 20 5 4" xfId="15440" xr:uid="{00000000-0005-0000-0000-0000313C0000}"/>
    <cellStyle name="Calculation 14 20 5 5" xfId="15441" xr:uid="{00000000-0005-0000-0000-0000323C0000}"/>
    <cellStyle name="Calculation 14 20 5 6" xfId="15442" xr:uid="{00000000-0005-0000-0000-0000333C0000}"/>
    <cellStyle name="Calculation 14 20 6" xfId="15443" xr:uid="{00000000-0005-0000-0000-0000343C0000}"/>
    <cellStyle name="Calculation 14 20 6 2" xfId="15444" xr:uid="{00000000-0005-0000-0000-0000353C0000}"/>
    <cellStyle name="Calculation 14 20 6 3" xfId="15445" xr:uid="{00000000-0005-0000-0000-0000363C0000}"/>
    <cellStyle name="Calculation 14 20 6 4" xfId="15446" xr:uid="{00000000-0005-0000-0000-0000373C0000}"/>
    <cellStyle name="Calculation 14 20 6 5" xfId="15447" xr:uid="{00000000-0005-0000-0000-0000383C0000}"/>
    <cellStyle name="Calculation 14 20 6 6" xfId="15448" xr:uid="{00000000-0005-0000-0000-0000393C0000}"/>
    <cellStyle name="Calculation 14 20 7" xfId="15449" xr:uid="{00000000-0005-0000-0000-00003A3C0000}"/>
    <cellStyle name="Calculation 14 20 7 2" xfId="15450" xr:uid="{00000000-0005-0000-0000-00003B3C0000}"/>
    <cellStyle name="Calculation 14 20 7 3" xfId="15451" xr:uid="{00000000-0005-0000-0000-00003C3C0000}"/>
    <cellStyle name="Calculation 14 20 7 4" xfId="15452" xr:uid="{00000000-0005-0000-0000-00003D3C0000}"/>
    <cellStyle name="Calculation 14 20 7 5" xfId="15453" xr:uid="{00000000-0005-0000-0000-00003E3C0000}"/>
    <cellStyle name="Calculation 14 20 7 6" xfId="15454" xr:uid="{00000000-0005-0000-0000-00003F3C0000}"/>
    <cellStyle name="Calculation 14 20 8" xfId="15455" xr:uid="{00000000-0005-0000-0000-0000403C0000}"/>
    <cellStyle name="Calculation 14 20 9" xfId="15456" xr:uid="{00000000-0005-0000-0000-0000413C0000}"/>
    <cellStyle name="Calculation 14 21" xfId="15457" xr:uid="{00000000-0005-0000-0000-0000423C0000}"/>
    <cellStyle name="Calculation 14 21 10" xfId="15458" xr:uid="{00000000-0005-0000-0000-0000433C0000}"/>
    <cellStyle name="Calculation 14 21 2" xfId="15459" xr:uid="{00000000-0005-0000-0000-0000443C0000}"/>
    <cellStyle name="Calculation 14 21 2 2" xfId="15460" xr:uid="{00000000-0005-0000-0000-0000453C0000}"/>
    <cellStyle name="Calculation 14 21 2 3" xfId="15461" xr:uid="{00000000-0005-0000-0000-0000463C0000}"/>
    <cellStyle name="Calculation 14 21 2 4" xfId="15462" xr:uid="{00000000-0005-0000-0000-0000473C0000}"/>
    <cellStyle name="Calculation 14 21 2 5" xfId="15463" xr:uid="{00000000-0005-0000-0000-0000483C0000}"/>
    <cellStyle name="Calculation 14 21 2 6" xfId="15464" xr:uid="{00000000-0005-0000-0000-0000493C0000}"/>
    <cellStyle name="Calculation 14 21 3" xfId="15465" xr:uid="{00000000-0005-0000-0000-00004A3C0000}"/>
    <cellStyle name="Calculation 14 21 3 2" xfId="15466" xr:uid="{00000000-0005-0000-0000-00004B3C0000}"/>
    <cellStyle name="Calculation 14 21 3 3" xfId="15467" xr:uid="{00000000-0005-0000-0000-00004C3C0000}"/>
    <cellStyle name="Calculation 14 21 3 4" xfId="15468" xr:uid="{00000000-0005-0000-0000-00004D3C0000}"/>
    <cellStyle name="Calculation 14 21 3 5" xfId="15469" xr:uid="{00000000-0005-0000-0000-00004E3C0000}"/>
    <cellStyle name="Calculation 14 21 3 6" xfId="15470" xr:uid="{00000000-0005-0000-0000-00004F3C0000}"/>
    <cellStyle name="Calculation 14 21 4" xfId="15471" xr:uid="{00000000-0005-0000-0000-0000503C0000}"/>
    <cellStyle name="Calculation 14 21 4 2" xfId="15472" xr:uid="{00000000-0005-0000-0000-0000513C0000}"/>
    <cellStyle name="Calculation 14 21 4 3" xfId="15473" xr:uid="{00000000-0005-0000-0000-0000523C0000}"/>
    <cellStyle name="Calculation 14 21 4 4" xfId="15474" xr:uid="{00000000-0005-0000-0000-0000533C0000}"/>
    <cellStyle name="Calculation 14 21 4 5" xfId="15475" xr:uid="{00000000-0005-0000-0000-0000543C0000}"/>
    <cellStyle name="Calculation 14 21 4 6" xfId="15476" xr:uid="{00000000-0005-0000-0000-0000553C0000}"/>
    <cellStyle name="Calculation 14 21 5" xfId="15477" xr:uid="{00000000-0005-0000-0000-0000563C0000}"/>
    <cellStyle name="Calculation 14 21 5 2" xfId="15478" xr:uid="{00000000-0005-0000-0000-0000573C0000}"/>
    <cellStyle name="Calculation 14 21 5 3" xfId="15479" xr:uid="{00000000-0005-0000-0000-0000583C0000}"/>
    <cellStyle name="Calculation 14 21 5 4" xfId="15480" xr:uid="{00000000-0005-0000-0000-0000593C0000}"/>
    <cellStyle name="Calculation 14 21 5 5" xfId="15481" xr:uid="{00000000-0005-0000-0000-00005A3C0000}"/>
    <cellStyle name="Calculation 14 21 5 6" xfId="15482" xr:uid="{00000000-0005-0000-0000-00005B3C0000}"/>
    <cellStyle name="Calculation 14 21 6" xfId="15483" xr:uid="{00000000-0005-0000-0000-00005C3C0000}"/>
    <cellStyle name="Calculation 14 21 6 2" xfId="15484" xr:uid="{00000000-0005-0000-0000-00005D3C0000}"/>
    <cellStyle name="Calculation 14 21 6 3" xfId="15485" xr:uid="{00000000-0005-0000-0000-00005E3C0000}"/>
    <cellStyle name="Calculation 14 21 6 4" xfId="15486" xr:uid="{00000000-0005-0000-0000-00005F3C0000}"/>
    <cellStyle name="Calculation 14 21 6 5" xfId="15487" xr:uid="{00000000-0005-0000-0000-0000603C0000}"/>
    <cellStyle name="Calculation 14 21 6 6" xfId="15488" xr:uid="{00000000-0005-0000-0000-0000613C0000}"/>
    <cellStyle name="Calculation 14 21 7" xfId="15489" xr:uid="{00000000-0005-0000-0000-0000623C0000}"/>
    <cellStyle name="Calculation 14 21 7 2" xfId="15490" xr:uid="{00000000-0005-0000-0000-0000633C0000}"/>
    <cellStyle name="Calculation 14 21 7 3" xfId="15491" xr:uid="{00000000-0005-0000-0000-0000643C0000}"/>
    <cellStyle name="Calculation 14 21 7 4" xfId="15492" xr:uid="{00000000-0005-0000-0000-0000653C0000}"/>
    <cellStyle name="Calculation 14 21 7 5" xfId="15493" xr:uid="{00000000-0005-0000-0000-0000663C0000}"/>
    <cellStyle name="Calculation 14 21 7 6" xfId="15494" xr:uid="{00000000-0005-0000-0000-0000673C0000}"/>
    <cellStyle name="Calculation 14 21 8" xfId="15495" xr:uid="{00000000-0005-0000-0000-0000683C0000}"/>
    <cellStyle name="Calculation 14 21 9" xfId="15496" xr:uid="{00000000-0005-0000-0000-0000693C0000}"/>
    <cellStyle name="Calculation 14 22" xfId="15497" xr:uid="{00000000-0005-0000-0000-00006A3C0000}"/>
    <cellStyle name="Calculation 14 22 10" xfId="15498" xr:uid="{00000000-0005-0000-0000-00006B3C0000}"/>
    <cellStyle name="Calculation 14 22 2" xfId="15499" xr:uid="{00000000-0005-0000-0000-00006C3C0000}"/>
    <cellStyle name="Calculation 14 22 2 2" xfId="15500" xr:uid="{00000000-0005-0000-0000-00006D3C0000}"/>
    <cellStyle name="Calculation 14 22 2 3" xfId="15501" xr:uid="{00000000-0005-0000-0000-00006E3C0000}"/>
    <cellStyle name="Calculation 14 22 2 4" xfId="15502" xr:uid="{00000000-0005-0000-0000-00006F3C0000}"/>
    <cellStyle name="Calculation 14 22 2 5" xfId="15503" xr:uid="{00000000-0005-0000-0000-0000703C0000}"/>
    <cellStyle name="Calculation 14 22 2 6" xfId="15504" xr:uid="{00000000-0005-0000-0000-0000713C0000}"/>
    <cellStyle name="Calculation 14 22 3" xfId="15505" xr:uid="{00000000-0005-0000-0000-0000723C0000}"/>
    <cellStyle name="Calculation 14 22 3 2" xfId="15506" xr:uid="{00000000-0005-0000-0000-0000733C0000}"/>
    <cellStyle name="Calculation 14 22 3 3" xfId="15507" xr:uid="{00000000-0005-0000-0000-0000743C0000}"/>
    <cellStyle name="Calculation 14 22 3 4" xfId="15508" xr:uid="{00000000-0005-0000-0000-0000753C0000}"/>
    <cellStyle name="Calculation 14 22 3 5" xfId="15509" xr:uid="{00000000-0005-0000-0000-0000763C0000}"/>
    <cellStyle name="Calculation 14 22 3 6" xfId="15510" xr:uid="{00000000-0005-0000-0000-0000773C0000}"/>
    <cellStyle name="Calculation 14 22 4" xfId="15511" xr:uid="{00000000-0005-0000-0000-0000783C0000}"/>
    <cellStyle name="Calculation 14 22 4 2" xfId="15512" xr:uid="{00000000-0005-0000-0000-0000793C0000}"/>
    <cellStyle name="Calculation 14 22 4 3" xfId="15513" xr:uid="{00000000-0005-0000-0000-00007A3C0000}"/>
    <cellStyle name="Calculation 14 22 4 4" xfId="15514" xr:uid="{00000000-0005-0000-0000-00007B3C0000}"/>
    <cellStyle name="Calculation 14 22 4 5" xfId="15515" xr:uid="{00000000-0005-0000-0000-00007C3C0000}"/>
    <cellStyle name="Calculation 14 22 4 6" xfId="15516" xr:uid="{00000000-0005-0000-0000-00007D3C0000}"/>
    <cellStyle name="Calculation 14 22 5" xfId="15517" xr:uid="{00000000-0005-0000-0000-00007E3C0000}"/>
    <cellStyle name="Calculation 14 22 5 2" xfId="15518" xr:uid="{00000000-0005-0000-0000-00007F3C0000}"/>
    <cellStyle name="Calculation 14 22 5 3" xfId="15519" xr:uid="{00000000-0005-0000-0000-0000803C0000}"/>
    <cellStyle name="Calculation 14 22 5 4" xfId="15520" xr:uid="{00000000-0005-0000-0000-0000813C0000}"/>
    <cellStyle name="Calculation 14 22 5 5" xfId="15521" xr:uid="{00000000-0005-0000-0000-0000823C0000}"/>
    <cellStyle name="Calculation 14 22 5 6" xfId="15522" xr:uid="{00000000-0005-0000-0000-0000833C0000}"/>
    <cellStyle name="Calculation 14 22 6" xfId="15523" xr:uid="{00000000-0005-0000-0000-0000843C0000}"/>
    <cellStyle name="Calculation 14 22 6 2" xfId="15524" xr:uid="{00000000-0005-0000-0000-0000853C0000}"/>
    <cellStyle name="Calculation 14 22 6 3" xfId="15525" xr:uid="{00000000-0005-0000-0000-0000863C0000}"/>
    <cellStyle name="Calculation 14 22 6 4" xfId="15526" xr:uid="{00000000-0005-0000-0000-0000873C0000}"/>
    <cellStyle name="Calculation 14 22 6 5" xfId="15527" xr:uid="{00000000-0005-0000-0000-0000883C0000}"/>
    <cellStyle name="Calculation 14 22 6 6" xfId="15528" xr:uid="{00000000-0005-0000-0000-0000893C0000}"/>
    <cellStyle name="Calculation 14 22 7" xfId="15529" xr:uid="{00000000-0005-0000-0000-00008A3C0000}"/>
    <cellStyle name="Calculation 14 22 7 2" xfId="15530" xr:uid="{00000000-0005-0000-0000-00008B3C0000}"/>
    <cellStyle name="Calculation 14 22 7 3" xfId="15531" xr:uid="{00000000-0005-0000-0000-00008C3C0000}"/>
    <cellStyle name="Calculation 14 22 7 4" xfId="15532" xr:uid="{00000000-0005-0000-0000-00008D3C0000}"/>
    <cellStyle name="Calculation 14 22 7 5" xfId="15533" xr:uid="{00000000-0005-0000-0000-00008E3C0000}"/>
    <cellStyle name="Calculation 14 22 7 6" xfId="15534" xr:uid="{00000000-0005-0000-0000-00008F3C0000}"/>
    <cellStyle name="Calculation 14 22 8" xfId="15535" xr:uid="{00000000-0005-0000-0000-0000903C0000}"/>
    <cellStyle name="Calculation 14 22 9" xfId="15536" xr:uid="{00000000-0005-0000-0000-0000913C0000}"/>
    <cellStyle name="Calculation 14 23" xfId="15537" xr:uid="{00000000-0005-0000-0000-0000923C0000}"/>
    <cellStyle name="Calculation 14 23 10" xfId="15538" xr:uid="{00000000-0005-0000-0000-0000933C0000}"/>
    <cellStyle name="Calculation 14 23 2" xfId="15539" xr:uid="{00000000-0005-0000-0000-0000943C0000}"/>
    <cellStyle name="Calculation 14 23 2 2" xfId="15540" xr:uid="{00000000-0005-0000-0000-0000953C0000}"/>
    <cellStyle name="Calculation 14 23 2 3" xfId="15541" xr:uid="{00000000-0005-0000-0000-0000963C0000}"/>
    <cellStyle name="Calculation 14 23 2 4" xfId="15542" xr:uid="{00000000-0005-0000-0000-0000973C0000}"/>
    <cellStyle name="Calculation 14 23 2 5" xfId="15543" xr:uid="{00000000-0005-0000-0000-0000983C0000}"/>
    <cellStyle name="Calculation 14 23 2 6" xfId="15544" xr:uid="{00000000-0005-0000-0000-0000993C0000}"/>
    <cellStyle name="Calculation 14 23 3" xfId="15545" xr:uid="{00000000-0005-0000-0000-00009A3C0000}"/>
    <cellStyle name="Calculation 14 23 3 2" xfId="15546" xr:uid="{00000000-0005-0000-0000-00009B3C0000}"/>
    <cellStyle name="Calculation 14 23 3 3" xfId="15547" xr:uid="{00000000-0005-0000-0000-00009C3C0000}"/>
    <cellStyle name="Calculation 14 23 3 4" xfId="15548" xr:uid="{00000000-0005-0000-0000-00009D3C0000}"/>
    <cellStyle name="Calculation 14 23 3 5" xfId="15549" xr:uid="{00000000-0005-0000-0000-00009E3C0000}"/>
    <cellStyle name="Calculation 14 23 3 6" xfId="15550" xr:uid="{00000000-0005-0000-0000-00009F3C0000}"/>
    <cellStyle name="Calculation 14 23 4" xfId="15551" xr:uid="{00000000-0005-0000-0000-0000A03C0000}"/>
    <cellStyle name="Calculation 14 23 4 2" xfId="15552" xr:uid="{00000000-0005-0000-0000-0000A13C0000}"/>
    <cellStyle name="Calculation 14 23 4 3" xfId="15553" xr:uid="{00000000-0005-0000-0000-0000A23C0000}"/>
    <cellStyle name="Calculation 14 23 4 4" xfId="15554" xr:uid="{00000000-0005-0000-0000-0000A33C0000}"/>
    <cellStyle name="Calculation 14 23 4 5" xfId="15555" xr:uid="{00000000-0005-0000-0000-0000A43C0000}"/>
    <cellStyle name="Calculation 14 23 4 6" xfId="15556" xr:uid="{00000000-0005-0000-0000-0000A53C0000}"/>
    <cellStyle name="Calculation 14 23 5" xfId="15557" xr:uid="{00000000-0005-0000-0000-0000A63C0000}"/>
    <cellStyle name="Calculation 14 23 5 2" xfId="15558" xr:uid="{00000000-0005-0000-0000-0000A73C0000}"/>
    <cellStyle name="Calculation 14 23 5 3" xfId="15559" xr:uid="{00000000-0005-0000-0000-0000A83C0000}"/>
    <cellStyle name="Calculation 14 23 5 4" xfId="15560" xr:uid="{00000000-0005-0000-0000-0000A93C0000}"/>
    <cellStyle name="Calculation 14 23 5 5" xfId="15561" xr:uid="{00000000-0005-0000-0000-0000AA3C0000}"/>
    <cellStyle name="Calculation 14 23 5 6" xfId="15562" xr:uid="{00000000-0005-0000-0000-0000AB3C0000}"/>
    <cellStyle name="Calculation 14 23 6" xfId="15563" xr:uid="{00000000-0005-0000-0000-0000AC3C0000}"/>
    <cellStyle name="Calculation 14 23 6 2" xfId="15564" xr:uid="{00000000-0005-0000-0000-0000AD3C0000}"/>
    <cellStyle name="Calculation 14 23 6 3" xfId="15565" xr:uid="{00000000-0005-0000-0000-0000AE3C0000}"/>
    <cellStyle name="Calculation 14 23 6 4" xfId="15566" xr:uid="{00000000-0005-0000-0000-0000AF3C0000}"/>
    <cellStyle name="Calculation 14 23 6 5" xfId="15567" xr:uid="{00000000-0005-0000-0000-0000B03C0000}"/>
    <cellStyle name="Calculation 14 23 6 6" xfId="15568" xr:uid="{00000000-0005-0000-0000-0000B13C0000}"/>
    <cellStyle name="Calculation 14 23 7" xfId="15569" xr:uid="{00000000-0005-0000-0000-0000B23C0000}"/>
    <cellStyle name="Calculation 14 23 7 2" xfId="15570" xr:uid="{00000000-0005-0000-0000-0000B33C0000}"/>
    <cellStyle name="Calculation 14 23 7 3" xfId="15571" xr:uid="{00000000-0005-0000-0000-0000B43C0000}"/>
    <cellStyle name="Calculation 14 23 7 4" xfId="15572" xr:uid="{00000000-0005-0000-0000-0000B53C0000}"/>
    <cellStyle name="Calculation 14 23 7 5" xfId="15573" xr:uid="{00000000-0005-0000-0000-0000B63C0000}"/>
    <cellStyle name="Calculation 14 23 7 6" xfId="15574" xr:uid="{00000000-0005-0000-0000-0000B73C0000}"/>
    <cellStyle name="Calculation 14 23 8" xfId="15575" xr:uid="{00000000-0005-0000-0000-0000B83C0000}"/>
    <cellStyle name="Calculation 14 23 9" xfId="15576" xr:uid="{00000000-0005-0000-0000-0000B93C0000}"/>
    <cellStyle name="Calculation 14 24" xfId="15577" xr:uid="{00000000-0005-0000-0000-0000BA3C0000}"/>
    <cellStyle name="Calculation 14 24 10" xfId="15578" xr:uid="{00000000-0005-0000-0000-0000BB3C0000}"/>
    <cellStyle name="Calculation 14 24 2" xfId="15579" xr:uid="{00000000-0005-0000-0000-0000BC3C0000}"/>
    <cellStyle name="Calculation 14 24 2 2" xfId="15580" xr:uid="{00000000-0005-0000-0000-0000BD3C0000}"/>
    <cellStyle name="Calculation 14 24 2 3" xfId="15581" xr:uid="{00000000-0005-0000-0000-0000BE3C0000}"/>
    <cellStyle name="Calculation 14 24 2 4" xfId="15582" xr:uid="{00000000-0005-0000-0000-0000BF3C0000}"/>
    <cellStyle name="Calculation 14 24 2 5" xfId="15583" xr:uid="{00000000-0005-0000-0000-0000C03C0000}"/>
    <cellStyle name="Calculation 14 24 2 6" xfId="15584" xr:uid="{00000000-0005-0000-0000-0000C13C0000}"/>
    <cellStyle name="Calculation 14 24 3" xfId="15585" xr:uid="{00000000-0005-0000-0000-0000C23C0000}"/>
    <cellStyle name="Calculation 14 24 3 2" xfId="15586" xr:uid="{00000000-0005-0000-0000-0000C33C0000}"/>
    <cellStyle name="Calculation 14 24 3 3" xfId="15587" xr:uid="{00000000-0005-0000-0000-0000C43C0000}"/>
    <cellStyle name="Calculation 14 24 3 4" xfId="15588" xr:uid="{00000000-0005-0000-0000-0000C53C0000}"/>
    <cellStyle name="Calculation 14 24 3 5" xfId="15589" xr:uid="{00000000-0005-0000-0000-0000C63C0000}"/>
    <cellStyle name="Calculation 14 24 3 6" xfId="15590" xr:uid="{00000000-0005-0000-0000-0000C73C0000}"/>
    <cellStyle name="Calculation 14 24 4" xfId="15591" xr:uid="{00000000-0005-0000-0000-0000C83C0000}"/>
    <cellStyle name="Calculation 14 24 4 2" xfId="15592" xr:uid="{00000000-0005-0000-0000-0000C93C0000}"/>
    <cellStyle name="Calculation 14 24 4 3" xfId="15593" xr:uid="{00000000-0005-0000-0000-0000CA3C0000}"/>
    <cellStyle name="Calculation 14 24 4 4" xfId="15594" xr:uid="{00000000-0005-0000-0000-0000CB3C0000}"/>
    <cellStyle name="Calculation 14 24 4 5" xfId="15595" xr:uid="{00000000-0005-0000-0000-0000CC3C0000}"/>
    <cellStyle name="Calculation 14 24 4 6" xfId="15596" xr:uid="{00000000-0005-0000-0000-0000CD3C0000}"/>
    <cellStyle name="Calculation 14 24 5" xfId="15597" xr:uid="{00000000-0005-0000-0000-0000CE3C0000}"/>
    <cellStyle name="Calculation 14 24 5 2" xfId="15598" xr:uid="{00000000-0005-0000-0000-0000CF3C0000}"/>
    <cellStyle name="Calculation 14 24 5 3" xfId="15599" xr:uid="{00000000-0005-0000-0000-0000D03C0000}"/>
    <cellStyle name="Calculation 14 24 5 4" xfId="15600" xr:uid="{00000000-0005-0000-0000-0000D13C0000}"/>
    <cellStyle name="Calculation 14 24 5 5" xfId="15601" xr:uid="{00000000-0005-0000-0000-0000D23C0000}"/>
    <cellStyle name="Calculation 14 24 5 6" xfId="15602" xr:uid="{00000000-0005-0000-0000-0000D33C0000}"/>
    <cellStyle name="Calculation 14 24 6" xfId="15603" xr:uid="{00000000-0005-0000-0000-0000D43C0000}"/>
    <cellStyle name="Calculation 14 24 6 2" xfId="15604" xr:uid="{00000000-0005-0000-0000-0000D53C0000}"/>
    <cellStyle name="Calculation 14 24 6 3" xfId="15605" xr:uid="{00000000-0005-0000-0000-0000D63C0000}"/>
    <cellStyle name="Calculation 14 24 6 4" xfId="15606" xr:uid="{00000000-0005-0000-0000-0000D73C0000}"/>
    <cellStyle name="Calculation 14 24 6 5" xfId="15607" xr:uid="{00000000-0005-0000-0000-0000D83C0000}"/>
    <cellStyle name="Calculation 14 24 6 6" xfId="15608" xr:uid="{00000000-0005-0000-0000-0000D93C0000}"/>
    <cellStyle name="Calculation 14 24 7" xfId="15609" xr:uid="{00000000-0005-0000-0000-0000DA3C0000}"/>
    <cellStyle name="Calculation 14 24 7 2" xfId="15610" xr:uid="{00000000-0005-0000-0000-0000DB3C0000}"/>
    <cellStyle name="Calculation 14 24 7 3" xfId="15611" xr:uid="{00000000-0005-0000-0000-0000DC3C0000}"/>
    <cellStyle name="Calculation 14 24 7 4" xfId="15612" xr:uid="{00000000-0005-0000-0000-0000DD3C0000}"/>
    <cellStyle name="Calculation 14 24 7 5" xfId="15613" xr:uid="{00000000-0005-0000-0000-0000DE3C0000}"/>
    <cellStyle name="Calculation 14 24 7 6" xfId="15614" xr:uid="{00000000-0005-0000-0000-0000DF3C0000}"/>
    <cellStyle name="Calculation 14 24 8" xfId="15615" xr:uid="{00000000-0005-0000-0000-0000E03C0000}"/>
    <cellStyle name="Calculation 14 24 9" xfId="15616" xr:uid="{00000000-0005-0000-0000-0000E13C0000}"/>
    <cellStyle name="Calculation 14 25" xfId="15617" xr:uid="{00000000-0005-0000-0000-0000E23C0000}"/>
    <cellStyle name="Calculation 14 25 10" xfId="15618" xr:uid="{00000000-0005-0000-0000-0000E33C0000}"/>
    <cellStyle name="Calculation 14 25 2" xfId="15619" xr:uid="{00000000-0005-0000-0000-0000E43C0000}"/>
    <cellStyle name="Calculation 14 25 2 2" xfId="15620" xr:uid="{00000000-0005-0000-0000-0000E53C0000}"/>
    <cellStyle name="Calculation 14 25 2 3" xfId="15621" xr:uid="{00000000-0005-0000-0000-0000E63C0000}"/>
    <cellStyle name="Calculation 14 25 2 4" xfId="15622" xr:uid="{00000000-0005-0000-0000-0000E73C0000}"/>
    <cellStyle name="Calculation 14 25 2 5" xfId="15623" xr:uid="{00000000-0005-0000-0000-0000E83C0000}"/>
    <cellStyle name="Calculation 14 25 2 6" xfId="15624" xr:uid="{00000000-0005-0000-0000-0000E93C0000}"/>
    <cellStyle name="Calculation 14 25 3" xfId="15625" xr:uid="{00000000-0005-0000-0000-0000EA3C0000}"/>
    <cellStyle name="Calculation 14 25 3 2" xfId="15626" xr:uid="{00000000-0005-0000-0000-0000EB3C0000}"/>
    <cellStyle name="Calculation 14 25 3 3" xfId="15627" xr:uid="{00000000-0005-0000-0000-0000EC3C0000}"/>
    <cellStyle name="Calculation 14 25 3 4" xfId="15628" xr:uid="{00000000-0005-0000-0000-0000ED3C0000}"/>
    <cellStyle name="Calculation 14 25 3 5" xfId="15629" xr:uid="{00000000-0005-0000-0000-0000EE3C0000}"/>
    <cellStyle name="Calculation 14 25 3 6" xfId="15630" xr:uid="{00000000-0005-0000-0000-0000EF3C0000}"/>
    <cellStyle name="Calculation 14 25 4" xfId="15631" xr:uid="{00000000-0005-0000-0000-0000F03C0000}"/>
    <cellStyle name="Calculation 14 25 4 2" xfId="15632" xr:uid="{00000000-0005-0000-0000-0000F13C0000}"/>
    <cellStyle name="Calculation 14 25 4 3" xfId="15633" xr:uid="{00000000-0005-0000-0000-0000F23C0000}"/>
    <cellStyle name="Calculation 14 25 4 4" xfId="15634" xr:uid="{00000000-0005-0000-0000-0000F33C0000}"/>
    <cellStyle name="Calculation 14 25 4 5" xfId="15635" xr:uid="{00000000-0005-0000-0000-0000F43C0000}"/>
    <cellStyle name="Calculation 14 25 4 6" xfId="15636" xr:uid="{00000000-0005-0000-0000-0000F53C0000}"/>
    <cellStyle name="Calculation 14 25 5" xfId="15637" xr:uid="{00000000-0005-0000-0000-0000F63C0000}"/>
    <cellStyle name="Calculation 14 25 5 2" xfId="15638" xr:uid="{00000000-0005-0000-0000-0000F73C0000}"/>
    <cellStyle name="Calculation 14 25 5 3" xfId="15639" xr:uid="{00000000-0005-0000-0000-0000F83C0000}"/>
    <cellStyle name="Calculation 14 25 5 4" xfId="15640" xr:uid="{00000000-0005-0000-0000-0000F93C0000}"/>
    <cellStyle name="Calculation 14 25 5 5" xfId="15641" xr:uid="{00000000-0005-0000-0000-0000FA3C0000}"/>
    <cellStyle name="Calculation 14 25 5 6" xfId="15642" xr:uid="{00000000-0005-0000-0000-0000FB3C0000}"/>
    <cellStyle name="Calculation 14 25 6" xfId="15643" xr:uid="{00000000-0005-0000-0000-0000FC3C0000}"/>
    <cellStyle name="Calculation 14 25 6 2" xfId="15644" xr:uid="{00000000-0005-0000-0000-0000FD3C0000}"/>
    <cellStyle name="Calculation 14 25 6 3" xfId="15645" xr:uid="{00000000-0005-0000-0000-0000FE3C0000}"/>
    <cellStyle name="Calculation 14 25 6 4" xfId="15646" xr:uid="{00000000-0005-0000-0000-0000FF3C0000}"/>
    <cellStyle name="Calculation 14 25 6 5" xfId="15647" xr:uid="{00000000-0005-0000-0000-0000003D0000}"/>
    <cellStyle name="Calculation 14 25 6 6" xfId="15648" xr:uid="{00000000-0005-0000-0000-0000013D0000}"/>
    <cellStyle name="Calculation 14 25 7" xfId="15649" xr:uid="{00000000-0005-0000-0000-0000023D0000}"/>
    <cellStyle name="Calculation 14 25 7 2" xfId="15650" xr:uid="{00000000-0005-0000-0000-0000033D0000}"/>
    <cellStyle name="Calculation 14 25 7 3" xfId="15651" xr:uid="{00000000-0005-0000-0000-0000043D0000}"/>
    <cellStyle name="Calculation 14 25 7 4" xfId="15652" xr:uid="{00000000-0005-0000-0000-0000053D0000}"/>
    <cellStyle name="Calculation 14 25 7 5" xfId="15653" xr:uid="{00000000-0005-0000-0000-0000063D0000}"/>
    <cellStyle name="Calculation 14 25 7 6" xfId="15654" xr:uid="{00000000-0005-0000-0000-0000073D0000}"/>
    <cellStyle name="Calculation 14 25 8" xfId="15655" xr:uid="{00000000-0005-0000-0000-0000083D0000}"/>
    <cellStyle name="Calculation 14 25 9" xfId="15656" xr:uid="{00000000-0005-0000-0000-0000093D0000}"/>
    <cellStyle name="Calculation 14 26" xfId="15657" xr:uid="{00000000-0005-0000-0000-00000A3D0000}"/>
    <cellStyle name="Calculation 14 26 2" xfId="15658" xr:uid="{00000000-0005-0000-0000-00000B3D0000}"/>
    <cellStyle name="Calculation 14 26 3" xfId="15659" xr:uid="{00000000-0005-0000-0000-00000C3D0000}"/>
    <cellStyle name="Calculation 14 26 4" xfId="15660" xr:uid="{00000000-0005-0000-0000-00000D3D0000}"/>
    <cellStyle name="Calculation 14 26 5" xfId="15661" xr:uid="{00000000-0005-0000-0000-00000E3D0000}"/>
    <cellStyle name="Calculation 14 26 6" xfId="15662" xr:uid="{00000000-0005-0000-0000-00000F3D0000}"/>
    <cellStyle name="Calculation 14 27" xfId="15663" xr:uid="{00000000-0005-0000-0000-0000103D0000}"/>
    <cellStyle name="Calculation 14 27 2" xfId="15664" xr:uid="{00000000-0005-0000-0000-0000113D0000}"/>
    <cellStyle name="Calculation 14 27 3" xfId="15665" xr:uid="{00000000-0005-0000-0000-0000123D0000}"/>
    <cellStyle name="Calculation 14 27 4" xfId="15666" xr:uid="{00000000-0005-0000-0000-0000133D0000}"/>
    <cellStyle name="Calculation 14 27 5" xfId="15667" xr:uid="{00000000-0005-0000-0000-0000143D0000}"/>
    <cellStyle name="Calculation 14 27 6" xfId="15668" xr:uid="{00000000-0005-0000-0000-0000153D0000}"/>
    <cellStyle name="Calculation 14 28" xfId="15669" xr:uid="{00000000-0005-0000-0000-0000163D0000}"/>
    <cellStyle name="Calculation 14 28 2" xfId="15670" xr:uid="{00000000-0005-0000-0000-0000173D0000}"/>
    <cellStyle name="Calculation 14 28 3" xfId="15671" xr:uid="{00000000-0005-0000-0000-0000183D0000}"/>
    <cellStyle name="Calculation 14 28 4" xfId="15672" xr:uid="{00000000-0005-0000-0000-0000193D0000}"/>
    <cellStyle name="Calculation 14 28 5" xfId="15673" xr:uid="{00000000-0005-0000-0000-00001A3D0000}"/>
    <cellStyle name="Calculation 14 28 6" xfId="15674" xr:uid="{00000000-0005-0000-0000-00001B3D0000}"/>
    <cellStyle name="Calculation 14 29" xfId="15675" xr:uid="{00000000-0005-0000-0000-00001C3D0000}"/>
    <cellStyle name="Calculation 14 29 2" xfId="15676" xr:uid="{00000000-0005-0000-0000-00001D3D0000}"/>
    <cellStyle name="Calculation 14 29 3" xfId="15677" xr:uid="{00000000-0005-0000-0000-00001E3D0000}"/>
    <cellStyle name="Calculation 14 29 4" xfId="15678" xr:uid="{00000000-0005-0000-0000-00001F3D0000}"/>
    <cellStyle name="Calculation 14 29 5" xfId="15679" xr:uid="{00000000-0005-0000-0000-0000203D0000}"/>
    <cellStyle name="Calculation 14 29 6" xfId="15680" xr:uid="{00000000-0005-0000-0000-0000213D0000}"/>
    <cellStyle name="Calculation 14 3" xfId="15681" xr:uid="{00000000-0005-0000-0000-0000223D0000}"/>
    <cellStyle name="Calculation 14 3 10" xfId="15682" xr:uid="{00000000-0005-0000-0000-0000233D0000}"/>
    <cellStyle name="Calculation 14 3 10 10" xfId="15683" xr:uid="{00000000-0005-0000-0000-0000243D0000}"/>
    <cellStyle name="Calculation 14 3 10 2" xfId="15684" xr:uid="{00000000-0005-0000-0000-0000253D0000}"/>
    <cellStyle name="Calculation 14 3 10 2 2" xfId="15685" xr:uid="{00000000-0005-0000-0000-0000263D0000}"/>
    <cellStyle name="Calculation 14 3 10 2 3" xfId="15686" xr:uid="{00000000-0005-0000-0000-0000273D0000}"/>
    <cellStyle name="Calculation 14 3 10 2 4" xfId="15687" xr:uid="{00000000-0005-0000-0000-0000283D0000}"/>
    <cellStyle name="Calculation 14 3 10 2 5" xfId="15688" xr:uid="{00000000-0005-0000-0000-0000293D0000}"/>
    <cellStyle name="Calculation 14 3 10 2 6" xfId="15689" xr:uid="{00000000-0005-0000-0000-00002A3D0000}"/>
    <cellStyle name="Calculation 14 3 10 3" xfId="15690" xr:uid="{00000000-0005-0000-0000-00002B3D0000}"/>
    <cellStyle name="Calculation 14 3 10 3 2" xfId="15691" xr:uid="{00000000-0005-0000-0000-00002C3D0000}"/>
    <cellStyle name="Calculation 14 3 10 3 3" xfId="15692" xr:uid="{00000000-0005-0000-0000-00002D3D0000}"/>
    <cellStyle name="Calculation 14 3 10 3 4" xfId="15693" xr:uid="{00000000-0005-0000-0000-00002E3D0000}"/>
    <cellStyle name="Calculation 14 3 10 3 5" xfId="15694" xr:uid="{00000000-0005-0000-0000-00002F3D0000}"/>
    <cellStyle name="Calculation 14 3 10 3 6" xfId="15695" xr:uid="{00000000-0005-0000-0000-0000303D0000}"/>
    <cellStyle name="Calculation 14 3 10 4" xfId="15696" xr:uid="{00000000-0005-0000-0000-0000313D0000}"/>
    <cellStyle name="Calculation 14 3 10 4 2" xfId="15697" xr:uid="{00000000-0005-0000-0000-0000323D0000}"/>
    <cellStyle name="Calculation 14 3 10 4 3" xfId="15698" xr:uid="{00000000-0005-0000-0000-0000333D0000}"/>
    <cellStyle name="Calculation 14 3 10 4 4" xfId="15699" xr:uid="{00000000-0005-0000-0000-0000343D0000}"/>
    <cellStyle name="Calculation 14 3 10 4 5" xfId="15700" xr:uid="{00000000-0005-0000-0000-0000353D0000}"/>
    <cellStyle name="Calculation 14 3 10 4 6" xfId="15701" xr:uid="{00000000-0005-0000-0000-0000363D0000}"/>
    <cellStyle name="Calculation 14 3 10 5" xfId="15702" xr:uid="{00000000-0005-0000-0000-0000373D0000}"/>
    <cellStyle name="Calculation 14 3 10 5 2" xfId="15703" xr:uid="{00000000-0005-0000-0000-0000383D0000}"/>
    <cellStyle name="Calculation 14 3 10 5 3" xfId="15704" xr:uid="{00000000-0005-0000-0000-0000393D0000}"/>
    <cellStyle name="Calculation 14 3 10 5 4" xfId="15705" xr:uid="{00000000-0005-0000-0000-00003A3D0000}"/>
    <cellStyle name="Calculation 14 3 10 5 5" xfId="15706" xr:uid="{00000000-0005-0000-0000-00003B3D0000}"/>
    <cellStyle name="Calculation 14 3 10 5 6" xfId="15707" xr:uid="{00000000-0005-0000-0000-00003C3D0000}"/>
    <cellStyle name="Calculation 14 3 10 6" xfId="15708" xr:uid="{00000000-0005-0000-0000-00003D3D0000}"/>
    <cellStyle name="Calculation 14 3 10 6 2" xfId="15709" xr:uid="{00000000-0005-0000-0000-00003E3D0000}"/>
    <cellStyle name="Calculation 14 3 10 6 3" xfId="15710" xr:uid="{00000000-0005-0000-0000-00003F3D0000}"/>
    <cellStyle name="Calculation 14 3 10 6 4" xfId="15711" xr:uid="{00000000-0005-0000-0000-0000403D0000}"/>
    <cellStyle name="Calculation 14 3 10 6 5" xfId="15712" xr:uid="{00000000-0005-0000-0000-0000413D0000}"/>
    <cellStyle name="Calculation 14 3 10 6 6" xfId="15713" xr:uid="{00000000-0005-0000-0000-0000423D0000}"/>
    <cellStyle name="Calculation 14 3 10 7" xfId="15714" xr:uid="{00000000-0005-0000-0000-0000433D0000}"/>
    <cellStyle name="Calculation 14 3 10 7 2" xfId="15715" xr:uid="{00000000-0005-0000-0000-0000443D0000}"/>
    <cellStyle name="Calculation 14 3 10 7 3" xfId="15716" xr:uid="{00000000-0005-0000-0000-0000453D0000}"/>
    <cellStyle name="Calculation 14 3 10 7 4" xfId="15717" xr:uid="{00000000-0005-0000-0000-0000463D0000}"/>
    <cellStyle name="Calculation 14 3 10 7 5" xfId="15718" xr:uid="{00000000-0005-0000-0000-0000473D0000}"/>
    <cellStyle name="Calculation 14 3 10 7 6" xfId="15719" xr:uid="{00000000-0005-0000-0000-0000483D0000}"/>
    <cellStyle name="Calculation 14 3 10 8" xfId="15720" xr:uid="{00000000-0005-0000-0000-0000493D0000}"/>
    <cellStyle name="Calculation 14 3 10 9" xfId="15721" xr:uid="{00000000-0005-0000-0000-00004A3D0000}"/>
    <cellStyle name="Calculation 14 3 11" xfId="15722" xr:uid="{00000000-0005-0000-0000-00004B3D0000}"/>
    <cellStyle name="Calculation 14 3 11 10" xfId="15723" xr:uid="{00000000-0005-0000-0000-00004C3D0000}"/>
    <cellStyle name="Calculation 14 3 11 2" xfId="15724" xr:uid="{00000000-0005-0000-0000-00004D3D0000}"/>
    <cellStyle name="Calculation 14 3 11 2 2" xfId="15725" xr:uid="{00000000-0005-0000-0000-00004E3D0000}"/>
    <cellStyle name="Calculation 14 3 11 2 3" xfId="15726" xr:uid="{00000000-0005-0000-0000-00004F3D0000}"/>
    <cellStyle name="Calculation 14 3 11 2 4" xfId="15727" xr:uid="{00000000-0005-0000-0000-0000503D0000}"/>
    <cellStyle name="Calculation 14 3 11 2 5" xfId="15728" xr:uid="{00000000-0005-0000-0000-0000513D0000}"/>
    <cellStyle name="Calculation 14 3 11 2 6" xfId="15729" xr:uid="{00000000-0005-0000-0000-0000523D0000}"/>
    <cellStyle name="Calculation 14 3 11 3" xfId="15730" xr:uid="{00000000-0005-0000-0000-0000533D0000}"/>
    <cellStyle name="Calculation 14 3 11 3 2" xfId="15731" xr:uid="{00000000-0005-0000-0000-0000543D0000}"/>
    <cellStyle name="Calculation 14 3 11 3 3" xfId="15732" xr:uid="{00000000-0005-0000-0000-0000553D0000}"/>
    <cellStyle name="Calculation 14 3 11 3 4" xfId="15733" xr:uid="{00000000-0005-0000-0000-0000563D0000}"/>
    <cellStyle name="Calculation 14 3 11 3 5" xfId="15734" xr:uid="{00000000-0005-0000-0000-0000573D0000}"/>
    <cellStyle name="Calculation 14 3 11 3 6" xfId="15735" xr:uid="{00000000-0005-0000-0000-0000583D0000}"/>
    <cellStyle name="Calculation 14 3 11 4" xfId="15736" xr:uid="{00000000-0005-0000-0000-0000593D0000}"/>
    <cellStyle name="Calculation 14 3 11 4 2" xfId="15737" xr:uid="{00000000-0005-0000-0000-00005A3D0000}"/>
    <cellStyle name="Calculation 14 3 11 4 3" xfId="15738" xr:uid="{00000000-0005-0000-0000-00005B3D0000}"/>
    <cellStyle name="Calculation 14 3 11 4 4" xfId="15739" xr:uid="{00000000-0005-0000-0000-00005C3D0000}"/>
    <cellStyle name="Calculation 14 3 11 4 5" xfId="15740" xr:uid="{00000000-0005-0000-0000-00005D3D0000}"/>
    <cellStyle name="Calculation 14 3 11 4 6" xfId="15741" xr:uid="{00000000-0005-0000-0000-00005E3D0000}"/>
    <cellStyle name="Calculation 14 3 11 5" xfId="15742" xr:uid="{00000000-0005-0000-0000-00005F3D0000}"/>
    <cellStyle name="Calculation 14 3 11 5 2" xfId="15743" xr:uid="{00000000-0005-0000-0000-0000603D0000}"/>
    <cellStyle name="Calculation 14 3 11 5 3" xfId="15744" xr:uid="{00000000-0005-0000-0000-0000613D0000}"/>
    <cellStyle name="Calculation 14 3 11 5 4" xfId="15745" xr:uid="{00000000-0005-0000-0000-0000623D0000}"/>
    <cellStyle name="Calculation 14 3 11 5 5" xfId="15746" xr:uid="{00000000-0005-0000-0000-0000633D0000}"/>
    <cellStyle name="Calculation 14 3 11 5 6" xfId="15747" xr:uid="{00000000-0005-0000-0000-0000643D0000}"/>
    <cellStyle name="Calculation 14 3 11 6" xfId="15748" xr:uid="{00000000-0005-0000-0000-0000653D0000}"/>
    <cellStyle name="Calculation 14 3 11 6 2" xfId="15749" xr:uid="{00000000-0005-0000-0000-0000663D0000}"/>
    <cellStyle name="Calculation 14 3 11 6 3" xfId="15750" xr:uid="{00000000-0005-0000-0000-0000673D0000}"/>
    <cellStyle name="Calculation 14 3 11 6 4" xfId="15751" xr:uid="{00000000-0005-0000-0000-0000683D0000}"/>
    <cellStyle name="Calculation 14 3 11 6 5" xfId="15752" xr:uid="{00000000-0005-0000-0000-0000693D0000}"/>
    <cellStyle name="Calculation 14 3 11 6 6" xfId="15753" xr:uid="{00000000-0005-0000-0000-00006A3D0000}"/>
    <cellStyle name="Calculation 14 3 11 7" xfId="15754" xr:uid="{00000000-0005-0000-0000-00006B3D0000}"/>
    <cellStyle name="Calculation 14 3 11 7 2" xfId="15755" xr:uid="{00000000-0005-0000-0000-00006C3D0000}"/>
    <cellStyle name="Calculation 14 3 11 7 3" xfId="15756" xr:uid="{00000000-0005-0000-0000-00006D3D0000}"/>
    <cellStyle name="Calculation 14 3 11 7 4" xfId="15757" xr:uid="{00000000-0005-0000-0000-00006E3D0000}"/>
    <cellStyle name="Calculation 14 3 11 7 5" xfId="15758" xr:uid="{00000000-0005-0000-0000-00006F3D0000}"/>
    <cellStyle name="Calculation 14 3 11 7 6" xfId="15759" xr:uid="{00000000-0005-0000-0000-0000703D0000}"/>
    <cellStyle name="Calculation 14 3 11 8" xfId="15760" xr:uid="{00000000-0005-0000-0000-0000713D0000}"/>
    <cellStyle name="Calculation 14 3 11 9" xfId="15761" xr:uid="{00000000-0005-0000-0000-0000723D0000}"/>
    <cellStyle name="Calculation 14 3 12" xfId="15762" xr:uid="{00000000-0005-0000-0000-0000733D0000}"/>
    <cellStyle name="Calculation 14 3 12 10" xfId="15763" xr:uid="{00000000-0005-0000-0000-0000743D0000}"/>
    <cellStyle name="Calculation 14 3 12 2" xfId="15764" xr:uid="{00000000-0005-0000-0000-0000753D0000}"/>
    <cellStyle name="Calculation 14 3 12 2 2" xfId="15765" xr:uid="{00000000-0005-0000-0000-0000763D0000}"/>
    <cellStyle name="Calculation 14 3 12 2 3" xfId="15766" xr:uid="{00000000-0005-0000-0000-0000773D0000}"/>
    <cellStyle name="Calculation 14 3 12 2 4" xfId="15767" xr:uid="{00000000-0005-0000-0000-0000783D0000}"/>
    <cellStyle name="Calculation 14 3 12 2 5" xfId="15768" xr:uid="{00000000-0005-0000-0000-0000793D0000}"/>
    <cellStyle name="Calculation 14 3 12 2 6" xfId="15769" xr:uid="{00000000-0005-0000-0000-00007A3D0000}"/>
    <cellStyle name="Calculation 14 3 12 3" xfId="15770" xr:uid="{00000000-0005-0000-0000-00007B3D0000}"/>
    <cellStyle name="Calculation 14 3 12 3 2" xfId="15771" xr:uid="{00000000-0005-0000-0000-00007C3D0000}"/>
    <cellStyle name="Calculation 14 3 12 3 3" xfId="15772" xr:uid="{00000000-0005-0000-0000-00007D3D0000}"/>
    <cellStyle name="Calculation 14 3 12 3 4" xfId="15773" xr:uid="{00000000-0005-0000-0000-00007E3D0000}"/>
    <cellStyle name="Calculation 14 3 12 3 5" xfId="15774" xr:uid="{00000000-0005-0000-0000-00007F3D0000}"/>
    <cellStyle name="Calculation 14 3 12 3 6" xfId="15775" xr:uid="{00000000-0005-0000-0000-0000803D0000}"/>
    <cellStyle name="Calculation 14 3 12 4" xfId="15776" xr:uid="{00000000-0005-0000-0000-0000813D0000}"/>
    <cellStyle name="Calculation 14 3 12 4 2" xfId="15777" xr:uid="{00000000-0005-0000-0000-0000823D0000}"/>
    <cellStyle name="Calculation 14 3 12 4 3" xfId="15778" xr:uid="{00000000-0005-0000-0000-0000833D0000}"/>
    <cellStyle name="Calculation 14 3 12 4 4" xfId="15779" xr:uid="{00000000-0005-0000-0000-0000843D0000}"/>
    <cellStyle name="Calculation 14 3 12 4 5" xfId="15780" xr:uid="{00000000-0005-0000-0000-0000853D0000}"/>
    <cellStyle name="Calculation 14 3 12 4 6" xfId="15781" xr:uid="{00000000-0005-0000-0000-0000863D0000}"/>
    <cellStyle name="Calculation 14 3 12 5" xfId="15782" xr:uid="{00000000-0005-0000-0000-0000873D0000}"/>
    <cellStyle name="Calculation 14 3 12 5 2" xfId="15783" xr:uid="{00000000-0005-0000-0000-0000883D0000}"/>
    <cellStyle name="Calculation 14 3 12 5 3" xfId="15784" xr:uid="{00000000-0005-0000-0000-0000893D0000}"/>
    <cellStyle name="Calculation 14 3 12 5 4" xfId="15785" xr:uid="{00000000-0005-0000-0000-00008A3D0000}"/>
    <cellStyle name="Calculation 14 3 12 5 5" xfId="15786" xr:uid="{00000000-0005-0000-0000-00008B3D0000}"/>
    <cellStyle name="Calculation 14 3 12 5 6" xfId="15787" xr:uid="{00000000-0005-0000-0000-00008C3D0000}"/>
    <cellStyle name="Calculation 14 3 12 6" xfId="15788" xr:uid="{00000000-0005-0000-0000-00008D3D0000}"/>
    <cellStyle name="Calculation 14 3 12 6 2" xfId="15789" xr:uid="{00000000-0005-0000-0000-00008E3D0000}"/>
    <cellStyle name="Calculation 14 3 12 6 3" xfId="15790" xr:uid="{00000000-0005-0000-0000-00008F3D0000}"/>
    <cellStyle name="Calculation 14 3 12 6 4" xfId="15791" xr:uid="{00000000-0005-0000-0000-0000903D0000}"/>
    <cellStyle name="Calculation 14 3 12 6 5" xfId="15792" xr:uid="{00000000-0005-0000-0000-0000913D0000}"/>
    <cellStyle name="Calculation 14 3 12 6 6" xfId="15793" xr:uid="{00000000-0005-0000-0000-0000923D0000}"/>
    <cellStyle name="Calculation 14 3 12 7" xfId="15794" xr:uid="{00000000-0005-0000-0000-0000933D0000}"/>
    <cellStyle name="Calculation 14 3 12 7 2" xfId="15795" xr:uid="{00000000-0005-0000-0000-0000943D0000}"/>
    <cellStyle name="Calculation 14 3 12 7 3" xfId="15796" xr:uid="{00000000-0005-0000-0000-0000953D0000}"/>
    <cellStyle name="Calculation 14 3 12 7 4" xfId="15797" xr:uid="{00000000-0005-0000-0000-0000963D0000}"/>
    <cellStyle name="Calculation 14 3 12 7 5" xfId="15798" xr:uid="{00000000-0005-0000-0000-0000973D0000}"/>
    <cellStyle name="Calculation 14 3 12 7 6" xfId="15799" xr:uid="{00000000-0005-0000-0000-0000983D0000}"/>
    <cellStyle name="Calculation 14 3 12 8" xfId="15800" xr:uid="{00000000-0005-0000-0000-0000993D0000}"/>
    <cellStyle name="Calculation 14 3 12 9" xfId="15801" xr:uid="{00000000-0005-0000-0000-00009A3D0000}"/>
    <cellStyle name="Calculation 14 3 13" xfId="15802" xr:uid="{00000000-0005-0000-0000-00009B3D0000}"/>
    <cellStyle name="Calculation 14 3 13 10" xfId="15803" xr:uid="{00000000-0005-0000-0000-00009C3D0000}"/>
    <cellStyle name="Calculation 14 3 13 2" xfId="15804" xr:uid="{00000000-0005-0000-0000-00009D3D0000}"/>
    <cellStyle name="Calculation 14 3 13 2 2" xfId="15805" xr:uid="{00000000-0005-0000-0000-00009E3D0000}"/>
    <cellStyle name="Calculation 14 3 13 2 3" xfId="15806" xr:uid="{00000000-0005-0000-0000-00009F3D0000}"/>
    <cellStyle name="Calculation 14 3 13 2 4" xfId="15807" xr:uid="{00000000-0005-0000-0000-0000A03D0000}"/>
    <cellStyle name="Calculation 14 3 13 2 5" xfId="15808" xr:uid="{00000000-0005-0000-0000-0000A13D0000}"/>
    <cellStyle name="Calculation 14 3 13 2 6" xfId="15809" xr:uid="{00000000-0005-0000-0000-0000A23D0000}"/>
    <cellStyle name="Calculation 14 3 13 3" xfId="15810" xr:uid="{00000000-0005-0000-0000-0000A33D0000}"/>
    <cellStyle name="Calculation 14 3 13 3 2" xfId="15811" xr:uid="{00000000-0005-0000-0000-0000A43D0000}"/>
    <cellStyle name="Calculation 14 3 13 3 3" xfId="15812" xr:uid="{00000000-0005-0000-0000-0000A53D0000}"/>
    <cellStyle name="Calculation 14 3 13 3 4" xfId="15813" xr:uid="{00000000-0005-0000-0000-0000A63D0000}"/>
    <cellStyle name="Calculation 14 3 13 3 5" xfId="15814" xr:uid="{00000000-0005-0000-0000-0000A73D0000}"/>
    <cellStyle name="Calculation 14 3 13 3 6" xfId="15815" xr:uid="{00000000-0005-0000-0000-0000A83D0000}"/>
    <cellStyle name="Calculation 14 3 13 4" xfId="15816" xr:uid="{00000000-0005-0000-0000-0000A93D0000}"/>
    <cellStyle name="Calculation 14 3 13 4 2" xfId="15817" xr:uid="{00000000-0005-0000-0000-0000AA3D0000}"/>
    <cellStyle name="Calculation 14 3 13 4 3" xfId="15818" xr:uid="{00000000-0005-0000-0000-0000AB3D0000}"/>
    <cellStyle name="Calculation 14 3 13 4 4" xfId="15819" xr:uid="{00000000-0005-0000-0000-0000AC3D0000}"/>
    <cellStyle name="Calculation 14 3 13 4 5" xfId="15820" xr:uid="{00000000-0005-0000-0000-0000AD3D0000}"/>
    <cellStyle name="Calculation 14 3 13 4 6" xfId="15821" xr:uid="{00000000-0005-0000-0000-0000AE3D0000}"/>
    <cellStyle name="Calculation 14 3 13 5" xfId="15822" xr:uid="{00000000-0005-0000-0000-0000AF3D0000}"/>
    <cellStyle name="Calculation 14 3 13 5 2" xfId="15823" xr:uid="{00000000-0005-0000-0000-0000B03D0000}"/>
    <cellStyle name="Calculation 14 3 13 5 3" xfId="15824" xr:uid="{00000000-0005-0000-0000-0000B13D0000}"/>
    <cellStyle name="Calculation 14 3 13 5 4" xfId="15825" xr:uid="{00000000-0005-0000-0000-0000B23D0000}"/>
    <cellStyle name="Calculation 14 3 13 5 5" xfId="15826" xr:uid="{00000000-0005-0000-0000-0000B33D0000}"/>
    <cellStyle name="Calculation 14 3 13 5 6" xfId="15827" xr:uid="{00000000-0005-0000-0000-0000B43D0000}"/>
    <cellStyle name="Calculation 14 3 13 6" xfId="15828" xr:uid="{00000000-0005-0000-0000-0000B53D0000}"/>
    <cellStyle name="Calculation 14 3 13 6 2" xfId="15829" xr:uid="{00000000-0005-0000-0000-0000B63D0000}"/>
    <cellStyle name="Calculation 14 3 13 6 3" xfId="15830" xr:uid="{00000000-0005-0000-0000-0000B73D0000}"/>
    <cellStyle name="Calculation 14 3 13 6 4" xfId="15831" xr:uid="{00000000-0005-0000-0000-0000B83D0000}"/>
    <cellStyle name="Calculation 14 3 13 6 5" xfId="15832" xr:uid="{00000000-0005-0000-0000-0000B93D0000}"/>
    <cellStyle name="Calculation 14 3 13 6 6" xfId="15833" xr:uid="{00000000-0005-0000-0000-0000BA3D0000}"/>
    <cellStyle name="Calculation 14 3 13 7" xfId="15834" xr:uid="{00000000-0005-0000-0000-0000BB3D0000}"/>
    <cellStyle name="Calculation 14 3 13 7 2" xfId="15835" xr:uid="{00000000-0005-0000-0000-0000BC3D0000}"/>
    <cellStyle name="Calculation 14 3 13 7 3" xfId="15836" xr:uid="{00000000-0005-0000-0000-0000BD3D0000}"/>
    <cellStyle name="Calculation 14 3 13 7 4" xfId="15837" xr:uid="{00000000-0005-0000-0000-0000BE3D0000}"/>
    <cellStyle name="Calculation 14 3 13 7 5" xfId="15838" xr:uid="{00000000-0005-0000-0000-0000BF3D0000}"/>
    <cellStyle name="Calculation 14 3 13 7 6" xfId="15839" xr:uid="{00000000-0005-0000-0000-0000C03D0000}"/>
    <cellStyle name="Calculation 14 3 13 8" xfId="15840" xr:uid="{00000000-0005-0000-0000-0000C13D0000}"/>
    <cellStyle name="Calculation 14 3 13 9" xfId="15841" xr:uid="{00000000-0005-0000-0000-0000C23D0000}"/>
    <cellStyle name="Calculation 14 3 14" xfId="15842" xr:uid="{00000000-0005-0000-0000-0000C33D0000}"/>
    <cellStyle name="Calculation 14 3 14 10" xfId="15843" xr:uid="{00000000-0005-0000-0000-0000C43D0000}"/>
    <cellStyle name="Calculation 14 3 14 2" xfId="15844" xr:uid="{00000000-0005-0000-0000-0000C53D0000}"/>
    <cellStyle name="Calculation 14 3 14 2 2" xfId="15845" xr:uid="{00000000-0005-0000-0000-0000C63D0000}"/>
    <cellStyle name="Calculation 14 3 14 2 3" xfId="15846" xr:uid="{00000000-0005-0000-0000-0000C73D0000}"/>
    <cellStyle name="Calculation 14 3 14 2 4" xfId="15847" xr:uid="{00000000-0005-0000-0000-0000C83D0000}"/>
    <cellStyle name="Calculation 14 3 14 2 5" xfId="15848" xr:uid="{00000000-0005-0000-0000-0000C93D0000}"/>
    <cellStyle name="Calculation 14 3 14 2 6" xfId="15849" xr:uid="{00000000-0005-0000-0000-0000CA3D0000}"/>
    <cellStyle name="Calculation 14 3 14 3" xfId="15850" xr:uid="{00000000-0005-0000-0000-0000CB3D0000}"/>
    <cellStyle name="Calculation 14 3 14 3 2" xfId="15851" xr:uid="{00000000-0005-0000-0000-0000CC3D0000}"/>
    <cellStyle name="Calculation 14 3 14 3 3" xfId="15852" xr:uid="{00000000-0005-0000-0000-0000CD3D0000}"/>
    <cellStyle name="Calculation 14 3 14 3 4" xfId="15853" xr:uid="{00000000-0005-0000-0000-0000CE3D0000}"/>
    <cellStyle name="Calculation 14 3 14 3 5" xfId="15854" xr:uid="{00000000-0005-0000-0000-0000CF3D0000}"/>
    <cellStyle name="Calculation 14 3 14 3 6" xfId="15855" xr:uid="{00000000-0005-0000-0000-0000D03D0000}"/>
    <cellStyle name="Calculation 14 3 14 4" xfId="15856" xr:uid="{00000000-0005-0000-0000-0000D13D0000}"/>
    <cellStyle name="Calculation 14 3 14 4 2" xfId="15857" xr:uid="{00000000-0005-0000-0000-0000D23D0000}"/>
    <cellStyle name="Calculation 14 3 14 4 3" xfId="15858" xr:uid="{00000000-0005-0000-0000-0000D33D0000}"/>
    <cellStyle name="Calculation 14 3 14 4 4" xfId="15859" xr:uid="{00000000-0005-0000-0000-0000D43D0000}"/>
    <cellStyle name="Calculation 14 3 14 4 5" xfId="15860" xr:uid="{00000000-0005-0000-0000-0000D53D0000}"/>
    <cellStyle name="Calculation 14 3 14 4 6" xfId="15861" xr:uid="{00000000-0005-0000-0000-0000D63D0000}"/>
    <cellStyle name="Calculation 14 3 14 5" xfId="15862" xr:uid="{00000000-0005-0000-0000-0000D73D0000}"/>
    <cellStyle name="Calculation 14 3 14 5 2" xfId="15863" xr:uid="{00000000-0005-0000-0000-0000D83D0000}"/>
    <cellStyle name="Calculation 14 3 14 5 3" xfId="15864" xr:uid="{00000000-0005-0000-0000-0000D93D0000}"/>
    <cellStyle name="Calculation 14 3 14 5 4" xfId="15865" xr:uid="{00000000-0005-0000-0000-0000DA3D0000}"/>
    <cellStyle name="Calculation 14 3 14 5 5" xfId="15866" xr:uid="{00000000-0005-0000-0000-0000DB3D0000}"/>
    <cellStyle name="Calculation 14 3 14 5 6" xfId="15867" xr:uid="{00000000-0005-0000-0000-0000DC3D0000}"/>
    <cellStyle name="Calculation 14 3 14 6" xfId="15868" xr:uid="{00000000-0005-0000-0000-0000DD3D0000}"/>
    <cellStyle name="Calculation 14 3 14 6 2" xfId="15869" xr:uid="{00000000-0005-0000-0000-0000DE3D0000}"/>
    <cellStyle name="Calculation 14 3 14 6 3" xfId="15870" xr:uid="{00000000-0005-0000-0000-0000DF3D0000}"/>
    <cellStyle name="Calculation 14 3 14 6 4" xfId="15871" xr:uid="{00000000-0005-0000-0000-0000E03D0000}"/>
    <cellStyle name="Calculation 14 3 14 6 5" xfId="15872" xr:uid="{00000000-0005-0000-0000-0000E13D0000}"/>
    <cellStyle name="Calculation 14 3 14 6 6" xfId="15873" xr:uid="{00000000-0005-0000-0000-0000E23D0000}"/>
    <cellStyle name="Calculation 14 3 14 7" xfId="15874" xr:uid="{00000000-0005-0000-0000-0000E33D0000}"/>
    <cellStyle name="Calculation 14 3 14 7 2" xfId="15875" xr:uid="{00000000-0005-0000-0000-0000E43D0000}"/>
    <cellStyle name="Calculation 14 3 14 7 3" xfId="15876" xr:uid="{00000000-0005-0000-0000-0000E53D0000}"/>
    <cellStyle name="Calculation 14 3 14 7 4" xfId="15877" xr:uid="{00000000-0005-0000-0000-0000E63D0000}"/>
    <cellStyle name="Calculation 14 3 14 7 5" xfId="15878" xr:uid="{00000000-0005-0000-0000-0000E73D0000}"/>
    <cellStyle name="Calculation 14 3 14 7 6" xfId="15879" xr:uid="{00000000-0005-0000-0000-0000E83D0000}"/>
    <cellStyle name="Calculation 14 3 14 8" xfId="15880" xr:uid="{00000000-0005-0000-0000-0000E93D0000}"/>
    <cellStyle name="Calculation 14 3 14 9" xfId="15881" xr:uid="{00000000-0005-0000-0000-0000EA3D0000}"/>
    <cellStyle name="Calculation 14 3 15" xfId="15882" xr:uid="{00000000-0005-0000-0000-0000EB3D0000}"/>
    <cellStyle name="Calculation 14 3 15 10" xfId="15883" xr:uid="{00000000-0005-0000-0000-0000EC3D0000}"/>
    <cellStyle name="Calculation 14 3 15 2" xfId="15884" xr:uid="{00000000-0005-0000-0000-0000ED3D0000}"/>
    <cellStyle name="Calculation 14 3 15 2 2" xfId="15885" xr:uid="{00000000-0005-0000-0000-0000EE3D0000}"/>
    <cellStyle name="Calculation 14 3 15 2 3" xfId="15886" xr:uid="{00000000-0005-0000-0000-0000EF3D0000}"/>
    <cellStyle name="Calculation 14 3 15 2 4" xfId="15887" xr:uid="{00000000-0005-0000-0000-0000F03D0000}"/>
    <cellStyle name="Calculation 14 3 15 2 5" xfId="15888" xr:uid="{00000000-0005-0000-0000-0000F13D0000}"/>
    <cellStyle name="Calculation 14 3 15 2 6" xfId="15889" xr:uid="{00000000-0005-0000-0000-0000F23D0000}"/>
    <cellStyle name="Calculation 14 3 15 3" xfId="15890" xr:uid="{00000000-0005-0000-0000-0000F33D0000}"/>
    <cellStyle name="Calculation 14 3 15 3 2" xfId="15891" xr:uid="{00000000-0005-0000-0000-0000F43D0000}"/>
    <cellStyle name="Calculation 14 3 15 3 3" xfId="15892" xr:uid="{00000000-0005-0000-0000-0000F53D0000}"/>
    <cellStyle name="Calculation 14 3 15 3 4" xfId="15893" xr:uid="{00000000-0005-0000-0000-0000F63D0000}"/>
    <cellStyle name="Calculation 14 3 15 3 5" xfId="15894" xr:uid="{00000000-0005-0000-0000-0000F73D0000}"/>
    <cellStyle name="Calculation 14 3 15 3 6" xfId="15895" xr:uid="{00000000-0005-0000-0000-0000F83D0000}"/>
    <cellStyle name="Calculation 14 3 15 4" xfId="15896" xr:uid="{00000000-0005-0000-0000-0000F93D0000}"/>
    <cellStyle name="Calculation 14 3 15 4 2" xfId="15897" xr:uid="{00000000-0005-0000-0000-0000FA3D0000}"/>
    <cellStyle name="Calculation 14 3 15 4 3" xfId="15898" xr:uid="{00000000-0005-0000-0000-0000FB3D0000}"/>
    <cellStyle name="Calculation 14 3 15 4 4" xfId="15899" xr:uid="{00000000-0005-0000-0000-0000FC3D0000}"/>
    <cellStyle name="Calculation 14 3 15 4 5" xfId="15900" xr:uid="{00000000-0005-0000-0000-0000FD3D0000}"/>
    <cellStyle name="Calculation 14 3 15 4 6" xfId="15901" xr:uid="{00000000-0005-0000-0000-0000FE3D0000}"/>
    <cellStyle name="Calculation 14 3 15 5" xfId="15902" xr:uid="{00000000-0005-0000-0000-0000FF3D0000}"/>
    <cellStyle name="Calculation 14 3 15 5 2" xfId="15903" xr:uid="{00000000-0005-0000-0000-0000003E0000}"/>
    <cellStyle name="Calculation 14 3 15 5 3" xfId="15904" xr:uid="{00000000-0005-0000-0000-0000013E0000}"/>
    <cellStyle name="Calculation 14 3 15 5 4" xfId="15905" xr:uid="{00000000-0005-0000-0000-0000023E0000}"/>
    <cellStyle name="Calculation 14 3 15 5 5" xfId="15906" xr:uid="{00000000-0005-0000-0000-0000033E0000}"/>
    <cellStyle name="Calculation 14 3 15 5 6" xfId="15907" xr:uid="{00000000-0005-0000-0000-0000043E0000}"/>
    <cellStyle name="Calculation 14 3 15 6" xfId="15908" xr:uid="{00000000-0005-0000-0000-0000053E0000}"/>
    <cellStyle name="Calculation 14 3 15 6 2" xfId="15909" xr:uid="{00000000-0005-0000-0000-0000063E0000}"/>
    <cellStyle name="Calculation 14 3 15 6 3" xfId="15910" xr:uid="{00000000-0005-0000-0000-0000073E0000}"/>
    <cellStyle name="Calculation 14 3 15 6 4" xfId="15911" xr:uid="{00000000-0005-0000-0000-0000083E0000}"/>
    <cellStyle name="Calculation 14 3 15 6 5" xfId="15912" xr:uid="{00000000-0005-0000-0000-0000093E0000}"/>
    <cellStyle name="Calculation 14 3 15 6 6" xfId="15913" xr:uid="{00000000-0005-0000-0000-00000A3E0000}"/>
    <cellStyle name="Calculation 14 3 15 7" xfId="15914" xr:uid="{00000000-0005-0000-0000-00000B3E0000}"/>
    <cellStyle name="Calculation 14 3 15 7 2" xfId="15915" xr:uid="{00000000-0005-0000-0000-00000C3E0000}"/>
    <cellStyle name="Calculation 14 3 15 7 3" xfId="15916" xr:uid="{00000000-0005-0000-0000-00000D3E0000}"/>
    <cellStyle name="Calculation 14 3 15 7 4" xfId="15917" xr:uid="{00000000-0005-0000-0000-00000E3E0000}"/>
    <cellStyle name="Calculation 14 3 15 7 5" xfId="15918" xr:uid="{00000000-0005-0000-0000-00000F3E0000}"/>
    <cellStyle name="Calculation 14 3 15 7 6" xfId="15919" xr:uid="{00000000-0005-0000-0000-0000103E0000}"/>
    <cellStyle name="Calculation 14 3 15 8" xfId="15920" xr:uid="{00000000-0005-0000-0000-0000113E0000}"/>
    <cellStyle name="Calculation 14 3 15 9" xfId="15921" xr:uid="{00000000-0005-0000-0000-0000123E0000}"/>
    <cellStyle name="Calculation 14 3 16" xfId="15922" xr:uid="{00000000-0005-0000-0000-0000133E0000}"/>
    <cellStyle name="Calculation 14 3 16 10" xfId="15923" xr:uid="{00000000-0005-0000-0000-0000143E0000}"/>
    <cellStyle name="Calculation 14 3 16 2" xfId="15924" xr:uid="{00000000-0005-0000-0000-0000153E0000}"/>
    <cellStyle name="Calculation 14 3 16 2 2" xfId="15925" xr:uid="{00000000-0005-0000-0000-0000163E0000}"/>
    <cellStyle name="Calculation 14 3 16 2 3" xfId="15926" xr:uid="{00000000-0005-0000-0000-0000173E0000}"/>
    <cellStyle name="Calculation 14 3 16 2 4" xfId="15927" xr:uid="{00000000-0005-0000-0000-0000183E0000}"/>
    <cellStyle name="Calculation 14 3 16 2 5" xfId="15928" xr:uid="{00000000-0005-0000-0000-0000193E0000}"/>
    <cellStyle name="Calculation 14 3 16 2 6" xfId="15929" xr:uid="{00000000-0005-0000-0000-00001A3E0000}"/>
    <cellStyle name="Calculation 14 3 16 3" xfId="15930" xr:uid="{00000000-0005-0000-0000-00001B3E0000}"/>
    <cellStyle name="Calculation 14 3 16 3 2" xfId="15931" xr:uid="{00000000-0005-0000-0000-00001C3E0000}"/>
    <cellStyle name="Calculation 14 3 16 3 3" xfId="15932" xr:uid="{00000000-0005-0000-0000-00001D3E0000}"/>
    <cellStyle name="Calculation 14 3 16 3 4" xfId="15933" xr:uid="{00000000-0005-0000-0000-00001E3E0000}"/>
    <cellStyle name="Calculation 14 3 16 3 5" xfId="15934" xr:uid="{00000000-0005-0000-0000-00001F3E0000}"/>
    <cellStyle name="Calculation 14 3 16 3 6" xfId="15935" xr:uid="{00000000-0005-0000-0000-0000203E0000}"/>
    <cellStyle name="Calculation 14 3 16 4" xfId="15936" xr:uid="{00000000-0005-0000-0000-0000213E0000}"/>
    <cellStyle name="Calculation 14 3 16 4 2" xfId="15937" xr:uid="{00000000-0005-0000-0000-0000223E0000}"/>
    <cellStyle name="Calculation 14 3 16 4 3" xfId="15938" xr:uid="{00000000-0005-0000-0000-0000233E0000}"/>
    <cellStyle name="Calculation 14 3 16 4 4" xfId="15939" xr:uid="{00000000-0005-0000-0000-0000243E0000}"/>
    <cellStyle name="Calculation 14 3 16 4 5" xfId="15940" xr:uid="{00000000-0005-0000-0000-0000253E0000}"/>
    <cellStyle name="Calculation 14 3 16 4 6" xfId="15941" xr:uid="{00000000-0005-0000-0000-0000263E0000}"/>
    <cellStyle name="Calculation 14 3 16 5" xfId="15942" xr:uid="{00000000-0005-0000-0000-0000273E0000}"/>
    <cellStyle name="Calculation 14 3 16 5 2" xfId="15943" xr:uid="{00000000-0005-0000-0000-0000283E0000}"/>
    <cellStyle name="Calculation 14 3 16 5 3" xfId="15944" xr:uid="{00000000-0005-0000-0000-0000293E0000}"/>
    <cellStyle name="Calculation 14 3 16 5 4" xfId="15945" xr:uid="{00000000-0005-0000-0000-00002A3E0000}"/>
    <cellStyle name="Calculation 14 3 16 5 5" xfId="15946" xr:uid="{00000000-0005-0000-0000-00002B3E0000}"/>
    <cellStyle name="Calculation 14 3 16 5 6" xfId="15947" xr:uid="{00000000-0005-0000-0000-00002C3E0000}"/>
    <cellStyle name="Calculation 14 3 16 6" xfId="15948" xr:uid="{00000000-0005-0000-0000-00002D3E0000}"/>
    <cellStyle name="Calculation 14 3 16 6 2" xfId="15949" xr:uid="{00000000-0005-0000-0000-00002E3E0000}"/>
    <cellStyle name="Calculation 14 3 16 6 3" xfId="15950" xr:uid="{00000000-0005-0000-0000-00002F3E0000}"/>
    <cellStyle name="Calculation 14 3 16 6 4" xfId="15951" xr:uid="{00000000-0005-0000-0000-0000303E0000}"/>
    <cellStyle name="Calculation 14 3 16 6 5" xfId="15952" xr:uid="{00000000-0005-0000-0000-0000313E0000}"/>
    <cellStyle name="Calculation 14 3 16 6 6" xfId="15953" xr:uid="{00000000-0005-0000-0000-0000323E0000}"/>
    <cellStyle name="Calculation 14 3 16 7" xfId="15954" xr:uid="{00000000-0005-0000-0000-0000333E0000}"/>
    <cellStyle name="Calculation 14 3 16 7 2" xfId="15955" xr:uid="{00000000-0005-0000-0000-0000343E0000}"/>
    <cellStyle name="Calculation 14 3 16 7 3" xfId="15956" xr:uid="{00000000-0005-0000-0000-0000353E0000}"/>
    <cellStyle name="Calculation 14 3 16 7 4" xfId="15957" xr:uid="{00000000-0005-0000-0000-0000363E0000}"/>
    <cellStyle name="Calculation 14 3 16 7 5" xfId="15958" xr:uid="{00000000-0005-0000-0000-0000373E0000}"/>
    <cellStyle name="Calculation 14 3 16 7 6" xfId="15959" xr:uid="{00000000-0005-0000-0000-0000383E0000}"/>
    <cellStyle name="Calculation 14 3 16 8" xfId="15960" xr:uid="{00000000-0005-0000-0000-0000393E0000}"/>
    <cellStyle name="Calculation 14 3 16 9" xfId="15961" xr:uid="{00000000-0005-0000-0000-00003A3E0000}"/>
    <cellStyle name="Calculation 14 3 17" xfId="15962" xr:uid="{00000000-0005-0000-0000-00003B3E0000}"/>
    <cellStyle name="Calculation 14 3 17 10" xfId="15963" xr:uid="{00000000-0005-0000-0000-00003C3E0000}"/>
    <cellStyle name="Calculation 14 3 17 2" xfId="15964" xr:uid="{00000000-0005-0000-0000-00003D3E0000}"/>
    <cellStyle name="Calculation 14 3 17 2 2" xfId="15965" xr:uid="{00000000-0005-0000-0000-00003E3E0000}"/>
    <cellStyle name="Calculation 14 3 17 2 3" xfId="15966" xr:uid="{00000000-0005-0000-0000-00003F3E0000}"/>
    <cellStyle name="Calculation 14 3 17 2 4" xfId="15967" xr:uid="{00000000-0005-0000-0000-0000403E0000}"/>
    <cellStyle name="Calculation 14 3 17 2 5" xfId="15968" xr:uid="{00000000-0005-0000-0000-0000413E0000}"/>
    <cellStyle name="Calculation 14 3 17 2 6" xfId="15969" xr:uid="{00000000-0005-0000-0000-0000423E0000}"/>
    <cellStyle name="Calculation 14 3 17 3" xfId="15970" xr:uid="{00000000-0005-0000-0000-0000433E0000}"/>
    <cellStyle name="Calculation 14 3 17 3 2" xfId="15971" xr:uid="{00000000-0005-0000-0000-0000443E0000}"/>
    <cellStyle name="Calculation 14 3 17 3 3" xfId="15972" xr:uid="{00000000-0005-0000-0000-0000453E0000}"/>
    <cellStyle name="Calculation 14 3 17 3 4" xfId="15973" xr:uid="{00000000-0005-0000-0000-0000463E0000}"/>
    <cellStyle name="Calculation 14 3 17 3 5" xfId="15974" xr:uid="{00000000-0005-0000-0000-0000473E0000}"/>
    <cellStyle name="Calculation 14 3 17 3 6" xfId="15975" xr:uid="{00000000-0005-0000-0000-0000483E0000}"/>
    <cellStyle name="Calculation 14 3 17 4" xfId="15976" xr:uid="{00000000-0005-0000-0000-0000493E0000}"/>
    <cellStyle name="Calculation 14 3 17 4 2" xfId="15977" xr:uid="{00000000-0005-0000-0000-00004A3E0000}"/>
    <cellStyle name="Calculation 14 3 17 4 3" xfId="15978" xr:uid="{00000000-0005-0000-0000-00004B3E0000}"/>
    <cellStyle name="Calculation 14 3 17 4 4" xfId="15979" xr:uid="{00000000-0005-0000-0000-00004C3E0000}"/>
    <cellStyle name="Calculation 14 3 17 4 5" xfId="15980" xr:uid="{00000000-0005-0000-0000-00004D3E0000}"/>
    <cellStyle name="Calculation 14 3 17 4 6" xfId="15981" xr:uid="{00000000-0005-0000-0000-00004E3E0000}"/>
    <cellStyle name="Calculation 14 3 17 5" xfId="15982" xr:uid="{00000000-0005-0000-0000-00004F3E0000}"/>
    <cellStyle name="Calculation 14 3 17 5 2" xfId="15983" xr:uid="{00000000-0005-0000-0000-0000503E0000}"/>
    <cellStyle name="Calculation 14 3 17 5 3" xfId="15984" xr:uid="{00000000-0005-0000-0000-0000513E0000}"/>
    <cellStyle name="Calculation 14 3 17 5 4" xfId="15985" xr:uid="{00000000-0005-0000-0000-0000523E0000}"/>
    <cellStyle name="Calculation 14 3 17 5 5" xfId="15986" xr:uid="{00000000-0005-0000-0000-0000533E0000}"/>
    <cellStyle name="Calculation 14 3 17 5 6" xfId="15987" xr:uid="{00000000-0005-0000-0000-0000543E0000}"/>
    <cellStyle name="Calculation 14 3 17 6" xfId="15988" xr:uid="{00000000-0005-0000-0000-0000553E0000}"/>
    <cellStyle name="Calculation 14 3 17 6 2" xfId="15989" xr:uid="{00000000-0005-0000-0000-0000563E0000}"/>
    <cellStyle name="Calculation 14 3 17 6 3" xfId="15990" xr:uid="{00000000-0005-0000-0000-0000573E0000}"/>
    <cellStyle name="Calculation 14 3 17 6 4" xfId="15991" xr:uid="{00000000-0005-0000-0000-0000583E0000}"/>
    <cellStyle name="Calculation 14 3 17 6 5" xfId="15992" xr:uid="{00000000-0005-0000-0000-0000593E0000}"/>
    <cellStyle name="Calculation 14 3 17 6 6" xfId="15993" xr:uid="{00000000-0005-0000-0000-00005A3E0000}"/>
    <cellStyle name="Calculation 14 3 17 7" xfId="15994" xr:uid="{00000000-0005-0000-0000-00005B3E0000}"/>
    <cellStyle name="Calculation 14 3 17 7 2" xfId="15995" xr:uid="{00000000-0005-0000-0000-00005C3E0000}"/>
    <cellStyle name="Calculation 14 3 17 7 3" xfId="15996" xr:uid="{00000000-0005-0000-0000-00005D3E0000}"/>
    <cellStyle name="Calculation 14 3 17 7 4" xfId="15997" xr:uid="{00000000-0005-0000-0000-00005E3E0000}"/>
    <cellStyle name="Calculation 14 3 17 7 5" xfId="15998" xr:uid="{00000000-0005-0000-0000-00005F3E0000}"/>
    <cellStyle name="Calculation 14 3 17 7 6" xfId="15999" xr:uid="{00000000-0005-0000-0000-0000603E0000}"/>
    <cellStyle name="Calculation 14 3 17 8" xfId="16000" xr:uid="{00000000-0005-0000-0000-0000613E0000}"/>
    <cellStyle name="Calculation 14 3 17 9" xfId="16001" xr:uid="{00000000-0005-0000-0000-0000623E0000}"/>
    <cellStyle name="Calculation 14 3 18" xfId="16002" xr:uid="{00000000-0005-0000-0000-0000633E0000}"/>
    <cellStyle name="Calculation 14 3 18 10" xfId="16003" xr:uid="{00000000-0005-0000-0000-0000643E0000}"/>
    <cellStyle name="Calculation 14 3 18 2" xfId="16004" xr:uid="{00000000-0005-0000-0000-0000653E0000}"/>
    <cellStyle name="Calculation 14 3 18 2 2" xfId="16005" xr:uid="{00000000-0005-0000-0000-0000663E0000}"/>
    <cellStyle name="Calculation 14 3 18 2 3" xfId="16006" xr:uid="{00000000-0005-0000-0000-0000673E0000}"/>
    <cellStyle name="Calculation 14 3 18 2 4" xfId="16007" xr:uid="{00000000-0005-0000-0000-0000683E0000}"/>
    <cellStyle name="Calculation 14 3 18 2 5" xfId="16008" xr:uid="{00000000-0005-0000-0000-0000693E0000}"/>
    <cellStyle name="Calculation 14 3 18 2 6" xfId="16009" xr:uid="{00000000-0005-0000-0000-00006A3E0000}"/>
    <cellStyle name="Calculation 14 3 18 3" xfId="16010" xr:uid="{00000000-0005-0000-0000-00006B3E0000}"/>
    <cellStyle name="Calculation 14 3 18 3 2" xfId="16011" xr:uid="{00000000-0005-0000-0000-00006C3E0000}"/>
    <cellStyle name="Calculation 14 3 18 3 3" xfId="16012" xr:uid="{00000000-0005-0000-0000-00006D3E0000}"/>
    <cellStyle name="Calculation 14 3 18 3 4" xfId="16013" xr:uid="{00000000-0005-0000-0000-00006E3E0000}"/>
    <cellStyle name="Calculation 14 3 18 3 5" xfId="16014" xr:uid="{00000000-0005-0000-0000-00006F3E0000}"/>
    <cellStyle name="Calculation 14 3 18 3 6" xfId="16015" xr:uid="{00000000-0005-0000-0000-0000703E0000}"/>
    <cellStyle name="Calculation 14 3 18 4" xfId="16016" xr:uid="{00000000-0005-0000-0000-0000713E0000}"/>
    <cellStyle name="Calculation 14 3 18 4 2" xfId="16017" xr:uid="{00000000-0005-0000-0000-0000723E0000}"/>
    <cellStyle name="Calculation 14 3 18 4 3" xfId="16018" xr:uid="{00000000-0005-0000-0000-0000733E0000}"/>
    <cellStyle name="Calculation 14 3 18 4 4" xfId="16019" xr:uid="{00000000-0005-0000-0000-0000743E0000}"/>
    <cellStyle name="Calculation 14 3 18 4 5" xfId="16020" xr:uid="{00000000-0005-0000-0000-0000753E0000}"/>
    <cellStyle name="Calculation 14 3 18 4 6" xfId="16021" xr:uid="{00000000-0005-0000-0000-0000763E0000}"/>
    <cellStyle name="Calculation 14 3 18 5" xfId="16022" xr:uid="{00000000-0005-0000-0000-0000773E0000}"/>
    <cellStyle name="Calculation 14 3 18 5 2" xfId="16023" xr:uid="{00000000-0005-0000-0000-0000783E0000}"/>
    <cellStyle name="Calculation 14 3 18 5 3" xfId="16024" xr:uid="{00000000-0005-0000-0000-0000793E0000}"/>
    <cellStyle name="Calculation 14 3 18 5 4" xfId="16025" xr:uid="{00000000-0005-0000-0000-00007A3E0000}"/>
    <cellStyle name="Calculation 14 3 18 5 5" xfId="16026" xr:uid="{00000000-0005-0000-0000-00007B3E0000}"/>
    <cellStyle name="Calculation 14 3 18 5 6" xfId="16027" xr:uid="{00000000-0005-0000-0000-00007C3E0000}"/>
    <cellStyle name="Calculation 14 3 18 6" xfId="16028" xr:uid="{00000000-0005-0000-0000-00007D3E0000}"/>
    <cellStyle name="Calculation 14 3 18 6 2" xfId="16029" xr:uid="{00000000-0005-0000-0000-00007E3E0000}"/>
    <cellStyle name="Calculation 14 3 18 6 3" xfId="16030" xr:uid="{00000000-0005-0000-0000-00007F3E0000}"/>
    <cellStyle name="Calculation 14 3 18 6 4" xfId="16031" xr:uid="{00000000-0005-0000-0000-0000803E0000}"/>
    <cellStyle name="Calculation 14 3 18 6 5" xfId="16032" xr:uid="{00000000-0005-0000-0000-0000813E0000}"/>
    <cellStyle name="Calculation 14 3 18 6 6" xfId="16033" xr:uid="{00000000-0005-0000-0000-0000823E0000}"/>
    <cellStyle name="Calculation 14 3 18 7" xfId="16034" xr:uid="{00000000-0005-0000-0000-0000833E0000}"/>
    <cellStyle name="Calculation 14 3 18 7 2" xfId="16035" xr:uid="{00000000-0005-0000-0000-0000843E0000}"/>
    <cellStyle name="Calculation 14 3 18 7 3" xfId="16036" xr:uid="{00000000-0005-0000-0000-0000853E0000}"/>
    <cellStyle name="Calculation 14 3 18 7 4" xfId="16037" xr:uid="{00000000-0005-0000-0000-0000863E0000}"/>
    <cellStyle name="Calculation 14 3 18 7 5" xfId="16038" xr:uid="{00000000-0005-0000-0000-0000873E0000}"/>
    <cellStyle name="Calculation 14 3 18 7 6" xfId="16039" xr:uid="{00000000-0005-0000-0000-0000883E0000}"/>
    <cellStyle name="Calculation 14 3 18 8" xfId="16040" xr:uid="{00000000-0005-0000-0000-0000893E0000}"/>
    <cellStyle name="Calculation 14 3 18 9" xfId="16041" xr:uid="{00000000-0005-0000-0000-00008A3E0000}"/>
    <cellStyle name="Calculation 14 3 19" xfId="16042" xr:uid="{00000000-0005-0000-0000-00008B3E0000}"/>
    <cellStyle name="Calculation 14 3 19 10" xfId="16043" xr:uid="{00000000-0005-0000-0000-00008C3E0000}"/>
    <cellStyle name="Calculation 14 3 19 2" xfId="16044" xr:uid="{00000000-0005-0000-0000-00008D3E0000}"/>
    <cellStyle name="Calculation 14 3 19 2 2" xfId="16045" xr:uid="{00000000-0005-0000-0000-00008E3E0000}"/>
    <cellStyle name="Calculation 14 3 19 2 3" xfId="16046" xr:uid="{00000000-0005-0000-0000-00008F3E0000}"/>
    <cellStyle name="Calculation 14 3 19 2 4" xfId="16047" xr:uid="{00000000-0005-0000-0000-0000903E0000}"/>
    <cellStyle name="Calculation 14 3 19 2 5" xfId="16048" xr:uid="{00000000-0005-0000-0000-0000913E0000}"/>
    <cellStyle name="Calculation 14 3 19 2 6" xfId="16049" xr:uid="{00000000-0005-0000-0000-0000923E0000}"/>
    <cellStyle name="Calculation 14 3 19 3" xfId="16050" xr:uid="{00000000-0005-0000-0000-0000933E0000}"/>
    <cellStyle name="Calculation 14 3 19 3 2" xfId="16051" xr:uid="{00000000-0005-0000-0000-0000943E0000}"/>
    <cellStyle name="Calculation 14 3 19 3 3" xfId="16052" xr:uid="{00000000-0005-0000-0000-0000953E0000}"/>
    <cellStyle name="Calculation 14 3 19 3 4" xfId="16053" xr:uid="{00000000-0005-0000-0000-0000963E0000}"/>
    <cellStyle name="Calculation 14 3 19 3 5" xfId="16054" xr:uid="{00000000-0005-0000-0000-0000973E0000}"/>
    <cellStyle name="Calculation 14 3 19 3 6" xfId="16055" xr:uid="{00000000-0005-0000-0000-0000983E0000}"/>
    <cellStyle name="Calculation 14 3 19 4" xfId="16056" xr:uid="{00000000-0005-0000-0000-0000993E0000}"/>
    <cellStyle name="Calculation 14 3 19 4 2" xfId="16057" xr:uid="{00000000-0005-0000-0000-00009A3E0000}"/>
    <cellStyle name="Calculation 14 3 19 4 3" xfId="16058" xr:uid="{00000000-0005-0000-0000-00009B3E0000}"/>
    <cellStyle name="Calculation 14 3 19 4 4" xfId="16059" xr:uid="{00000000-0005-0000-0000-00009C3E0000}"/>
    <cellStyle name="Calculation 14 3 19 4 5" xfId="16060" xr:uid="{00000000-0005-0000-0000-00009D3E0000}"/>
    <cellStyle name="Calculation 14 3 19 4 6" xfId="16061" xr:uid="{00000000-0005-0000-0000-00009E3E0000}"/>
    <cellStyle name="Calculation 14 3 19 5" xfId="16062" xr:uid="{00000000-0005-0000-0000-00009F3E0000}"/>
    <cellStyle name="Calculation 14 3 19 5 2" xfId="16063" xr:uid="{00000000-0005-0000-0000-0000A03E0000}"/>
    <cellStyle name="Calculation 14 3 19 5 3" xfId="16064" xr:uid="{00000000-0005-0000-0000-0000A13E0000}"/>
    <cellStyle name="Calculation 14 3 19 5 4" xfId="16065" xr:uid="{00000000-0005-0000-0000-0000A23E0000}"/>
    <cellStyle name="Calculation 14 3 19 5 5" xfId="16066" xr:uid="{00000000-0005-0000-0000-0000A33E0000}"/>
    <cellStyle name="Calculation 14 3 19 5 6" xfId="16067" xr:uid="{00000000-0005-0000-0000-0000A43E0000}"/>
    <cellStyle name="Calculation 14 3 19 6" xfId="16068" xr:uid="{00000000-0005-0000-0000-0000A53E0000}"/>
    <cellStyle name="Calculation 14 3 19 6 2" xfId="16069" xr:uid="{00000000-0005-0000-0000-0000A63E0000}"/>
    <cellStyle name="Calculation 14 3 19 6 3" xfId="16070" xr:uid="{00000000-0005-0000-0000-0000A73E0000}"/>
    <cellStyle name="Calculation 14 3 19 6 4" xfId="16071" xr:uid="{00000000-0005-0000-0000-0000A83E0000}"/>
    <cellStyle name="Calculation 14 3 19 6 5" xfId="16072" xr:uid="{00000000-0005-0000-0000-0000A93E0000}"/>
    <cellStyle name="Calculation 14 3 19 6 6" xfId="16073" xr:uid="{00000000-0005-0000-0000-0000AA3E0000}"/>
    <cellStyle name="Calculation 14 3 19 7" xfId="16074" xr:uid="{00000000-0005-0000-0000-0000AB3E0000}"/>
    <cellStyle name="Calculation 14 3 19 7 2" xfId="16075" xr:uid="{00000000-0005-0000-0000-0000AC3E0000}"/>
    <cellStyle name="Calculation 14 3 19 7 3" xfId="16076" xr:uid="{00000000-0005-0000-0000-0000AD3E0000}"/>
    <cellStyle name="Calculation 14 3 19 7 4" xfId="16077" xr:uid="{00000000-0005-0000-0000-0000AE3E0000}"/>
    <cellStyle name="Calculation 14 3 19 7 5" xfId="16078" xr:uid="{00000000-0005-0000-0000-0000AF3E0000}"/>
    <cellStyle name="Calculation 14 3 19 7 6" xfId="16079" xr:uid="{00000000-0005-0000-0000-0000B03E0000}"/>
    <cellStyle name="Calculation 14 3 19 8" xfId="16080" xr:uid="{00000000-0005-0000-0000-0000B13E0000}"/>
    <cellStyle name="Calculation 14 3 19 9" xfId="16081" xr:uid="{00000000-0005-0000-0000-0000B23E0000}"/>
    <cellStyle name="Calculation 14 3 2" xfId="16082" xr:uid="{00000000-0005-0000-0000-0000B33E0000}"/>
    <cellStyle name="Calculation 14 3 2 10" xfId="16083" xr:uid="{00000000-0005-0000-0000-0000B43E0000}"/>
    <cellStyle name="Calculation 14 3 2 2" xfId="16084" xr:uid="{00000000-0005-0000-0000-0000B53E0000}"/>
    <cellStyle name="Calculation 14 3 2 2 2" xfId="16085" xr:uid="{00000000-0005-0000-0000-0000B63E0000}"/>
    <cellStyle name="Calculation 14 3 2 2 3" xfId="16086" xr:uid="{00000000-0005-0000-0000-0000B73E0000}"/>
    <cellStyle name="Calculation 14 3 2 2 4" xfId="16087" xr:uid="{00000000-0005-0000-0000-0000B83E0000}"/>
    <cellStyle name="Calculation 14 3 2 2 5" xfId="16088" xr:uid="{00000000-0005-0000-0000-0000B93E0000}"/>
    <cellStyle name="Calculation 14 3 2 2 6" xfId="16089" xr:uid="{00000000-0005-0000-0000-0000BA3E0000}"/>
    <cellStyle name="Calculation 14 3 2 3" xfId="16090" xr:uid="{00000000-0005-0000-0000-0000BB3E0000}"/>
    <cellStyle name="Calculation 14 3 2 3 2" xfId="16091" xr:uid="{00000000-0005-0000-0000-0000BC3E0000}"/>
    <cellStyle name="Calculation 14 3 2 3 3" xfId="16092" xr:uid="{00000000-0005-0000-0000-0000BD3E0000}"/>
    <cellStyle name="Calculation 14 3 2 3 4" xfId="16093" xr:uid="{00000000-0005-0000-0000-0000BE3E0000}"/>
    <cellStyle name="Calculation 14 3 2 3 5" xfId="16094" xr:uid="{00000000-0005-0000-0000-0000BF3E0000}"/>
    <cellStyle name="Calculation 14 3 2 3 6" xfId="16095" xr:uid="{00000000-0005-0000-0000-0000C03E0000}"/>
    <cellStyle name="Calculation 14 3 2 4" xfId="16096" xr:uid="{00000000-0005-0000-0000-0000C13E0000}"/>
    <cellStyle name="Calculation 14 3 2 4 2" xfId="16097" xr:uid="{00000000-0005-0000-0000-0000C23E0000}"/>
    <cellStyle name="Calculation 14 3 2 4 3" xfId="16098" xr:uid="{00000000-0005-0000-0000-0000C33E0000}"/>
    <cellStyle name="Calculation 14 3 2 4 4" xfId="16099" xr:uid="{00000000-0005-0000-0000-0000C43E0000}"/>
    <cellStyle name="Calculation 14 3 2 4 5" xfId="16100" xr:uid="{00000000-0005-0000-0000-0000C53E0000}"/>
    <cellStyle name="Calculation 14 3 2 4 6" xfId="16101" xr:uid="{00000000-0005-0000-0000-0000C63E0000}"/>
    <cellStyle name="Calculation 14 3 2 5" xfId="16102" xr:uid="{00000000-0005-0000-0000-0000C73E0000}"/>
    <cellStyle name="Calculation 14 3 2 5 2" xfId="16103" xr:uid="{00000000-0005-0000-0000-0000C83E0000}"/>
    <cellStyle name="Calculation 14 3 2 5 3" xfId="16104" xr:uid="{00000000-0005-0000-0000-0000C93E0000}"/>
    <cellStyle name="Calculation 14 3 2 5 4" xfId="16105" xr:uid="{00000000-0005-0000-0000-0000CA3E0000}"/>
    <cellStyle name="Calculation 14 3 2 5 5" xfId="16106" xr:uid="{00000000-0005-0000-0000-0000CB3E0000}"/>
    <cellStyle name="Calculation 14 3 2 5 6" xfId="16107" xr:uid="{00000000-0005-0000-0000-0000CC3E0000}"/>
    <cellStyle name="Calculation 14 3 2 6" xfId="16108" xr:uid="{00000000-0005-0000-0000-0000CD3E0000}"/>
    <cellStyle name="Calculation 14 3 2 6 2" xfId="16109" xr:uid="{00000000-0005-0000-0000-0000CE3E0000}"/>
    <cellStyle name="Calculation 14 3 2 6 3" xfId="16110" xr:uid="{00000000-0005-0000-0000-0000CF3E0000}"/>
    <cellStyle name="Calculation 14 3 2 6 4" xfId="16111" xr:uid="{00000000-0005-0000-0000-0000D03E0000}"/>
    <cellStyle name="Calculation 14 3 2 6 5" xfId="16112" xr:uid="{00000000-0005-0000-0000-0000D13E0000}"/>
    <cellStyle name="Calculation 14 3 2 6 6" xfId="16113" xr:uid="{00000000-0005-0000-0000-0000D23E0000}"/>
    <cellStyle name="Calculation 14 3 2 7" xfId="16114" xr:uid="{00000000-0005-0000-0000-0000D33E0000}"/>
    <cellStyle name="Calculation 14 3 2 7 2" xfId="16115" xr:uid="{00000000-0005-0000-0000-0000D43E0000}"/>
    <cellStyle name="Calculation 14 3 2 7 3" xfId="16116" xr:uid="{00000000-0005-0000-0000-0000D53E0000}"/>
    <cellStyle name="Calculation 14 3 2 7 4" xfId="16117" xr:uid="{00000000-0005-0000-0000-0000D63E0000}"/>
    <cellStyle name="Calculation 14 3 2 7 5" xfId="16118" xr:uid="{00000000-0005-0000-0000-0000D73E0000}"/>
    <cellStyle name="Calculation 14 3 2 7 6" xfId="16119" xr:uid="{00000000-0005-0000-0000-0000D83E0000}"/>
    <cellStyle name="Calculation 14 3 2 8" xfId="16120" xr:uid="{00000000-0005-0000-0000-0000D93E0000}"/>
    <cellStyle name="Calculation 14 3 2 9" xfId="16121" xr:uid="{00000000-0005-0000-0000-0000DA3E0000}"/>
    <cellStyle name="Calculation 14 3 20" xfId="16122" xr:uid="{00000000-0005-0000-0000-0000DB3E0000}"/>
    <cellStyle name="Calculation 14 3 20 10" xfId="16123" xr:uid="{00000000-0005-0000-0000-0000DC3E0000}"/>
    <cellStyle name="Calculation 14 3 20 2" xfId="16124" xr:uid="{00000000-0005-0000-0000-0000DD3E0000}"/>
    <cellStyle name="Calculation 14 3 20 2 2" xfId="16125" xr:uid="{00000000-0005-0000-0000-0000DE3E0000}"/>
    <cellStyle name="Calculation 14 3 20 2 3" xfId="16126" xr:uid="{00000000-0005-0000-0000-0000DF3E0000}"/>
    <cellStyle name="Calculation 14 3 20 2 4" xfId="16127" xr:uid="{00000000-0005-0000-0000-0000E03E0000}"/>
    <cellStyle name="Calculation 14 3 20 2 5" xfId="16128" xr:uid="{00000000-0005-0000-0000-0000E13E0000}"/>
    <cellStyle name="Calculation 14 3 20 2 6" xfId="16129" xr:uid="{00000000-0005-0000-0000-0000E23E0000}"/>
    <cellStyle name="Calculation 14 3 20 3" xfId="16130" xr:uid="{00000000-0005-0000-0000-0000E33E0000}"/>
    <cellStyle name="Calculation 14 3 20 3 2" xfId="16131" xr:uid="{00000000-0005-0000-0000-0000E43E0000}"/>
    <cellStyle name="Calculation 14 3 20 3 3" xfId="16132" xr:uid="{00000000-0005-0000-0000-0000E53E0000}"/>
    <cellStyle name="Calculation 14 3 20 3 4" xfId="16133" xr:uid="{00000000-0005-0000-0000-0000E63E0000}"/>
    <cellStyle name="Calculation 14 3 20 3 5" xfId="16134" xr:uid="{00000000-0005-0000-0000-0000E73E0000}"/>
    <cellStyle name="Calculation 14 3 20 3 6" xfId="16135" xr:uid="{00000000-0005-0000-0000-0000E83E0000}"/>
    <cellStyle name="Calculation 14 3 20 4" xfId="16136" xr:uid="{00000000-0005-0000-0000-0000E93E0000}"/>
    <cellStyle name="Calculation 14 3 20 4 2" xfId="16137" xr:uid="{00000000-0005-0000-0000-0000EA3E0000}"/>
    <cellStyle name="Calculation 14 3 20 4 3" xfId="16138" xr:uid="{00000000-0005-0000-0000-0000EB3E0000}"/>
    <cellStyle name="Calculation 14 3 20 4 4" xfId="16139" xr:uid="{00000000-0005-0000-0000-0000EC3E0000}"/>
    <cellStyle name="Calculation 14 3 20 4 5" xfId="16140" xr:uid="{00000000-0005-0000-0000-0000ED3E0000}"/>
    <cellStyle name="Calculation 14 3 20 4 6" xfId="16141" xr:uid="{00000000-0005-0000-0000-0000EE3E0000}"/>
    <cellStyle name="Calculation 14 3 20 5" xfId="16142" xr:uid="{00000000-0005-0000-0000-0000EF3E0000}"/>
    <cellStyle name="Calculation 14 3 20 5 2" xfId="16143" xr:uid="{00000000-0005-0000-0000-0000F03E0000}"/>
    <cellStyle name="Calculation 14 3 20 5 3" xfId="16144" xr:uid="{00000000-0005-0000-0000-0000F13E0000}"/>
    <cellStyle name="Calculation 14 3 20 5 4" xfId="16145" xr:uid="{00000000-0005-0000-0000-0000F23E0000}"/>
    <cellStyle name="Calculation 14 3 20 5 5" xfId="16146" xr:uid="{00000000-0005-0000-0000-0000F33E0000}"/>
    <cellStyle name="Calculation 14 3 20 5 6" xfId="16147" xr:uid="{00000000-0005-0000-0000-0000F43E0000}"/>
    <cellStyle name="Calculation 14 3 20 6" xfId="16148" xr:uid="{00000000-0005-0000-0000-0000F53E0000}"/>
    <cellStyle name="Calculation 14 3 20 6 2" xfId="16149" xr:uid="{00000000-0005-0000-0000-0000F63E0000}"/>
    <cellStyle name="Calculation 14 3 20 6 3" xfId="16150" xr:uid="{00000000-0005-0000-0000-0000F73E0000}"/>
    <cellStyle name="Calculation 14 3 20 6 4" xfId="16151" xr:uid="{00000000-0005-0000-0000-0000F83E0000}"/>
    <cellStyle name="Calculation 14 3 20 6 5" xfId="16152" xr:uid="{00000000-0005-0000-0000-0000F93E0000}"/>
    <cellStyle name="Calculation 14 3 20 6 6" xfId="16153" xr:uid="{00000000-0005-0000-0000-0000FA3E0000}"/>
    <cellStyle name="Calculation 14 3 20 7" xfId="16154" xr:uid="{00000000-0005-0000-0000-0000FB3E0000}"/>
    <cellStyle name="Calculation 14 3 20 7 2" xfId="16155" xr:uid="{00000000-0005-0000-0000-0000FC3E0000}"/>
    <cellStyle name="Calculation 14 3 20 7 3" xfId="16156" xr:uid="{00000000-0005-0000-0000-0000FD3E0000}"/>
    <cellStyle name="Calculation 14 3 20 7 4" xfId="16157" xr:uid="{00000000-0005-0000-0000-0000FE3E0000}"/>
    <cellStyle name="Calculation 14 3 20 7 5" xfId="16158" xr:uid="{00000000-0005-0000-0000-0000FF3E0000}"/>
    <cellStyle name="Calculation 14 3 20 7 6" xfId="16159" xr:uid="{00000000-0005-0000-0000-0000003F0000}"/>
    <cellStyle name="Calculation 14 3 20 8" xfId="16160" xr:uid="{00000000-0005-0000-0000-0000013F0000}"/>
    <cellStyle name="Calculation 14 3 20 9" xfId="16161" xr:uid="{00000000-0005-0000-0000-0000023F0000}"/>
    <cellStyle name="Calculation 14 3 21" xfId="16162" xr:uid="{00000000-0005-0000-0000-0000033F0000}"/>
    <cellStyle name="Calculation 14 3 21 10" xfId="16163" xr:uid="{00000000-0005-0000-0000-0000043F0000}"/>
    <cellStyle name="Calculation 14 3 21 2" xfId="16164" xr:uid="{00000000-0005-0000-0000-0000053F0000}"/>
    <cellStyle name="Calculation 14 3 21 2 2" xfId="16165" xr:uid="{00000000-0005-0000-0000-0000063F0000}"/>
    <cellStyle name="Calculation 14 3 21 2 3" xfId="16166" xr:uid="{00000000-0005-0000-0000-0000073F0000}"/>
    <cellStyle name="Calculation 14 3 21 2 4" xfId="16167" xr:uid="{00000000-0005-0000-0000-0000083F0000}"/>
    <cellStyle name="Calculation 14 3 21 2 5" xfId="16168" xr:uid="{00000000-0005-0000-0000-0000093F0000}"/>
    <cellStyle name="Calculation 14 3 21 2 6" xfId="16169" xr:uid="{00000000-0005-0000-0000-00000A3F0000}"/>
    <cellStyle name="Calculation 14 3 21 3" xfId="16170" xr:uid="{00000000-0005-0000-0000-00000B3F0000}"/>
    <cellStyle name="Calculation 14 3 21 3 2" xfId="16171" xr:uid="{00000000-0005-0000-0000-00000C3F0000}"/>
    <cellStyle name="Calculation 14 3 21 3 3" xfId="16172" xr:uid="{00000000-0005-0000-0000-00000D3F0000}"/>
    <cellStyle name="Calculation 14 3 21 3 4" xfId="16173" xr:uid="{00000000-0005-0000-0000-00000E3F0000}"/>
    <cellStyle name="Calculation 14 3 21 3 5" xfId="16174" xr:uid="{00000000-0005-0000-0000-00000F3F0000}"/>
    <cellStyle name="Calculation 14 3 21 3 6" xfId="16175" xr:uid="{00000000-0005-0000-0000-0000103F0000}"/>
    <cellStyle name="Calculation 14 3 21 4" xfId="16176" xr:uid="{00000000-0005-0000-0000-0000113F0000}"/>
    <cellStyle name="Calculation 14 3 21 4 2" xfId="16177" xr:uid="{00000000-0005-0000-0000-0000123F0000}"/>
    <cellStyle name="Calculation 14 3 21 4 3" xfId="16178" xr:uid="{00000000-0005-0000-0000-0000133F0000}"/>
    <cellStyle name="Calculation 14 3 21 4 4" xfId="16179" xr:uid="{00000000-0005-0000-0000-0000143F0000}"/>
    <cellStyle name="Calculation 14 3 21 4 5" xfId="16180" xr:uid="{00000000-0005-0000-0000-0000153F0000}"/>
    <cellStyle name="Calculation 14 3 21 4 6" xfId="16181" xr:uid="{00000000-0005-0000-0000-0000163F0000}"/>
    <cellStyle name="Calculation 14 3 21 5" xfId="16182" xr:uid="{00000000-0005-0000-0000-0000173F0000}"/>
    <cellStyle name="Calculation 14 3 21 5 2" xfId="16183" xr:uid="{00000000-0005-0000-0000-0000183F0000}"/>
    <cellStyle name="Calculation 14 3 21 5 3" xfId="16184" xr:uid="{00000000-0005-0000-0000-0000193F0000}"/>
    <cellStyle name="Calculation 14 3 21 5 4" xfId="16185" xr:uid="{00000000-0005-0000-0000-00001A3F0000}"/>
    <cellStyle name="Calculation 14 3 21 5 5" xfId="16186" xr:uid="{00000000-0005-0000-0000-00001B3F0000}"/>
    <cellStyle name="Calculation 14 3 21 5 6" xfId="16187" xr:uid="{00000000-0005-0000-0000-00001C3F0000}"/>
    <cellStyle name="Calculation 14 3 21 6" xfId="16188" xr:uid="{00000000-0005-0000-0000-00001D3F0000}"/>
    <cellStyle name="Calculation 14 3 21 6 2" xfId="16189" xr:uid="{00000000-0005-0000-0000-00001E3F0000}"/>
    <cellStyle name="Calculation 14 3 21 6 3" xfId="16190" xr:uid="{00000000-0005-0000-0000-00001F3F0000}"/>
    <cellStyle name="Calculation 14 3 21 6 4" xfId="16191" xr:uid="{00000000-0005-0000-0000-0000203F0000}"/>
    <cellStyle name="Calculation 14 3 21 6 5" xfId="16192" xr:uid="{00000000-0005-0000-0000-0000213F0000}"/>
    <cellStyle name="Calculation 14 3 21 6 6" xfId="16193" xr:uid="{00000000-0005-0000-0000-0000223F0000}"/>
    <cellStyle name="Calculation 14 3 21 7" xfId="16194" xr:uid="{00000000-0005-0000-0000-0000233F0000}"/>
    <cellStyle name="Calculation 14 3 21 7 2" xfId="16195" xr:uid="{00000000-0005-0000-0000-0000243F0000}"/>
    <cellStyle name="Calculation 14 3 21 7 3" xfId="16196" xr:uid="{00000000-0005-0000-0000-0000253F0000}"/>
    <cellStyle name="Calculation 14 3 21 7 4" xfId="16197" xr:uid="{00000000-0005-0000-0000-0000263F0000}"/>
    <cellStyle name="Calculation 14 3 21 7 5" xfId="16198" xr:uid="{00000000-0005-0000-0000-0000273F0000}"/>
    <cellStyle name="Calculation 14 3 21 7 6" xfId="16199" xr:uid="{00000000-0005-0000-0000-0000283F0000}"/>
    <cellStyle name="Calculation 14 3 21 8" xfId="16200" xr:uid="{00000000-0005-0000-0000-0000293F0000}"/>
    <cellStyle name="Calculation 14 3 21 9" xfId="16201" xr:uid="{00000000-0005-0000-0000-00002A3F0000}"/>
    <cellStyle name="Calculation 14 3 22" xfId="16202" xr:uid="{00000000-0005-0000-0000-00002B3F0000}"/>
    <cellStyle name="Calculation 14 3 22 10" xfId="16203" xr:uid="{00000000-0005-0000-0000-00002C3F0000}"/>
    <cellStyle name="Calculation 14 3 22 2" xfId="16204" xr:uid="{00000000-0005-0000-0000-00002D3F0000}"/>
    <cellStyle name="Calculation 14 3 22 2 2" xfId="16205" xr:uid="{00000000-0005-0000-0000-00002E3F0000}"/>
    <cellStyle name="Calculation 14 3 22 2 3" xfId="16206" xr:uid="{00000000-0005-0000-0000-00002F3F0000}"/>
    <cellStyle name="Calculation 14 3 22 2 4" xfId="16207" xr:uid="{00000000-0005-0000-0000-0000303F0000}"/>
    <cellStyle name="Calculation 14 3 22 2 5" xfId="16208" xr:uid="{00000000-0005-0000-0000-0000313F0000}"/>
    <cellStyle name="Calculation 14 3 22 2 6" xfId="16209" xr:uid="{00000000-0005-0000-0000-0000323F0000}"/>
    <cellStyle name="Calculation 14 3 22 3" xfId="16210" xr:uid="{00000000-0005-0000-0000-0000333F0000}"/>
    <cellStyle name="Calculation 14 3 22 3 2" xfId="16211" xr:uid="{00000000-0005-0000-0000-0000343F0000}"/>
    <cellStyle name="Calculation 14 3 22 3 3" xfId="16212" xr:uid="{00000000-0005-0000-0000-0000353F0000}"/>
    <cellStyle name="Calculation 14 3 22 3 4" xfId="16213" xr:uid="{00000000-0005-0000-0000-0000363F0000}"/>
    <cellStyle name="Calculation 14 3 22 3 5" xfId="16214" xr:uid="{00000000-0005-0000-0000-0000373F0000}"/>
    <cellStyle name="Calculation 14 3 22 3 6" xfId="16215" xr:uid="{00000000-0005-0000-0000-0000383F0000}"/>
    <cellStyle name="Calculation 14 3 22 4" xfId="16216" xr:uid="{00000000-0005-0000-0000-0000393F0000}"/>
    <cellStyle name="Calculation 14 3 22 4 2" xfId="16217" xr:uid="{00000000-0005-0000-0000-00003A3F0000}"/>
    <cellStyle name="Calculation 14 3 22 4 3" xfId="16218" xr:uid="{00000000-0005-0000-0000-00003B3F0000}"/>
    <cellStyle name="Calculation 14 3 22 4 4" xfId="16219" xr:uid="{00000000-0005-0000-0000-00003C3F0000}"/>
    <cellStyle name="Calculation 14 3 22 4 5" xfId="16220" xr:uid="{00000000-0005-0000-0000-00003D3F0000}"/>
    <cellStyle name="Calculation 14 3 22 4 6" xfId="16221" xr:uid="{00000000-0005-0000-0000-00003E3F0000}"/>
    <cellStyle name="Calculation 14 3 22 5" xfId="16222" xr:uid="{00000000-0005-0000-0000-00003F3F0000}"/>
    <cellStyle name="Calculation 14 3 22 5 2" xfId="16223" xr:uid="{00000000-0005-0000-0000-0000403F0000}"/>
    <cellStyle name="Calculation 14 3 22 5 3" xfId="16224" xr:uid="{00000000-0005-0000-0000-0000413F0000}"/>
    <cellStyle name="Calculation 14 3 22 5 4" xfId="16225" xr:uid="{00000000-0005-0000-0000-0000423F0000}"/>
    <cellStyle name="Calculation 14 3 22 5 5" xfId="16226" xr:uid="{00000000-0005-0000-0000-0000433F0000}"/>
    <cellStyle name="Calculation 14 3 22 5 6" xfId="16227" xr:uid="{00000000-0005-0000-0000-0000443F0000}"/>
    <cellStyle name="Calculation 14 3 22 6" xfId="16228" xr:uid="{00000000-0005-0000-0000-0000453F0000}"/>
    <cellStyle name="Calculation 14 3 22 6 2" xfId="16229" xr:uid="{00000000-0005-0000-0000-0000463F0000}"/>
    <cellStyle name="Calculation 14 3 22 6 3" xfId="16230" xr:uid="{00000000-0005-0000-0000-0000473F0000}"/>
    <cellStyle name="Calculation 14 3 22 6 4" xfId="16231" xr:uid="{00000000-0005-0000-0000-0000483F0000}"/>
    <cellStyle name="Calculation 14 3 22 6 5" xfId="16232" xr:uid="{00000000-0005-0000-0000-0000493F0000}"/>
    <cellStyle name="Calculation 14 3 22 6 6" xfId="16233" xr:uid="{00000000-0005-0000-0000-00004A3F0000}"/>
    <cellStyle name="Calculation 14 3 22 7" xfId="16234" xr:uid="{00000000-0005-0000-0000-00004B3F0000}"/>
    <cellStyle name="Calculation 14 3 22 7 2" xfId="16235" xr:uid="{00000000-0005-0000-0000-00004C3F0000}"/>
    <cellStyle name="Calculation 14 3 22 7 3" xfId="16236" xr:uid="{00000000-0005-0000-0000-00004D3F0000}"/>
    <cellStyle name="Calculation 14 3 22 7 4" xfId="16237" xr:uid="{00000000-0005-0000-0000-00004E3F0000}"/>
    <cellStyle name="Calculation 14 3 22 7 5" xfId="16238" xr:uid="{00000000-0005-0000-0000-00004F3F0000}"/>
    <cellStyle name="Calculation 14 3 22 7 6" xfId="16239" xr:uid="{00000000-0005-0000-0000-0000503F0000}"/>
    <cellStyle name="Calculation 14 3 22 8" xfId="16240" xr:uid="{00000000-0005-0000-0000-0000513F0000}"/>
    <cellStyle name="Calculation 14 3 22 9" xfId="16241" xr:uid="{00000000-0005-0000-0000-0000523F0000}"/>
    <cellStyle name="Calculation 14 3 23" xfId="16242" xr:uid="{00000000-0005-0000-0000-0000533F0000}"/>
    <cellStyle name="Calculation 14 3 23 10" xfId="16243" xr:uid="{00000000-0005-0000-0000-0000543F0000}"/>
    <cellStyle name="Calculation 14 3 23 2" xfId="16244" xr:uid="{00000000-0005-0000-0000-0000553F0000}"/>
    <cellStyle name="Calculation 14 3 23 2 2" xfId="16245" xr:uid="{00000000-0005-0000-0000-0000563F0000}"/>
    <cellStyle name="Calculation 14 3 23 2 3" xfId="16246" xr:uid="{00000000-0005-0000-0000-0000573F0000}"/>
    <cellStyle name="Calculation 14 3 23 2 4" xfId="16247" xr:uid="{00000000-0005-0000-0000-0000583F0000}"/>
    <cellStyle name="Calculation 14 3 23 2 5" xfId="16248" xr:uid="{00000000-0005-0000-0000-0000593F0000}"/>
    <cellStyle name="Calculation 14 3 23 2 6" xfId="16249" xr:uid="{00000000-0005-0000-0000-00005A3F0000}"/>
    <cellStyle name="Calculation 14 3 23 3" xfId="16250" xr:uid="{00000000-0005-0000-0000-00005B3F0000}"/>
    <cellStyle name="Calculation 14 3 23 3 2" xfId="16251" xr:uid="{00000000-0005-0000-0000-00005C3F0000}"/>
    <cellStyle name="Calculation 14 3 23 3 3" xfId="16252" xr:uid="{00000000-0005-0000-0000-00005D3F0000}"/>
    <cellStyle name="Calculation 14 3 23 3 4" xfId="16253" xr:uid="{00000000-0005-0000-0000-00005E3F0000}"/>
    <cellStyle name="Calculation 14 3 23 3 5" xfId="16254" xr:uid="{00000000-0005-0000-0000-00005F3F0000}"/>
    <cellStyle name="Calculation 14 3 23 3 6" xfId="16255" xr:uid="{00000000-0005-0000-0000-0000603F0000}"/>
    <cellStyle name="Calculation 14 3 23 4" xfId="16256" xr:uid="{00000000-0005-0000-0000-0000613F0000}"/>
    <cellStyle name="Calculation 14 3 23 4 2" xfId="16257" xr:uid="{00000000-0005-0000-0000-0000623F0000}"/>
    <cellStyle name="Calculation 14 3 23 4 3" xfId="16258" xr:uid="{00000000-0005-0000-0000-0000633F0000}"/>
    <cellStyle name="Calculation 14 3 23 4 4" xfId="16259" xr:uid="{00000000-0005-0000-0000-0000643F0000}"/>
    <cellStyle name="Calculation 14 3 23 4 5" xfId="16260" xr:uid="{00000000-0005-0000-0000-0000653F0000}"/>
    <cellStyle name="Calculation 14 3 23 4 6" xfId="16261" xr:uid="{00000000-0005-0000-0000-0000663F0000}"/>
    <cellStyle name="Calculation 14 3 23 5" xfId="16262" xr:uid="{00000000-0005-0000-0000-0000673F0000}"/>
    <cellStyle name="Calculation 14 3 23 5 2" xfId="16263" xr:uid="{00000000-0005-0000-0000-0000683F0000}"/>
    <cellStyle name="Calculation 14 3 23 5 3" xfId="16264" xr:uid="{00000000-0005-0000-0000-0000693F0000}"/>
    <cellStyle name="Calculation 14 3 23 5 4" xfId="16265" xr:uid="{00000000-0005-0000-0000-00006A3F0000}"/>
    <cellStyle name="Calculation 14 3 23 5 5" xfId="16266" xr:uid="{00000000-0005-0000-0000-00006B3F0000}"/>
    <cellStyle name="Calculation 14 3 23 5 6" xfId="16267" xr:uid="{00000000-0005-0000-0000-00006C3F0000}"/>
    <cellStyle name="Calculation 14 3 23 6" xfId="16268" xr:uid="{00000000-0005-0000-0000-00006D3F0000}"/>
    <cellStyle name="Calculation 14 3 23 6 2" xfId="16269" xr:uid="{00000000-0005-0000-0000-00006E3F0000}"/>
    <cellStyle name="Calculation 14 3 23 6 3" xfId="16270" xr:uid="{00000000-0005-0000-0000-00006F3F0000}"/>
    <cellStyle name="Calculation 14 3 23 6 4" xfId="16271" xr:uid="{00000000-0005-0000-0000-0000703F0000}"/>
    <cellStyle name="Calculation 14 3 23 6 5" xfId="16272" xr:uid="{00000000-0005-0000-0000-0000713F0000}"/>
    <cellStyle name="Calculation 14 3 23 6 6" xfId="16273" xr:uid="{00000000-0005-0000-0000-0000723F0000}"/>
    <cellStyle name="Calculation 14 3 23 7" xfId="16274" xr:uid="{00000000-0005-0000-0000-0000733F0000}"/>
    <cellStyle name="Calculation 14 3 23 7 2" xfId="16275" xr:uid="{00000000-0005-0000-0000-0000743F0000}"/>
    <cellStyle name="Calculation 14 3 23 7 3" xfId="16276" xr:uid="{00000000-0005-0000-0000-0000753F0000}"/>
    <cellStyle name="Calculation 14 3 23 7 4" xfId="16277" xr:uid="{00000000-0005-0000-0000-0000763F0000}"/>
    <cellStyle name="Calculation 14 3 23 7 5" xfId="16278" xr:uid="{00000000-0005-0000-0000-0000773F0000}"/>
    <cellStyle name="Calculation 14 3 23 7 6" xfId="16279" xr:uid="{00000000-0005-0000-0000-0000783F0000}"/>
    <cellStyle name="Calculation 14 3 23 8" xfId="16280" xr:uid="{00000000-0005-0000-0000-0000793F0000}"/>
    <cellStyle name="Calculation 14 3 23 9" xfId="16281" xr:uid="{00000000-0005-0000-0000-00007A3F0000}"/>
    <cellStyle name="Calculation 14 3 24" xfId="16282" xr:uid="{00000000-0005-0000-0000-00007B3F0000}"/>
    <cellStyle name="Calculation 14 3 24 10" xfId="16283" xr:uid="{00000000-0005-0000-0000-00007C3F0000}"/>
    <cellStyle name="Calculation 14 3 24 2" xfId="16284" xr:uid="{00000000-0005-0000-0000-00007D3F0000}"/>
    <cellStyle name="Calculation 14 3 24 2 2" xfId="16285" xr:uid="{00000000-0005-0000-0000-00007E3F0000}"/>
    <cellStyle name="Calculation 14 3 24 2 3" xfId="16286" xr:uid="{00000000-0005-0000-0000-00007F3F0000}"/>
    <cellStyle name="Calculation 14 3 24 2 4" xfId="16287" xr:uid="{00000000-0005-0000-0000-0000803F0000}"/>
    <cellStyle name="Calculation 14 3 24 2 5" xfId="16288" xr:uid="{00000000-0005-0000-0000-0000813F0000}"/>
    <cellStyle name="Calculation 14 3 24 2 6" xfId="16289" xr:uid="{00000000-0005-0000-0000-0000823F0000}"/>
    <cellStyle name="Calculation 14 3 24 3" xfId="16290" xr:uid="{00000000-0005-0000-0000-0000833F0000}"/>
    <cellStyle name="Calculation 14 3 24 3 2" xfId="16291" xr:uid="{00000000-0005-0000-0000-0000843F0000}"/>
    <cellStyle name="Calculation 14 3 24 3 3" xfId="16292" xr:uid="{00000000-0005-0000-0000-0000853F0000}"/>
    <cellStyle name="Calculation 14 3 24 3 4" xfId="16293" xr:uid="{00000000-0005-0000-0000-0000863F0000}"/>
    <cellStyle name="Calculation 14 3 24 3 5" xfId="16294" xr:uid="{00000000-0005-0000-0000-0000873F0000}"/>
    <cellStyle name="Calculation 14 3 24 3 6" xfId="16295" xr:uid="{00000000-0005-0000-0000-0000883F0000}"/>
    <cellStyle name="Calculation 14 3 24 4" xfId="16296" xr:uid="{00000000-0005-0000-0000-0000893F0000}"/>
    <cellStyle name="Calculation 14 3 24 4 2" xfId="16297" xr:uid="{00000000-0005-0000-0000-00008A3F0000}"/>
    <cellStyle name="Calculation 14 3 24 4 3" xfId="16298" xr:uid="{00000000-0005-0000-0000-00008B3F0000}"/>
    <cellStyle name="Calculation 14 3 24 4 4" xfId="16299" xr:uid="{00000000-0005-0000-0000-00008C3F0000}"/>
    <cellStyle name="Calculation 14 3 24 4 5" xfId="16300" xr:uid="{00000000-0005-0000-0000-00008D3F0000}"/>
    <cellStyle name="Calculation 14 3 24 4 6" xfId="16301" xr:uid="{00000000-0005-0000-0000-00008E3F0000}"/>
    <cellStyle name="Calculation 14 3 24 5" xfId="16302" xr:uid="{00000000-0005-0000-0000-00008F3F0000}"/>
    <cellStyle name="Calculation 14 3 24 5 2" xfId="16303" xr:uid="{00000000-0005-0000-0000-0000903F0000}"/>
    <cellStyle name="Calculation 14 3 24 5 3" xfId="16304" xr:uid="{00000000-0005-0000-0000-0000913F0000}"/>
    <cellStyle name="Calculation 14 3 24 5 4" xfId="16305" xr:uid="{00000000-0005-0000-0000-0000923F0000}"/>
    <cellStyle name="Calculation 14 3 24 5 5" xfId="16306" xr:uid="{00000000-0005-0000-0000-0000933F0000}"/>
    <cellStyle name="Calculation 14 3 24 5 6" xfId="16307" xr:uid="{00000000-0005-0000-0000-0000943F0000}"/>
    <cellStyle name="Calculation 14 3 24 6" xfId="16308" xr:uid="{00000000-0005-0000-0000-0000953F0000}"/>
    <cellStyle name="Calculation 14 3 24 6 2" xfId="16309" xr:uid="{00000000-0005-0000-0000-0000963F0000}"/>
    <cellStyle name="Calculation 14 3 24 6 3" xfId="16310" xr:uid="{00000000-0005-0000-0000-0000973F0000}"/>
    <cellStyle name="Calculation 14 3 24 6 4" xfId="16311" xr:uid="{00000000-0005-0000-0000-0000983F0000}"/>
    <cellStyle name="Calculation 14 3 24 6 5" xfId="16312" xr:uid="{00000000-0005-0000-0000-0000993F0000}"/>
    <cellStyle name="Calculation 14 3 24 6 6" xfId="16313" xr:uid="{00000000-0005-0000-0000-00009A3F0000}"/>
    <cellStyle name="Calculation 14 3 24 7" xfId="16314" xr:uid="{00000000-0005-0000-0000-00009B3F0000}"/>
    <cellStyle name="Calculation 14 3 24 7 2" xfId="16315" xr:uid="{00000000-0005-0000-0000-00009C3F0000}"/>
    <cellStyle name="Calculation 14 3 24 7 3" xfId="16316" xr:uid="{00000000-0005-0000-0000-00009D3F0000}"/>
    <cellStyle name="Calculation 14 3 24 7 4" xfId="16317" xr:uid="{00000000-0005-0000-0000-00009E3F0000}"/>
    <cellStyle name="Calculation 14 3 24 7 5" xfId="16318" xr:uid="{00000000-0005-0000-0000-00009F3F0000}"/>
    <cellStyle name="Calculation 14 3 24 7 6" xfId="16319" xr:uid="{00000000-0005-0000-0000-0000A03F0000}"/>
    <cellStyle name="Calculation 14 3 24 8" xfId="16320" xr:uid="{00000000-0005-0000-0000-0000A13F0000}"/>
    <cellStyle name="Calculation 14 3 24 9" xfId="16321" xr:uid="{00000000-0005-0000-0000-0000A23F0000}"/>
    <cellStyle name="Calculation 14 3 25" xfId="16322" xr:uid="{00000000-0005-0000-0000-0000A33F0000}"/>
    <cellStyle name="Calculation 14 3 25 10" xfId="16323" xr:uid="{00000000-0005-0000-0000-0000A43F0000}"/>
    <cellStyle name="Calculation 14 3 25 2" xfId="16324" xr:uid="{00000000-0005-0000-0000-0000A53F0000}"/>
    <cellStyle name="Calculation 14 3 25 2 2" xfId="16325" xr:uid="{00000000-0005-0000-0000-0000A63F0000}"/>
    <cellStyle name="Calculation 14 3 25 2 3" xfId="16326" xr:uid="{00000000-0005-0000-0000-0000A73F0000}"/>
    <cellStyle name="Calculation 14 3 25 2 4" xfId="16327" xr:uid="{00000000-0005-0000-0000-0000A83F0000}"/>
    <cellStyle name="Calculation 14 3 25 2 5" xfId="16328" xr:uid="{00000000-0005-0000-0000-0000A93F0000}"/>
    <cellStyle name="Calculation 14 3 25 2 6" xfId="16329" xr:uid="{00000000-0005-0000-0000-0000AA3F0000}"/>
    <cellStyle name="Calculation 14 3 25 3" xfId="16330" xr:uid="{00000000-0005-0000-0000-0000AB3F0000}"/>
    <cellStyle name="Calculation 14 3 25 3 2" xfId="16331" xr:uid="{00000000-0005-0000-0000-0000AC3F0000}"/>
    <cellStyle name="Calculation 14 3 25 3 3" xfId="16332" xr:uid="{00000000-0005-0000-0000-0000AD3F0000}"/>
    <cellStyle name="Calculation 14 3 25 3 4" xfId="16333" xr:uid="{00000000-0005-0000-0000-0000AE3F0000}"/>
    <cellStyle name="Calculation 14 3 25 3 5" xfId="16334" xr:uid="{00000000-0005-0000-0000-0000AF3F0000}"/>
    <cellStyle name="Calculation 14 3 25 3 6" xfId="16335" xr:uid="{00000000-0005-0000-0000-0000B03F0000}"/>
    <cellStyle name="Calculation 14 3 25 4" xfId="16336" xr:uid="{00000000-0005-0000-0000-0000B13F0000}"/>
    <cellStyle name="Calculation 14 3 25 4 2" xfId="16337" xr:uid="{00000000-0005-0000-0000-0000B23F0000}"/>
    <cellStyle name="Calculation 14 3 25 4 3" xfId="16338" xr:uid="{00000000-0005-0000-0000-0000B33F0000}"/>
    <cellStyle name="Calculation 14 3 25 4 4" xfId="16339" xr:uid="{00000000-0005-0000-0000-0000B43F0000}"/>
    <cellStyle name="Calculation 14 3 25 4 5" xfId="16340" xr:uid="{00000000-0005-0000-0000-0000B53F0000}"/>
    <cellStyle name="Calculation 14 3 25 4 6" xfId="16341" xr:uid="{00000000-0005-0000-0000-0000B63F0000}"/>
    <cellStyle name="Calculation 14 3 25 5" xfId="16342" xr:uid="{00000000-0005-0000-0000-0000B73F0000}"/>
    <cellStyle name="Calculation 14 3 25 5 2" xfId="16343" xr:uid="{00000000-0005-0000-0000-0000B83F0000}"/>
    <cellStyle name="Calculation 14 3 25 5 3" xfId="16344" xr:uid="{00000000-0005-0000-0000-0000B93F0000}"/>
    <cellStyle name="Calculation 14 3 25 5 4" xfId="16345" xr:uid="{00000000-0005-0000-0000-0000BA3F0000}"/>
    <cellStyle name="Calculation 14 3 25 5 5" xfId="16346" xr:uid="{00000000-0005-0000-0000-0000BB3F0000}"/>
    <cellStyle name="Calculation 14 3 25 5 6" xfId="16347" xr:uid="{00000000-0005-0000-0000-0000BC3F0000}"/>
    <cellStyle name="Calculation 14 3 25 6" xfId="16348" xr:uid="{00000000-0005-0000-0000-0000BD3F0000}"/>
    <cellStyle name="Calculation 14 3 25 6 2" xfId="16349" xr:uid="{00000000-0005-0000-0000-0000BE3F0000}"/>
    <cellStyle name="Calculation 14 3 25 6 3" xfId="16350" xr:uid="{00000000-0005-0000-0000-0000BF3F0000}"/>
    <cellStyle name="Calculation 14 3 25 6 4" xfId="16351" xr:uid="{00000000-0005-0000-0000-0000C03F0000}"/>
    <cellStyle name="Calculation 14 3 25 6 5" xfId="16352" xr:uid="{00000000-0005-0000-0000-0000C13F0000}"/>
    <cellStyle name="Calculation 14 3 25 6 6" xfId="16353" xr:uid="{00000000-0005-0000-0000-0000C23F0000}"/>
    <cellStyle name="Calculation 14 3 25 7" xfId="16354" xr:uid="{00000000-0005-0000-0000-0000C33F0000}"/>
    <cellStyle name="Calculation 14 3 25 7 2" xfId="16355" xr:uid="{00000000-0005-0000-0000-0000C43F0000}"/>
    <cellStyle name="Calculation 14 3 25 7 3" xfId="16356" xr:uid="{00000000-0005-0000-0000-0000C53F0000}"/>
    <cellStyle name="Calculation 14 3 25 7 4" xfId="16357" xr:uid="{00000000-0005-0000-0000-0000C63F0000}"/>
    <cellStyle name="Calculation 14 3 25 7 5" xfId="16358" xr:uid="{00000000-0005-0000-0000-0000C73F0000}"/>
    <cellStyle name="Calculation 14 3 25 7 6" xfId="16359" xr:uid="{00000000-0005-0000-0000-0000C83F0000}"/>
    <cellStyle name="Calculation 14 3 25 8" xfId="16360" xr:uid="{00000000-0005-0000-0000-0000C93F0000}"/>
    <cellStyle name="Calculation 14 3 25 9" xfId="16361" xr:uid="{00000000-0005-0000-0000-0000CA3F0000}"/>
    <cellStyle name="Calculation 14 3 26" xfId="16362" xr:uid="{00000000-0005-0000-0000-0000CB3F0000}"/>
    <cellStyle name="Calculation 14 3 26 10" xfId="16363" xr:uid="{00000000-0005-0000-0000-0000CC3F0000}"/>
    <cellStyle name="Calculation 14 3 26 2" xfId="16364" xr:uid="{00000000-0005-0000-0000-0000CD3F0000}"/>
    <cellStyle name="Calculation 14 3 26 2 2" xfId="16365" xr:uid="{00000000-0005-0000-0000-0000CE3F0000}"/>
    <cellStyle name="Calculation 14 3 26 2 3" xfId="16366" xr:uid="{00000000-0005-0000-0000-0000CF3F0000}"/>
    <cellStyle name="Calculation 14 3 26 2 4" xfId="16367" xr:uid="{00000000-0005-0000-0000-0000D03F0000}"/>
    <cellStyle name="Calculation 14 3 26 2 5" xfId="16368" xr:uid="{00000000-0005-0000-0000-0000D13F0000}"/>
    <cellStyle name="Calculation 14 3 26 2 6" xfId="16369" xr:uid="{00000000-0005-0000-0000-0000D23F0000}"/>
    <cellStyle name="Calculation 14 3 26 3" xfId="16370" xr:uid="{00000000-0005-0000-0000-0000D33F0000}"/>
    <cellStyle name="Calculation 14 3 26 3 2" xfId="16371" xr:uid="{00000000-0005-0000-0000-0000D43F0000}"/>
    <cellStyle name="Calculation 14 3 26 3 3" xfId="16372" xr:uid="{00000000-0005-0000-0000-0000D53F0000}"/>
    <cellStyle name="Calculation 14 3 26 3 4" xfId="16373" xr:uid="{00000000-0005-0000-0000-0000D63F0000}"/>
    <cellStyle name="Calculation 14 3 26 3 5" xfId="16374" xr:uid="{00000000-0005-0000-0000-0000D73F0000}"/>
    <cellStyle name="Calculation 14 3 26 3 6" xfId="16375" xr:uid="{00000000-0005-0000-0000-0000D83F0000}"/>
    <cellStyle name="Calculation 14 3 26 4" xfId="16376" xr:uid="{00000000-0005-0000-0000-0000D93F0000}"/>
    <cellStyle name="Calculation 14 3 26 4 2" xfId="16377" xr:uid="{00000000-0005-0000-0000-0000DA3F0000}"/>
    <cellStyle name="Calculation 14 3 26 4 3" xfId="16378" xr:uid="{00000000-0005-0000-0000-0000DB3F0000}"/>
    <cellStyle name="Calculation 14 3 26 4 4" xfId="16379" xr:uid="{00000000-0005-0000-0000-0000DC3F0000}"/>
    <cellStyle name="Calculation 14 3 26 4 5" xfId="16380" xr:uid="{00000000-0005-0000-0000-0000DD3F0000}"/>
    <cellStyle name="Calculation 14 3 26 4 6" xfId="16381" xr:uid="{00000000-0005-0000-0000-0000DE3F0000}"/>
    <cellStyle name="Calculation 14 3 26 5" xfId="16382" xr:uid="{00000000-0005-0000-0000-0000DF3F0000}"/>
    <cellStyle name="Calculation 14 3 26 5 2" xfId="16383" xr:uid="{00000000-0005-0000-0000-0000E03F0000}"/>
    <cellStyle name="Calculation 14 3 26 5 3" xfId="16384" xr:uid="{00000000-0005-0000-0000-0000E13F0000}"/>
    <cellStyle name="Calculation 14 3 26 5 4" xfId="16385" xr:uid="{00000000-0005-0000-0000-0000E23F0000}"/>
    <cellStyle name="Calculation 14 3 26 5 5" xfId="16386" xr:uid="{00000000-0005-0000-0000-0000E33F0000}"/>
    <cellStyle name="Calculation 14 3 26 5 6" xfId="16387" xr:uid="{00000000-0005-0000-0000-0000E43F0000}"/>
    <cellStyle name="Calculation 14 3 26 6" xfId="16388" xr:uid="{00000000-0005-0000-0000-0000E53F0000}"/>
    <cellStyle name="Calculation 14 3 26 6 2" xfId="16389" xr:uid="{00000000-0005-0000-0000-0000E63F0000}"/>
    <cellStyle name="Calculation 14 3 26 6 3" xfId="16390" xr:uid="{00000000-0005-0000-0000-0000E73F0000}"/>
    <cellStyle name="Calculation 14 3 26 6 4" xfId="16391" xr:uid="{00000000-0005-0000-0000-0000E83F0000}"/>
    <cellStyle name="Calculation 14 3 26 6 5" xfId="16392" xr:uid="{00000000-0005-0000-0000-0000E93F0000}"/>
    <cellStyle name="Calculation 14 3 26 6 6" xfId="16393" xr:uid="{00000000-0005-0000-0000-0000EA3F0000}"/>
    <cellStyle name="Calculation 14 3 26 7" xfId="16394" xr:uid="{00000000-0005-0000-0000-0000EB3F0000}"/>
    <cellStyle name="Calculation 14 3 26 7 2" xfId="16395" xr:uid="{00000000-0005-0000-0000-0000EC3F0000}"/>
    <cellStyle name="Calculation 14 3 26 7 3" xfId="16396" xr:uid="{00000000-0005-0000-0000-0000ED3F0000}"/>
    <cellStyle name="Calculation 14 3 26 7 4" xfId="16397" xr:uid="{00000000-0005-0000-0000-0000EE3F0000}"/>
    <cellStyle name="Calculation 14 3 26 7 5" xfId="16398" xr:uid="{00000000-0005-0000-0000-0000EF3F0000}"/>
    <cellStyle name="Calculation 14 3 26 7 6" xfId="16399" xr:uid="{00000000-0005-0000-0000-0000F03F0000}"/>
    <cellStyle name="Calculation 14 3 26 8" xfId="16400" xr:uid="{00000000-0005-0000-0000-0000F13F0000}"/>
    <cellStyle name="Calculation 14 3 26 9" xfId="16401" xr:uid="{00000000-0005-0000-0000-0000F23F0000}"/>
    <cellStyle name="Calculation 14 3 27" xfId="16402" xr:uid="{00000000-0005-0000-0000-0000F33F0000}"/>
    <cellStyle name="Calculation 14 3 27 2" xfId="16403" xr:uid="{00000000-0005-0000-0000-0000F43F0000}"/>
    <cellStyle name="Calculation 14 3 27 3" xfId="16404" xr:uid="{00000000-0005-0000-0000-0000F53F0000}"/>
    <cellStyle name="Calculation 14 3 27 4" xfId="16405" xr:uid="{00000000-0005-0000-0000-0000F63F0000}"/>
    <cellStyle name="Calculation 14 3 27 5" xfId="16406" xr:uid="{00000000-0005-0000-0000-0000F73F0000}"/>
    <cellStyle name="Calculation 14 3 27 6" xfId="16407" xr:uid="{00000000-0005-0000-0000-0000F83F0000}"/>
    <cellStyle name="Calculation 14 3 28" xfId="16408" xr:uid="{00000000-0005-0000-0000-0000F93F0000}"/>
    <cellStyle name="Calculation 14 3 28 2" xfId="16409" xr:uid="{00000000-0005-0000-0000-0000FA3F0000}"/>
    <cellStyle name="Calculation 14 3 28 3" xfId="16410" xr:uid="{00000000-0005-0000-0000-0000FB3F0000}"/>
    <cellStyle name="Calculation 14 3 28 4" xfId="16411" xr:uid="{00000000-0005-0000-0000-0000FC3F0000}"/>
    <cellStyle name="Calculation 14 3 28 5" xfId="16412" xr:uid="{00000000-0005-0000-0000-0000FD3F0000}"/>
    <cellStyle name="Calculation 14 3 28 6" xfId="16413" xr:uid="{00000000-0005-0000-0000-0000FE3F0000}"/>
    <cellStyle name="Calculation 14 3 29" xfId="16414" xr:uid="{00000000-0005-0000-0000-0000FF3F0000}"/>
    <cellStyle name="Calculation 14 3 29 2" xfId="16415" xr:uid="{00000000-0005-0000-0000-000000400000}"/>
    <cellStyle name="Calculation 14 3 29 3" xfId="16416" xr:uid="{00000000-0005-0000-0000-000001400000}"/>
    <cellStyle name="Calculation 14 3 29 4" xfId="16417" xr:uid="{00000000-0005-0000-0000-000002400000}"/>
    <cellStyle name="Calculation 14 3 29 5" xfId="16418" xr:uid="{00000000-0005-0000-0000-000003400000}"/>
    <cellStyle name="Calculation 14 3 29 6" xfId="16419" xr:uid="{00000000-0005-0000-0000-000004400000}"/>
    <cellStyle name="Calculation 14 3 3" xfId="16420" xr:uid="{00000000-0005-0000-0000-000005400000}"/>
    <cellStyle name="Calculation 14 3 3 10" xfId="16421" xr:uid="{00000000-0005-0000-0000-000006400000}"/>
    <cellStyle name="Calculation 14 3 3 2" xfId="16422" xr:uid="{00000000-0005-0000-0000-000007400000}"/>
    <cellStyle name="Calculation 14 3 3 2 2" xfId="16423" xr:uid="{00000000-0005-0000-0000-000008400000}"/>
    <cellStyle name="Calculation 14 3 3 2 3" xfId="16424" xr:uid="{00000000-0005-0000-0000-000009400000}"/>
    <cellStyle name="Calculation 14 3 3 2 4" xfId="16425" xr:uid="{00000000-0005-0000-0000-00000A400000}"/>
    <cellStyle name="Calculation 14 3 3 2 5" xfId="16426" xr:uid="{00000000-0005-0000-0000-00000B400000}"/>
    <cellStyle name="Calculation 14 3 3 2 6" xfId="16427" xr:uid="{00000000-0005-0000-0000-00000C400000}"/>
    <cellStyle name="Calculation 14 3 3 3" xfId="16428" xr:uid="{00000000-0005-0000-0000-00000D400000}"/>
    <cellStyle name="Calculation 14 3 3 3 2" xfId="16429" xr:uid="{00000000-0005-0000-0000-00000E400000}"/>
    <cellStyle name="Calculation 14 3 3 3 3" xfId="16430" xr:uid="{00000000-0005-0000-0000-00000F400000}"/>
    <cellStyle name="Calculation 14 3 3 3 4" xfId="16431" xr:uid="{00000000-0005-0000-0000-000010400000}"/>
    <cellStyle name="Calculation 14 3 3 3 5" xfId="16432" xr:uid="{00000000-0005-0000-0000-000011400000}"/>
    <cellStyle name="Calculation 14 3 3 3 6" xfId="16433" xr:uid="{00000000-0005-0000-0000-000012400000}"/>
    <cellStyle name="Calculation 14 3 3 4" xfId="16434" xr:uid="{00000000-0005-0000-0000-000013400000}"/>
    <cellStyle name="Calculation 14 3 3 4 2" xfId="16435" xr:uid="{00000000-0005-0000-0000-000014400000}"/>
    <cellStyle name="Calculation 14 3 3 4 3" xfId="16436" xr:uid="{00000000-0005-0000-0000-000015400000}"/>
    <cellStyle name="Calculation 14 3 3 4 4" xfId="16437" xr:uid="{00000000-0005-0000-0000-000016400000}"/>
    <cellStyle name="Calculation 14 3 3 4 5" xfId="16438" xr:uid="{00000000-0005-0000-0000-000017400000}"/>
    <cellStyle name="Calculation 14 3 3 4 6" xfId="16439" xr:uid="{00000000-0005-0000-0000-000018400000}"/>
    <cellStyle name="Calculation 14 3 3 5" xfId="16440" xr:uid="{00000000-0005-0000-0000-000019400000}"/>
    <cellStyle name="Calculation 14 3 3 5 2" xfId="16441" xr:uid="{00000000-0005-0000-0000-00001A400000}"/>
    <cellStyle name="Calculation 14 3 3 5 3" xfId="16442" xr:uid="{00000000-0005-0000-0000-00001B400000}"/>
    <cellStyle name="Calculation 14 3 3 5 4" xfId="16443" xr:uid="{00000000-0005-0000-0000-00001C400000}"/>
    <cellStyle name="Calculation 14 3 3 5 5" xfId="16444" xr:uid="{00000000-0005-0000-0000-00001D400000}"/>
    <cellStyle name="Calculation 14 3 3 5 6" xfId="16445" xr:uid="{00000000-0005-0000-0000-00001E400000}"/>
    <cellStyle name="Calculation 14 3 3 6" xfId="16446" xr:uid="{00000000-0005-0000-0000-00001F400000}"/>
    <cellStyle name="Calculation 14 3 3 6 2" xfId="16447" xr:uid="{00000000-0005-0000-0000-000020400000}"/>
    <cellStyle name="Calculation 14 3 3 6 3" xfId="16448" xr:uid="{00000000-0005-0000-0000-000021400000}"/>
    <cellStyle name="Calculation 14 3 3 6 4" xfId="16449" xr:uid="{00000000-0005-0000-0000-000022400000}"/>
    <cellStyle name="Calculation 14 3 3 6 5" xfId="16450" xr:uid="{00000000-0005-0000-0000-000023400000}"/>
    <cellStyle name="Calculation 14 3 3 6 6" xfId="16451" xr:uid="{00000000-0005-0000-0000-000024400000}"/>
    <cellStyle name="Calculation 14 3 3 7" xfId="16452" xr:uid="{00000000-0005-0000-0000-000025400000}"/>
    <cellStyle name="Calculation 14 3 3 7 2" xfId="16453" xr:uid="{00000000-0005-0000-0000-000026400000}"/>
    <cellStyle name="Calculation 14 3 3 7 3" xfId="16454" xr:uid="{00000000-0005-0000-0000-000027400000}"/>
    <cellStyle name="Calculation 14 3 3 7 4" xfId="16455" xr:uid="{00000000-0005-0000-0000-000028400000}"/>
    <cellStyle name="Calculation 14 3 3 7 5" xfId="16456" xr:uid="{00000000-0005-0000-0000-000029400000}"/>
    <cellStyle name="Calculation 14 3 3 7 6" xfId="16457" xr:uid="{00000000-0005-0000-0000-00002A400000}"/>
    <cellStyle name="Calculation 14 3 3 8" xfId="16458" xr:uid="{00000000-0005-0000-0000-00002B400000}"/>
    <cellStyle name="Calculation 14 3 3 9" xfId="16459" xr:uid="{00000000-0005-0000-0000-00002C400000}"/>
    <cellStyle name="Calculation 14 3 30" xfId="16460" xr:uid="{00000000-0005-0000-0000-00002D400000}"/>
    <cellStyle name="Calculation 14 3 30 2" xfId="16461" xr:uid="{00000000-0005-0000-0000-00002E400000}"/>
    <cellStyle name="Calculation 14 3 30 3" xfId="16462" xr:uid="{00000000-0005-0000-0000-00002F400000}"/>
    <cellStyle name="Calculation 14 3 30 4" xfId="16463" xr:uid="{00000000-0005-0000-0000-000030400000}"/>
    <cellStyle name="Calculation 14 3 30 5" xfId="16464" xr:uid="{00000000-0005-0000-0000-000031400000}"/>
    <cellStyle name="Calculation 14 3 30 6" xfId="16465" xr:uid="{00000000-0005-0000-0000-000032400000}"/>
    <cellStyle name="Calculation 14 3 31" xfId="16466" xr:uid="{00000000-0005-0000-0000-000033400000}"/>
    <cellStyle name="Calculation 14 3 31 2" xfId="16467" xr:uid="{00000000-0005-0000-0000-000034400000}"/>
    <cellStyle name="Calculation 14 3 31 3" xfId="16468" xr:uid="{00000000-0005-0000-0000-000035400000}"/>
    <cellStyle name="Calculation 14 3 31 4" xfId="16469" xr:uid="{00000000-0005-0000-0000-000036400000}"/>
    <cellStyle name="Calculation 14 3 31 5" xfId="16470" xr:uid="{00000000-0005-0000-0000-000037400000}"/>
    <cellStyle name="Calculation 14 3 31 6" xfId="16471" xr:uid="{00000000-0005-0000-0000-000038400000}"/>
    <cellStyle name="Calculation 14 3 32" xfId="16472" xr:uid="{00000000-0005-0000-0000-000039400000}"/>
    <cellStyle name="Calculation 14 3 32 2" xfId="16473" xr:uid="{00000000-0005-0000-0000-00003A400000}"/>
    <cellStyle name="Calculation 14 3 32 3" xfId="16474" xr:uid="{00000000-0005-0000-0000-00003B400000}"/>
    <cellStyle name="Calculation 14 3 32 4" xfId="16475" xr:uid="{00000000-0005-0000-0000-00003C400000}"/>
    <cellStyle name="Calculation 14 3 32 5" xfId="16476" xr:uid="{00000000-0005-0000-0000-00003D400000}"/>
    <cellStyle name="Calculation 14 3 32 6" xfId="16477" xr:uid="{00000000-0005-0000-0000-00003E400000}"/>
    <cellStyle name="Calculation 14 3 33" xfId="16478" xr:uid="{00000000-0005-0000-0000-00003F400000}"/>
    <cellStyle name="Calculation 14 3 34" xfId="16479" xr:uid="{00000000-0005-0000-0000-000040400000}"/>
    <cellStyle name="Calculation 14 3 35" xfId="16480" xr:uid="{00000000-0005-0000-0000-000041400000}"/>
    <cellStyle name="Calculation 14 3 4" xfId="16481" xr:uid="{00000000-0005-0000-0000-000042400000}"/>
    <cellStyle name="Calculation 14 3 4 10" xfId="16482" xr:uid="{00000000-0005-0000-0000-000043400000}"/>
    <cellStyle name="Calculation 14 3 4 2" xfId="16483" xr:uid="{00000000-0005-0000-0000-000044400000}"/>
    <cellStyle name="Calculation 14 3 4 2 2" xfId="16484" xr:uid="{00000000-0005-0000-0000-000045400000}"/>
    <cellStyle name="Calculation 14 3 4 2 3" xfId="16485" xr:uid="{00000000-0005-0000-0000-000046400000}"/>
    <cellStyle name="Calculation 14 3 4 2 4" xfId="16486" xr:uid="{00000000-0005-0000-0000-000047400000}"/>
    <cellStyle name="Calculation 14 3 4 2 5" xfId="16487" xr:uid="{00000000-0005-0000-0000-000048400000}"/>
    <cellStyle name="Calculation 14 3 4 2 6" xfId="16488" xr:uid="{00000000-0005-0000-0000-000049400000}"/>
    <cellStyle name="Calculation 14 3 4 3" xfId="16489" xr:uid="{00000000-0005-0000-0000-00004A400000}"/>
    <cellStyle name="Calculation 14 3 4 3 2" xfId="16490" xr:uid="{00000000-0005-0000-0000-00004B400000}"/>
    <cellStyle name="Calculation 14 3 4 3 3" xfId="16491" xr:uid="{00000000-0005-0000-0000-00004C400000}"/>
    <cellStyle name="Calculation 14 3 4 3 4" xfId="16492" xr:uid="{00000000-0005-0000-0000-00004D400000}"/>
    <cellStyle name="Calculation 14 3 4 3 5" xfId="16493" xr:uid="{00000000-0005-0000-0000-00004E400000}"/>
    <cellStyle name="Calculation 14 3 4 3 6" xfId="16494" xr:uid="{00000000-0005-0000-0000-00004F400000}"/>
    <cellStyle name="Calculation 14 3 4 4" xfId="16495" xr:uid="{00000000-0005-0000-0000-000050400000}"/>
    <cellStyle name="Calculation 14 3 4 4 2" xfId="16496" xr:uid="{00000000-0005-0000-0000-000051400000}"/>
    <cellStyle name="Calculation 14 3 4 4 3" xfId="16497" xr:uid="{00000000-0005-0000-0000-000052400000}"/>
    <cellStyle name="Calculation 14 3 4 4 4" xfId="16498" xr:uid="{00000000-0005-0000-0000-000053400000}"/>
    <cellStyle name="Calculation 14 3 4 4 5" xfId="16499" xr:uid="{00000000-0005-0000-0000-000054400000}"/>
    <cellStyle name="Calculation 14 3 4 4 6" xfId="16500" xr:uid="{00000000-0005-0000-0000-000055400000}"/>
    <cellStyle name="Calculation 14 3 4 5" xfId="16501" xr:uid="{00000000-0005-0000-0000-000056400000}"/>
    <cellStyle name="Calculation 14 3 4 5 2" xfId="16502" xr:uid="{00000000-0005-0000-0000-000057400000}"/>
    <cellStyle name="Calculation 14 3 4 5 3" xfId="16503" xr:uid="{00000000-0005-0000-0000-000058400000}"/>
    <cellStyle name="Calculation 14 3 4 5 4" xfId="16504" xr:uid="{00000000-0005-0000-0000-000059400000}"/>
    <cellStyle name="Calculation 14 3 4 5 5" xfId="16505" xr:uid="{00000000-0005-0000-0000-00005A400000}"/>
    <cellStyle name="Calculation 14 3 4 5 6" xfId="16506" xr:uid="{00000000-0005-0000-0000-00005B400000}"/>
    <cellStyle name="Calculation 14 3 4 6" xfId="16507" xr:uid="{00000000-0005-0000-0000-00005C400000}"/>
    <cellStyle name="Calculation 14 3 4 6 2" xfId="16508" xr:uid="{00000000-0005-0000-0000-00005D400000}"/>
    <cellStyle name="Calculation 14 3 4 6 3" xfId="16509" xr:uid="{00000000-0005-0000-0000-00005E400000}"/>
    <cellStyle name="Calculation 14 3 4 6 4" xfId="16510" xr:uid="{00000000-0005-0000-0000-00005F400000}"/>
    <cellStyle name="Calculation 14 3 4 6 5" xfId="16511" xr:uid="{00000000-0005-0000-0000-000060400000}"/>
    <cellStyle name="Calculation 14 3 4 6 6" xfId="16512" xr:uid="{00000000-0005-0000-0000-000061400000}"/>
    <cellStyle name="Calculation 14 3 4 7" xfId="16513" xr:uid="{00000000-0005-0000-0000-000062400000}"/>
    <cellStyle name="Calculation 14 3 4 7 2" xfId="16514" xr:uid="{00000000-0005-0000-0000-000063400000}"/>
    <cellStyle name="Calculation 14 3 4 7 3" xfId="16515" xr:uid="{00000000-0005-0000-0000-000064400000}"/>
    <cellStyle name="Calculation 14 3 4 7 4" xfId="16516" xr:uid="{00000000-0005-0000-0000-000065400000}"/>
    <cellStyle name="Calculation 14 3 4 7 5" xfId="16517" xr:uid="{00000000-0005-0000-0000-000066400000}"/>
    <cellStyle name="Calculation 14 3 4 7 6" xfId="16518" xr:uid="{00000000-0005-0000-0000-000067400000}"/>
    <cellStyle name="Calculation 14 3 4 8" xfId="16519" xr:uid="{00000000-0005-0000-0000-000068400000}"/>
    <cellStyle name="Calculation 14 3 4 9" xfId="16520" xr:uid="{00000000-0005-0000-0000-000069400000}"/>
    <cellStyle name="Calculation 14 3 5" xfId="16521" xr:uid="{00000000-0005-0000-0000-00006A400000}"/>
    <cellStyle name="Calculation 14 3 5 10" xfId="16522" xr:uid="{00000000-0005-0000-0000-00006B400000}"/>
    <cellStyle name="Calculation 14 3 5 2" xfId="16523" xr:uid="{00000000-0005-0000-0000-00006C400000}"/>
    <cellStyle name="Calculation 14 3 5 2 2" xfId="16524" xr:uid="{00000000-0005-0000-0000-00006D400000}"/>
    <cellStyle name="Calculation 14 3 5 2 3" xfId="16525" xr:uid="{00000000-0005-0000-0000-00006E400000}"/>
    <cellStyle name="Calculation 14 3 5 2 4" xfId="16526" xr:uid="{00000000-0005-0000-0000-00006F400000}"/>
    <cellStyle name="Calculation 14 3 5 2 5" xfId="16527" xr:uid="{00000000-0005-0000-0000-000070400000}"/>
    <cellStyle name="Calculation 14 3 5 2 6" xfId="16528" xr:uid="{00000000-0005-0000-0000-000071400000}"/>
    <cellStyle name="Calculation 14 3 5 3" xfId="16529" xr:uid="{00000000-0005-0000-0000-000072400000}"/>
    <cellStyle name="Calculation 14 3 5 3 2" xfId="16530" xr:uid="{00000000-0005-0000-0000-000073400000}"/>
    <cellStyle name="Calculation 14 3 5 3 3" xfId="16531" xr:uid="{00000000-0005-0000-0000-000074400000}"/>
    <cellStyle name="Calculation 14 3 5 3 4" xfId="16532" xr:uid="{00000000-0005-0000-0000-000075400000}"/>
    <cellStyle name="Calculation 14 3 5 3 5" xfId="16533" xr:uid="{00000000-0005-0000-0000-000076400000}"/>
    <cellStyle name="Calculation 14 3 5 3 6" xfId="16534" xr:uid="{00000000-0005-0000-0000-000077400000}"/>
    <cellStyle name="Calculation 14 3 5 4" xfId="16535" xr:uid="{00000000-0005-0000-0000-000078400000}"/>
    <cellStyle name="Calculation 14 3 5 4 2" xfId="16536" xr:uid="{00000000-0005-0000-0000-000079400000}"/>
    <cellStyle name="Calculation 14 3 5 4 3" xfId="16537" xr:uid="{00000000-0005-0000-0000-00007A400000}"/>
    <cellStyle name="Calculation 14 3 5 4 4" xfId="16538" xr:uid="{00000000-0005-0000-0000-00007B400000}"/>
    <cellStyle name="Calculation 14 3 5 4 5" xfId="16539" xr:uid="{00000000-0005-0000-0000-00007C400000}"/>
    <cellStyle name="Calculation 14 3 5 4 6" xfId="16540" xr:uid="{00000000-0005-0000-0000-00007D400000}"/>
    <cellStyle name="Calculation 14 3 5 5" xfId="16541" xr:uid="{00000000-0005-0000-0000-00007E400000}"/>
    <cellStyle name="Calculation 14 3 5 5 2" xfId="16542" xr:uid="{00000000-0005-0000-0000-00007F400000}"/>
    <cellStyle name="Calculation 14 3 5 5 3" xfId="16543" xr:uid="{00000000-0005-0000-0000-000080400000}"/>
    <cellStyle name="Calculation 14 3 5 5 4" xfId="16544" xr:uid="{00000000-0005-0000-0000-000081400000}"/>
    <cellStyle name="Calculation 14 3 5 5 5" xfId="16545" xr:uid="{00000000-0005-0000-0000-000082400000}"/>
    <cellStyle name="Calculation 14 3 5 5 6" xfId="16546" xr:uid="{00000000-0005-0000-0000-000083400000}"/>
    <cellStyle name="Calculation 14 3 5 6" xfId="16547" xr:uid="{00000000-0005-0000-0000-000084400000}"/>
    <cellStyle name="Calculation 14 3 5 6 2" xfId="16548" xr:uid="{00000000-0005-0000-0000-000085400000}"/>
    <cellStyle name="Calculation 14 3 5 6 3" xfId="16549" xr:uid="{00000000-0005-0000-0000-000086400000}"/>
    <cellStyle name="Calculation 14 3 5 6 4" xfId="16550" xr:uid="{00000000-0005-0000-0000-000087400000}"/>
    <cellStyle name="Calculation 14 3 5 6 5" xfId="16551" xr:uid="{00000000-0005-0000-0000-000088400000}"/>
    <cellStyle name="Calculation 14 3 5 6 6" xfId="16552" xr:uid="{00000000-0005-0000-0000-000089400000}"/>
    <cellStyle name="Calculation 14 3 5 7" xfId="16553" xr:uid="{00000000-0005-0000-0000-00008A400000}"/>
    <cellStyle name="Calculation 14 3 5 7 2" xfId="16554" xr:uid="{00000000-0005-0000-0000-00008B400000}"/>
    <cellStyle name="Calculation 14 3 5 7 3" xfId="16555" xr:uid="{00000000-0005-0000-0000-00008C400000}"/>
    <cellStyle name="Calculation 14 3 5 7 4" xfId="16556" xr:uid="{00000000-0005-0000-0000-00008D400000}"/>
    <cellStyle name="Calculation 14 3 5 7 5" xfId="16557" xr:uid="{00000000-0005-0000-0000-00008E400000}"/>
    <cellStyle name="Calculation 14 3 5 7 6" xfId="16558" xr:uid="{00000000-0005-0000-0000-00008F400000}"/>
    <cellStyle name="Calculation 14 3 5 8" xfId="16559" xr:uid="{00000000-0005-0000-0000-000090400000}"/>
    <cellStyle name="Calculation 14 3 5 9" xfId="16560" xr:uid="{00000000-0005-0000-0000-000091400000}"/>
    <cellStyle name="Calculation 14 3 6" xfId="16561" xr:uid="{00000000-0005-0000-0000-000092400000}"/>
    <cellStyle name="Calculation 14 3 6 10" xfId="16562" xr:uid="{00000000-0005-0000-0000-000093400000}"/>
    <cellStyle name="Calculation 14 3 6 2" xfId="16563" xr:uid="{00000000-0005-0000-0000-000094400000}"/>
    <cellStyle name="Calculation 14 3 6 2 2" xfId="16564" xr:uid="{00000000-0005-0000-0000-000095400000}"/>
    <cellStyle name="Calculation 14 3 6 2 3" xfId="16565" xr:uid="{00000000-0005-0000-0000-000096400000}"/>
    <cellStyle name="Calculation 14 3 6 2 4" xfId="16566" xr:uid="{00000000-0005-0000-0000-000097400000}"/>
    <cellStyle name="Calculation 14 3 6 2 5" xfId="16567" xr:uid="{00000000-0005-0000-0000-000098400000}"/>
    <cellStyle name="Calculation 14 3 6 2 6" xfId="16568" xr:uid="{00000000-0005-0000-0000-000099400000}"/>
    <cellStyle name="Calculation 14 3 6 3" xfId="16569" xr:uid="{00000000-0005-0000-0000-00009A400000}"/>
    <cellStyle name="Calculation 14 3 6 3 2" xfId="16570" xr:uid="{00000000-0005-0000-0000-00009B400000}"/>
    <cellStyle name="Calculation 14 3 6 3 3" xfId="16571" xr:uid="{00000000-0005-0000-0000-00009C400000}"/>
    <cellStyle name="Calculation 14 3 6 3 4" xfId="16572" xr:uid="{00000000-0005-0000-0000-00009D400000}"/>
    <cellStyle name="Calculation 14 3 6 3 5" xfId="16573" xr:uid="{00000000-0005-0000-0000-00009E400000}"/>
    <cellStyle name="Calculation 14 3 6 3 6" xfId="16574" xr:uid="{00000000-0005-0000-0000-00009F400000}"/>
    <cellStyle name="Calculation 14 3 6 4" xfId="16575" xr:uid="{00000000-0005-0000-0000-0000A0400000}"/>
    <cellStyle name="Calculation 14 3 6 4 2" xfId="16576" xr:uid="{00000000-0005-0000-0000-0000A1400000}"/>
    <cellStyle name="Calculation 14 3 6 4 3" xfId="16577" xr:uid="{00000000-0005-0000-0000-0000A2400000}"/>
    <cellStyle name="Calculation 14 3 6 4 4" xfId="16578" xr:uid="{00000000-0005-0000-0000-0000A3400000}"/>
    <cellStyle name="Calculation 14 3 6 4 5" xfId="16579" xr:uid="{00000000-0005-0000-0000-0000A4400000}"/>
    <cellStyle name="Calculation 14 3 6 4 6" xfId="16580" xr:uid="{00000000-0005-0000-0000-0000A5400000}"/>
    <cellStyle name="Calculation 14 3 6 5" xfId="16581" xr:uid="{00000000-0005-0000-0000-0000A6400000}"/>
    <cellStyle name="Calculation 14 3 6 5 2" xfId="16582" xr:uid="{00000000-0005-0000-0000-0000A7400000}"/>
    <cellStyle name="Calculation 14 3 6 5 3" xfId="16583" xr:uid="{00000000-0005-0000-0000-0000A8400000}"/>
    <cellStyle name="Calculation 14 3 6 5 4" xfId="16584" xr:uid="{00000000-0005-0000-0000-0000A9400000}"/>
    <cellStyle name="Calculation 14 3 6 5 5" xfId="16585" xr:uid="{00000000-0005-0000-0000-0000AA400000}"/>
    <cellStyle name="Calculation 14 3 6 5 6" xfId="16586" xr:uid="{00000000-0005-0000-0000-0000AB400000}"/>
    <cellStyle name="Calculation 14 3 6 6" xfId="16587" xr:uid="{00000000-0005-0000-0000-0000AC400000}"/>
    <cellStyle name="Calculation 14 3 6 6 2" xfId="16588" xr:uid="{00000000-0005-0000-0000-0000AD400000}"/>
    <cellStyle name="Calculation 14 3 6 6 3" xfId="16589" xr:uid="{00000000-0005-0000-0000-0000AE400000}"/>
    <cellStyle name="Calculation 14 3 6 6 4" xfId="16590" xr:uid="{00000000-0005-0000-0000-0000AF400000}"/>
    <cellStyle name="Calculation 14 3 6 6 5" xfId="16591" xr:uid="{00000000-0005-0000-0000-0000B0400000}"/>
    <cellStyle name="Calculation 14 3 6 6 6" xfId="16592" xr:uid="{00000000-0005-0000-0000-0000B1400000}"/>
    <cellStyle name="Calculation 14 3 6 7" xfId="16593" xr:uid="{00000000-0005-0000-0000-0000B2400000}"/>
    <cellStyle name="Calculation 14 3 6 7 2" xfId="16594" xr:uid="{00000000-0005-0000-0000-0000B3400000}"/>
    <cellStyle name="Calculation 14 3 6 7 3" xfId="16595" xr:uid="{00000000-0005-0000-0000-0000B4400000}"/>
    <cellStyle name="Calculation 14 3 6 7 4" xfId="16596" xr:uid="{00000000-0005-0000-0000-0000B5400000}"/>
    <cellStyle name="Calculation 14 3 6 7 5" xfId="16597" xr:uid="{00000000-0005-0000-0000-0000B6400000}"/>
    <cellStyle name="Calculation 14 3 6 7 6" xfId="16598" xr:uid="{00000000-0005-0000-0000-0000B7400000}"/>
    <cellStyle name="Calculation 14 3 6 8" xfId="16599" xr:uid="{00000000-0005-0000-0000-0000B8400000}"/>
    <cellStyle name="Calculation 14 3 6 9" xfId="16600" xr:uid="{00000000-0005-0000-0000-0000B9400000}"/>
    <cellStyle name="Calculation 14 3 7" xfId="16601" xr:uid="{00000000-0005-0000-0000-0000BA400000}"/>
    <cellStyle name="Calculation 14 3 7 10" xfId="16602" xr:uid="{00000000-0005-0000-0000-0000BB400000}"/>
    <cellStyle name="Calculation 14 3 7 2" xfId="16603" xr:uid="{00000000-0005-0000-0000-0000BC400000}"/>
    <cellStyle name="Calculation 14 3 7 2 2" xfId="16604" xr:uid="{00000000-0005-0000-0000-0000BD400000}"/>
    <cellStyle name="Calculation 14 3 7 2 3" xfId="16605" xr:uid="{00000000-0005-0000-0000-0000BE400000}"/>
    <cellStyle name="Calculation 14 3 7 2 4" xfId="16606" xr:uid="{00000000-0005-0000-0000-0000BF400000}"/>
    <cellStyle name="Calculation 14 3 7 2 5" xfId="16607" xr:uid="{00000000-0005-0000-0000-0000C0400000}"/>
    <cellStyle name="Calculation 14 3 7 2 6" xfId="16608" xr:uid="{00000000-0005-0000-0000-0000C1400000}"/>
    <cellStyle name="Calculation 14 3 7 3" xfId="16609" xr:uid="{00000000-0005-0000-0000-0000C2400000}"/>
    <cellStyle name="Calculation 14 3 7 3 2" xfId="16610" xr:uid="{00000000-0005-0000-0000-0000C3400000}"/>
    <cellStyle name="Calculation 14 3 7 3 3" xfId="16611" xr:uid="{00000000-0005-0000-0000-0000C4400000}"/>
    <cellStyle name="Calculation 14 3 7 3 4" xfId="16612" xr:uid="{00000000-0005-0000-0000-0000C5400000}"/>
    <cellStyle name="Calculation 14 3 7 3 5" xfId="16613" xr:uid="{00000000-0005-0000-0000-0000C6400000}"/>
    <cellStyle name="Calculation 14 3 7 3 6" xfId="16614" xr:uid="{00000000-0005-0000-0000-0000C7400000}"/>
    <cellStyle name="Calculation 14 3 7 4" xfId="16615" xr:uid="{00000000-0005-0000-0000-0000C8400000}"/>
    <cellStyle name="Calculation 14 3 7 4 2" xfId="16616" xr:uid="{00000000-0005-0000-0000-0000C9400000}"/>
    <cellStyle name="Calculation 14 3 7 4 3" xfId="16617" xr:uid="{00000000-0005-0000-0000-0000CA400000}"/>
    <cellStyle name="Calculation 14 3 7 4 4" xfId="16618" xr:uid="{00000000-0005-0000-0000-0000CB400000}"/>
    <cellStyle name="Calculation 14 3 7 4 5" xfId="16619" xr:uid="{00000000-0005-0000-0000-0000CC400000}"/>
    <cellStyle name="Calculation 14 3 7 4 6" xfId="16620" xr:uid="{00000000-0005-0000-0000-0000CD400000}"/>
    <cellStyle name="Calculation 14 3 7 5" xfId="16621" xr:uid="{00000000-0005-0000-0000-0000CE400000}"/>
    <cellStyle name="Calculation 14 3 7 5 2" xfId="16622" xr:uid="{00000000-0005-0000-0000-0000CF400000}"/>
    <cellStyle name="Calculation 14 3 7 5 3" xfId="16623" xr:uid="{00000000-0005-0000-0000-0000D0400000}"/>
    <cellStyle name="Calculation 14 3 7 5 4" xfId="16624" xr:uid="{00000000-0005-0000-0000-0000D1400000}"/>
    <cellStyle name="Calculation 14 3 7 5 5" xfId="16625" xr:uid="{00000000-0005-0000-0000-0000D2400000}"/>
    <cellStyle name="Calculation 14 3 7 5 6" xfId="16626" xr:uid="{00000000-0005-0000-0000-0000D3400000}"/>
    <cellStyle name="Calculation 14 3 7 6" xfId="16627" xr:uid="{00000000-0005-0000-0000-0000D4400000}"/>
    <cellStyle name="Calculation 14 3 7 6 2" xfId="16628" xr:uid="{00000000-0005-0000-0000-0000D5400000}"/>
    <cellStyle name="Calculation 14 3 7 6 3" xfId="16629" xr:uid="{00000000-0005-0000-0000-0000D6400000}"/>
    <cellStyle name="Calculation 14 3 7 6 4" xfId="16630" xr:uid="{00000000-0005-0000-0000-0000D7400000}"/>
    <cellStyle name="Calculation 14 3 7 6 5" xfId="16631" xr:uid="{00000000-0005-0000-0000-0000D8400000}"/>
    <cellStyle name="Calculation 14 3 7 6 6" xfId="16632" xr:uid="{00000000-0005-0000-0000-0000D9400000}"/>
    <cellStyle name="Calculation 14 3 7 7" xfId="16633" xr:uid="{00000000-0005-0000-0000-0000DA400000}"/>
    <cellStyle name="Calculation 14 3 7 7 2" xfId="16634" xr:uid="{00000000-0005-0000-0000-0000DB400000}"/>
    <cellStyle name="Calculation 14 3 7 7 3" xfId="16635" xr:uid="{00000000-0005-0000-0000-0000DC400000}"/>
    <cellStyle name="Calculation 14 3 7 7 4" xfId="16636" xr:uid="{00000000-0005-0000-0000-0000DD400000}"/>
    <cellStyle name="Calculation 14 3 7 7 5" xfId="16637" xr:uid="{00000000-0005-0000-0000-0000DE400000}"/>
    <cellStyle name="Calculation 14 3 7 7 6" xfId="16638" xr:uid="{00000000-0005-0000-0000-0000DF400000}"/>
    <cellStyle name="Calculation 14 3 7 8" xfId="16639" xr:uid="{00000000-0005-0000-0000-0000E0400000}"/>
    <cellStyle name="Calculation 14 3 7 9" xfId="16640" xr:uid="{00000000-0005-0000-0000-0000E1400000}"/>
    <cellStyle name="Calculation 14 3 8" xfId="16641" xr:uid="{00000000-0005-0000-0000-0000E2400000}"/>
    <cellStyle name="Calculation 14 3 8 10" xfId="16642" xr:uid="{00000000-0005-0000-0000-0000E3400000}"/>
    <cellStyle name="Calculation 14 3 8 2" xfId="16643" xr:uid="{00000000-0005-0000-0000-0000E4400000}"/>
    <cellStyle name="Calculation 14 3 8 2 2" xfId="16644" xr:uid="{00000000-0005-0000-0000-0000E5400000}"/>
    <cellStyle name="Calculation 14 3 8 2 3" xfId="16645" xr:uid="{00000000-0005-0000-0000-0000E6400000}"/>
    <cellStyle name="Calculation 14 3 8 2 4" xfId="16646" xr:uid="{00000000-0005-0000-0000-0000E7400000}"/>
    <cellStyle name="Calculation 14 3 8 2 5" xfId="16647" xr:uid="{00000000-0005-0000-0000-0000E8400000}"/>
    <cellStyle name="Calculation 14 3 8 2 6" xfId="16648" xr:uid="{00000000-0005-0000-0000-0000E9400000}"/>
    <cellStyle name="Calculation 14 3 8 3" xfId="16649" xr:uid="{00000000-0005-0000-0000-0000EA400000}"/>
    <cellStyle name="Calculation 14 3 8 3 2" xfId="16650" xr:uid="{00000000-0005-0000-0000-0000EB400000}"/>
    <cellStyle name="Calculation 14 3 8 3 3" xfId="16651" xr:uid="{00000000-0005-0000-0000-0000EC400000}"/>
    <cellStyle name="Calculation 14 3 8 3 4" xfId="16652" xr:uid="{00000000-0005-0000-0000-0000ED400000}"/>
    <cellStyle name="Calculation 14 3 8 3 5" xfId="16653" xr:uid="{00000000-0005-0000-0000-0000EE400000}"/>
    <cellStyle name="Calculation 14 3 8 3 6" xfId="16654" xr:uid="{00000000-0005-0000-0000-0000EF400000}"/>
    <cellStyle name="Calculation 14 3 8 4" xfId="16655" xr:uid="{00000000-0005-0000-0000-0000F0400000}"/>
    <cellStyle name="Calculation 14 3 8 4 2" xfId="16656" xr:uid="{00000000-0005-0000-0000-0000F1400000}"/>
    <cellStyle name="Calculation 14 3 8 4 3" xfId="16657" xr:uid="{00000000-0005-0000-0000-0000F2400000}"/>
    <cellStyle name="Calculation 14 3 8 4 4" xfId="16658" xr:uid="{00000000-0005-0000-0000-0000F3400000}"/>
    <cellStyle name="Calculation 14 3 8 4 5" xfId="16659" xr:uid="{00000000-0005-0000-0000-0000F4400000}"/>
    <cellStyle name="Calculation 14 3 8 4 6" xfId="16660" xr:uid="{00000000-0005-0000-0000-0000F5400000}"/>
    <cellStyle name="Calculation 14 3 8 5" xfId="16661" xr:uid="{00000000-0005-0000-0000-0000F6400000}"/>
    <cellStyle name="Calculation 14 3 8 5 2" xfId="16662" xr:uid="{00000000-0005-0000-0000-0000F7400000}"/>
    <cellStyle name="Calculation 14 3 8 5 3" xfId="16663" xr:uid="{00000000-0005-0000-0000-0000F8400000}"/>
    <cellStyle name="Calculation 14 3 8 5 4" xfId="16664" xr:uid="{00000000-0005-0000-0000-0000F9400000}"/>
    <cellStyle name="Calculation 14 3 8 5 5" xfId="16665" xr:uid="{00000000-0005-0000-0000-0000FA400000}"/>
    <cellStyle name="Calculation 14 3 8 5 6" xfId="16666" xr:uid="{00000000-0005-0000-0000-0000FB400000}"/>
    <cellStyle name="Calculation 14 3 8 6" xfId="16667" xr:uid="{00000000-0005-0000-0000-0000FC400000}"/>
    <cellStyle name="Calculation 14 3 8 6 2" xfId="16668" xr:uid="{00000000-0005-0000-0000-0000FD400000}"/>
    <cellStyle name="Calculation 14 3 8 6 3" xfId="16669" xr:uid="{00000000-0005-0000-0000-0000FE400000}"/>
    <cellStyle name="Calculation 14 3 8 6 4" xfId="16670" xr:uid="{00000000-0005-0000-0000-0000FF400000}"/>
    <cellStyle name="Calculation 14 3 8 6 5" xfId="16671" xr:uid="{00000000-0005-0000-0000-000000410000}"/>
    <cellStyle name="Calculation 14 3 8 6 6" xfId="16672" xr:uid="{00000000-0005-0000-0000-000001410000}"/>
    <cellStyle name="Calculation 14 3 8 7" xfId="16673" xr:uid="{00000000-0005-0000-0000-000002410000}"/>
    <cellStyle name="Calculation 14 3 8 7 2" xfId="16674" xr:uid="{00000000-0005-0000-0000-000003410000}"/>
    <cellStyle name="Calculation 14 3 8 7 3" xfId="16675" xr:uid="{00000000-0005-0000-0000-000004410000}"/>
    <cellStyle name="Calculation 14 3 8 7 4" xfId="16676" xr:uid="{00000000-0005-0000-0000-000005410000}"/>
    <cellStyle name="Calculation 14 3 8 7 5" xfId="16677" xr:uid="{00000000-0005-0000-0000-000006410000}"/>
    <cellStyle name="Calculation 14 3 8 7 6" xfId="16678" xr:uid="{00000000-0005-0000-0000-000007410000}"/>
    <cellStyle name="Calculation 14 3 8 8" xfId="16679" xr:uid="{00000000-0005-0000-0000-000008410000}"/>
    <cellStyle name="Calculation 14 3 8 9" xfId="16680" xr:uid="{00000000-0005-0000-0000-000009410000}"/>
    <cellStyle name="Calculation 14 3 9" xfId="16681" xr:uid="{00000000-0005-0000-0000-00000A410000}"/>
    <cellStyle name="Calculation 14 3 9 10" xfId="16682" xr:uid="{00000000-0005-0000-0000-00000B410000}"/>
    <cellStyle name="Calculation 14 3 9 2" xfId="16683" xr:uid="{00000000-0005-0000-0000-00000C410000}"/>
    <cellStyle name="Calculation 14 3 9 2 2" xfId="16684" xr:uid="{00000000-0005-0000-0000-00000D410000}"/>
    <cellStyle name="Calculation 14 3 9 2 3" xfId="16685" xr:uid="{00000000-0005-0000-0000-00000E410000}"/>
    <cellStyle name="Calculation 14 3 9 2 4" xfId="16686" xr:uid="{00000000-0005-0000-0000-00000F410000}"/>
    <cellStyle name="Calculation 14 3 9 2 5" xfId="16687" xr:uid="{00000000-0005-0000-0000-000010410000}"/>
    <cellStyle name="Calculation 14 3 9 2 6" xfId="16688" xr:uid="{00000000-0005-0000-0000-000011410000}"/>
    <cellStyle name="Calculation 14 3 9 3" xfId="16689" xr:uid="{00000000-0005-0000-0000-000012410000}"/>
    <cellStyle name="Calculation 14 3 9 3 2" xfId="16690" xr:uid="{00000000-0005-0000-0000-000013410000}"/>
    <cellStyle name="Calculation 14 3 9 3 3" xfId="16691" xr:uid="{00000000-0005-0000-0000-000014410000}"/>
    <cellStyle name="Calculation 14 3 9 3 4" xfId="16692" xr:uid="{00000000-0005-0000-0000-000015410000}"/>
    <cellStyle name="Calculation 14 3 9 3 5" xfId="16693" xr:uid="{00000000-0005-0000-0000-000016410000}"/>
    <cellStyle name="Calculation 14 3 9 3 6" xfId="16694" xr:uid="{00000000-0005-0000-0000-000017410000}"/>
    <cellStyle name="Calculation 14 3 9 4" xfId="16695" xr:uid="{00000000-0005-0000-0000-000018410000}"/>
    <cellStyle name="Calculation 14 3 9 4 2" xfId="16696" xr:uid="{00000000-0005-0000-0000-000019410000}"/>
    <cellStyle name="Calculation 14 3 9 4 3" xfId="16697" xr:uid="{00000000-0005-0000-0000-00001A410000}"/>
    <cellStyle name="Calculation 14 3 9 4 4" xfId="16698" xr:uid="{00000000-0005-0000-0000-00001B410000}"/>
    <cellStyle name="Calculation 14 3 9 4 5" xfId="16699" xr:uid="{00000000-0005-0000-0000-00001C410000}"/>
    <cellStyle name="Calculation 14 3 9 4 6" xfId="16700" xr:uid="{00000000-0005-0000-0000-00001D410000}"/>
    <cellStyle name="Calculation 14 3 9 5" xfId="16701" xr:uid="{00000000-0005-0000-0000-00001E410000}"/>
    <cellStyle name="Calculation 14 3 9 5 2" xfId="16702" xr:uid="{00000000-0005-0000-0000-00001F410000}"/>
    <cellStyle name="Calculation 14 3 9 5 3" xfId="16703" xr:uid="{00000000-0005-0000-0000-000020410000}"/>
    <cellStyle name="Calculation 14 3 9 5 4" xfId="16704" xr:uid="{00000000-0005-0000-0000-000021410000}"/>
    <cellStyle name="Calculation 14 3 9 5 5" xfId="16705" xr:uid="{00000000-0005-0000-0000-000022410000}"/>
    <cellStyle name="Calculation 14 3 9 5 6" xfId="16706" xr:uid="{00000000-0005-0000-0000-000023410000}"/>
    <cellStyle name="Calculation 14 3 9 6" xfId="16707" xr:uid="{00000000-0005-0000-0000-000024410000}"/>
    <cellStyle name="Calculation 14 3 9 6 2" xfId="16708" xr:uid="{00000000-0005-0000-0000-000025410000}"/>
    <cellStyle name="Calculation 14 3 9 6 3" xfId="16709" xr:uid="{00000000-0005-0000-0000-000026410000}"/>
    <cellStyle name="Calculation 14 3 9 6 4" xfId="16710" xr:uid="{00000000-0005-0000-0000-000027410000}"/>
    <cellStyle name="Calculation 14 3 9 6 5" xfId="16711" xr:uid="{00000000-0005-0000-0000-000028410000}"/>
    <cellStyle name="Calculation 14 3 9 6 6" xfId="16712" xr:uid="{00000000-0005-0000-0000-000029410000}"/>
    <cellStyle name="Calculation 14 3 9 7" xfId="16713" xr:uid="{00000000-0005-0000-0000-00002A410000}"/>
    <cellStyle name="Calculation 14 3 9 7 2" xfId="16714" xr:uid="{00000000-0005-0000-0000-00002B410000}"/>
    <cellStyle name="Calculation 14 3 9 7 3" xfId="16715" xr:uid="{00000000-0005-0000-0000-00002C410000}"/>
    <cellStyle name="Calculation 14 3 9 7 4" xfId="16716" xr:uid="{00000000-0005-0000-0000-00002D410000}"/>
    <cellStyle name="Calculation 14 3 9 7 5" xfId="16717" xr:uid="{00000000-0005-0000-0000-00002E410000}"/>
    <cellStyle name="Calculation 14 3 9 7 6" xfId="16718" xr:uid="{00000000-0005-0000-0000-00002F410000}"/>
    <cellStyle name="Calculation 14 3 9 8" xfId="16719" xr:uid="{00000000-0005-0000-0000-000030410000}"/>
    <cellStyle name="Calculation 14 3 9 9" xfId="16720" xr:uid="{00000000-0005-0000-0000-000031410000}"/>
    <cellStyle name="Calculation 14 30" xfId="16721" xr:uid="{00000000-0005-0000-0000-000032410000}"/>
    <cellStyle name="Calculation 14 30 2" xfId="16722" xr:uid="{00000000-0005-0000-0000-000033410000}"/>
    <cellStyle name="Calculation 14 30 3" xfId="16723" xr:uid="{00000000-0005-0000-0000-000034410000}"/>
    <cellStyle name="Calculation 14 30 4" xfId="16724" xr:uid="{00000000-0005-0000-0000-000035410000}"/>
    <cellStyle name="Calculation 14 30 5" xfId="16725" xr:uid="{00000000-0005-0000-0000-000036410000}"/>
    <cellStyle name="Calculation 14 30 6" xfId="16726" xr:uid="{00000000-0005-0000-0000-000037410000}"/>
    <cellStyle name="Calculation 14 31" xfId="16727" xr:uid="{00000000-0005-0000-0000-000038410000}"/>
    <cellStyle name="Calculation 14 31 2" xfId="16728" xr:uid="{00000000-0005-0000-0000-000039410000}"/>
    <cellStyle name="Calculation 14 31 3" xfId="16729" xr:uid="{00000000-0005-0000-0000-00003A410000}"/>
    <cellStyle name="Calculation 14 31 4" xfId="16730" xr:uid="{00000000-0005-0000-0000-00003B410000}"/>
    <cellStyle name="Calculation 14 31 5" xfId="16731" xr:uid="{00000000-0005-0000-0000-00003C410000}"/>
    <cellStyle name="Calculation 14 31 6" xfId="16732" xr:uid="{00000000-0005-0000-0000-00003D410000}"/>
    <cellStyle name="Calculation 14 32" xfId="16733" xr:uid="{00000000-0005-0000-0000-00003E410000}"/>
    <cellStyle name="Calculation 14 33" xfId="16734" xr:uid="{00000000-0005-0000-0000-00003F410000}"/>
    <cellStyle name="Calculation 14 34" xfId="16735" xr:uid="{00000000-0005-0000-0000-000040410000}"/>
    <cellStyle name="Calculation 14 4" xfId="16736" xr:uid="{00000000-0005-0000-0000-000041410000}"/>
    <cellStyle name="Calculation 14 4 10" xfId="16737" xr:uid="{00000000-0005-0000-0000-000042410000}"/>
    <cellStyle name="Calculation 14 4 2" xfId="16738" xr:uid="{00000000-0005-0000-0000-000043410000}"/>
    <cellStyle name="Calculation 14 4 2 2" xfId="16739" xr:uid="{00000000-0005-0000-0000-000044410000}"/>
    <cellStyle name="Calculation 14 4 2 3" xfId="16740" xr:uid="{00000000-0005-0000-0000-000045410000}"/>
    <cellStyle name="Calculation 14 4 2 4" xfId="16741" xr:uid="{00000000-0005-0000-0000-000046410000}"/>
    <cellStyle name="Calculation 14 4 2 5" xfId="16742" xr:uid="{00000000-0005-0000-0000-000047410000}"/>
    <cellStyle name="Calculation 14 4 2 6" xfId="16743" xr:uid="{00000000-0005-0000-0000-000048410000}"/>
    <cellStyle name="Calculation 14 4 3" xfId="16744" xr:uid="{00000000-0005-0000-0000-000049410000}"/>
    <cellStyle name="Calculation 14 4 3 2" xfId="16745" xr:uid="{00000000-0005-0000-0000-00004A410000}"/>
    <cellStyle name="Calculation 14 4 3 3" xfId="16746" xr:uid="{00000000-0005-0000-0000-00004B410000}"/>
    <cellStyle name="Calculation 14 4 3 4" xfId="16747" xr:uid="{00000000-0005-0000-0000-00004C410000}"/>
    <cellStyle name="Calculation 14 4 3 5" xfId="16748" xr:uid="{00000000-0005-0000-0000-00004D410000}"/>
    <cellStyle name="Calculation 14 4 3 6" xfId="16749" xr:uid="{00000000-0005-0000-0000-00004E410000}"/>
    <cellStyle name="Calculation 14 4 4" xfId="16750" xr:uid="{00000000-0005-0000-0000-00004F410000}"/>
    <cellStyle name="Calculation 14 4 4 2" xfId="16751" xr:uid="{00000000-0005-0000-0000-000050410000}"/>
    <cellStyle name="Calculation 14 4 4 3" xfId="16752" xr:uid="{00000000-0005-0000-0000-000051410000}"/>
    <cellStyle name="Calculation 14 4 4 4" xfId="16753" xr:uid="{00000000-0005-0000-0000-000052410000}"/>
    <cellStyle name="Calculation 14 4 4 5" xfId="16754" xr:uid="{00000000-0005-0000-0000-000053410000}"/>
    <cellStyle name="Calculation 14 4 4 6" xfId="16755" xr:uid="{00000000-0005-0000-0000-000054410000}"/>
    <cellStyle name="Calculation 14 4 5" xfId="16756" xr:uid="{00000000-0005-0000-0000-000055410000}"/>
    <cellStyle name="Calculation 14 4 5 2" xfId="16757" xr:uid="{00000000-0005-0000-0000-000056410000}"/>
    <cellStyle name="Calculation 14 4 5 3" xfId="16758" xr:uid="{00000000-0005-0000-0000-000057410000}"/>
    <cellStyle name="Calculation 14 4 5 4" xfId="16759" xr:uid="{00000000-0005-0000-0000-000058410000}"/>
    <cellStyle name="Calculation 14 4 5 5" xfId="16760" xr:uid="{00000000-0005-0000-0000-000059410000}"/>
    <cellStyle name="Calculation 14 4 5 6" xfId="16761" xr:uid="{00000000-0005-0000-0000-00005A410000}"/>
    <cellStyle name="Calculation 14 4 6" xfId="16762" xr:uid="{00000000-0005-0000-0000-00005B410000}"/>
    <cellStyle name="Calculation 14 4 6 2" xfId="16763" xr:uid="{00000000-0005-0000-0000-00005C410000}"/>
    <cellStyle name="Calculation 14 4 6 3" xfId="16764" xr:uid="{00000000-0005-0000-0000-00005D410000}"/>
    <cellStyle name="Calculation 14 4 6 4" xfId="16765" xr:uid="{00000000-0005-0000-0000-00005E410000}"/>
    <cellStyle name="Calculation 14 4 6 5" xfId="16766" xr:uid="{00000000-0005-0000-0000-00005F410000}"/>
    <cellStyle name="Calculation 14 4 6 6" xfId="16767" xr:uid="{00000000-0005-0000-0000-000060410000}"/>
    <cellStyle name="Calculation 14 4 7" xfId="16768" xr:uid="{00000000-0005-0000-0000-000061410000}"/>
    <cellStyle name="Calculation 14 4 7 2" xfId="16769" xr:uid="{00000000-0005-0000-0000-000062410000}"/>
    <cellStyle name="Calculation 14 4 7 3" xfId="16770" xr:uid="{00000000-0005-0000-0000-000063410000}"/>
    <cellStyle name="Calculation 14 4 7 4" xfId="16771" xr:uid="{00000000-0005-0000-0000-000064410000}"/>
    <cellStyle name="Calculation 14 4 7 5" xfId="16772" xr:uid="{00000000-0005-0000-0000-000065410000}"/>
    <cellStyle name="Calculation 14 4 7 6" xfId="16773" xr:uid="{00000000-0005-0000-0000-000066410000}"/>
    <cellStyle name="Calculation 14 4 8" xfId="16774" xr:uid="{00000000-0005-0000-0000-000067410000}"/>
    <cellStyle name="Calculation 14 4 9" xfId="16775" xr:uid="{00000000-0005-0000-0000-000068410000}"/>
    <cellStyle name="Calculation 14 5" xfId="16776" xr:uid="{00000000-0005-0000-0000-000069410000}"/>
    <cellStyle name="Calculation 14 5 10" xfId="16777" xr:uid="{00000000-0005-0000-0000-00006A410000}"/>
    <cellStyle name="Calculation 14 5 2" xfId="16778" xr:uid="{00000000-0005-0000-0000-00006B410000}"/>
    <cellStyle name="Calculation 14 5 2 2" xfId="16779" xr:uid="{00000000-0005-0000-0000-00006C410000}"/>
    <cellStyle name="Calculation 14 5 2 3" xfId="16780" xr:uid="{00000000-0005-0000-0000-00006D410000}"/>
    <cellStyle name="Calculation 14 5 2 4" xfId="16781" xr:uid="{00000000-0005-0000-0000-00006E410000}"/>
    <cellStyle name="Calculation 14 5 2 5" xfId="16782" xr:uid="{00000000-0005-0000-0000-00006F410000}"/>
    <cellStyle name="Calculation 14 5 2 6" xfId="16783" xr:uid="{00000000-0005-0000-0000-000070410000}"/>
    <cellStyle name="Calculation 14 5 3" xfId="16784" xr:uid="{00000000-0005-0000-0000-000071410000}"/>
    <cellStyle name="Calculation 14 5 3 2" xfId="16785" xr:uid="{00000000-0005-0000-0000-000072410000}"/>
    <cellStyle name="Calculation 14 5 3 3" xfId="16786" xr:uid="{00000000-0005-0000-0000-000073410000}"/>
    <cellStyle name="Calculation 14 5 3 4" xfId="16787" xr:uid="{00000000-0005-0000-0000-000074410000}"/>
    <cellStyle name="Calculation 14 5 3 5" xfId="16788" xr:uid="{00000000-0005-0000-0000-000075410000}"/>
    <cellStyle name="Calculation 14 5 3 6" xfId="16789" xr:uid="{00000000-0005-0000-0000-000076410000}"/>
    <cellStyle name="Calculation 14 5 4" xfId="16790" xr:uid="{00000000-0005-0000-0000-000077410000}"/>
    <cellStyle name="Calculation 14 5 4 2" xfId="16791" xr:uid="{00000000-0005-0000-0000-000078410000}"/>
    <cellStyle name="Calculation 14 5 4 3" xfId="16792" xr:uid="{00000000-0005-0000-0000-000079410000}"/>
    <cellStyle name="Calculation 14 5 4 4" xfId="16793" xr:uid="{00000000-0005-0000-0000-00007A410000}"/>
    <cellStyle name="Calculation 14 5 4 5" xfId="16794" xr:uid="{00000000-0005-0000-0000-00007B410000}"/>
    <cellStyle name="Calculation 14 5 4 6" xfId="16795" xr:uid="{00000000-0005-0000-0000-00007C410000}"/>
    <cellStyle name="Calculation 14 5 5" xfId="16796" xr:uid="{00000000-0005-0000-0000-00007D410000}"/>
    <cellStyle name="Calculation 14 5 5 2" xfId="16797" xr:uid="{00000000-0005-0000-0000-00007E410000}"/>
    <cellStyle name="Calculation 14 5 5 3" xfId="16798" xr:uid="{00000000-0005-0000-0000-00007F410000}"/>
    <cellStyle name="Calculation 14 5 5 4" xfId="16799" xr:uid="{00000000-0005-0000-0000-000080410000}"/>
    <cellStyle name="Calculation 14 5 5 5" xfId="16800" xr:uid="{00000000-0005-0000-0000-000081410000}"/>
    <cellStyle name="Calculation 14 5 5 6" xfId="16801" xr:uid="{00000000-0005-0000-0000-000082410000}"/>
    <cellStyle name="Calculation 14 5 6" xfId="16802" xr:uid="{00000000-0005-0000-0000-000083410000}"/>
    <cellStyle name="Calculation 14 5 6 2" xfId="16803" xr:uid="{00000000-0005-0000-0000-000084410000}"/>
    <cellStyle name="Calculation 14 5 6 3" xfId="16804" xr:uid="{00000000-0005-0000-0000-000085410000}"/>
    <cellStyle name="Calculation 14 5 6 4" xfId="16805" xr:uid="{00000000-0005-0000-0000-000086410000}"/>
    <cellStyle name="Calculation 14 5 6 5" xfId="16806" xr:uid="{00000000-0005-0000-0000-000087410000}"/>
    <cellStyle name="Calculation 14 5 6 6" xfId="16807" xr:uid="{00000000-0005-0000-0000-000088410000}"/>
    <cellStyle name="Calculation 14 5 7" xfId="16808" xr:uid="{00000000-0005-0000-0000-000089410000}"/>
    <cellStyle name="Calculation 14 5 7 2" xfId="16809" xr:uid="{00000000-0005-0000-0000-00008A410000}"/>
    <cellStyle name="Calculation 14 5 7 3" xfId="16810" xr:uid="{00000000-0005-0000-0000-00008B410000}"/>
    <cellStyle name="Calculation 14 5 7 4" xfId="16811" xr:uid="{00000000-0005-0000-0000-00008C410000}"/>
    <cellStyle name="Calculation 14 5 7 5" xfId="16812" xr:uid="{00000000-0005-0000-0000-00008D410000}"/>
    <cellStyle name="Calculation 14 5 7 6" xfId="16813" xr:uid="{00000000-0005-0000-0000-00008E410000}"/>
    <cellStyle name="Calculation 14 5 8" xfId="16814" xr:uid="{00000000-0005-0000-0000-00008F410000}"/>
    <cellStyle name="Calculation 14 5 9" xfId="16815" xr:uid="{00000000-0005-0000-0000-000090410000}"/>
    <cellStyle name="Calculation 14 6" xfId="16816" xr:uid="{00000000-0005-0000-0000-000091410000}"/>
    <cellStyle name="Calculation 14 6 10" xfId="16817" xr:uid="{00000000-0005-0000-0000-000092410000}"/>
    <cellStyle name="Calculation 14 6 2" xfId="16818" xr:uid="{00000000-0005-0000-0000-000093410000}"/>
    <cellStyle name="Calculation 14 6 2 2" xfId="16819" xr:uid="{00000000-0005-0000-0000-000094410000}"/>
    <cellStyle name="Calculation 14 6 2 3" xfId="16820" xr:uid="{00000000-0005-0000-0000-000095410000}"/>
    <cellStyle name="Calculation 14 6 2 4" xfId="16821" xr:uid="{00000000-0005-0000-0000-000096410000}"/>
    <cellStyle name="Calculation 14 6 2 5" xfId="16822" xr:uid="{00000000-0005-0000-0000-000097410000}"/>
    <cellStyle name="Calculation 14 6 2 6" xfId="16823" xr:uid="{00000000-0005-0000-0000-000098410000}"/>
    <cellStyle name="Calculation 14 6 3" xfId="16824" xr:uid="{00000000-0005-0000-0000-000099410000}"/>
    <cellStyle name="Calculation 14 6 3 2" xfId="16825" xr:uid="{00000000-0005-0000-0000-00009A410000}"/>
    <cellStyle name="Calculation 14 6 3 3" xfId="16826" xr:uid="{00000000-0005-0000-0000-00009B410000}"/>
    <cellStyle name="Calculation 14 6 3 4" xfId="16827" xr:uid="{00000000-0005-0000-0000-00009C410000}"/>
    <cellStyle name="Calculation 14 6 3 5" xfId="16828" xr:uid="{00000000-0005-0000-0000-00009D410000}"/>
    <cellStyle name="Calculation 14 6 3 6" xfId="16829" xr:uid="{00000000-0005-0000-0000-00009E410000}"/>
    <cellStyle name="Calculation 14 6 4" xfId="16830" xr:uid="{00000000-0005-0000-0000-00009F410000}"/>
    <cellStyle name="Calculation 14 6 4 2" xfId="16831" xr:uid="{00000000-0005-0000-0000-0000A0410000}"/>
    <cellStyle name="Calculation 14 6 4 3" xfId="16832" xr:uid="{00000000-0005-0000-0000-0000A1410000}"/>
    <cellStyle name="Calculation 14 6 4 4" xfId="16833" xr:uid="{00000000-0005-0000-0000-0000A2410000}"/>
    <cellStyle name="Calculation 14 6 4 5" xfId="16834" xr:uid="{00000000-0005-0000-0000-0000A3410000}"/>
    <cellStyle name="Calculation 14 6 4 6" xfId="16835" xr:uid="{00000000-0005-0000-0000-0000A4410000}"/>
    <cellStyle name="Calculation 14 6 5" xfId="16836" xr:uid="{00000000-0005-0000-0000-0000A5410000}"/>
    <cellStyle name="Calculation 14 6 5 2" xfId="16837" xr:uid="{00000000-0005-0000-0000-0000A6410000}"/>
    <cellStyle name="Calculation 14 6 5 3" xfId="16838" xr:uid="{00000000-0005-0000-0000-0000A7410000}"/>
    <cellStyle name="Calculation 14 6 5 4" xfId="16839" xr:uid="{00000000-0005-0000-0000-0000A8410000}"/>
    <cellStyle name="Calculation 14 6 5 5" xfId="16840" xr:uid="{00000000-0005-0000-0000-0000A9410000}"/>
    <cellStyle name="Calculation 14 6 5 6" xfId="16841" xr:uid="{00000000-0005-0000-0000-0000AA410000}"/>
    <cellStyle name="Calculation 14 6 6" xfId="16842" xr:uid="{00000000-0005-0000-0000-0000AB410000}"/>
    <cellStyle name="Calculation 14 6 6 2" xfId="16843" xr:uid="{00000000-0005-0000-0000-0000AC410000}"/>
    <cellStyle name="Calculation 14 6 6 3" xfId="16844" xr:uid="{00000000-0005-0000-0000-0000AD410000}"/>
    <cellStyle name="Calculation 14 6 6 4" xfId="16845" xr:uid="{00000000-0005-0000-0000-0000AE410000}"/>
    <cellStyle name="Calculation 14 6 6 5" xfId="16846" xr:uid="{00000000-0005-0000-0000-0000AF410000}"/>
    <cellStyle name="Calculation 14 6 6 6" xfId="16847" xr:uid="{00000000-0005-0000-0000-0000B0410000}"/>
    <cellStyle name="Calculation 14 6 7" xfId="16848" xr:uid="{00000000-0005-0000-0000-0000B1410000}"/>
    <cellStyle name="Calculation 14 6 7 2" xfId="16849" xr:uid="{00000000-0005-0000-0000-0000B2410000}"/>
    <cellStyle name="Calculation 14 6 7 3" xfId="16850" xr:uid="{00000000-0005-0000-0000-0000B3410000}"/>
    <cellStyle name="Calculation 14 6 7 4" xfId="16851" xr:uid="{00000000-0005-0000-0000-0000B4410000}"/>
    <cellStyle name="Calculation 14 6 7 5" xfId="16852" xr:uid="{00000000-0005-0000-0000-0000B5410000}"/>
    <cellStyle name="Calculation 14 6 7 6" xfId="16853" xr:uid="{00000000-0005-0000-0000-0000B6410000}"/>
    <cellStyle name="Calculation 14 6 8" xfId="16854" xr:uid="{00000000-0005-0000-0000-0000B7410000}"/>
    <cellStyle name="Calculation 14 6 9" xfId="16855" xr:uid="{00000000-0005-0000-0000-0000B8410000}"/>
    <cellStyle name="Calculation 14 7" xfId="16856" xr:uid="{00000000-0005-0000-0000-0000B9410000}"/>
    <cellStyle name="Calculation 14 7 10" xfId="16857" xr:uid="{00000000-0005-0000-0000-0000BA410000}"/>
    <cellStyle name="Calculation 14 7 2" xfId="16858" xr:uid="{00000000-0005-0000-0000-0000BB410000}"/>
    <cellStyle name="Calculation 14 7 2 2" xfId="16859" xr:uid="{00000000-0005-0000-0000-0000BC410000}"/>
    <cellStyle name="Calculation 14 7 2 3" xfId="16860" xr:uid="{00000000-0005-0000-0000-0000BD410000}"/>
    <cellStyle name="Calculation 14 7 2 4" xfId="16861" xr:uid="{00000000-0005-0000-0000-0000BE410000}"/>
    <cellStyle name="Calculation 14 7 2 5" xfId="16862" xr:uid="{00000000-0005-0000-0000-0000BF410000}"/>
    <cellStyle name="Calculation 14 7 2 6" xfId="16863" xr:uid="{00000000-0005-0000-0000-0000C0410000}"/>
    <cellStyle name="Calculation 14 7 3" xfId="16864" xr:uid="{00000000-0005-0000-0000-0000C1410000}"/>
    <cellStyle name="Calculation 14 7 3 2" xfId="16865" xr:uid="{00000000-0005-0000-0000-0000C2410000}"/>
    <cellStyle name="Calculation 14 7 3 3" xfId="16866" xr:uid="{00000000-0005-0000-0000-0000C3410000}"/>
    <cellStyle name="Calculation 14 7 3 4" xfId="16867" xr:uid="{00000000-0005-0000-0000-0000C4410000}"/>
    <cellStyle name="Calculation 14 7 3 5" xfId="16868" xr:uid="{00000000-0005-0000-0000-0000C5410000}"/>
    <cellStyle name="Calculation 14 7 3 6" xfId="16869" xr:uid="{00000000-0005-0000-0000-0000C6410000}"/>
    <cellStyle name="Calculation 14 7 4" xfId="16870" xr:uid="{00000000-0005-0000-0000-0000C7410000}"/>
    <cellStyle name="Calculation 14 7 4 2" xfId="16871" xr:uid="{00000000-0005-0000-0000-0000C8410000}"/>
    <cellStyle name="Calculation 14 7 4 3" xfId="16872" xr:uid="{00000000-0005-0000-0000-0000C9410000}"/>
    <cellStyle name="Calculation 14 7 4 4" xfId="16873" xr:uid="{00000000-0005-0000-0000-0000CA410000}"/>
    <cellStyle name="Calculation 14 7 4 5" xfId="16874" xr:uid="{00000000-0005-0000-0000-0000CB410000}"/>
    <cellStyle name="Calculation 14 7 4 6" xfId="16875" xr:uid="{00000000-0005-0000-0000-0000CC410000}"/>
    <cellStyle name="Calculation 14 7 5" xfId="16876" xr:uid="{00000000-0005-0000-0000-0000CD410000}"/>
    <cellStyle name="Calculation 14 7 5 2" xfId="16877" xr:uid="{00000000-0005-0000-0000-0000CE410000}"/>
    <cellStyle name="Calculation 14 7 5 3" xfId="16878" xr:uid="{00000000-0005-0000-0000-0000CF410000}"/>
    <cellStyle name="Calculation 14 7 5 4" xfId="16879" xr:uid="{00000000-0005-0000-0000-0000D0410000}"/>
    <cellStyle name="Calculation 14 7 5 5" xfId="16880" xr:uid="{00000000-0005-0000-0000-0000D1410000}"/>
    <cellStyle name="Calculation 14 7 5 6" xfId="16881" xr:uid="{00000000-0005-0000-0000-0000D2410000}"/>
    <cellStyle name="Calculation 14 7 6" xfId="16882" xr:uid="{00000000-0005-0000-0000-0000D3410000}"/>
    <cellStyle name="Calculation 14 7 6 2" xfId="16883" xr:uid="{00000000-0005-0000-0000-0000D4410000}"/>
    <cellStyle name="Calculation 14 7 6 3" xfId="16884" xr:uid="{00000000-0005-0000-0000-0000D5410000}"/>
    <cellStyle name="Calculation 14 7 6 4" xfId="16885" xr:uid="{00000000-0005-0000-0000-0000D6410000}"/>
    <cellStyle name="Calculation 14 7 6 5" xfId="16886" xr:uid="{00000000-0005-0000-0000-0000D7410000}"/>
    <cellStyle name="Calculation 14 7 6 6" xfId="16887" xr:uid="{00000000-0005-0000-0000-0000D8410000}"/>
    <cellStyle name="Calculation 14 7 7" xfId="16888" xr:uid="{00000000-0005-0000-0000-0000D9410000}"/>
    <cellStyle name="Calculation 14 7 7 2" xfId="16889" xr:uid="{00000000-0005-0000-0000-0000DA410000}"/>
    <cellStyle name="Calculation 14 7 7 3" xfId="16890" xr:uid="{00000000-0005-0000-0000-0000DB410000}"/>
    <cellStyle name="Calculation 14 7 7 4" xfId="16891" xr:uid="{00000000-0005-0000-0000-0000DC410000}"/>
    <cellStyle name="Calculation 14 7 7 5" xfId="16892" xr:uid="{00000000-0005-0000-0000-0000DD410000}"/>
    <cellStyle name="Calculation 14 7 7 6" xfId="16893" xr:uid="{00000000-0005-0000-0000-0000DE410000}"/>
    <cellStyle name="Calculation 14 7 8" xfId="16894" xr:uid="{00000000-0005-0000-0000-0000DF410000}"/>
    <cellStyle name="Calculation 14 7 9" xfId="16895" xr:uid="{00000000-0005-0000-0000-0000E0410000}"/>
    <cellStyle name="Calculation 14 8" xfId="16896" xr:uid="{00000000-0005-0000-0000-0000E1410000}"/>
    <cellStyle name="Calculation 14 8 10" xfId="16897" xr:uid="{00000000-0005-0000-0000-0000E2410000}"/>
    <cellStyle name="Calculation 14 8 2" xfId="16898" xr:uid="{00000000-0005-0000-0000-0000E3410000}"/>
    <cellStyle name="Calculation 14 8 2 2" xfId="16899" xr:uid="{00000000-0005-0000-0000-0000E4410000}"/>
    <cellStyle name="Calculation 14 8 2 3" xfId="16900" xr:uid="{00000000-0005-0000-0000-0000E5410000}"/>
    <cellStyle name="Calculation 14 8 2 4" xfId="16901" xr:uid="{00000000-0005-0000-0000-0000E6410000}"/>
    <cellStyle name="Calculation 14 8 2 5" xfId="16902" xr:uid="{00000000-0005-0000-0000-0000E7410000}"/>
    <cellStyle name="Calculation 14 8 2 6" xfId="16903" xr:uid="{00000000-0005-0000-0000-0000E8410000}"/>
    <cellStyle name="Calculation 14 8 3" xfId="16904" xr:uid="{00000000-0005-0000-0000-0000E9410000}"/>
    <cellStyle name="Calculation 14 8 3 2" xfId="16905" xr:uid="{00000000-0005-0000-0000-0000EA410000}"/>
    <cellStyle name="Calculation 14 8 3 3" xfId="16906" xr:uid="{00000000-0005-0000-0000-0000EB410000}"/>
    <cellStyle name="Calculation 14 8 3 4" xfId="16907" xr:uid="{00000000-0005-0000-0000-0000EC410000}"/>
    <cellStyle name="Calculation 14 8 3 5" xfId="16908" xr:uid="{00000000-0005-0000-0000-0000ED410000}"/>
    <cellStyle name="Calculation 14 8 3 6" xfId="16909" xr:uid="{00000000-0005-0000-0000-0000EE410000}"/>
    <cellStyle name="Calculation 14 8 4" xfId="16910" xr:uid="{00000000-0005-0000-0000-0000EF410000}"/>
    <cellStyle name="Calculation 14 8 4 2" xfId="16911" xr:uid="{00000000-0005-0000-0000-0000F0410000}"/>
    <cellStyle name="Calculation 14 8 4 3" xfId="16912" xr:uid="{00000000-0005-0000-0000-0000F1410000}"/>
    <cellStyle name="Calculation 14 8 4 4" xfId="16913" xr:uid="{00000000-0005-0000-0000-0000F2410000}"/>
    <cellStyle name="Calculation 14 8 4 5" xfId="16914" xr:uid="{00000000-0005-0000-0000-0000F3410000}"/>
    <cellStyle name="Calculation 14 8 4 6" xfId="16915" xr:uid="{00000000-0005-0000-0000-0000F4410000}"/>
    <cellStyle name="Calculation 14 8 5" xfId="16916" xr:uid="{00000000-0005-0000-0000-0000F5410000}"/>
    <cellStyle name="Calculation 14 8 5 2" xfId="16917" xr:uid="{00000000-0005-0000-0000-0000F6410000}"/>
    <cellStyle name="Calculation 14 8 5 3" xfId="16918" xr:uid="{00000000-0005-0000-0000-0000F7410000}"/>
    <cellStyle name="Calculation 14 8 5 4" xfId="16919" xr:uid="{00000000-0005-0000-0000-0000F8410000}"/>
    <cellStyle name="Calculation 14 8 5 5" xfId="16920" xr:uid="{00000000-0005-0000-0000-0000F9410000}"/>
    <cellStyle name="Calculation 14 8 5 6" xfId="16921" xr:uid="{00000000-0005-0000-0000-0000FA410000}"/>
    <cellStyle name="Calculation 14 8 6" xfId="16922" xr:uid="{00000000-0005-0000-0000-0000FB410000}"/>
    <cellStyle name="Calculation 14 8 6 2" xfId="16923" xr:uid="{00000000-0005-0000-0000-0000FC410000}"/>
    <cellStyle name="Calculation 14 8 6 3" xfId="16924" xr:uid="{00000000-0005-0000-0000-0000FD410000}"/>
    <cellStyle name="Calculation 14 8 6 4" xfId="16925" xr:uid="{00000000-0005-0000-0000-0000FE410000}"/>
    <cellStyle name="Calculation 14 8 6 5" xfId="16926" xr:uid="{00000000-0005-0000-0000-0000FF410000}"/>
    <cellStyle name="Calculation 14 8 6 6" xfId="16927" xr:uid="{00000000-0005-0000-0000-000000420000}"/>
    <cellStyle name="Calculation 14 8 7" xfId="16928" xr:uid="{00000000-0005-0000-0000-000001420000}"/>
    <cellStyle name="Calculation 14 8 7 2" xfId="16929" xr:uid="{00000000-0005-0000-0000-000002420000}"/>
    <cellStyle name="Calculation 14 8 7 3" xfId="16930" xr:uid="{00000000-0005-0000-0000-000003420000}"/>
    <cellStyle name="Calculation 14 8 7 4" xfId="16931" xr:uid="{00000000-0005-0000-0000-000004420000}"/>
    <cellStyle name="Calculation 14 8 7 5" xfId="16932" xr:uid="{00000000-0005-0000-0000-000005420000}"/>
    <cellStyle name="Calculation 14 8 7 6" xfId="16933" xr:uid="{00000000-0005-0000-0000-000006420000}"/>
    <cellStyle name="Calculation 14 8 8" xfId="16934" xr:uid="{00000000-0005-0000-0000-000007420000}"/>
    <cellStyle name="Calculation 14 8 9" xfId="16935" xr:uid="{00000000-0005-0000-0000-000008420000}"/>
    <cellStyle name="Calculation 14 9" xfId="16936" xr:uid="{00000000-0005-0000-0000-000009420000}"/>
    <cellStyle name="Calculation 14 9 10" xfId="16937" xr:uid="{00000000-0005-0000-0000-00000A420000}"/>
    <cellStyle name="Calculation 14 9 2" xfId="16938" xr:uid="{00000000-0005-0000-0000-00000B420000}"/>
    <cellStyle name="Calculation 14 9 2 2" xfId="16939" xr:uid="{00000000-0005-0000-0000-00000C420000}"/>
    <cellStyle name="Calculation 14 9 2 3" xfId="16940" xr:uid="{00000000-0005-0000-0000-00000D420000}"/>
    <cellStyle name="Calculation 14 9 2 4" xfId="16941" xr:uid="{00000000-0005-0000-0000-00000E420000}"/>
    <cellStyle name="Calculation 14 9 2 5" xfId="16942" xr:uid="{00000000-0005-0000-0000-00000F420000}"/>
    <cellStyle name="Calculation 14 9 2 6" xfId="16943" xr:uid="{00000000-0005-0000-0000-000010420000}"/>
    <cellStyle name="Calculation 14 9 3" xfId="16944" xr:uid="{00000000-0005-0000-0000-000011420000}"/>
    <cellStyle name="Calculation 14 9 3 2" xfId="16945" xr:uid="{00000000-0005-0000-0000-000012420000}"/>
    <cellStyle name="Calculation 14 9 3 3" xfId="16946" xr:uid="{00000000-0005-0000-0000-000013420000}"/>
    <cellStyle name="Calculation 14 9 3 4" xfId="16947" xr:uid="{00000000-0005-0000-0000-000014420000}"/>
    <cellStyle name="Calculation 14 9 3 5" xfId="16948" xr:uid="{00000000-0005-0000-0000-000015420000}"/>
    <cellStyle name="Calculation 14 9 3 6" xfId="16949" xr:uid="{00000000-0005-0000-0000-000016420000}"/>
    <cellStyle name="Calculation 14 9 4" xfId="16950" xr:uid="{00000000-0005-0000-0000-000017420000}"/>
    <cellStyle name="Calculation 14 9 4 2" xfId="16951" xr:uid="{00000000-0005-0000-0000-000018420000}"/>
    <cellStyle name="Calculation 14 9 4 3" xfId="16952" xr:uid="{00000000-0005-0000-0000-000019420000}"/>
    <cellStyle name="Calculation 14 9 4 4" xfId="16953" xr:uid="{00000000-0005-0000-0000-00001A420000}"/>
    <cellStyle name="Calculation 14 9 4 5" xfId="16954" xr:uid="{00000000-0005-0000-0000-00001B420000}"/>
    <cellStyle name="Calculation 14 9 4 6" xfId="16955" xr:uid="{00000000-0005-0000-0000-00001C420000}"/>
    <cellStyle name="Calculation 14 9 5" xfId="16956" xr:uid="{00000000-0005-0000-0000-00001D420000}"/>
    <cellStyle name="Calculation 14 9 5 2" xfId="16957" xr:uid="{00000000-0005-0000-0000-00001E420000}"/>
    <cellStyle name="Calculation 14 9 5 3" xfId="16958" xr:uid="{00000000-0005-0000-0000-00001F420000}"/>
    <cellStyle name="Calculation 14 9 5 4" xfId="16959" xr:uid="{00000000-0005-0000-0000-000020420000}"/>
    <cellStyle name="Calculation 14 9 5 5" xfId="16960" xr:uid="{00000000-0005-0000-0000-000021420000}"/>
    <cellStyle name="Calculation 14 9 5 6" xfId="16961" xr:uid="{00000000-0005-0000-0000-000022420000}"/>
    <cellStyle name="Calculation 14 9 6" xfId="16962" xr:uid="{00000000-0005-0000-0000-000023420000}"/>
    <cellStyle name="Calculation 14 9 6 2" xfId="16963" xr:uid="{00000000-0005-0000-0000-000024420000}"/>
    <cellStyle name="Calculation 14 9 6 3" xfId="16964" xr:uid="{00000000-0005-0000-0000-000025420000}"/>
    <cellStyle name="Calculation 14 9 6 4" xfId="16965" xr:uid="{00000000-0005-0000-0000-000026420000}"/>
    <cellStyle name="Calculation 14 9 6 5" xfId="16966" xr:uid="{00000000-0005-0000-0000-000027420000}"/>
    <cellStyle name="Calculation 14 9 6 6" xfId="16967" xr:uid="{00000000-0005-0000-0000-000028420000}"/>
    <cellStyle name="Calculation 14 9 7" xfId="16968" xr:uid="{00000000-0005-0000-0000-000029420000}"/>
    <cellStyle name="Calculation 14 9 7 2" xfId="16969" xr:uid="{00000000-0005-0000-0000-00002A420000}"/>
    <cellStyle name="Calculation 14 9 7 3" xfId="16970" xr:uid="{00000000-0005-0000-0000-00002B420000}"/>
    <cellStyle name="Calculation 14 9 7 4" xfId="16971" xr:uid="{00000000-0005-0000-0000-00002C420000}"/>
    <cellStyle name="Calculation 14 9 7 5" xfId="16972" xr:uid="{00000000-0005-0000-0000-00002D420000}"/>
    <cellStyle name="Calculation 14 9 7 6" xfId="16973" xr:uid="{00000000-0005-0000-0000-00002E420000}"/>
    <cellStyle name="Calculation 14 9 8" xfId="16974" xr:uid="{00000000-0005-0000-0000-00002F420000}"/>
    <cellStyle name="Calculation 14 9 9" xfId="16975" xr:uid="{00000000-0005-0000-0000-000030420000}"/>
    <cellStyle name="Calculation 15" xfId="16976" xr:uid="{00000000-0005-0000-0000-000031420000}"/>
    <cellStyle name="Calculation 15 10" xfId="16977" xr:uid="{00000000-0005-0000-0000-000032420000}"/>
    <cellStyle name="Calculation 15 10 10" xfId="16978" xr:uid="{00000000-0005-0000-0000-000033420000}"/>
    <cellStyle name="Calculation 15 10 2" xfId="16979" xr:uid="{00000000-0005-0000-0000-000034420000}"/>
    <cellStyle name="Calculation 15 10 2 2" xfId="16980" xr:uid="{00000000-0005-0000-0000-000035420000}"/>
    <cellStyle name="Calculation 15 10 2 3" xfId="16981" xr:uid="{00000000-0005-0000-0000-000036420000}"/>
    <cellStyle name="Calculation 15 10 2 4" xfId="16982" xr:uid="{00000000-0005-0000-0000-000037420000}"/>
    <cellStyle name="Calculation 15 10 2 5" xfId="16983" xr:uid="{00000000-0005-0000-0000-000038420000}"/>
    <cellStyle name="Calculation 15 10 2 6" xfId="16984" xr:uid="{00000000-0005-0000-0000-000039420000}"/>
    <cellStyle name="Calculation 15 10 3" xfId="16985" xr:uid="{00000000-0005-0000-0000-00003A420000}"/>
    <cellStyle name="Calculation 15 10 3 2" xfId="16986" xr:uid="{00000000-0005-0000-0000-00003B420000}"/>
    <cellStyle name="Calculation 15 10 3 3" xfId="16987" xr:uid="{00000000-0005-0000-0000-00003C420000}"/>
    <cellStyle name="Calculation 15 10 3 4" xfId="16988" xr:uid="{00000000-0005-0000-0000-00003D420000}"/>
    <cellStyle name="Calculation 15 10 3 5" xfId="16989" xr:uid="{00000000-0005-0000-0000-00003E420000}"/>
    <cellStyle name="Calculation 15 10 3 6" xfId="16990" xr:uid="{00000000-0005-0000-0000-00003F420000}"/>
    <cellStyle name="Calculation 15 10 4" xfId="16991" xr:uid="{00000000-0005-0000-0000-000040420000}"/>
    <cellStyle name="Calculation 15 10 4 2" xfId="16992" xr:uid="{00000000-0005-0000-0000-000041420000}"/>
    <cellStyle name="Calculation 15 10 4 3" xfId="16993" xr:uid="{00000000-0005-0000-0000-000042420000}"/>
    <cellStyle name="Calculation 15 10 4 4" xfId="16994" xr:uid="{00000000-0005-0000-0000-000043420000}"/>
    <cellStyle name="Calculation 15 10 4 5" xfId="16995" xr:uid="{00000000-0005-0000-0000-000044420000}"/>
    <cellStyle name="Calculation 15 10 4 6" xfId="16996" xr:uid="{00000000-0005-0000-0000-000045420000}"/>
    <cellStyle name="Calculation 15 10 5" xfId="16997" xr:uid="{00000000-0005-0000-0000-000046420000}"/>
    <cellStyle name="Calculation 15 10 5 2" xfId="16998" xr:uid="{00000000-0005-0000-0000-000047420000}"/>
    <cellStyle name="Calculation 15 10 5 3" xfId="16999" xr:uid="{00000000-0005-0000-0000-000048420000}"/>
    <cellStyle name="Calculation 15 10 5 4" xfId="17000" xr:uid="{00000000-0005-0000-0000-000049420000}"/>
    <cellStyle name="Calculation 15 10 5 5" xfId="17001" xr:uid="{00000000-0005-0000-0000-00004A420000}"/>
    <cellStyle name="Calculation 15 10 5 6" xfId="17002" xr:uid="{00000000-0005-0000-0000-00004B420000}"/>
    <cellStyle name="Calculation 15 10 6" xfId="17003" xr:uid="{00000000-0005-0000-0000-00004C420000}"/>
    <cellStyle name="Calculation 15 10 6 2" xfId="17004" xr:uid="{00000000-0005-0000-0000-00004D420000}"/>
    <cellStyle name="Calculation 15 10 6 3" xfId="17005" xr:uid="{00000000-0005-0000-0000-00004E420000}"/>
    <cellStyle name="Calculation 15 10 6 4" xfId="17006" xr:uid="{00000000-0005-0000-0000-00004F420000}"/>
    <cellStyle name="Calculation 15 10 6 5" xfId="17007" xr:uid="{00000000-0005-0000-0000-000050420000}"/>
    <cellStyle name="Calculation 15 10 6 6" xfId="17008" xr:uid="{00000000-0005-0000-0000-000051420000}"/>
    <cellStyle name="Calculation 15 10 7" xfId="17009" xr:uid="{00000000-0005-0000-0000-000052420000}"/>
    <cellStyle name="Calculation 15 10 7 2" xfId="17010" xr:uid="{00000000-0005-0000-0000-000053420000}"/>
    <cellStyle name="Calculation 15 10 7 3" xfId="17011" xr:uid="{00000000-0005-0000-0000-000054420000}"/>
    <cellStyle name="Calculation 15 10 7 4" xfId="17012" xr:uid="{00000000-0005-0000-0000-000055420000}"/>
    <cellStyle name="Calculation 15 10 7 5" xfId="17013" xr:uid="{00000000-0005-0000-0000-000056420000}"/>
    <cellStyle name="Calculation 15 10 7 6" xfId="17014" xr:uid="{00000000-0005-0000-0000-000057420000}"/>
    <cellStyle name="Calculation 15 10 8" xfId="17015" xr:uid="{00000000-0005-0000-0000-000058420000}"/>
    <cellStyle name="Calculation 15 10 9" xfId="17016" xr:uid="{00000000-0005-0000-0000-000059420000}"/>
    <cellStyle name="Calculation 15 11" xfId="17017" xr:uid="{00000000-0005-0000-0000-00005A420000}"/>
    <cellStyle name="Calculation 15 11 10" xfId="17018" xr:uid="{00000000-0005-0000-0000-00005B420000}"/>
    <cellStyle name="Calculation 15 11 2" xfId="17019" xr:uid="{00000000-0005-0000-0000-00005C420000}"/>
    <cellStyle name="Calculation 15 11 2 2" xfId="17020" xr:uid="{00000000-0005-0000-0000-00005D420000}"/>
    <cellStyle name="Calculation 15 11 2 3" xfId="17021" xr:uid="{00000000-0005-0000-0000-00005E420000}"/>
    <cellStyle name="Calculation 15 11 2 4" xfId="17022" xr:uid="{00000000-0005-0000-0000-00005F420000}"/>
    <cellStyle name="Calculation 15 11 2 5" xfId="17023" xr:uid="{00000000-0005-0000-0000-000060420000}"/>
    <cellStyle name="Calculation 15 11 2 6" xfId="17024" xr:uid="{00000000-0005-0000-0000-000061420000}"/>
    <cellStyle name="Calculation 15 11 3" xfId="17025" xr:uid="{00000000-0005-0000-0000-000062420000}"/>
    <cellStyle name="Calculation 15 11 3 2" xfId="17026" xr:uid="{00000000-0005-0000-0000-000063420000}"/>
    <cellStyle name="Calculation 15 11 3 3" xfId="17027" xr:uid="{00000000-0005-0000-0000-000064420000}"/>
    <cellStyle name="Calculation 15 11 3 4" xfId="17028" xr:uid="{00000000-0005-0000-0000-000065420000}"/>
    <cellStyle name="Calculation 15 11 3 5" xfId="17029" xr:uid="{00000000-0005-0000-0000-000066420000}"/>
    <cellStyle name="Calculation 15 11 3 6" xfId="17030" xr:uid="{00000000-0005-0000-0000-000067420000}"/>
    <cellStyle name="Calculation 15 11 4" xfId="17031" xr:uid="{00000000-0005-0000-0000-000068420000}"/>
    <cellStyle name="Calculation 15 11 4 2" xfId="17032" xr:uid="{00000000-0005-0000-0000-000069420000}"/>
    <cellStyle name="Calculation 15 11 4 3" xfId="17033" xr:uid="{00000000-0005-0000-0000-00006A420000}"/>
    <cellStyle name="Calculation 15 11 4 4" xfId="17034" xr:uid="{00000000-0005-0000-0000-00006B420000}"/>
    <cellStyle name="Calculation 15 11 4 5" xfId="17035" xr:uid="{00000000-0005-0000-0000-00006C420000}"/>
    <cellStyle name="Calculation 15 11 4 6" xfId="17036" xr:uid="{00000000-0005-0000-0000-00006D420000}"/>
    <cellStyle name="Calculation 15 11 5" xfId="17037" xr:uid="{00000000-0005-0000-0000-00006E420000}"/>
    <cellStyle name="Calculation 15 11 5 2" xfId="17038" xr:uid="{00000000-0005-0000-0000-00006F420000}"/>
    <cellStyle name="Calculation 15 11 5 3" xfId="17039" xr:uid="{00000000-0005-0000-0000-000070420000}"/>
    <cellStyle name="Calculation 15 11 5 4" xfId="17040" xr:uid="{00000000-0005-0000-0000-000071420000}"/>
    <cellStyle name="Calculation 15 11 5 5" xfId="17041" xr:uid="{00000000-0005-0000-0000-000072420000}"/>
    <cellStyle name="Calculation 15 11 5 6" xfId="17042" xr:uid="{00000000-0005-0000-0000-000073420000}"/>
    <cellStyle name="Calculation 15 11 6" xfId="17043" xr:uid="{00000000-0005-0000-0000-000074420000}"/>
    <cellStyle name="Calculation 15 11 6 2" xfId="17044" xr:uid="{00000000-0005-0000-0000-000075420000}"/>
    <cellStyle name="Calculation 15 11 6 3" xfId="17045" xr:uid="{00000000-0005-0000-0000-000076420000}"/>
    <cellStyle name="Calculation 15 11 6 4" xfId="17046" xr:uid="{00000000-0005-0000-0000-000077420000}"/>
    <cellStyle name="Calculation 15 11 6 5" xfId="17047" xr:uid="{00000000-0005-0000-0000-000078420000}"/>
    <cellStyle name="Calculation 15 11 6 6" xfId="17048" xr:uid="{00000000-0005-0000-0000-000079420000}"/>
    <cellStyle name="Calculation 15 11 7" xfId="17049" xr:uid="{00000000-0005-0000-0000-00007A420000}"/>
    <cellStyle name="Calculation 15 11 7 2" xfId="17050" xr:uid="{00000000-0005-0000-0000-00007B420000}"/>
    <cellStyle name="Calculation 15 11 7 3" xfId="17051" xr:uid="{00000000-0005-0000-0000-00007C420000}"/>
    <cellStyle name="Calculation 15 11 7 4" xfId="17052" xr:uid="{00000000-0005-0000-0000-00007D420000}"/>
    <cellStyle name="Calculation 15 11 7 5" xfId="17053" xr:uid="{00000000-0005-0000-0000-00007E420000}"/>
    <cellStyle name="Calculation 15 11 7 6" xfId="17054" xr:uid="{00000000-0005-0000-0000-00007F420000}"/>
    <cellStyle name="Calculation 15 11 8" xfId="17055" xr:uid="{00000000-0005-0000-0000-000080420000}"/>
    <cellStyle name="Calculation 15 11 9" xfId="17056" xr:uid="{00000000-0005-0000-0000-000081420000}"/>
    <cellStyle name="Calculation 15 12" xfId="17057" xr:uid="{00000000-0005-0000-0000-000082420000}"/>
    <cellStyle name="Calculation 15 12 10" xfId="17058" xr:uid="{00000000-0005-0000-0000-000083420000}"/>
    <cellStyle name="Calculation 15 12 2" xfId="17059" xr:uid="{00000000-0005-0000-0000-000084420000}"/>
    <cellStyle name="Calculation 15 12 2 2" xfId="17060" xr:uid="{00000000-0005-0000-0000-000085420000}"/>
    <cellStyle name="Calculation 15 12 2 3" xfId="17061" xr:uid="{00000000-0005-0000-0000-000086420000}"/>
    <cellStyle name="Calculation 15 12 2 4" xfId="17062" xr:uid="{00000000-0005-0000-0000-000087420000}"/>
    <cellStyle name="Calculation 15 12 2 5" xfId="17063" xr:uid="{00000000-0005-0000-0000-000088420000}"/>
    <cellStyle name="Calculation 15 12 2 6" xfId="17064" xr:uid="{00000000-0005-0000-0000-000089420000}"/>
    <cellStyle name="Calculation 15 12 3" xfId="17065" xr:uid="{00000000-0005-0000-0000-00008A420000}"/>
    <cellStyle name="Calculation 15 12 3 2" xfId="17066" xr:uid="{00000000-0005-0000-0000-00008B420000}"/>
    <cellStyle name="Calculation 15 12 3 3" xfId="17067" xr:uid="{00000000-0005-0000-0000-00008C420000}"/>
    <cellStyle name="Calculation 15 12 3 4" xfId="17068" xr:uid="{00000000-0005-0000-0000-00008D420000}"/>
    <cellStyle name="Calculation 15 12 3 5" xfId="17069" xr:uid="{00000000-0005-0000-0000-00008E420000}"/>
    <cellStyle name="Calculation 15 12 3 6" xfId="17070" xr:uid="{00000000-0005-0000-0000-00008F420000}"/>
    <cellStyle name="Calculation 15 12 4" xfId="17071" xr:uid="{00000000-0005-0000-0000-000090420000}"/>
    <cellStyle name="Calculation 15 12 4 2" xfId="17072" xr:uid="{00000000-0005-0000-0000-000091420000}"/>
    <cellStyle name="Calculation 15 12 4 3" xfId="17073" xr:uid="{00000000-0005-0000-0000-000092420000}"/>
    <cellStyle name="Calculation 15 12 4 4" xfId="17074" xr:uid="{00000000-0005-0000-0000-000093420000}"/>
    <cellStyle name="Calculation 15 12 4 5" xfId="17075" xr:uid="{00000000-0005-0000-0000-000094420000}"/>
    <cellStyle name="Calculation 15 12 4 6" xfId="17076" xr:uid="{00000000-0005-0000-0000-000095420000}"/>
    <cellStyle name="Calculation 15 12 5" xfId="17077" xr:uid="{00000000-0005-0000-0000-000096420000}"/>
    <cellStyle name="Calculation 15 12 5 2" xfId="17078" xr:uid="{00000000-0005-0000-0000-000097420000}"/>
    <cellStyle name="Calculation 15 12 5 3" xfId="17079" xr:uid="{00000000-0005-0000-0000-000098420000}"/>
    <cellStyle name="Calculation 15 12 5 4" xfId="17080" xr:uid="{00000000-0005-0000-0000-000099420000}"/>
    <cellStyle name="Calculation 15 12 5 5" xfId="17081" xr:uid="{00000000-0005-0000-0000-00009A420000}"/>
    <cellStyle name="Calculation 15 12 5 6" xfId="17082" xr:uid="{00000000-0005-0000-0000-00009B420000}"/>
    <cellStyle name="Calculation 15 12 6" xfId="17083" xr:uid="{00000000-0005-0000-0000-00009C420000}"/>
    <cellStyle name="Calculation 15 12 6 2" xfId="17084" xr:uid="{00000000-0005-0000-0000-00009D420000}"/>
    <cellStyle name="Calculation 15 12 6 3" xfId="17085" xr:uid="{00000000-0005-0000-0000-00009E420000}"/>
    <cellStyle name="Calculation 15 12 6 4" xfId="17086" xr:uid="{00000000-0005-0000-0000-00009F420000}"/>
    <cellStyle name="Calculation 15 12 6 5" xfId="17087" xr:uid="{00000000-0005-0000-0000-0000A0420000}"/>
    <cellStyle name="Calculation 15 12 6 6" xfId="17088" xr:uid="{00000000-0005-0000-0000-0000A1420000}"/>
    <cellStyle name="Calculation 15 12 7" xfId="17089" xr:uid="{00000000-0005-0000-0000-0000A2420000}"/>
    <cellStyle name="Calculation 15 12 7 2" xfId="17090" xr:uid="{00000000-0005-0000-0000-0000A3420000}"/>
    <cellStyle name="Calculation 15 12 7 3" xfId="17091" xr:uid="{00000000-0005-0000-0000-0000A4420000}"/>
    <cellStyle name="Calculation 15 12 7 4" xfId="17092" xr:uid="{00000000-0005-0000-0000-0000A5420000}"/>
    <cellStyle name="Calculation 15 12 7 5" xfId="17093" xr:uid="{00000000-0005-0000-0000-0000A6420000}"/>
    <cellStyle name="Calculation 15 12 7 6" xfId="17094" xr:uid="{00000000-0005-0000-0000-0000A7420000}"/>
    <cellStyle name="Calculation 15 12 8" xfId="17095" xr:uid="{00000000-0005-0000-0000-0000A8420000}"/>
    <cellStyle name="Calculation 15 12 9" xfId="17096" xr:uid="{00000000-0005-0000-0000-0000A9420000}"/>
    <cellStyle name="Calculation 15 13" xfId="17097" xr:uid="{00000000-0005-0000-0000-0000AA420000}"/>
    <cellStyle name="Calculation 15 13 10" xfId="17098" xr:uid="{00000000-0005-0000-0000-0000AB420000}"/>
    <cellStyle name="Calculation 15 13 2" xfId="17099" xr:uid="{00000000-0005-0000-0000-0000AC420000}"/>
    <cellStyle name="Calculation 15 13 2 2" xfId="17100" xr:uid="{00000000-0005-0000-0000-0000AD420000}"/>
    <cellStyle name="Calculation 15 13 2 3" xfId="17101" xr:uid="{00000000-0005-0000-0000-0000AE420000}"/>
    <cellStyle name="Calculation 15 13 2 4" xfId="17102" xr:uid="{00000000-0005-0000-0000-0000AF420000}"/>
    <cellStyle name="Calculation 15 13 2 5" xfId="17103" xr:uid="{00000000-0005-0000-0000-0000B0420000}"/>
    <cellStyle name="Calculation 15 13 2 6" xfId="17104" xr:uid="{00000000-0005-0000-0000-0000B1420000}"/>
    <cellStyle name="Calculation 15 13 3" xfId="17105" xr:uid="{00000000-0005-0000-0000-0000B2420000}"/>
    <cellStyle name="Calculation 15 13 3 2" xfId="17106" xr:uid="{00000000-0005-0000-0000-0000B3420000}"/>
    <cellStyle name="Calculation 15 13 3 3" xfId="17107" xr:uid="{00000000-0005-0000-0000-0000B4420000}"/>
    <cellStyle name="Calculation 15 13 3 4" xfId="17108" xr:uid="{00000000-0005-0000-0000-0000B5420000}"/>
    <cellStyle name="Calculation 15 13 3 5" xfId="17109" xr:uid="{00000000-0005-0000-0000-0000B6420000}"/>
    <cellStyle name="Calculation 15 13 3 6" xfId="17110" xr:uid="{00000000-0005-0000-0000-0000B7420000}"/>
    <cellStyle name="Calculation 15 13 4" xfId="17111" xr:uid="{00000000-0005-0000-0000-0000B8420000}"/>
    <cellStyle name="Calculation 15 13 4 2" xfId="17112" xr:uid="{00000000-0005-0000-0000-0000B9420000}"/>
    <cellStyle name="Calculation 15 13 4 3" xfId="17113" xr:uid="{00000000-0005-0000-0000-0000BA420000}"/>
    <cellStyle name="Calculation 15 13 4 4" xfId="17114" xr:uid="{00000000-0005-0000-0000-0000BB420000}"/>
    <cellStyle name="Calculation 15 13 4 5" xfId="17115" xr:uid="{00000000-0005-0000-0000-0000BC420000}"/>
    <cellStyle name="Calculation 15 13 4 6" xfId="17116" xr:uid="{00000000-0005-0000-0000-0000BD420000}"/>
    <cellStyle name="Calculation 15 13 5" xfId="17117" xr:uid="{00000000-0005-0000-0000-0000BE420000}"/>
    <cellStyle name="Calculation 15 13 5 2" xfId="17118" xr:uid="{00000000-0005-0000-0000-0000BF420000}"/>
    <cellStyle name="Calculation 15 13 5 3" xfId="17119" xr:uid="{00000000-0005-0000-0000-0000C0420000}"/>
    <cellStyle name="Calculation 15 13 5 4" xfId="17120" xr:uid="{00000000-0005-0000-0000-0000C1420000}"/>
    <cellStyle name="Calculation 15 13 5 5" xfId="17121" xr:uid="{00000000-0005-0000-0000-0000C2420000}"/>
    <cellStyle name="Calculation 15 13 5 6" xfId="17122" xr:uid="{00000000-0005-0000-0000-0000C3420000}"/>
    <cellStyle name="Calculation 15 13 6" xfId="17123" xr:uid="{00000000-0005-0000-0000-0000C4420000}"/>
    <cellStyle name="Calculation 15 13 6 2" xfId="17124" xr:uid="{00000000-0005-0000-0000-0000C5420000}"/>
    <cellStyle name="Calculation 15 13 6 3" xfId="17125" xr:uid="{00000000-0005-0000-0000-0000C6420000}"/>
    <cellStyle name="Calculation 15 13 6 4" xfId="17126" xr:uid="{00000000-0005-0000-0000-0000C7420000}"/>
    <cellStyle name="Calculation 15 13 6 5" xfId="17127" xr:uid="{00000000-0005-0000-0000-0000C8420000}"/>
    <cellStyle name="Calculation 15 13 6 6" xfId="17128" xr:uid="{00000000-0005-0000-0000-0000C9420000}"/>
    <cellStyle name="Calculation 15 13 7" xfId="17129" xr:uid="{00000000-0005-0000-0000-0000CA420000}"/>
    <cellStyle name="Calculation 15 13 7 2" xfId="17130" xr:uid="{00000000-0005-0000-0000-0000CB420000}"/>
    <cellStyle name="Calculation 15 13 7 3" xfId="17131" xr:uid="{00000000-0005-0000-0000-0000CC420000}"/>
    <cellStyle name="Calculation 15 13 7 4" xfId="17132" xr:uid="{00000000-0005-0000-0000-0000CD420000}"/>
    <cellStyle name="Calculation 15 13 7 5" xfId="17133" xr:uid="{00000000-0005-0000-0000-0000CE420000}"/>
    <cellStyle name="Calculation 15 13 7 6" xfId="17134" xr:uid="{00000000-0005-0000-0000-0000CF420000}"/>
    <cellStyle name="Calculation 15 13 8" xfId="17135" xr:uid="{00000000-0005-0000-0000-0000D0420000}"/>
    <cellStyle name="Calculation 15 13 9" xfId="17136" xr:uid="{00000000-0005-0000-0000-0000D1420000}"/>
    <cellStyle name="Calculation 15 14" xfId="17137" xr:uid="{00000000-0005-0000-0000-0000D2420000}"/>
    <cellStyle name="Calculation 15 14 10" xfId="17138" xr:uid="{00000000-0005-0000-0000-0000D3420000}"/>
    <cellStyle name="Calculation 15 14 2" xfId="17139" xr:uid="{00000000-0005-0000-0000-0000D4420000}"/>
    <cellStyle name="Calculation 15 14 2 2" xfId="17140" xr:uid="{00000000-0005-0000-0000-0000D5420000}"/>
    <cellStyle name="Calculation 15 14 2 3" xfId="17141" xr:uid="{00000000-0005-0000-0000-0000D6420000}"/>
    <cellStyle name="Calculation 15 14 2 4" xfId="17142" xr:uid="{00000000-0005-0000-0000-0000D7420000}"/>
    <cellStyle name="Calculation 15 14 2 5" xfId="17143" xr:uid="{00000000-0005-0000-0000-0000D8420000}"/>
    <cellStyle name="Calculation 15 14 2 6" xfId="17144" xr:uid="{00000000-0005-0000-0000-0000D9420000}"/>
    <cellStyle name="Calculation 15 14 3" xfId="17145" xr:uid="{00000000-0005-0000-0000-0000DA420000}"/>
    <cellStyle name="Calculation 15 14 3 2" xfId="17146" xr:uid="{00000000-0005-0000-0000-0000DB420000}"/>
    <cellStyle name="Calculation 15 14 3 3" xfId="17147" xr:uid="{00000000-0005-0000-0000-0000DC420000}"/>
    <cellStyle name="Calculation 15 14 3 4" xfId="17148" xr:uid="{00000000-0005-0000-0000-0000DD420000}"/>
    <cellStyle name="Calculation 15 14 3 5" xfId="17149" xr:uid="{00000000-0005-0000-0000-0000DE420000}"/>
    <cellStyle name="Calculation 15 14 3 6" xfId="17150" xr:uid="{00000000-0005-0000-0000-0000DF420000}"/>
    <cellStyle name="Calculation 15 14 4" xfId="17151" xr:uid="{00000000-0005-0000-0000-0000E0420000}"/>
    <cellStyle name="Calculation 15 14 4 2" xfId="17152" xr:uid="{00000000-0005-0000-0000-0000E1420000}"/>
    <cellStyle name="Calculation 15 14 4 3" xfId="17153" xr:uid="{00000000-0005-0000-0000-0000E2420000}"/>
    <cellStyle name="Calculation 15 14 4 4" xfId="17154" xr:uid="{00000000-0005-0000-0000-0000E3420000}"/>
    <cellStyle name="Calculation 15 14 4 5" xfId="17155" xr:uid="{00000000-0005-0000-0000-0000E4420000}"/>
    <cellStyle name="Calculation 15 14 4 6" xfId="17156" xr:uid="{00000000-0005-0000-0000-0000E5420000}"/>
    <cellStyle name="Calculation 15 14 5" xfId="17157" xr:uid="{00000000-0005-0000-0000-0000E6420000}"/>
    <cellStyle name="Calculation 15 14 5 2" xfId="17158" xr:uid="{00000000-0005-0000-0000-0000E7420000}"/>
    <cellStyle name="Calculation 15 14 5 3" xfId="17159" xr:uid="{00000000-0005-0000-0000-0000E8420000}"/>
    <cellStyle name="Calculation 15 14 5 4" xfId="17160" xr:uid="{00000000-0005-0000-0000-0000E9420000}"/>
    <cellStyle name="Calculation 15 14 5 5" xfId="17161" xr:uid="{00000000-0005-0000-0000-0000EA420000}"/>
    <cellStyle name="Calculation 15 14 5 6" xfId="17162" xr:uid="{00000000-0005-0000-0000-0000EB420000}"/>
    <cellStyle name="Calculation 15 14 6" xfId="17163" xr:uid="{00000000-0005-0000-0000-0000EC420000}"/>
    <cellStyle name="Calculation 15 14 6 2" xfId="17164" xr:uid="{00000000-0005-0000-0000-0000ED420000}"/>
    <cellStyle name="Calculation 15 14 6 3" xfId="17165" xr:uid="{00000000-0005-0000-0000-0000EE420000}"/>
    <cellStyle name="Calculation 15 14 6 4" xfId="17166" xr:uid="{00000000-0005-0000-0000-0000EF420000}"/>
    <cellStyle name="Calculation 15 14 6 5" xfId="17167" xr:uid="{00000000-0005-0000-0000-0000F0420000}"/>
    <cellStyle name="Calculation 15 14 6 6" xfId="17168" xr:uid="{00000000-0005-0000-0000-0000F1420000}"/>
    <cellStyle name="Calculation 15 14 7" xfId="17169" xr:uid="{00000000-0005-0000-0000-0000F2420000}"/>
    <cellStyle name="Calculation 15 14 7 2" xfId="17170" xr:uid="{00000000-0005-0000-0000-0000F3420000}"/>
    <cellStyle name="Calculation 15 14 7 3" xfId="17171" xr:uid="{00000000-0005-0000-0000-0000F4420000}"/>
    <cellStyle name="Calculation 15 14 7 4" xfId="17172" xr:uid="{00000000-0005-0000-0000-0000F5420000}"/>
    <cellStyle name="Calculation 15 14 7 5" xfId="17173" xr:uid="{00000000-0005-0000-0000-0000F6420000}"/>
    <cellStyle name="Calculation 15 14 7 6" xfId="17174" xr:uid="{00000000-0005-0000-0000-0000F7420000}"/>
    <cellStyle name="Calculation 15 14 8" xfId="17175" xr:uid="{00000000-0005-0000-0000-0000F8420000}"/>
    <cellStyle name="Calculation 15 14 9" xfId="17176" xr:uid="{00000000-0005-0000-0000-0000F9420000}"/>
    <cellStyle name="Calculation 15 15" xfId="17177" xr:uid="{00000000-0005-0000-0000-0000FA420000}"/>
    <cellStyle name="Calculation 15 15 10" xfId="17178" xr:uid="{00000000-0005-0000-0000-0000FB420000}"/>
    <cellStyle name="Calculation 15 15 2" xfId="17179" xr:uid="{00000000-0005-0000-0000-0000FC420000}"/>
    <cellStyle name="Calculation 15 15 2 2" xfId="17180" xr:uid="{00000000-0005-0000-0000-0000FD420000}"/>
    <cellStyle name="Calculation 15 15 2 3" xfId="17181" xr:uid="{00000000-0005-0000-0000-0000FE420000}"/>
    <cellStyle name="Calculation 15 15 2 4" xfId="17182" xr:uid="{00000000-0005-0000-0000-0000FF420000}"/>
    <cellStyle name="Calculation 15 15 2 5" xfId="17183" xr:uid="{00000000-0005-0000-0000-000000430000}"/>
    <cellStyle name="Calculation 15 15 2 6" xfId="17184" xr:uid="{00000000-0005-0000-0000-000001430000}"/>
    <cellStyle name="Calculation 15 15 3" xfId="17185" xr:uid="{00000000-0005-0000-0000-000002430000}"/>
    <cellStyle name="Calculation 15 15 3 2" xfId="17186" xr:uid="{00000000-0005-0000-0000-000003430000}"/>
    <cellStyle name="Calculation 15 15 3 3" xfId="17187" xr:uid="{00000000-0005-0000-0000-000004430000}"/>
    <cellStyle name="Calculation 15 15 3 4" xfId="17188" xr:uid="{00000000-0005-0000-0000-000005430000}"/>
    <cellStyle name="Calculation 15 15 3 5" xfId="17189" xr:uid="{00000000-0005-0000-0000-000006430000}"/>
    <cellStyle name="Calculation 15 15 3 6" xfId="17190" xr:uid="{00000000-0005-0000-0000-000007430000}"/>
    <cellStyle name="Calculation 15 15 4" xfId="17191" xr:uid="{00000000-0005-0000-0000-000008430000}"/>
    <cellStyle name="Calculation 15 15 4 2" xfId="17192" xr:uid="{00000000-0005-0000-0000-000009430000}"/>
    <cellStyle name="Calculation 15 15 4 3" xfId="17193" xr:uid="{00000000-0005-0000-0000-00000A430000}"/>
    <cellStyle name="Calculation 15 15 4 4" xfId="17194" xr:uid="{00000000-0005-0000-0000-00000B430000}"/>
    <cellStyle name="Calculation 15 15 4 5" xfId="17195" xr:uid="{00000000-0005-0000-0000-00000C430000}"/>
    <cellStyle name="Calculation 15 15 4 6" xfId="17196" xr:uid="{00000000-0005-0000-0000-00000D430000}"/>
    <cellStyle name="Calculation 15 15 5" xfId="17197" xr:uid="{00000000-0005-0000-0000-00000E430000}"/>
    <cellStyle name="Calculation 15 15 5 2" xfId="17198" xr:uid="{00000000-0005-0000-0000-00000F430000}"/>
    <cellStyle name="Calculation 15 15 5 3" xfId="17199" xr:uid="{00000000-0005-0000-0000-000010430000}"/>
    <cellStyle name="Calculation 15 15 5 4" xfId="17200" xr:uid="{00000000-0005-0000-0000-000011430000}"/>
    <cellStyle name="Calculation 15 15 5 5" xfId="17201" xr:uid="{00000000-0005-0000-0000-000012430000}"/>
    <cellStyle name="Calculation 15 15 5 6" xfId="17202" xr:uid="{00000000-0005-0000-0000-000013430000}"/>
    <cellStyle name="Calculation 15 15 6" xfId="17203" xr:uid="{00000000-0005-0000-0000-000014430000}"/>
    <cellStyle name="Calculation 15 15 6 2" xfId="17204" xr:uid="{00000000-0005-0000-0000-000015430000}"/>
    <cellStyle name="Calculation 15 15 6 3" xfId="17205" xr:uid="{00000000-0005-0000-0000-000016430000}"/>
    <cellStyle name="Calculation 15 15 6 4" xfId="17206" xr:uid="{00000000-0005-0000-0000-000017430000}"/>
    <cellStyle name="Calculation 15 15 6 5" xfId="17207" xr:uid="{00000000-0005-0000-0000-000018430000}"/>
    <cellStyle name="Calculation 15 15 6 6" xfId="17208" xr:uid="{00000000-0005-0000-0000-000019430000}"/>
    <cellStyle name="Calculation 15 15 7" xfId="17209" xr:uid="{00000000-0005-0000-0000-00001A430000}"/>
    <cellStyle name="Calculation 15 15 7 2" xfId="17210" xr:uid="{00000000-0005-0000-0000-00001B430000}"/>
    <cellStyle name="Calculation 15 15 7 3" xfId="17211" xr:uid="{00000000-0005-0000-0000-00001C430000}"/>
    <cellStyle name="Calculation 15 15 7 4" xfId="17212" xr:uid="{00000000-0005-0000-0000-00001D430000}"/>
    <cellStyle name="Calculation 15 15 7 5" xfId="17213" xr:uid="{00000000-0005-0000-0000-00001E430000}"/>
    <cellStyle name="Calculation 15 15 7 6" xfId="17214" xr:uid="{00000000-0005-0000-0000-00001F430000}"/>
    <cellStyle name="Calculation 15 15 8" xfId="17215" xr:uid="{00000000-0005-0000-0000-000020430000}"/>
    <cellStyle name="Calculation 15 15 9" xfId="17216" xr:uid="{00000000-0005-0000-0000-000021430000}"/>
    <cellStyle name="Calculation 15 16" xfId="17217" xr:uid="{00000000-0005-0000-0000-000022430000}"/>
    <cellStyle name="Calculation 15 16 10" xfId="17218" xr:uid="{00000000-0005-0000-0000-000023430000}"/>
    <cellStyle name="Calculation 15 16 2" xfId="17219" xr:uid="{00000000-0005-0000-0000-000024430000}"/>
    <cellStyle name="Calculation 15 16 2 2" xfId="17220" xr:uid="{00000000-0005-0000-0000-000025430000}"/>
    <cellStyle name="Calculation 15 16 2 3" xfId="17221" xr:uid="{00000000-0005-0000-0000-000026430000}"/>
    <cellStyle name="Calculation 15 16 2 4" xfId="17222" xr:uid="{00000000-0005-0000-0000-000027430000}"/>
    <cellStyle name="Calculation 15 16 2 5" xfId="17223" xr:uid="{00000000-0005-0000-0000-000028430000}"/>
    <cellStyle name="Calculation 15 16 2 6" xfId="17224" xr:uid="{00000000-0005-0000-0000-000029430000}"/>
    <cellStyle name="Calculation 15 16 3" xfId="17225" xr:uid="{00000000-0005-0000-0000-00002A430000}"/>
    <cellStyle name="Calculation 15 16 3 2" xfId="17226" xr:uid="{00000000-0005-0000-0000-00002B430000}"/>
    <cellStyle name="Calculation 15 16 3 3" xfId="17227" xr:uid="{00000000-0005-0000-0000-00002C430000}"/>
    <cellStyle name="Calculation 15 16 3 4" xfId="17228" xr:uid="{00000000-0005-0000-0000-00002D430000}"/>
    <cellStyle name="Calculation 15 16 3 5" xfId="17229" xr:uid="{00000000-0005-0000-0000-00002E430000}"/>
    <cellStyle name="Calculation 15 16 3 6" xfId="17230" xr:uid="{00000000-0005-0000-0000-00002F430000}"/>
    <cellStyle name="Calculation 15 16 4" xfId="17231" xr:uid="{00000000-0005-0000-0000-000030430000}"/>
    <cellStyle name="Calculation 15 16 4 2" xfId="17232" xr:uid="{00000000-0005-0000-0000-000031430000}"/>
    <cellStyle name="Calculation 15 16 4 3" xfId="17233" xr:uid="{00000000-0005-0000-0000-000032430000}"/>
    <cellStyle name="Calculation 15 16 4 4" xfId="17234" xr:uid="{00000000-0005-0000-0000-000033430000}"/>
    <cellStyle name="Calculation 15 16 4 5" xfId="17235" xr:uid="{00000000-0005-0000-0000-000034430000}"/>
    <cellStyle name="Calculation 15 16 4 6" xfId="17236" xr:uid="{00000000-0005-0000-0000-000035430000}"/>
    <cellStyle name="Calculation 15 16 5" xfId="17237" xr:uid="{00000000-0005-0000-0000-000036430000}"/>
    <cellStyle name="Calculation 15 16 5 2" xfId="17238" xr:uid="{00000000-0005-0000-0000-000037430000}"/>
    <cellStyle name="Calculation 15 16 5 3" xfId="17239" xr:uid="{00000000-0005-0000-0000-000038430000}"/>
    <cellStyle name="Calculation 15 16 5 4" xfId="17240" xr:uid="{00000000-0005-0000-0000-000039430000}"/>
    <cellStyle name="Calculation 15 16 5 5" xfId="17241" xr:uid="{00000000-0005-0000-0000-00003A430000}"/>
    <cellStyle name="Calculation 15 16 5 6" xfId="17242" xr:uid="{00000000-0005-0000-0000-00003B430000}"/>
    <cellStyle name="Calculation 15 16 6" xfId="17243" xr:uid="{00000000-0005-0000-0000-00003C430000}"/>
    <cellStyle name="Calculation 15 16 6 2" xfId="17244" xr:uid="{00000000-0005-0000-0000-00003D430000}"/>
    <cellStyle name="Calculation 15 16 6 3" xfId="17245" xr:uid="{00000000-0005-0000-0000-00003E430000}"/>
    <cellStyle name="Calculation 15 16 6 4" xfId="17246" xr:uid="{00000000-0005-0000-0000-00003F430000}"/>
    <cellStyle name="Calculation 15 16 6 5" xfId="17247" xr:uid="{00000000-0005-0000-0000-000040430000}"/>
    <cellStyle name="Calculation 15 16 6 6" xfId="17248" xr:uid="{00000000-0005-0000-0000-000041430000}"/>
    <cellStyle name="Calculation 15 16 7" xfId="17249" xr:uid="{00000000-0005-0000-0000-000042430000}"/>
    <cellStyle name="Calculation 15 16 7 2" xfId="17250" xr:uid="{00000000-0005-0000-0000-000043430000}"/>
    <cellStyle name="Calculation 15 16 7 3" xfId="17251" xr:uid="{00000000-0005-0000-0000-000044430000}"/>
    <cellStyle name="Calculation 15 16 7 4" xfId="17252" xr:uid="{00000000-0005-0000-0000-000045430000}"/>
    <cellStyle name="Calculation 15 16 7 5" xfId="17253" xr:uid="{00000000-0005-0000-0000-000046430000}"/>
    <cellStyle name="Calculation 15 16 7 6" xfId="17254" xr:uid="{00000000-0005-0000-0000-000047430000}"/>
    <cellStyle name="Calculation 15 16 8" xfId="17255" xr:uid="{00000000-0005-0000-0000-000048430000}"/>
    <cellStyle name="Calculation 15 16 9" xfId="17256" xr:uid="{00000000-0005-0000-0000-000049430000}"/>
    <cellStyle name="Calculation 15 17" xfId="17257" xr:uid="{00000000-0005-0000-0000-00004A430000}"/>
    <cellStyle name="Calculation 15 17 10" xfId="17258" xr:uid="{00000000-0005-0000-0000-00004B430000}"/>
    <cellStyle name="Calculation 15 17 2" xfId="17259" xr:uid="{00000000-0005-0000-0000-00004C430000}"/>
    <cellStyle name="Calculation 15 17 2 2" xfId="17260" xr:uid="{00000000-0005-0000-0000-00004D430000}"/>
    <cellStyle name="Calculation 15 17 2 3" xfId="17261" xr:uid="{00000000-0005-0000-0000-00004E430000}"/>
    <cellStyle name="Calculation 15 17 2 4" xfId="17262" xr:uid="{00000000-0005-0000-0000-00004F430000}"/>
    <cellStyle name="Calculation 15 17 2 5" xfId="17263" xr:uid="{00000000-0005-0000-0000-000050430000}"/>
    <cellStyle name="Calculation 15 17 2 6" xfId="17264" xr:uid="{00000000-0005-0000-0000-000051430000}"/>
    <cellStyle name="Calculation 15 17 3" xfId="17265" xr:uid="{00000000-0005-0000-0000-000052430000}"/>
    <cellStyle name="Calculation 15 17 3 2" xfId="17266" xr:uid="{00000000-0005-0000-0000-000053430000}"/>
    <cellStyle name="Calculation 15 17 3 3" xfId="17267" xr:uid="{00000000-0005-0000-0000-000054430000}"/>
    <cellStyle name="Calculation 15 17 3 4" xfId="17268" xr:uid="{00000000-0005-0000-0000-000055430000}"/>
    <cellStyle name="Calculation 15 17 3 5" xfId="17269" xr:uid="{00000000-0005-0000-0000-000056430000}"/>
    <cellStyle name="Calculation 15 17 3 6" xfId="17270" xr:uid="{00000000-0005-0000-0000-000057430000}"/>
    <cellStyle name="Calculation 15 17 4" xfId="17271" xr:uid="{00000000-0005-0000-0000-000058430000}"/>
    <cellStyle name="Calculation 15 17 4 2" xfId="17272" xr:uid="{00000000-0005-0000-0000-000059430000}"/>
    <cellStyle name="Calculation 15 17 4 3" xfId="17273" xr:uid="{00000000-0005-0000-0000-00005A430000}"/>
    <cellStyle name="Calculation 15 17 4 4" xfId="17274" xr:uid="{00000000-0005-0000-0000-00005B430000}"/>
    <cellStyle name="Calculation 15 17 4 5" xfId="17275" xr:uid="{00000000-0005-0000-0000-00005C430000}"/>
    <cellStyle name="Calculation 15 17 4 6" xfId="17276" xr:uid="{00000000-0005-0000-0000-00005D430000}"/>
    <cellStyle name="Calculation 15 17 5" xfId="17277" xr:uid="{00000000-0005-0000-0000-00005E430000}"/>
    <cellStyle name="Calculation 15 17 5 2" xfId="17278" xr:uid="{00000000-0005-0000-0000-00005F430000}"/>
    <cellStyle name="Calculation 15 17 5 3" xfId="17279" xr:uid="{00000000-0005-0000-0000-000060430000}"/>
    <cellStyle name="Calculation 15 17 5 4" xfId="17280" xr:uid="{00000000-0005-0000-0000-000061430000}"/>
    <cellStyle name="Calculation 15 17 5 5" xfId="17281" xr:uid="{00000000-0005-0000-0000-000062430000}"/>
    <cellStyle name="Calculation 15 17 5 6" xfId="17282" xr:uid="{00000000-0005-0000-0000-000063430000}"/>
    <cellStyle name="Calculation 15 17 6" xfId="17283" xr:uid="{00000000-0005-0000-0000-000064430000}"/>
    <cellStyle name="Calculation 15 17 6 2" xfId="17284" xr:uid="{00000000-0005-0000-0000-000065430000}"/>
    <cellStyle name="Calculation 15 17 6 3" xfId="17285" xr:uid="{00000000-0005-0000-0000-000066430000}"/>
    <cellStyle name="Calculation 15 17 6 4" xfId="17286" xr:uid="{00000000-0005-0000-0000-000067430000}"/>
    <cellStyle name="Calculation 15 17 6 5" xfId="17287" xr:uid="{00000000-0005-0000-0000-000068430000}"/>
    <cellStyle name="Calculation 15 17 6 6" xfId="17288" xr:uid="{00000000-0005-0000-0000-000069430000}"/>
    <cellStyle name="Calculation 15 17 7" xfId="17289" xr:uid="{00000000-0005-0000-0000-00006A430000}"/>
    <cellStyle name="Calculation 15 17 7 2" xfId="17290" xr:uid="{00000000-0005-0000-0000-00006B430000}"/>
    <cellStyle name="Calculation 15 17 7 3" xfId="17291" xr:uid="{00000000-0005-0000-0000-00006C430000}"/>
    <cellStyle name="Calculation 15 17 7 4" xfId="17292" xr:uid="{00000000-0005-0000-0000-00006D430000}"/>
    <cellStyle name="Calculation 15 17 7 5" xfId="17293" xr:uid="{00000000-0005-0000-0000-00006E430000}"/>
    <cellStyle name="Calculation 15 17 7 6" xfId="17294" xr:uid="{00000000-0005-0000-0000-00006F430000}"/>
    <cellStyle name="Calculation 15 17 8" xfId="17295" xr:uid="{00000000-0005-0000-0000-000070430000}"/>
    <cellStyle name="Calculation 15 17 9" xfId="17296" xr:uid="{00000000-0005-0000-0000-000071430000}"/>
    <cellStyle name="Calculation 15 18" xfId="17297" xr:uid="{00000000-0005-0000-0000-000072430000}"/>
    <cellStyle name="Calculation 15 18 10" xfId="17298" xr:uid="{00000000-0005-0000-0000-000073430000}"/>
    <cellStyle name="Calculation 15 18 2" xfId="17299" xr:uid="{00000000-0005-0000-0000-000074430000}"/>
    <cellStyle name="Calculation 15 18 2 2" xfId="17300" xr:uid="{00000000-0005-0000-0000-000075430000}"/>
    <cellStyle name="Calculation 15 18 2 3" xfId="17301" xr:uid="{00000000-0005-0000-0000-000076430000}"/>
    <cellStyle name="Calculation 15 18 2 4" xfId="17302" xr:uid="{00000000-0005-0000-0000-000077430000}"/>
    <cellStyle name="Calculation 15 18 2 5" xfId="17303" xr:uid="{00000000-0005-0000-0000-000078430000}"/>
    <cellStyle name="Calculation 15 18 2 6" xfId="17304" xr:uid="{00000000-0005-0000-0000-000079430000}"/>
    <cellStyle name="Calculation 15 18 3" xfId="17305" xr:uid="{00000000-0005-0000-0000-00007A430000}"/>
    <cellStyle name="Calculation 15 18 3 2" xfId="17306" xr:uid="{00000000-0005-0000-0000-00007B430000}"/>
    <cellStyle name="Calculation 15 18 3 3" xfId="17307" xr:uid="{00000000-0005-0000-0000-00007C430000}"/>
    <cellStyle name="Calculation 15 18 3 4" xfId="17308" xr:uid="{00000000-0005-0000-0000-00007D430000}"/>
    <cellStyle name="Calculation 15 18 3 5" xfId="17309" xr:uid="{00000000-0005-0000-0000-00007E430000}"/>
    <cellStyle name="Calculation 15 18 3 6" xfId="17310" xr:uid="{00000000-0005-0000-0000-00007F430000}"/>
    <cellStyle name="Calculation 15 18 4" xfId="17311" xr:uid="{00000000-0005-0000-0000-000080430000}"/>
    <cellStyle name="Calculation 15 18 4 2" xfId="17312" xr:uid="{00000000-0005-0000-0000-000081430000}"/>
    <cellStyle name="Calculation 15 18 4 3" xfId="17313" xr:uid="{00000000-0005-0000-0000-000082430000}"/>
    <cellStyle name="Calculation 15 18 4 4" xfId="17314" xr:uid="{00000000-0005-0000-0000-000083430000}"/>
    <cellStyle name="Calculation 15 18 4 5" xfId="17315" xr:uid="{00000000-0005-0000-0000-000084430000}"/>
    <cellStyle name="Calculation 15 18 4 6" xfId="17316" xr:uid="{00000000-0005-0000-0000-000085430000}"/>
    <cellStyle name="Calculation 15 18 5" xfId="17317" xr:uid="{00000000-0005-0000-0000-000086430000}"/>
    <cellStyle name="Calculation 15 18 5 2" xfId="17318" xr:uid="{00000000-0005-0000-0000-000087430000}"/>
    <cellStyle name="Calculation 15 18 5 3" xfId="17319" xr:uid="{00000000-0005-0000-0000-000088430000}"/>
    <cellStyle name="Calculation 15 18 5 4" xfId="17320" xr:uid="{00000000-0005-0000-0000-000089430000}"/>
    <cellStyle name="Calculation 15 18 5 5" xfId="17321" xr:uid="{00000000-0005-0000-0000-00008A430000}"/>
    <cellStyle name="Calculation 15 18 5 6" xfId="17322" xr:uid="{00000000-0005-0000-0000-00008B430000}"/>
    <cellStyle name="Calculation 15 18 6" xfId="17323" xr:uid="{00000000-0005-0000-0000-00008C430000}"/>
    <cellStyle name="Calculation 15 18 6 2" xfId="17324" xr:uid="{00000000-0005-0000-0000-00008D430000}"/>
    <cellStyle name="Calculation 15 18 6 3" xfId="17325" xr:uid="{00000000-0005-0000-0000-00008E430000}"/>
    <cellStyle name="Calculation 15 18 6 4" xfId="17326" xr:uid="{00000000-0005-0000-0000-00008F430000}"/>
    <cellStyle name="Calculation 15 18 6 5" xfId="17327" xr:uid="{00000000-0005-0000-0000-000090430000}"/>
    <cellStyle name="Calculation 15 18 6 6" xfId="17328" xr:uid="{00000000-0005-0000-0000-000091430000}"/>
    <cellStyle name="Calculation 15 18 7" xfId="17329" xr:uid="{00000000-0005-0000-0000-000092430000}"/>
    <cellStyle name="Calculation 15 18 7 2" xfId="17330" xr:uid="{00000000-0005-0000-0000-000093430000}"/>
    <cellStyle name="Calculation 15 18 7 3" xfId="17331" xr:uid="{00000000-0005-0000-0000-000094430000}"/>
    <cellStyle name="Calculation 15 18 7 4" xfId="17332" xr:uid="{00000000-0005-0000-0000-000095430000}"/>
    <cellStyle name="Calculation 15 18 7 5" xfId="17333" xr:uid="{00000000-0005-0000-0000-000096430000}"/>
    <cellStyle name="Calculation 15 18 7 6" xfId="17334" xr:uid="{00000000-0005-0000-0000-000097430000}"/>
    <cellStyle name="Calculation 15 18 8" xfId="17335" xr:uid="{00000000-0005-0000-0000-000098430000}"/>
    <cellStyle name="Calculation 15 18 9" xfId="17336" xr:uid="{00000000-0005-0000-0000-000099430000}"/>
    <cellStyle name="Calculation 15 19" xfId="17337" xr:uid="{00000000-0005-0000-0000-00009A430000}"/>
    <cellStyle name="Calculation 15 19 10" xfId="17338" xr:uid="{00000000-0005-0000-0000-00009B430000}"/>
    <cellStyle name="Calculation 15 19 2" xfId="17339" xr:uid="{00000000-0005-0000-0000-00009C430000}"/>
    <cellStyle name="Calculation 15 19 2 2" xfId="17340" xr:uid="{00000000-0005-0000-0000-00009D430000}"/>
    <cellStyle name="Calculation 15 19 2 3" xfId="17341" xr:uid="{00000000-0005-0000-0000-00009E430000}"/>
    <cellStyle name="Calculation 15 19 2 4" xfId="17342" xr:uid="{00000000-0005-0000-0000-00009F430000}"/>
    <cellStyle name="Calculation 15 19 2 5" xfId="17343" xr:uid="{00000000-0005-0000-0000-0000A0430000}"/>
    <cellStyle name="Calculation 15 19 2 6" xfId="17344" xr:uid="{00000000-0005-0000-0000-0000A1430000}"/>
    <cellStyle name="Calculation 15 19 3" xfId="17345" xr:uid="{00000000-0005-0000-0000-0000A2430000}"/>
    <cellStyle name="Calculation 15 19 3 2" xfId="17346" xr:uid="{00000000-0005-0000-0000-0000A3430000}"/>
    <cellStyle name="Calculation 15 19 3 3" xfId="17347" xr:uid="{00000000-0005-0000-0000-0000A4430000}"/>
    <cellStyle name="Calculation 15 19 3 4" xfId="17348" xr:uid="{00000000-0005-0000-0000-0000A5430000}"/>
    <cellStyle name="Calculation 15 19 3 5" xfId="17349" xr:uid="{00000000-0005-0000-0000-0000A6430000}"/>
    <cellStyle name="Calculation 15 19 3 6" xfId="17350" xr:uid="{00000000-0005-0000-0000-0000A7430000}"/>
    <cellStyle name="Calculation 15 19 4" xfId="17351" xr:uid="{00000000-0005-0000-0000-0000A8430000}"/>
    <cellStyle name="Calculation 15 19 4 2" xfId="17352" xr:uid="{00000000-0005-0000-0000-0000A9430000}"/>
    <cellStyle name="Calculation 15 19 4 3" xfId="17353" xr:uid="{00000000-0005-0000-0000-0000AA430000}"/>
    <cellStyle name="Calculation 15 19 4 4" xfId="17354" xr:uid="{00000000-0005-0000-0000-0000AB430000}"/>
    <cellStyle name="Calculation 15 19 4 5" xfId="17355" xr:uid="{00000000-0005-0000-0000-0000AC430000}"/>
    <cellStyle name="Calculation 15 19 4 6" xfId="17356" xr:uid="{00000000-0005-0000-0000-0000AD430000}"/>
    <cellStyle name="Calculation 15 19 5" xfId="17357" xr:uid="{00000000-0005-0000-0000-0000AE430000}"/>
    <cellStyle name="Calculation 15 19 5 2" xfId="17358" xr:uid="{00000000-0005-0000-0000-0000AF430000}"/>
    <cellStyle name="Calculation 15 19 5 3" xfId="17359" xr:uid="{00000000-0005-0000-0000-0000B0430000}"/>
    <cellStyle name="Calculation 15 19 5 4" xfId="17360" xr:uid="{00000000-0005-0000-0000-0000B1430000}"/>
    <cellStyle name="Calculation 15 19 5 5" xfId="17361" xr:uid="{00000000-0005-0000-0000-0000B2430000}"/>
    <cellStyle name="Calculation 15 19 5 6" xfId="17362" xr:uid="{00000000-0005-0000-0000-0000B3430000}"/>
    <cellStyle name="Calculation 15 19 6" xfId="17363" xr:uid="{00000000-0005-0000-0000-0000B4430000}"/>
    <cellStyle name="Calculation 15 19 6 2" xfId="17364" xr:uid="{00000000-0005-0000-0000-0000B5430000}"/>
    <cellStyle name="Calculation 15 19 6 3" xfId="17365" xr:uid="{00000000-0005-0000-0000-0000B6430000}"/>
    <cellStyle name="Calculation 15 19 6 4" xfId="17366" xr:uid="{00000000-0005-0000-0000-0000B7430000}"/>
    <cellStyle name="Calculation 15 19 6 5" xfId="17367" xr:uid="{00000000-0005-0000-0000-0000B8430000}"/>
    <cellStyle name="Calculation 15 19 6 6" xfId="17368" xr:uid="{00000000-0005-0000-0000-0000B9430000}"/>
    <cellStyle name="Calculation 15 19 7" xfId="17369" xr:uid="{00000000-0005-0000-0000-0000BA430000}"/>
    <cellStyle name="Calculation 15 19 7 2" xfId="17370" xr:uid="{00000000-0005-0000-0000-0000BB430000}"/>
    <cellStyle name="Calculation 15 19 7 3" xfId="17371" xr:uid="{00000000-0005-0000-0000-0000BC430000}"/>
    <cellStyle name="Calculation 15 19 7 4" xfId="17372" xr:uid="{00000000-0005-0000-0000-0000BD430000}"/>
    <cellStyle name="Calculation 15 19 7 5" xfId="17373" xr:uid="{00000000-0005-0000-0000-0000BE430000}"/>
    <cellStyle name="Calculation 15 19 7 6" xfId="17374" xr:uid="{00000000-0005-0000-0000-0000BF430000}"/>
    <cellStyle name="Calculation 15 19 8" xfId="17375" xr:uid="{00000000-0005-0000-0000-0000C0430000}"/>
    <cellStyle name="Calculation 15 19 9" xfId="17376" xr:uid="{00000000-0005-0000-0000-0000C1430000}"/>
    <cellStyle name="Calculation 15 2" xfId="17377" xr:uid="{00000000-0005-0000-0000-0000C2430000}"/>
    <cellStyle name="Calculation 15 2 10" xfId="17378" xr:uid="{00000000-0005-0000-0000-0000C3430000}"/>
    <cellStyle name="Calculation 15 2 10 10" xfId="17379" xr:uid="{00000000-0005-0000-0000-0000C4430000}"/>
    <cellStyle name="Calculation 15 2 10 2" xfId="17380" xr:uid="{00000000-0005-0000-0000-0000C5430000}"/>
    <cellStyle name="Calculation 15 2 10 2 2" xfId="17381" xr:uid="{00000000-0005-0000-0000-0000C6430000}"/>
    <cellStyle name="Calculation 15 2 10 2 3" xfId="17382" xr:uid="{00000000-0005-0000-0000-0000C7430000}"/>
    <cellStyle name="Calculation 15 2 10 2 4" xfId="17383" xr:uid="{00000000-0005-0000-0000-0000C8430000}"/>
    <cellStyle name="Calculation 15 2 10 2 5" xfId="17384" xr:uid="{00000000-0005-0000-0000-0000C9430000}"/>
    <cellStyle name="Calculation 15 2 10 2 6" xfId="17385" xr:uid="{00000000-0005-0000-0000-0000CA430000}"/>
    <cellStyle name="Calculation 15 2 10 3" xfId="17386" xr:uid="{00000000-0005-0000-0000-0000CB430000}"/>
    <cellStyle name="Calculation 15 2 10 3 2" xfId="17387" xr:uid="{00000000-0005-0000-0000-0000CC430000}"/>
    <cellStyle name="Calculation 15 2 10 3 3" xfId="17388" xr:uid="{00000000-0005-0000-0000-0000CD430000}"/>
    <cellStyle name="Calculation 15 2 10 3 4" xfId="17389" xr:uid="{00000000-0005-0000-0000-0000CE430000}"/>
    <cellStyle name="Calculation 15 2 10 3 5" xfId="17390" xr:uid="{00000000-0005-0000-0000-0000CF430000}"/>
    <cellStyle name="Calculation 15 2 10 3 6" xfId="17391" xr:uid="{00000000-0005-0000-0000-0000D0430000}"/>
    <cellStyle name="Calculation 15 2 10 4" xfId="17392" xr:uid="{00000000-0005-0000-0000-0000D1430000}"/>
    <cellStyle name="Calculation 15 2 10 4 2" xfId="17393" xr:uid="{00000000-0005-0000-0000-0000D2430000}"/>
    <cellStyle name="Calculation 15 2 10 4 3" xfId="17394" xr:uid="{00000000-0005-0000-0000-0000D3430000}"/>
    <cellStyle name="Calculation 15 2 10 4 4" xfId="17395" xr:uid="{00000000-0005-0000-0000-0000D4430000}"/>
    <cellStyle name="Calculation 15 2 10 4 5" xfId="17396" xr:uid="{00000000-0005-0000-0000-0000D5430000}"/>
    <cellStyle name="Calculation 15 2 10 4 6" xfId="17397" xr:uid="{00000000-0005-0000-0000-0000D6430000}"/>
    <cellStyle name="Calculation 15 2 10 5" xfId="17398" xr:uid="{00000000-0005-0000-0000-0000D7430000}"/>
    <cellStyle name="Calculation 15 2 10 5 2" xfId="17399" xr:uid="{00000000-0005-0000-0000-0000D8430000}"/>
    <cellStyle name="Calculation 15 2 10 5 3" xfId="17400" xr:uid="{00000000-0005-0000-0000-0000D9430000}"/>
    <cellStyle name="Calculation 15 2 10 5 4" xfId="17401" xr:uid="{00000000-0005-0000-0000-0000DA430000}"/>
    <cellStyle name="Calculation 15 2 10 5 5" xfId="17402" xr:uid="{00000000-0005-0000-0000-0000DB430000}"/>
    <cellStyle name="Calculation 15 2 10 5 6" xfId="17403" xr:uid="{00000000-0005-0000-0000-0000DC430000}"/>
    <cellStyle name="Calculation 15 2 10 6" xfId="17404" xr:uid="{00000000-0005-0000-0000-0000DD430000}"/>
    <cellStyle name="Calculation 15 2 10 6 2" xfId="17405" xr:uid="{00000000-0005-0000-0000-0000DE430000}"/>
    <cellStyle name="Calculation 15 2 10 6 3" xfId="17406" xr:uid="{00000000-0005-0000-0000-0000DF430000}"/>
    <cellStyle name="Calculation 15 2 10 6 4" xfId="17407" xr:uid="{00000000-0005-0000-0000-0000E0430000}"/>
    <cellStyle name="Calculation 15 2 10 6 5" xfId="17408" xr:uid="{00000000-0005-0000-0000-0000E1430000}"/>
    <cellStyle name="Calculation 15 2 10 6 6" xfId="17409" xr:uid="{00000000-0005-0000-0000-0000E2430000}"/>
    <cellStyle name="Calculation 15 2 10 7" xfId="17410" xr:uid="{00000000-0005-0000-0000-0000E3430000}"/>
    <cellStyle name="Calculation 15 2 10 7 2" xfId="17411" xr:uid="{00000000-0005-0000-0000-0000E4430000}"/>
    <cellStyle name="Calculation 15 2 10 7 3" xfId="17412" xr:uid="{00000000-0005-0000-0000-0000E5430000}"/>
    <cellStyle name="Calculation 15 2 10 7 4" xfId="17413" xr:uid="{00000000-0005-0000-0000-0000E6430000}"/>
    <cellStyle name="Calculation 15 2 10 7 5" xfId="17414" xr:uid="{00000000-0005-0000-0000-0000E7430000}"/>
    <cellStyle name="Calculation 15 2 10 7 6" xfId="17415" xr:uid="{00000000-0005-0000-0000-0000E8430000}"/>
    <cellStyle name="Calculation 15 2 10 8" xfId="17416" xr:uid="{00000000-0005-0000-0000-0000E9430000}"/>
    <cellStyle name="Calculation 15 2 10 9" xfId="17417" xr:uid="{00000000-0005-0000-0000-0000EA430000}"/>
    <cellStyle name="Calculation 15 2 11" xfId="17418" xr:uid="{00000000-0005-0000-0000-0000EB430000}"/>
    <cellStyle name="Calculation 15 2 11 10" xfId="17419" xr:uid="{00000000-0005-0000-0000-0000EC430000}"/>
    <cellStyle name="Calculation 15 2 11 2" xfId="17420" xr:uid="{00000000-0005-0000-0000-0000ED430000}"/>
    <cellStyle name="Calculation 15 2 11 2 2" xfId="17421" xr:uid="{00000000-0005-0000-0000-0000EE430000}"/>
    <cellStyle name="Calculation 15 2 11 2 3" xfId="17422" xr:uid="{00000000-0005-0000-0000-0000EF430000}"/>
    <cellStyle name="Calculation 15 2 11 2 4" xfId="17423" xr:uid="{00000000-0005-0000-0000-0000F0430000}"/>
    <cellStyle name="Calculation 15 2 11 2 5" xfId="17424" xr:uid="{00000000-0005-0000-0000-0000F1430000}"/>
    <cellStyle name="Calculation 15 2 11 2 6" xfId="17425" xr:uid="{00000000-0005-0000-0000-0000F2430000}"/>
    <cellStyle name="Calculation 15 2 11 3" xfId="17426" xr:uid="{00000000-0005-0000-0000-0000F3430000}"/>
    <cellStyle name="Calculation 15 2 11 3 2" xfId="17427" xr:uid="{00000000-0005-0000-0000-0000F4430000}"/>
    <cellStyle name="Calculation 15 2 11 3 3" xfId="17428" xr:uid="{00000000-0005-0000-0000-0000F5430000}"/>
    <cellStyle name="Calculation 15 2 11 3 4" xfId="17429" xr:uid="{00000000-0005-0000-0000-0000F6430000}"/>
    <cellStyle name="Calculation 15 2 11 3 5" xfId="17430" xr:uid="{00000000-0005-0000-0000-0000F7430000}"/>
    <cellStyle name="Calculation 15 2 11 3 6" xfId="17431" xr:uid="{00000000-0005-0000-0000-0000F8430000}"/>
    <cellStyle name="Calculation 15 2 11 4" xfId="17432" xr:uid="{00000000-0005-0000-0000-0000F9430000}"/>
    <cellStyle name="Calculation 15 2 11 4 2" xfId="17433" xr:uid="{00000000-0005-0000-0000-0000FA430000}"/>
    <cellStyle name="Calculation 15 2 11 4 3" xfId="17434" xr:uid="{00000000-0005-0000-0000-0000FB430000}"/>
    <cellStyle name="Calculation 15 2 11 4 4" xfId="17435" xr:uid="{00000000-0005-0000-0000-0000FC430000}"/>
    <cellStyle name="Calculation 15 2 11 4 5" xfId="17436" xr:uid="{00000000-0005-0000-0000-0000FD430000}"/>
    <cellStyle name="Calculation 15 2 11 4 6" xfId="17437" xr:uid="{00000000-0005-0000-0000-0000FE430000}"/>
    <cellStyle name="Calculation 15 2 11 5" xfId="17438" xr:uid="{00000000-0005-0000-0000-0000FF430000}"/>
    <cellStyle name="Calculation 15 2 11 5 2" xfId="17439" xr:uid="{00000000-0005-0000-0000-000000440000}"/>
    <cellStyle name="Calculation 15 2 11 5 3" xfId="17440" xr:uid="{00000000-0005-0000-0000-000001440000}"/>
    <cellStyle name="Calculation 15 2 11 5 4" xfId="17441" xr:uid="{00000000-0005-0000-0000-000002440000}"/>
    <cellStyle name="Calculation 15 2 11 5 5" xfId="17442" xr:uid="{00000000-0005-0000-0000-000003440000}"/>
    <cellStyle name="Calculation 15 2 11 5 6" xfId="17443" xr:uid="{00000000-0005-0000-0000-000004440000}"/>
    <cellStyle name="Calculation 15 2 11 6" xfId="17444" xr:uid="{00000000-0005-0000-0000-000005440000}"/>
    <cellStyle name="Calculation 15 2 11 6 2" xfId="17445" xr:uid="{00000000-0005-0000-0000-000006440000}"/>
    <cellStyle name="Calculation 15 2 11 6 3" xfId="17446" xr:uid="{00000000-0005-0000-0000-000007440000}"/>
    <cellStyle name="Calculation 15 2 11 6 4" xfId="17447" xr:uid="{00000000-0005-0000-0000-000008440000}"/>
    <cellStyle name="Calculation 15 2 11 6 5" xfId="17448" xr:uid="{00000000-0005-0000-0000-000009440000}"/>
    <cellStyle name="Calculation 15 2 11 6 6" xfId="17449" xr:uid="{00000000-0005-0000-0000-00000A440000}"/>
    <cellStyle name="Calculation 15 2 11 7" xfId="17450" xr:uid="{00000000-0005-0000-0000-00000B440000}"/>
    <cellStyle name="Calculation 15 2 11 7 2" xfId="17451" xr:uid="{00000000-0005-0000-0000-00000C440000}"/>
    <cellStyle name="Calculation 15 2 11 7 3" xfId="17452" xr:uid="{00000000-0005-0000-0000-00000D440000}"/>
    <cellStyle name="Calculation 15 2 11 7 4" xfId="17453" xr:uid="{00000000-0005-0000-0000-00000E440000}"/>
    <cellStyle name="Calculation 15 2 11 7 5" xfId="17454" xr:uid="{00000000-0005-0000-0000-00000F440000}"/>
    <cellStyle name="Calculation 15 2 11 7 6" xfId="17455" xr:uid="{00000000-0005-0000-0000-000010440000}"/>
    <cellStyle name="Calculation 15 2 11 8" xfId="17456" xr:uid="{00000000-0005-0000-0000-000011440000}"/>
    <cellStyle name="Calculation 15 2 11 9" xfId="17457" xr:uid="{00000000-0005-0000-0000-000012440000}"/>
    <cellStyle name="Calculation 15 2 12" xfId="17458" xr:uid="{00000000-0005-0000-0000-000013440000}"/>
    <cellStyle name="Calculation 15 2 12 10" xfId="17459" xr:uid="{00000000-0005-0000-0000-000014440000}"/>
    <cellStyle name="Calculation 15 2 12 2" xfId="17460" xr:uid="{00000000-0005-0000-0000-000015440000}"/>
    <cellStyle name="Calculation 15 2 12 2 2" xfId="17461" xr:uid="{00000000-0005-0000-0000-000016440000}"/>
    <cellStyle name="Calculation 15 2 12 2 3" xfId="17462" xr:uid="{00000000-0005-0000-0000-000017440000}"/>
    <cellStyle name="Calculation 15 2 12 2 4" xfId="17463" xr:uid="{00000000-0005-0000-0000-000018440000}"/>
    <cellStyle name="Calculation 15 2 12 2 5" xfId="17464" xr:uid="{00000000-0005-0000-0000-000019440000}"/>
    <cellStyle name="Calculation 15 2 12 2 6" xfId="17465" xr:uid="{00000000-0005-0000-0000-00001A440000}"/>
    <cellStyle name="Calculation 15 2 12 3" xfId="17466" xr:uid="{00000000-0005-0000-0000-00001B440000}"/>
    <cellStyle name="Calculation 15 2 12 3 2" xfId="17467" xr:uid="{00000000-0005-0000-0000-00001C440000}"/>
    <cellStyle name="Calculation 15 2 12 3 3" xfId="17468" xr:uid="{00000000-0005-0000-0000-00001D440000}"/>
    <cellStyle name="Calculation 15 2 12 3 4" xfId="17469" xr:uid="{00000000-0005-0000-0000-00001E440000}"/>
    <cellStyle name="Calculation 15 2 12 3 5" xfId="17470" xr:uid="{00000000-0005-0000-0000-00001F440000}"/>
    <cellStyle name="Calculation 15 2 12 3 6" xfId="17471" xr:uid="{00000000-0005-0000-0000-000020440000}"/>
    <cellStyle name="Calculation 15 2 12 4" xfId="17472" xr:uid="{00000000-0005-0000-0000-000021440000}"/>
    <cellStyle name="Calculation 15 2 12 4 2" xfId="17473" xr:uid="{00000000-0005-0000-0000-000022440000}"/>
    <cellStyle name="Calculation 15 2 12 4 3" xfId="17474" xr:uid="{00000000-0005-0000-0000-000023440000}"/>
    <cellStyle name="Calculation 15 2 12 4 4" xfId="17475" xr:uid="{00000000-0005-0000-0000-000024440000}"/>
    <cellStyle name="Calculation 15 2 12 4 5" xfId="17476" xr:uid="{00000000-0005-0000-0000-000025440000}"/>
    <cellStyle name="Calculation 15 2 12 4 6" xfId="17477" xr:uid="{00000000-0005-0000-0000-000026440000}"/>
    <cellStyle name="Calculation 15 2 12 5" xfId="17478" xr:uid="{00000000-0005-0000-0000-000027440000}"/>
    <cellStyle name="Calculation 15 2 12 5 2" xfId="17479" xr:uid="{00000000-0005-0000-0000-000028440000}"/>
    <cellStyle name="Calculation 15 2 12 5 3" xfId="17480" xr:uid="{00000000-0005-0000-0000-000029440000}"/>
    <cellStyle name="Calculation 15 2 12 5 4" xfId="17481" xr:uid="{00000000-0005-0000-0000-00002A440000}"/>
    <cellStyle name="Calculation 15 2 12 5 5" xfId="17482" xr:uid="{00000000-0005-0000-0000-00002B440000}"/>
    <cellStyle name="Calculation 15 2 12 5 6" xfId="17483" xr:uid="{00000000-0005-0000-0000-00002C440000}"/>
    <cellStyle name="Calculation 15 2 12 6" xfId="17484" xr:uid="{00000000-0005-0000-0000-00002D440000}"/>
    <cellStyle name="Calculation 15 2 12 6 2" xfId="17485" xr:uid="{00000000-0005-0000-0000-00002E440000}"/>
    <cellStyle name="Calculation 15 2 12 6 3" xfId="17486" xr:uid="{00000000-0005-0000-0000-00002F440000}"/>
    <cellStyle name="Calculation 15 2 12 6 4" xfId="17487" xr:uid="{00000000-0005-0000-0000-000030440000}"/>
    <cellStyle name="Calculation 15 2 12 6 5" xfId="17488" xr:uid="{00000000-0005-0000-0000-000031440000}"/>
    <cellStyle name="Calculation 15 2 12 6 6" xfId="17489" xr:uid="{00000000-0005-0000-0000-000032440000}"/>
    <cellStyle name="Calculation 15 2 12 7" xfId="17490" xr:uid="{00000000-0005-0000-0000-000033440000}"/>
    <cellStyle name="Calculation 15 2 12 7 2" xfId="17491" xr:uid="{00000000-0005-0000-0000-000034440000}"/>
    <cellStyle name="Calculation 15 2 12 7 3" xfId="17492" xr:uid="{00000000-0005-0000-0000-000035440000}"/>
    <cellStyle name="Calculation 15 2 12 7 4" xfId="17493" xr:uid="{00000000-0005-0000-0000-000036440000}"/>
    <cellStyle name="Calculation 15 2 12 7 5" xfId="17494" xr:uid="{00000000-0005-0000-0000-000037440000}"/>
    <cellStyle name="Calculation 15 2 12 7 6" xfId="17495" xr:uid="{00000000-0005-0000-0000-000038440000}"/>
    <cellStyle name="Calculation 15 2 12 8" xfId="17496" xr:uid="{00000000-0005-0000-0000-000039440000}"/>
    <cellStyle name="Calculation 15 2 12 9" xfId="17497" xr:uid="{00000000-0005-0000-0000-00003A440000}"/>
    <cellStyle name="Calculation 15 2 13" xfId="17498" xr:uid="{00000000-0005-0000-0000-00003B440000}"/>
    <cellStyle name="Calculation 15 2 13 10" xfId="17499" xr:uid="{00000000-0005-0000-0000-00003C440000}"/>
    <cellStyle name="Calculation 15 2 13 2" xfId="17500" xr:uid="{00000000-0005-0000-0000-00003D440000}"/>
    <cellStyle name="Calculation 15 2 13 2 2" xfId="17501" xr:uid="{00000000-0005-0000-0000-00003E440000}"/>
    <cellStyle name="Calculation 15 2 13 2 3" xfId="17502" xr:uid="{00000000-0005-0000-0000-00003F440000}"/>
    <cellStyle name="Calculation 15 2 13 2 4" xfId="17503" xr:uid="{00000000-0005-0000-0000-000040440000}"/>
    <cellStyle name="Calculation 15 2 13 2 5" xfId="17504" xr:uid="{00000000-0005-0000-0000-000041440000}"/>
    <cellStyle name="Calculation 15 2 13 2 6" xfId="17505" xr:uid="{00000000-0005-0000-0000-000042440000}"/>
    <cellStyle name="Calculation 15 2 13 3" xfId="17506" xr:uid="{00000000-0005-0000-0000-000043440000}"/>
    <cellStyle name="Calculation 15 2 13 3 2" xfId="17507" xr:uid="{00000000-0005-0000-0000-000044440000}"/>
    <cellStyle name="Calculation 15 2 13 3 3" xfId="17508" xr:uid="{00000000-0005-0000-0000-000045440000}"/>
    <cellStyle name="Calculation 15 2 13 3 4" xfId="17509" xr:uid="{00000000-0005-0000-0000-000046440000}"/>
    <cellStyle name="Calculation 15 2 13 3 5" xfId="17510" xr:uid="{00000000-0005-0000-0000-000047440000}"/>
    <cellStyle name="Calculation 15 2 13 3 6" xfId="17511" xr:uid="{00000000-0005-0000-0000-000048440000}"/>
    <cellStyle name="Calculation 15 2 13 4" xfId="17512" xr:uid="{00000000-0005-0000-0000-000049440000}"/>
    <cellStyle name="Calculation 15 2 13 4 2" xfId="17513" xr:uid="{00000000-0005-0000-0000-00004A440000}"/>
    <cellStyle name="Calculation 15 2 13 4 3" xfId="17514" xr:uid="{00000000-0005-0000-0000-00004B440000}"/>
    <cellStyle name="Calculation 15 2 13 4 4" xfId="17515" xr:uid="{00000000-0005-0000-0000-00004C440000}"/>
    <cellStyle name="Calculation 15 2 13 4 5" xfId="17516" xr:uid="{00000000-0005-0000-0000-00004D440000}"/>
    <cellStyle name="Calculation 15 2 13 4 6" xfId="17517" xr:uid="{00000000-0005-0000-0000-00004E440000}"/>
    <cellStyle name="Calculation 15 2 13 5" xfId="17518" xr:uid="{00000000-0005-0000-0000-00004F440000}"/>
    <cellStyle name="Calculation 15 2 13 5 2" xfId="17519" xr:uid="{00000000-0005-0000-0000-000050440000}"/>
    <cellStyle name="Calculation 15 2 13 5 3" xfId="17520" xr:uid="{00000000-0005-0000-0000-000051440000}"/>
    <cellStyle name="Calculation 15 2 13 5 4" xfId="17521" xr:uid="{00000000-0005-0000-0000-000052440000}"/>
    <cellStyle name="Calculation 15 2 13 5 5" xfId="17522" xr:uid="{00000000-0005-0000-0000-000053440000}"/>
    <cellStyle name="Calculation 15 2 13 5 6" xfId="17523" xr:uid="{00000000-0005-0000-0000-000054440000}"/>
    <cellStyle name="Calculation 15 2 13 6" xfId="17524" xr:uid="{00000000-0005-0000-0000-000055440000}"/>
    <cellStyle name="Calculation 15 2 13 6 2" xfId="17525" xr:uid="{00000000-0005-0000-0000-000056440000}"/>
    <cellStyle name="Calculation 15 2 13 6 3" xfId="17526" xr:uid="{00000000-0005-0000-0000-000057440000}"/>
    <cellStyle name="Calculation 15 2 13 6 4" xfId="17527" xr:uid="{00000000-0005-0000-0000-000058440000}"/>
    <cellStyle name="Calculation 15 2 13 6 5" xfId="17528" xr:uid="{00000000-0005-0000-0000-000059440000}"/>
    <cellStyle name="Calculation 15 2 13 6 6" xfId="17529" xr:uid="{00000000-0005-0000-0000-00005A440000}"/>
    <cellStyle name="Calculation 15 2 13 7" xfId="17530" xr:uid="{00000000-0005-0000-0000-00005B440000}"/>
    <cellStyle name="Calculation 15 2 13 7 2" xfId="17531" xr:uid="{00000000-0005-0000-0000-00005C440000}"/>
    <cellStyle name="Calculation 15 2 13 7 3" xfId="17532" xr:uid="{00000000-0005-0000-0000-00005D440000}"/>
    <cellStyle name="Calculation 15 2 13 7 4" xfId="17533" xr:uid="{00000000-0005-0000-0000-00005E440000}"/>
    <cellStyle name="Calculation 15 2 13 7 5" xfId="17534" xr:uid="{00000000-0005-0000-0000-00005F440000}"/>
    <cellStyle name="Calculation 15 2 13 7 6" xfId="17535" xr:uid="{00000000-0005-0000-0000-000060440000}"/>
    <cellStyle name="Calculation 15 2 13 8" xfId="17536" xr:uid="{00000000-0005-0000-0000-000061440000}"/>
    <cellStyle name="Calculation 15 2 13 9" xfId="17537" xr:uid="{00000000-0005-0000-0000-000062440000}"/>
    <cellStyle name="Calculation 15 2 14" xfId="17538" xr:uid="{00000000-0005-0000-0000-000063440000}"/>
    <cellStyle name="Calculation 15 2 14 10" xfId="17539" xr:uid="{00000000-0005-0000-0000-000064440000}"/>
    <cellStyle name="Calculation 15 2 14 2" xfId="17540" xr:uid="{00000000-0005-0000-0000-000065440000}"/>
    <cellStyle name="Calculation 15 2 14 2 2" xfId="17541" xr:uid="{00000000-0005-0000-0000-000066440000}"/>
    <cellStyle name="Calculation 15 2 14 2 3" xfId="17542" xr:uid="{00000000-0005-0000-0000-000067440000}"/>
    <cellStyle name="Calculation 15 2 14 2 4" xfId="17543" xr:uid="{00000000-0005-0000-0000-000068440000}"/>
    <cellStyle name="Calculation 15 2 14 2 5" xfId="17544" xr:uid="{00000000-0005-0000-0000-000069440000}"/>
    <cellStyle name="Calculation 15 2 14 2 6" xfId="17545" xr:uid="{00000000-0005-0000-0000-00006A440000}"/>
    <cellStyle name="Calculation 15 2 14 3" xfId="17546" xr:uid="{00000000-0005-0000-0000-00006B440000}"/>
    <cellStyle name="Calculation 15 2 14 3 2" xfId="17547" xr:uid="{00000000-0005-0000-0000-00006C440000}"/>
    <cellStyle name="Calculation 15 2 14 3 3" xfId="17548" xr:uid="{00000000-0005-0000-0000-00006D440000}"/>
    <cellStyle name="Calculation 15 2 14 3 4" xfId="17549" xr:uid="{00000000-0005-0000-0000-00006E440000}"/>
    <cellStyle name="Calculation 15 2 14 3 5" xfId="17550" xr:uid="{00000000-0005-0000-0000-00006F440000}"/>
    <cellStyle name="Calculation 15 2 14 3 6" xfId="17551" xr:uid="{00000000-0005-0000-0000-000070440000}"/>
    <cellStyle name="Calculation 15 2 14 4" xfId="17552" xr:uid="{00000000-0005-0000-0000-000071440000}"/>
    <cellStyle name="Calculation 15 2 14 4 2" xfId="17553" xr:uid="{00000000-0005-0000-0000-000072440000}"/>
    <cellStyle name="Calculation 15 2 14 4 3" xfId="17554" xr:uid="{00000000-0005-0000-0000-000073440000}"/>
    <cellStyle name="Calculation 15 2 14 4 4" xfId="17555" xr:uid="{00000000-0005-0000-0000-000074440000}"/>
    <cellStyle name="Calculation 15 2 14 4 5" xfId="17556" xr:uid="{00000000-0005-0000-0000-000075440000}"/>
    <cellStyle name="Calculation 15 2 14 4 6" xfId="17557" xr:uid="{00000000-0005-0000-0000-000076440000}"/>
    <cellStyle name="Calculation 15 2 14 5" xfId="17558" xr:uid="{00000000-0005-0000-0000-000077440000}"/>
    <cellStyle name="Calculation 15 2 14 5 2" xfId="17559" xr:uid="{00000000-0005-0000-0000-000078440000}"/>
    <cellStyle name="Calculation 15 2 14 5 3" xfId="17560" xr:uid="{00000000-0005-0000-0000-000079440000}"/>
    <cellStyle name="Calculation 15 2 14 5 4" xfId="17561" xr:uid="{00000000-0005-0000-0000-00007A440000}"/>
    <cellStyle name="Calculation 15 2 14 5 5" xfId="17562" xr:uid="{00000000-0005-0000-0000-00007B440000}"/>
    <cellStyle name="Calculation 15 2 14 5 6" xfId="17563" xr:uid="{00000000-0005-0000-0000-00007C440000}"/>
    <cellStyle name="Calculation 15 2 14 6" xfId="17564" xr:uid="{00000000-0005-0000-0000-00007D440000}"/>
    <cellStyle name="Calculation 15 2 14 6 2" xfId="17565" xr:uid="{00000000-0005-0000-0000-00007E440000}"/>
    <cellStyle name="Calculation 15 2 14 6 3" xfId="17566" xr:uid="{00000000-0005-0000-0000-00007F440000}"/>
    <cellStyle name="Calculation 15 2 14 6 4" xfId="17567" xr:uid="{00000000-0005-0000-0000-000080440000}"/>
    <cellStyle name="Calculation 15 2 14 6 5" xfId="17568" xr:uid="{00000000-0005-0000-0000-000081440000}"/>
    <cellStyle name="Calculation 15 2 14 6 6" xfId="17569" xr:uid="{00000000-0005-0000-0000-000082440000}"/>
    <cellStyle name="Calculation 15 2 14 7" xfId="17570" xr:uid="{00000000-0005-0000-0000-000083440000}"/>
    <cellStyle name="Calculation 15 2 14 7 2" xfId="17571" xr:uid="{00000000-0005-0000-0000-000084440000}"/>
    <cellStyle name="Calculation 15 2 14 7 3" xfId="17572" xr:uid="{00000000-0005-0000-0000-000085440000}"/>
    <cellStyle name="Calculation 15 2 14 7 4" xfId="17573" xr:uid="{00000000-0005-0000-0000-000086440000}"/>
    <cellStyle name="Calculation 15 2 14 7 5" xfId="17574" xr:uid="{00000000-0005-0000-0000-000087440000}"/>
    <cellStyle name="Calculation 15 2 14 7 6" xfId="17575" xr:uid="{00000000-0005-0000-0000-000088440000}"/>
    <cellStyle name="Calculation 15 2 14 8" xfId="17576" xr:uid="{00000000-0005-0000-0000-000089440000}"/>
    <cellStyle name="Calculation 15 2 14 9" xfId="17577" xr:uid="{00000000-0005-0000-0000-00008A440000}"/>
    <cellStyle name="Calculation 15 2 15" xfId="17578" xr:uid="{00000000-0005-0000-0000-00008B440000}"/>
    <cellStyle name="Calculation 15 2 15 10" xfId="17579" xr:uid="{00000000-0005-0000-0000-00008C440000}"/>
    <cellStyle name="Calculation 15 2 15 2" xfId="17580" xr:uid="{00000000-0005-0000-0000-00008D440000}"/>
    <cellStyle name="Calculation 15 2 15 2 2" xfId="17581" xr:uid="{00000000-0005-0000-0000-00008E440000}"/>
    <cellStyle name="Calculation 15 2 15 2 3" xfId="17582" xr:uid="{00000000-0005-0000-0000-00008F440000}"/>
    <cellStyle name="Calculation 15 2 15 2 4" xfId="17583" xr:uid="{00000000-0005-0000-0000-000090440000}"/>
    <cellStyle name="Calculation 15 2 15 2 5" xfId="17584" xr:uid="{00000000-0005-0000-0000-000091440000}"/>
    <cellStyle name="Calculation 15 2 15 2 6" xfId="17585" xr:uid="{00000000-0005-0000-0000-000092440000}"/>
    <cellStyle name="Calculation 15 2 15 3" xfId="17586" xr:uid="{00000000-0005-0000-0000-000093440000}"/>
    <cellStyle name="Calculation 15 2 15 3 2" xfId="17587" xr:uid="{00000000-0005-0000-0000-000094440000}"/>
    <cellStyle name="Calculation 15 2 15 3 3" xfId="17588" xr:uid="{00000000-0005-0000-0000-000095440000}"/>
    <cellStyle name="Calculation 15 2 15 3 4" xfId="17589" xr:uid="{00000000-0005-0000-0000-000096440000}"/>
    <cellStyle name="Calculation 15 2 15 3 5" xfId="17590" xr:uid="{00000000-0005-0000-0000-000097440000}"/>
    <cellStyle name="Calculation 15 2 15 3 6" xfId="17591" xr:uid="{00000000-0005-0000-0000-000098440000}"/>
    <cellStyle name="Calculation 15 2 15 4" xfId="17592" xr:uid="{00000000-0005-0000-0000-000099440000}"/>
    <cellStyle name="Calculation 15 2 15 4 2" xfId="17593" xr:uid="{00000000-0005-0000-0000-00009A440000}"/>
    <cellStyle name="Calculation 15 2 15 4 3" xfId="17594" xr:uid="{00000000-0005-0000-0000-00009B440000}"/>
    <cellStyle name="Calculation 15 2 15 4 4" xfId="17595" xr:uid="{00000000-0005-0000-0000-00009C440000}"/>
    <cellStyle name="Calculation 15 2 15 4 5" xfId="17596" xr:uid="{00000000-0005-0000-0000-00009D440000}"/>
    <cellStyle name="Calculation 15 2 15 4 6" xfId="17597" xr:uid="{00000000-0005-0000-0000-00009E440000}"/>
    <cellStyle name="Calculation 15 2 15 5" xfId="17598" xr:uid="{00000000-0005-0000-0000-00009F440000}"/>
    <cellStyle name="Calculation 15 2 15 5 2" xfId="17599" xr:uid="{00000000-0005-0000-0000-0000A0440000}"/>
    <cellStyle name="Calculation 15 2 15 5 3" xfId="17600" xr:uid="{00000000-0005-0000-0000-0000A1440000}"/>
    <cellStyle name="Calculation 15 2 15 5 4" xfId="17601" xr:uid="{00000000-0005-0000-0000-0000A2440000}"/>
    <cellStyle name="Calculation 15 2 15 5 5" xfId="17602" xr:uid="{00000000-0005-0000-0000-0000A3440000}"/>
    <cellStyle name="Calculation 15 2 15 5 6" xfId="17603" xr:uid="{00000000-0005-0000-0000-0000A4440000}"/>
    <cellStyle name="Calculation 15 2 15 6" xfId="17604" xr:uid="{00000000-0005-0000-0000-0000A5440000}"/>
    <cellStyle name="Calculation 15 2 15 6 2" xfId="17605" xr:uid="{00000000-0005-0000-0000-0000A6440000}"/>
    <cellStyle name="Calculation 15 2 15 6 3" xfId="17606" xr:uid="{00000000-0005-0000-0000-0000A7440000}"/>
    <cellStyle name="Calculation 15 2 15 6 4" xfId="17607" xr:uid="{00000000-0005-0000-0000-0000A8440000}"/>
    <cellStyle name="Calculation 15 2 15 6 5" xfId="17608" xr:uid="{00000000-0005-0000-0000-0000A9440000}"/>
    <cellStyle name="Calculation 15 2 15 6 6" xfId="17609" xr:uid="{00000000-0005-0000-0000-0000AA440000}"/>
    <cellStyle name="Calculation 15 2 15 7" xfId="17610" xr:uid="{00000000-0005-0000-0000-0000AB440000}"/>
    <cellStyle name="Calculation 15 2 15 7 2" xfId="17611" xr:uid="{00000000-0005-0000-0000-0000AC440000}"/>
    <cellStyle name="Calculation 15 2 15 7 3" xfId="17612" xr:uid="{00000000-0005-0000-0000-0000AD440000}"/>
    <cellStyle name="Calculation 15 2 15 7 4" xfId="17613" xr:uid="{00000000-0005-0000-0000-0000AE440000}"/>
    <cellStyle name="Calculation 15 2 15 7 5" xfId="17614" xr:uid="{00000000-0005-0000-0000-0000AF440000}"/>
    <cellStyle name="Calculation 15 2 15 7 6" xfId="17615" xr:uid="{00000000-0005-0000-0000-0000B0440000}"/>
    <cellStyle name="Calculation 15 2 15 8" xfId="17616" xr:uid="{00000000-0005-0000-0000-0000B1440000}"/>
    <cellStyle name="Calculation 15 2 15 9" xfId="17617" xr:uid="{00000000-0005-0000-0000-0000B2440000}"/>
    <cellStyle name="Calculation 15 2 16" xfId="17618" xr:uid="{00000000-0005-0000-0000-0000B3440000}"/>
    <cellStyle name="Calculation 15 2 16 10" xfId="17619" xr:uid="{00000000-0005-0000-0000-0000B4440000}"/>
    <cellStyle name="Calculation 15 2 16 2" xfId="17620" xr:uid="{00000000-0005-0000-0000-0000B5440000}"/>
    <cellStyle name="Calculation 15 2 16 2 2" xfId="17621" xr:uid="{00000000-0005-0000-0000-0000B6440000}"/>
    <cellStyle name="Calculation 15 2 16 2 3" xfId="17622" xr:uid="{00000000-0005-0000-0000-0000B7440000}"/>
    <cellStyle name="Calculation 15 2 16 2 4" xfId="17623" xr:uid="{00000000-0005-0000-0000-0000B8440000}"/>
    <cellStyle name="Calculation 15 2 16 2 5" xfId="17624" xr:uid="{00000000-0005-0000-0000-0000B9440000}"/>
    <cellStyle name="Calculation 15 2 16 2 6" xfId="17625" xr:uid="{00000000-0005-0000-0000-0000BA440000}"/>
    <cellStyle name="Calculation 15 2 16 3" xfId="17626" xr:uid="{00000000-0005-0000-0000-0000BB440000}"/>
    <cellStyle name="Calculation 15 2 16 3 2" xfId="17627" xr:uid="{00000000-0005-0000-0000-0000BC440000}"/>
    <cellStyle name="Calculation 15 2 16 3 3" xfId="17628" xr:uid="{00000000-0005-0000-0000-0000BD440000}"/>
    <cellStyle name="Calculation 15 2 16 3 4" xfId="17629" xr:uid="{00000000-0005-0000-0000-0000BE440000}"/>
    <cellStyle name="Calculation 15 2 16 3 5" xfId="17630" xr:uid="{00000000-0005-0000-0000-0000BF440000}"/>
    <cellStyle name="Calculation 15 2 16 3 6" xfId="17631" xr:uid="{00000000-0005-0000-0000-0000C0440000}"/>
    <cellStyle name="Calculation 15 2 16 4" xfId="17632" xr:uid="{00000000-0005-0000-0000-0000C1440000}"/>
    <cellStyle name="Calculation 15 2 16 4 2" xfId="17633" xr:uid="{00000000-0005-0000-0000-0000C2440000}"/>
    <cellStyle name="Calculation 15 2 16 4 3" xfId="17634" xr:uid="{00000000-0005-0000-0000-0000C3440000}"/>
    <cellStyle name="Calculation 15 2 16 4 4" xfId="17635" xr:uid="{00000000-0005-0000-0000-0000C4440000}"/>
    <cellStyle name="Calculation 15 2 16 4 5" xfId="17636" xr:uid="{00000000-0005-0000-0000-0000C5440000}"/>
    <cellStyle name="Calculation 15 2 16 4 6" xfId="17637" xr:uid="{00000000-0005-0000-0000-0000C6440000}"/>
    <cellStyle name="Calculation 15 2 16 5" xfId="17638" xr:uid="{00000000-0005-0000-0000-0000C7440000}"/>
    <cellStyle name="Calculation 15 2 16 5 2" xfId="17639" xr:uid="{00000000-0005-0000-0000-0000C8440000}"/>
    <cellStyle name="Calculation 15 2 16 5 3" xfId="17640" xr:uid="{00000000-0005-0000-0000-0000C9440000}"/>
    <cellStyle name="Calculation 15 2 16 5 4" xfId="17641" xr:uid="{00000000-0005-0000-0000-0000CA440000}"/>
    <cellStyle name="Calculation 15 2 16 5 5" xfId="17642" xr:uid="{00000000-0005-0000-0000-0000CB440000}"/>
    <cellStyle name="Calculation 15 2 16 5 6" xfId="17643" xr:uid="{00000000-0005-0000-0000-0000CC440000}"/>
    <cellStyle name="Calculation 15 2 16 6" xfId="17644" xr:uid="{00000000-0005-0000-0000-0000CD440000}"/>
    <cellStyle name="Calculation 15 2 16 6 2" xfId="17645" xr:uid="{00000000-0005-0000-0000-0000CE440000}"/>
    <cellStyle name="Calculation 15 2 16 6 3" xfId="17646" xr:uid="{00000000-0005-0000-0000-0000CF440000}"/>
    <cellStyle name="Calculation 15 2 16 6 4" xfId="17647" xr:uid="{00000000-0005-0000-0000-0000D0440000}"/>
    <cellStyle name="Calculation 15 2 16 6 5" xfId="17648" xr:uid="{00000000-0005-0000-0000-0000D1440000}"/>
    <cellStyle name="Calculation 15 2 16 6 6" xfId="17649" xr:uid="{00000000-0005-0000-0000-0000D2440000}"/>
    <cellStyle name="Calculation 15 2 16 7" xfId="17650" xr:uid="{00000000-0005-0000-0000-0000D3440000}"/>
    <cellStyle name="Calculation 15 2 16 7 2" xfId="17651" xr:uid="{00000000-0005-0000-0000-0000D4440000}"/>
    <cellStyle name="Calculation 15 2 16 7 3" xfId="17652" xr:uid="{00000000-0005-0000-0000-0000D5440000}"/>
    <cellStyle name="Calculation 15 2 16 7 4" xfId="17653" xr:uid="{00000000-0005-0000-0000-0000D6440000}"/>
    <cellStyle name="Calculation 15 2 16 7 5" xfId="17654" xr:uid="{00000000-0005-0000-0000-0000D7440000}"/>
    <cellStyle name="Calculation 15 2 16 7 6" xfId="17655" xr:uid="{00000000-0005-0000-0000-0000D8440000}"/>
    <cellStyle name="Calculation 15 2 16 8" xfId="17656" xr:uid="{00000000-0005-0000-0000-0000D9440000}"/>
    <cellStyle name="Calculation 15 2 16 9" xfId="17657" xr:uid="{00000000-0005-0000-0000-0000DA440000}"/>
    <cellStyle name="Calculation 15 2 17" xfId="17658" xr:uid="{00000000-0005-0000-0000-0000DB440000}"/>
    <cellStyle name="Calculation 15 2 17 10" xfId="17659" xr:uid="{00000000-0005-0000-0000-0000DC440000}"/>
    <cellStyle name="Calculation 15 2 17 2" xfId="17660" xr:uid="{00000000-0005-0000-0000-0000DD440000}"/>
    <cellStyle name="Calculation 15 2 17 2 2" xfId="17661" xr:uid="{00000000-0005-0000-0000-0000DE440000}"/>
    <cellStyle name="Calculation 15 2 17 2 3" xfId="17662" xr:uid="{00000000-0005-0000-0000-0000DF440000}"/>
    <cellStyle name="Calculation 15 2 17 2 4" xfId="17663" xr:uid="{00000000-0005-0000-0000-0000E0440000}"/>
    <cellStyle name="Calculation 15 2 17 2 5" xfId="17664" xr:uid="{00000000-0005-0000-0000-0000E1440000}"/>
    <cellStyle name="Calculation 15 2 17 2 6" xfId="17665" xr:uid="{00000000-0005-0000-0000-0000E2440000}"/>
    <cellStyle name="Calculation 15 2 17 3" xfId="17666" xr:uid="{00000000-0005-0000-0000-0000E3440000}"/>
    <cellStyle name="Calculation 15 2 17 3 2" xfId="17667" xr:uid="{00000000-0005-0000-0000-0000E4440000}"/>
    <cellStyle name="Calculation 15 2 17 3 3" xfId="17668" xr:uid="{00000000-0005-0000-0000-0000E5440000}"/>
    <cellStyle name="Calculation 15 2 17 3 4" xfId="17669" xr:uid="{00000000-0005-0000-0000-0000E6440000}"/>
    <cellStyle name="Calculation 15 2 17 3 5" xfId="17670" xr:uid="{00000000-0005-0000-0000-0000E7440000}"/>
    <cellStyle name="Calculation 15 2 17 3 6" xfId="17671" xr:uid="{00000000-0005-0000-0000-0000E8440000}"/>
    <cellStyle name="Calculation 15 2 17 4" xfId="17672" xr:uid="{00000000-0005-0000-0000-0000E9440000}"/>
    <cellStyle name="Calculation 15 2 17 4 2" xfId="17673" xr:uid="{00000000-0005-0000-0000-0000EA440000}"/>
    <cellStyle name="Calculation 15 2 17 4 3" xfId="17674" xr:uid="{00000000-0005-0000-0000-0000EB440000}"/>
    <cellStyle name="Calculation 15 2 17 4 4" xfId="17675" xr:uid="{00000000-0005-0000-0000-0000EC440000}"/>
    <cellStyle name="Calculation 15 2 17 4 5" xfId="17676" xr:uid="{00000000-0005-0000-0000-0000ED440000}"/>
    <cellStyle name="Calculation 15 2 17 4 6" xfId="17677" xr:uid="{00000000-0005-0000-0000-0000EE440000}"/>
    <cellStyle name="Calculation 15 2 17 5" xfId="17678" xr:uid="{00000000-0005-0000-0000-0000EF440000}"/>
    <cellStyle name="Calculation 15 2 17 5 2" xfId="17679" xr:uid="{00000000-0005-0000-0000-0000F0440000}"/>
    <cellStyle name="Calculation 15 2 17 5 3" xfId="17680" xr:uid="{00000000-0005-0000-0000-0000F1440000}"/>
    <cellStyle name="Calculation 15 2 17 5 4" xfId="17681" xr:uid="{00000000-0005-0000-0000-0000F2440000}"/>
    <cellStyle name="Calculation 15 2 17 5 5" xfId="17682" xr:uid="{00000000-0005-0000-0000-0000F3440000}"/>
    <cellStyle name="Calculation 15 2 17 5 6" xfId="17683" xr:uid="{00000000-0005-0000-0000-0000F4440000}"/>
    <cellStyle name="Calculation 15 2 17 6" xfId="17684" xr:uid="{00000000-0005-0000-0000-0000F5440000}"/>
    <cellStyle name="Calculation 15 2 17 6 2" xfId="17685" xr:uid="{00000000-0005-0000-0000-0000F6440000}"/>
    <cellStyle name="Calculation 15 2 17 6 3" xfId="17686" xr:uid="{00000000-0005-0000-0000-0000F7440000}"/>
    <cellStyle name="Calculation 15 2 17 6 4" xfId="17687" xr:uid="{00000000-0005-0000-0000-0000F8440000}"/>
    <cellStyle name="Calculation 15 2 17 6 5" xfId="17688" xr:uid="{00000000-0005-0000-0000-0000F9440000}"/>
    <cellStyle name="Calculation 15 2 17 6 6" xfId="17689" xr:uid="{00000000-0005-0000-0000-0000FA440000}"/>
    <cellStyle name="Calculation 15 2 17 7" xfId="17690" xr:uid="{00000000-0005-0000-0000-0000FB440000}"/>
    <cellStyle name="Calculation 15 2 17 7 2" xfId="17691" xr:uid="{00000000-0005-0000-0000-0000FC440000}"/>
    <cellStyle name="Calculation 15 2 17 7 3" xfId="17692" xr:uid="{00000000-0005-0000-0000-0000FD440000}"/>
    <cellStyle name="Calculation 15 2 17 7 4" xfId="17693" xr:uid="{00000000-0005-0000-0000-0000FE440000}"/>
    <cellStyle name="Calculation 15 2 17 7 5" xfId="17694" xr:uid="{00000000-0005-0000-0000-0000FF440000}"/>
    <cellStyle name="Calculation 15 2 17 7 6" xfId="17695" xr:uid="{00000000-0005-0000-0000-000000450000}"/>
    <cellStyle name="Calculation 15 2 17 8" xfId="17696" xr:uid="{00000000-0005-0000-0000-000001450000}"/>
    <cellStyle name="Calculation 15 2 17 9" xfId="17697" xr:uid="{00000000-0005-0000-0000-000002450000}"/>
    <cellStyle name="Calculation 15 2 18" xfId="17698" xr:uid="{00000000-0005-0000-0000-000003450000}"/>
    <cellStyle name="Calculation 15 2 18 10" xfId="17699" xr:uid="{00000000-0005-0000-0000-000004450000}"/>
    <cellStyle name="Calculation 15 2 18 2" xfId="17700" xr:uid="{00000000-0005-0000-0000-000005450000}"/>
    <cellStyle name="Calculation 15 2 18 2 2" xfId="17701" xr:uid="{00000000-0005-0000-0000-000006450000}"/>
    <cellStyle name="Calculation 15 2 18 2 3" xfId="17702" xr:uid="{00000000-0005-0000-0000-000007450000}"/>
    <cellStyle name="Calculation 15 2 18 2 4" xfId="17703" xr:uid="{00000000-0005-0000-0000-000008450000}"/>
    <cellStyle name="Calculation 15 2 18 2 5" xfId="17704" xr:uid="{00000000-0005-0000-0000-000009450000}"/>
    <cellStyle name="Calculation 15 2 18 2 6" xfId="17705" xr:uid="{00000000-0005-0000-0000-00000A450000}"/>
    <cellStyle name="Calculation 15 2 18 3" xfId="17706" xr:uid="{00000000-0005-0000-0000-00000B450000}"/>
    <cellStyle name="Calculation 15 2 18 3 2" xfId="17707" xr:uid="{00000000-0005-0000-0000-00000C450000}"/>
    <cellStyle name="Calculation 15 2 18 3 3" xfId="17708" xr:uid="{00000000-0005-0000-0000-00000D450000}"/>
    <cellStyle name="Calculation 15 2 18 3 4" xfId="17709" xr:uid="{00000000-0005-0000-0000-00000E450000}"/>
    <cellStyle name="Calculation 15 2 18 3 5" xfId="17710" xr:uid="{00000000-0005-0000-0000-00000F450000}"/>
    <cellStyle name="Calculation 15 2 18 3 6" xfId="17711" xr:uid="{00000000-0005-0000-0000-000010450000}"/>
    <cellStyle name="Calculation 15 2 18 4" xfId="17712" xr:uid="{00000000-0005-0000-0000-000011450000}"/>
    <cellStyle name="Calculation 15 2 18 4 2" xfId="17713" xr:uid="{00000000-0005-0000-0000-000012450000}"/>
    <cellStyle name="Calculation 15 2 18 4 3" xfId="17714" xr:uid="{00000000-0005-0000-0000-000013450000}"/>
    <cellStyle name="Calculation 15 2 18 4 4" xfId="17715" xr:uid="{00000000-0005-0000-0000-000014450000}"/>
    <cellStyle name="Calculation 15 2 18 4 5" xfId="17716" xr:uid="{00000000-0005-0000-0000-000015450000}"/>
    <cellStyle name="Calculation 15 2 18 4 6" xfId="17717" xr:uid="{00000000-0005-0000-0000-000016450000}"/>
    <cellStyle name="Calculation 15 2 18 5" xfId="17718" xr:uid="{00000000-0005-0000-0000-000017450000}"/>
    <cellStyle name="Calculation 15 2 18 5 2" xfId="17719" xr:uid="{00000000-0005-0000-0000-000018450000}"/>
    <cellStyle name="Calculation 15 2 18 5 3" xfId="17720" xr:uid="{00000000-0005-0000-0000-000019450000}"/>
    <cellStyle name="Calculation 15 2 18 5 4" xfId="17721" xr:uid="{00000000-0005-0000-0000-00001A450000}"/>
    <cellStyle name="Calculation 15 2 18 5 5" xfId="17722" xr:uid="{00000000-0005-0000-0000-00001B450000}"/>
    <cellStyle name="Calculation 15 2 18 5 6" xfId="17723" xr:uid="{00000000-0005-0000-0000-00001C450000}"/>
    <cellStyle name="Calculation 15 2 18 6" xfId="17724" xr:uid="{00000000-0005-0000-0000-00001D450000}"/>
    <cellStyle name="Calculation 15 2 18 6 2" xfId="17725" xr:uid="{00000000-0005-0000-0000-00001E450000}"/>
    <cellStyle name="Calculation 15 2 18 6 3" xfId="17726" xr:uid="{00000000-0005-0000-0000-00001F450000}"/>
    <cellStyle name="Calculation 15 2 18 6 4" xfId="17727" xr:uid="{00000000-0005-0000-0000-000020450000}"/>
    <cellStyle name="Calculation 15 2 18 6 5" xfId="17728" xr:uid="{00000000-0005-0000-0000-000021450000}"/>
    <cellStyle name="Calculation 15 2 18 6 6" xfId="17729" xr:uid="{00000000-0005-0000-0000-000022450000}"/>
    <cellStyle name="Calculation 15 2 18 7" xfId="17730" xr:uid="{00000000-0005-0000-0000-000023450000}"/>
    <cellStyle name="Calculation 15 2 18 7 2" xfId="17731" xr:uid="{00000000-0005-0000-0000-000024450000}"/>
    <cellStyle name="Calculation 15 2 18 7 3" xfId="17732" xr:uid="{00000000-0005-0000-0000-000025450000}"/>
    <cellStyle name="Calculation 15 2 18 7 4" xfId="17733" xr:uid="{00000000-0005-0000-0000-000026450000}"/>
    <cellStyle name="Calculation 15 2 18 7 5" xfId="17734" xr:uid="{00000000-0005-0000-0000-000027450000}"/>
    <cellStyle name="Calculation 15 2 18 7 6" xfId="17735" xr:uid="{00000000-0005-0000-0000-000028450000}"/>
    <cellStyle name="Calculation 15 2 18 8" xfId="17736" xr:uid="{00000000-0005-0000-0000-000029450000}"/>
    <cellStyle name="Calculation 15 2 18 9" xfId="17737" xr:uid="{00000000-0005-0000-0000-00002A450000}"/>
    <cellStyle name="Calculation 15 2 19" xfId="17738" xr:uid="{00000000-0005-0000-0000-00002B450000}"/>
    <cellStyle name="Calculation 15 2 19 10" xfId="17739" xr:uid="{00000000-0005-0000-0000-00002C450000}"/>
    <cellStyle name="Calculation 15 2 19 2" xfId="17740" xr:uid="{00000000-0005-0000-0000-00002D450000}"/>
    <cellStyle name="Calculation 15 2 19 2 2" xfId="17741" xr:uid="{00000000-0005-0000-0000-00002E450000}"/>
    <cellStyle name="Calculation 15 2 19 2 3" xfId="17742" xr:uid="{00000000-0005-0000-0000-00002F450000}"/>
    <cellStyle name="Calculation 15 2 19 2 4" xfId="17743" xr:uid="{00000000-0005-0000-0000-000030450000}"/>
    <cellStyle name="Calculation 15 2 19 2 5" xfId="17744" xr:uid="{00000000-0005-0000-0000-000031450000}"/>
    <cellStyle name="Calculation 15 2 19 2 6" xfId="17745" xr:uid="{00000000-0005-0000-0000-000032450000}"/>
    <cellStyle name="Calculation 15 2 19 3" xfId="17746" xr:uid="{00000000-0005-0000-0000-000033450000}"/>
    <cellStyle name="Calculation 15 2 19 3 2" xfId="17747" xr:uid="{00000000-0005-0000-0000-000034450000}"/>
    <cellStyle name="Calculation 15 2 19 3 3" xfId="17748" xr:uid="{00000000-0005-0000-0000-000035450000}"/>
    <cellStyle name="Calculation 15 2 19 3 4" xfId="17749" xr:uid="{00000000-0005-0000-0000-000036450000}"/>
    <cellStyle name="Calculation 15 2 19 3 5" xfId="17750" xr:uid="{00000000-0005-0000-0000-000037450000}"/>
    <cellStyle name="Calculation 15 2 19 3 6" xfId="17751" xr:uid="{00000000-0005-0000-0000-000038450000}"/>
    <cellStyle name="Calculation 15 2 19 4" xfId="17752" xr:uid="{00000000-0005-0000-0000-000039450000}"/>
    <cellStyle name="Calculation 15 2 19 4 2" xfId="17753" xr:uid="{00000000-0005-0000-0000-00003A450000}"/>
    <cellStyle name="Calculation 15 2 19 4 3" xfId="17754" xr:uid="{00000000-0005-0000-0000-00003B450000}"/>
    <cellStyle name="Calculation 15 2 19 4 4" xfId="17755" xr:uid="{00000000-0005-0000-0000-00003C450000}"/>
    <cellStyle name="Calculation 15 2 19 4 5" xfId="17756" xr:uid="{00000000-0005-0000-0000-00003D450000}"/>
    <cellStyle name="Calculation 15 2 19 4 6" xfId="17757" xr:uid="{00000000-0005-0000-0000-00003E450000}"/>
    <cellStyle name="Calculation 15 2 19 5" xfId="17758" xr:uid="{00000000-0005-0000-0000-00003F450000}"/>
    <cellStyle name="Calculation 15 2 19 5 2" xfId="17759" xr:uid="{00000000-0005-0000-0000-000040450000}"/>
    <cellStyle name="Calculation 15 2 19 5 3" xfId="17760" xr:uid="{00000000-0005-0000-0000-000041450000}"/>
    <cellStyle name="Calculation 15 2 19 5 4" xfId="17761" xr:uid="{00000000-0005-0000-0000-000042450000}"/>
    <cellStyle name="Calculation 15 2 19 5 5" xfId="17762" xr:uid="{00000000-0005-0000-0000-000043450000}"/>
    <cellStyle name="Calculation 15 2 19 5 6" xfId="17763" xr:uid="{00000000-0005-0000-0000-000044450000}"/>
    <cellStyle name="Calculation 15 2 19 6" xfId="17764" xr:uid="{00000000-0005-0000-0000-000045450000}"/>
    <cellStyle name="Calculation 15 2 19 6 2" xfId="17765" xr:uid="{00000000-0005-0000-0000-000046450000}"/>
    <cellStyle name="Calculation 15 2 19 6 3" xfId="17766" xr:uid="{00000000-0005-0000-0000-000047450000}"/>
    <cellStyle name="Calculation 15 2 19 6 4" xfId="17767" xr:uid="{00000000-0005-0000-0000-000048450000}"/>
    <cellStyle name="Calculation 15 2 19 6 5" xfId="17768" xr:uid="{00000000-0005-0000-0000-000049450000}"/>
    <cellStyle name="Calculation 15 2 19 6 6" xfId="17769" xr:uid="{00000000-0005-0000-0000-00004A450000}"/>
    <cellStyle name="Calculation 15 2 19 7" xfId="17770" xr:uid="{00000000-0005-0000-0000-00004B450000}"/>
    <cellStyle name="Calculation 15 2 19 7 2" xfId="17771" xr:uid="{00000000-0005-0000-0000-00004C450000}"/>
    <cellStyle name="Calculation 15 2 19 7 3" xfId="17772" xr:uid="{00000000-0005-0000-0000-00004D450000}"/>
    <cellStyle name="Calculation 15 2 19 7 4" xfId="17773" xr:uid="{00000000-0005-0000-0000-00004E450000}"/>
    <cellStyle name="Calculation 15 2 19 7 5" xfId="17774" xr:uid="{00000000-0005-0000-0000-00004F450000}"/>
    <cellStyle name="Calculation 15 2 19 7 6" xfId="17775" xr:uid="{00000000-0005-0000-0000-000050450000}"/>
    <cellStyle name="Calculation 15 2 19 8" xfId="17776" xr:uid="{00000000-0005-0000-0000-000051450000}"/>
    <cellStyle name="Calculation 15 2 19 9" xfId="17777" xr:uid="{00000000-0005-0000-0000-000052450000}"/>
    <cellStyle name="Calculation 15 2 2" xfId="17778" xr:uid="{00000000-0005-0000-0000-000053450000}"/>
    <cellStyle name="Calculation 15 2 2 10" xfId="17779" xr:uid="{00000000-0005-0000-0000-000054450000}"/>
    <cellStyle name="Calculation 15 2 2 2" xfId="17780" xr:uid="{00000000-0005-0000-0000-000055450000}"/>
    <cellStyle name="Calculation 15 2 2 2 2" xfId="17781" xr:uid="{00000000-0005-0000-0000-000056450000}"/>
    <cellStyle name="Calculation 15 2 2 2 3" xfId="17782" xr:uid="{00000000-0005-0000-0000-000057450000}"/>
    <cellStyle name="Calculation 15 2 2 2 4" xfId="17783" xr:uid="{00000000-0005-0000-0000-000058450000}"/>
    <cellStyle name="Calculation 15 2 2 2 5" xfId="17784" xr:uid="{00000000-0005-0000-0000-000059450000}"/>
    <cellStyle name="Calculation 15 2 2 2 6" xfId="17785" xr:uid="{00000000-0005-0000-0000-00005A450000}"/>
    <cellStyle name="Calculation 15 2 2 3" xfId="17786" xr:uid="{00000000-0005-0000-0000-00005B450000}"/>
    <cellStyle name="Calculation 15 2 2 3 2" xfId="17787" xr:uid="{00000000-0005-0000-0000-00005C450000}"/>
    <cellStyle name="Calculation 15 2 2 3 3" xfId="17788" xr:uid="{00000000-0005-0000-0000-00005D450000}"/>
    <cellStyle name="Calculation 15 2 2 3 4" xfId="17789" xr:uid="{00000000-0005-0000-0000-00005E450000}"/>
    <cellStyle name="Calculation 15 2 2 3 5" xfId="17790" xr:uid="{00000000-0005-0000-0000-00005F450000}"/>
    <cellStyle name="Calculation 15 2 2 3 6" xfId="17791" xr:uid="{00000000-0005-0000-0000-000060450000}"/>
    <cellStyle name="Calculation 15 2 2 4" xfId="17792" xr:uid="{00000000-0005-0000-0000-000061450000}"/>
    <cellStyle name="Calculation 15 2 2 4 2" xfId="17793" xr:uid="{00000000-0005-0000-0000-000062450000}"/>
    <cellStyle name="Calculation 15 2 2 4 3" xfId="17794" xr:uid="{00000000-0005-0000-0000-000063450000}"/>
    <cellStyle name="Calculation 15 2 2 4 4" xfId="17795" xr:uid="{00000000-0005-0000-0000-000064450000}"/>
    <cellStyle name="Calculation 15 2 2 4 5" xfId="17796" xr:uid="{00000000-0005-0000-0000-000065450000}"/>
    <cellStyle name="Calculation 15 2 2 4 6" xfId="17797" xr:uid="{00000000-0005-0000-0000-000066450000}"/>
    <cellStyle name="Calculation 15 2 2 5" xfId="17798" xr:uid="{00000000-0005-0000-0000-000067450000}"/>
    <cellStyle name="Calculation 15 2 2 5 2" xfId="17799" xr:uid="{00000000-0005-0000-0000-000068450000}"/>
    <cellStyle name="Calculation 15 2 2 5 3" xfId="17800" xr:uid="{00000000-0005-0000-0000-000069450000}"/>
    <cellStyle name="Calculation 15 2 2 5 4" xfId="17801" xr:uid="{00000000-0005-0000-0000-00006A450000}"/>
    <cellStyle name="Calculation 15 2 2 5 5" xfId="17802" xr:uid="{00000000-0005-0000-0000-00006B450000}"/>
    <cellStyle name="Calculation 15 2 2 5 6" xfId="17803" xr:uid="{00000000-0005-0000-0000-00006C450000}"/>
    <cellStyle name="Calculation 15 2 2 6" xfId="17804" xr:uid="{00000000-0005-0000-0000-00006D450000}"/>
    <cellStyle name="Calculation 15 2 2 6 2" xfId="17805" xr:uid="{00000000-0005-0000-0000-00006E450000}"/>
    <cellStyle name="Calculation 15 2 2 6 3" xfId="17806" xr:uid="{00000000-0005-0000-0000-00006F450000}"/>
    <cellStyle name="Calculation 15 2 2 6 4" xfId="17807" xr:uid="{00000000-0005-0000-0000-000070450000}"/>
    <cellStyle name="Calculation 15 2 2 6 5" xfId="17808" xr:uid="{00000000-0005-0000-0000-000071450000}"/>
    <cellStyle name="Calculation 15 2 2 6 6" xfId="17809" xr:uid="{00000000-0005-0000-0000-000072450000}"/>
    <cellStyle name="Calculation 15 2 2 7" xfId="17810" xr:uid="{00000000-0005-0000-0000-000073450000}"/>
    <cellStyle name="Calculation 15 2 2 7 2" xfId="17811" xr:uid="{00000000-0005-0000-0000-000074450000}"/>
    <cellStyle name="Calculation 15 2 2 7 3" xfId="17812" xr:uid="{00000000-0005-0000-0000-000075450000}"/>
    <cellStyle name="Calculation 15 2 2 7 4" xfId="17813" xr:uid="{00000000-0005-0000-0000-000076450000}"/>
    <cellStyle name="Calculation 15 2 2 7 5" xfId="17814" xr:uid="{00000000-0005-0000-0000-000077450000}"/>
    <cellStyle name="Calculation 15 2 2 7 6" xfId="17815" xr:uid="{00000000-0005-0000-0000-000078450000}"/>
    <cellStyle name="Calculation 15 2 2 8" xfId="17816" xr:uid="{00000000-0005-0000-0000-000079450000}"/>
    <cellStyle name="Calculation 15 2 2 9" xfId="17817" xr:uid="{00000000-0005-0000-0000-00007A450000}"/>
    <cellStyle name="Calculation 15 2 20" xfId="17818" xr:uid="{00000000-0005-0000-0000-00007B450000}"/>
    <cellStyle name="Calculation 15 2 20 10" xfId="17819" xr:uid="{00000000-0005-0000-0000-00007C450000}"/>
    <cellStyle name="Calculation 15 2 20 2" xfId="17820" xr:uid="{00000000-0005-0000-0000-00007D450000}"/>
    <cellStyle name="Calculation 15 2 20 2 2" xfId="17821" xr:uid="{00000000-0005-0000-0000-00007E450000}"/>
    <cellStyle name="Calculation 15 2 20 2 3" xfId="17822" xr:uid="{00000000-0005-0000-0000-00007F450000}"/>
    <cellStyle name="Calculation 15 2 20 2 4" xfId="17823" xr:uid="{00000000-0005-0000-0000-000080450000}"/>
    <cellStyle name="Calculation 15 2 20 2 5" xfId="17824" xr:uid="{00000000-0005-0000-0000-000081450000}"/>
    <cellStyle name="Calculation 15 2 20 2 6" xfId="17825" xr:uid="{00000000-0005-0000-0000-000082450000}"/>
    <cellStyle name="Calculation 15 2 20 3" xfId="17826" xr:uid="{00000000-0005-0000-0000-000083450000}"/>
    <cellStyle name="Calculation 15 2 20 3 2" xfId="17827" xr:uid="{00000000-0005-0000-0000-000084450000}"/>
    <cellStyle name="Calculation 15 2 20 3 3" xfId="17828" xr:uid="{00000000-0005-0000-0000-000085450000}"/>
    <cellStyle name="Calculation 15 2 20 3 4" xfId="17829" xr:uid="{00000000-0005-0000-0000-000086450000}"/>
    <cellStyle name="Calculation 15 2 20 3 5" xfId="17830" xr:uid="{00000000-0005-0000-0000-000087450000}"/>
    <cellStyle name="Calculation 15 2 20 3 6" xfId="17831" xr:uid="{00000000-0005-0000-0000-000088450000}"/>
    <cellStyle name="Calculation 15 2 20 4" xfId="17832" xr:uid="{00000000-0005-0000-0000-000089450000}"/>
    <cellStyle name="Calculation 15 2 20 4 2" xfId="17833" xr:uid="{00000000-0005-0000-0000-00008A450000}"/>
    <cellStyle name="Calculation 15 2 20 4 3" xfId="17834" xr:uid="{00000000-0005-0000-0000-00008B450000}"/>
    <cellStyle name="Calculation 15 2 20 4 4" xfId="17835" xr:uid="{00000000-0005-0000-0000-00008C450000}"/>
    <cellStyle name="Calculation 15 2 20 4 5" xfId="17836" xr:uid="{00000000-0005-0000-0000-00008D450000}"/>
    <cellStyle name="Calculation 15 2 20 4 6" xfId="17837" xr:uid="{00000000-0005-0000-0000-00008E450000}"/>
    <cellStyle name="Calculation 15 2 20 5" xfId="17838" xr:uid="{00000000-0005-0000-0000-00008F450000}"/>
    <cellStyle name="Calculation 15 2 20 5 2" xfId="17839" xr:uid="{00000000-0005-0000-0000-000090450000}"/>
    <cellStyle name="Calculation 15 2 20 5 3" xfId="17840" xr:uid="{00000000-0005-0000-0000-000091450000}"/>
    <cellStyle name="Calculation 15 2 20 5 4" xfId="17841" xr:uid="{00000000-0005-0000-0000-000092450000}"/>
    <cellStyle name="Calculation 15 2 20 5 5" xfId="17842" xr:uid="{00000000-0005-0000-0000-000093450000}"/>
    <cellStyle name="Calculation 15 2 20 5 6" xfId="17843" xr:uid="{00000000-0005-0000-0000-000094450000}"/>
    <cellStyle name="Calculation 15 2 20 6" xfId="17844" xr:uid="{00000000-0005-0000-0000-000095450000}"/>
    <cellStyle name="Calculation 15 2 20 6 2" xfId="17845" xr:uid="{00000000-0005-0000-0000-000096450000}"/>
    <cellStyle name="Calculation 15 2 20 6 3" xfId="17846" xr:uid="{00000000-0005-0000-0000-000097450000}"/>
    <cellStyle name="Calculation 15 2 20 6 4" xfId="17847" xr:uid="{00000000-0005-0000-0000-000098450000}"/>
    <cellStyle name="Calculation 15 2 20 6 5" xfId="17848" xr:uid="{00000000-0005-0000-0000-000099450000}"/>
    <cellStyle name="Calculation 15 2 20 6 6" xfId="17849" xr:uid="{00000000-0005-0000-0000-00009A450000}"/>
    <cellStyle name="Calculation 15 2 20 7" xfId="17850" xr:uid="{00000000-0005-0000-0000-00009B450000}"/>
    <cellStyle name="Calculation 15 2 20 7 2" xfId="17851" xr:uid="{00000000-0005-0000-0000-00009C450000}"/>
    <cellStyle name="Calculation 15 2 20 7 3" xfId="17852" xr:uid="{00000000-0005-0000-0000-00009D450000}"/>
    <cellStyle name="Calculation 15 2 20 7 4" xfId="17853" xr:uid="{00000000-0005-0000-0000-00009E450000}"/>
    <cellStyle name="Calculation 15 2 20 7 5" xfId="17854" xr:uid="{00000000-0005-0000-0000-00009F450000}"/>
    <cellStyle name="Calculation 15 2 20 7 6" xfId="17855" xr:uid="{00000000-0005-0000-0000-0000A0450000}"/>
    <cellStyle name="Calculation 15 2 20 8" xfId="17856" xr:uid="{00000000-0005-0000-0000-0000A1450000}"/>
    <cellStyle name="Calculation 15 2 20 9" xfId="17857" xr:uid="{00000000-0005-0000-0000-0000A2450000}"/>
    <cellStyle name="Calculation 15 2 21" xfId="17858" xr:uid="{00000000-0005-0000-0000-0000A3450000}"/>
    <cellStyle name="Calculation 15 2 21 10" xfId="17859" xr:uid="{00000000-0005-0000-0000-0000A4450000}"/>
    <cellStyle name="Calculation 15 2 21 2" xfId="17860" xr:uid="{00000000-0005-0000-0000-0000A5450000}"/>
    <cellStyle name="Calculation 15 2 21 2 2" xfId="17861" xr:uid="{00000000-0005-0000-0000-0000A6450000}"/>
    <cellStyle name="Calculation 15 2 21 2 3" xfId="17862" xr:uid="{00000000-0005-0000-0000-0000A7450000}"/>
    <cellStyle name="Calculation 15 2 21 2 4" xfId="17863" xr:uid="{00000000-0005-0000-0000-0000A8450000}"/>
    <cellStyle name="Calculation 15 2 21 2 5" xfId="17864" xr:uid="{00000000-0005-0000-0000-0000A9450000}"/>
    <cellStyle name="Calculation 15 2 21 2 6" xfId="17865" xr:uid="{00000000-0005-0000-0000-0000AA450000}"/>
    <cellStyle name="Calculation 15 2 21 3" xfId="17866" xr:uid="{00000000-0005-0000-0000-0000AB450000}"/>
    <cellStyle name="Calculation 15 2 21 3 2" xfId="17867" xr:uid="{00000000-0005-0000-0000-0000AC450000}"/>
    <cellStyle name="Calculation 15 2 21 3 3" xfId="17868" xr:uid="{00000000-0005-0000-0000-0000AD450000}"/>
    <cellStyle name="Calculation 15 2 21 3 4" xfId="17869" xr:uid="{00000000-0005-0000-0000-0000AE450000}"/>
    <cellStyle name="Calculation 15 2 21 3 5" xfId="17870" xr:uid="{00000000-0005-0000-0000-0000AF450000}"/>
    <cellStyle name="Calculation 15 2 21 3 6" xfId="17871" xr:uid="{00000000-0005-0000-0000-0000B0450000}"/>
    <cellStyle name="Calculation 15 2 21 4" xfId="17872" xr:uid="{00000000-0005-0000-0000-0000B1450000}"/>
    <cellStyle name="Calculation 15 2 21 4 2" xfId="17873" xr:uid="{00000000-0005-0000-0000-0000B2450000}"/>
    <cellStyle name="Calculation 15 2 21 4 3" xfId="17874" xr:uid="{00000000-0005-0000-0000-0000B3450000}"/>
    <cellStyle name="Calculation 15 2 21 4 4" xfId="17875" xr:uid="{00000000-0005-0000-0000-0000B4450000}"/>
    <cellStyle name="Calculation 15 2 21 4 5" xfId="17876" xr:uid="{00000000-0005-0000-0000-0000B5450000}"/>
    <cellStyle name="Calculation 15 2 21 4 6" xfId="17877" xr:uid="{00000000-0005-0000-0000-0000B6450000}"/>
    <cellStyle name="Calculation 15 2 21 5" xfId="17878" xr:uid="{00000000-0005-0000-0000-0000B7450000}"/>
    <cellStyle name="Calculation 15 2 21 5 2" xfId="17879" xr:uid="{00000000-0005-0000-0000-0000B8450000}"/>
    <cellStyle name="Calculation 15 2 21 5 3" xfId="17880" xr:uid="{00000000-0005-0000-0000-0000B9450000}"/>
    <cellStyle name="Calculation 15 2 21 5 4" xfId="17881" xr:uid="{00000000-0005-0000-0000-0000BA450000}"/>
    <cellStyle name="Calculation 15 2 21 5 5" xfId="17882" xr:uid="{00000000-0005-0000-0000-0000BB450000}"/>
    <cellStyle name="Calculation 15 2 21 5 6" xfId="17883" xr:uid="{00000000-0005-0000-0000-0000BC450000}"/>
    <cellStyle name="Calculation 15 2 21 6" xfId="17884" xr:uid="{00000000-0005-0000-0000-0000BD450000}"/>
    <cellStyle name="Calculation 15 2 21 6 2" xfId="17885" xr:uid="{00000000-0005-0000-0000-0000BE450000}"/>
    <cellStyle name="Calculation 15 2 21 6 3" xfId="17886" xr:uid="{00000000-0005-0000-0000-0000BF450000}"/>
    <cellStyle name="Calculation 15 2 21 6 4" xfId="17887" xr:uid="{00000000-0005-0000-0000-0000C0450000}"/>
    <cellStyle name="Calculation 15 2 21 6 5" xfId="17888" xr:uid="{00000000-0005-0000-0000-0000C1450000}"/>
    <cellStyle name="Calculation 15 2 21 6 6" xfId="17889" xr:uid="{00000000-0005-0000-0000-0000C2450000}"/>
    <cellStyle name="Calculation 15 2 21 7" xfId="17890" xr:uid="{00000000-0005-0000-0000-0000C3450000}"/>
    <cellStyle name="Calculation 15 2 21 7 2" xfId="17891" xr:uid="{00000000-0005-0000-0000-0000C4450000}"/>
    <cellStyle name="Calculation 15 2 21 7 3" xfId="17892" xr:uid="{00000000-0005-0000-0000-0000C5450000}"/>
    <cellStyle name="Calculation 15 2 21 7 4" xfId="17893" xr:uid="{00000000-0005-0000-0000-0000C6450000}"/>
    <cellStyle name="Calculation 15 2 21 7 5" xfId="17894" xr:uid="{00000000-0005-0000-0000-0000C7450000}"/>
    <cellStyle name="Calculation 15 2 21 7 6" xfId="17895" xr:uid="{00000000-0005-0000-0000-0000C8450000}"/>
    <cellStyle name="Calculation 15 2 21 8" xfId="17896" xr:uid="{00000000-0005-0000-0000-0000C9450000}"/>
    <cellStyle name="Calculation 15 2 21 9" xfId="17897" xr:uid="{00000000-0005-0000-0000-0000CA450000}"/>
    <cellStyle name="Calculation 15 2 22" xfId="17898" xr:uid="{00000000-0005-0000-0000-0000CB450000}"/>
    <cellStyle name="Calculation 15 2 22 10" xfId="17899" xr:uid="{00000000-0005-0000-0000-0000CC450000}"/>
    <cellStyle name="Calculation 15 2 22 2" xfId="17900" xr:uid="{00000000-0005-0000-0000-0000CD450000}"/>
    <cellStyle name="Calculation 15 2 22 2 2" xfId="17901" xr:uid="{00000000-0005-0000-0000-0000CE450000}"/>
    <cellStyle name="Calculation 15 2 22 2 3" xfId="17902" xr:uid="{00000000-0005-0000-0000-0000CF450000}"/>
    <cellStyle name="Calculation 15 2 22 2 4" xfId="17903" xr:uid="{00000000-0005-0000-0000-0000D0450000}"/>
    <cellStyle name="Calculation 15 2 22 2 5" xfId="17904" xr:uid="{00000000-0005-0000-0000-0000D1450000}"/>
    <cellStyle name="Calculation 15 2 22 2 6" xfId="17905" xr:uid="{00000000-0005-0000-0000-0000D2450000}"/>
    <cellStyle name="Calculation 15 2 22 3" xfId="17906" xr:uid="{00000000-0005-0000-0000-0000D3450000}"/>
    <cellStyle name="Calculation 15 2 22 3 2" xfId="17907" xr:uid="{00000000-0005-0000-0000-0000D4450000}"/>
    <cellStyle name="Calculation 15 2 22 3 3" xfId="17908" xr:uid="{00000000-0005-0000-0000-0000D5450000}"/>
    <cellStyle name="Calculation 15 2 22 3 4" xfId="17909" xr:uid="{00000000-0005-0000-0000-0000D6450000}"/>
    <cellStyle name="Calculation 15 2 22 3 5" xfId="17910" xr:uid="{00000000-0005-0000-0000-0000D7450000}"/>
    <cellStyle name="Calculation 15 2 22 3 6" xfId="17911" xr:uid="{00000000-0005-0000-0000-0000D8450000}"/>
    <cellStyle name="Calculation 15 2 22 4" xfId="17912" xr:uid="{00000000-0005-0000-0000-0000D9450000}"/>
    <cellStyle name="Calculation 15 2 22 4 2" xfId="17913" xr:uid="{00000000-0005-0000-0000-0000DA450000}"/>
    <cellStyle name="Calculation 15 2 22 4 3" xfId="17914" xr:uid="{00000000-0005-0000-0000-0000DB450000}"/>
    <cellStyle name="Calculation 15 2 22 4 4" xfId="17915" xr:uid="{00000000-0005-0000-0000-0000DC450000}"/>
    <cellStyle name="Calculation 15 2 22 4 5" xfId="17916" xr:uid="{00000000-0005-0000-0000-0000DD450000}"/>
    <cellStyle name="Calculation 15 2 22 4 6" xfId="17917" xr:uid="{00000000-0005-0000-0000-0000DE450000}"/>
    <cellStyle name="Calculation 15 2 22 5" xfId="17918" xr:uid="{00000000-0005-0000-0000-0000DF450000}"/>
    <cellStyle name="Calculation 15 2 22 5 2" xfId="17919" xr:uid="{00000000-0005-0000-0000-0000E0450000}"/>
    <cellStyle name="Calculation 15 2 22 5 3" xfId="17920" xr:uid="{00000000-0005-0000-0000-0000E1450000}"/>
    <cellStyle name="Calculation 15 2 22 5 4" xfId="17921" xr:uid="{00000000-0005-0000-0000-0000E2450000}"/>
    <cellStyle name="Calculation 15 2 22 5 5" xfId="17922" xr:uid="{00000000-0005-0000-0000-0000E3450000}"/>
    <cellStyle name="Calculation 15 2 22 5 6" xfId="17923" xr:uid="{00000000-0005-0000-0000-0000E4450000}"/>
    <cellStyle name="Calculation 15 2 22 6" xfId="17924" xr:uid="{00000000-0005-0000-0000-0000E5450000}"/>
    <cellStyle name="Calculation 15 2 22 6 2" xfId="17925" xr:uid="{00000000-0005-0000-0000-0000E6450000}"/>
    <cellStyle name="Calculation 15 2 22 6 3" xfId="17926" xr:uid="{00000000-0005-0000-0000-0000E7450000}"/>
    <cellStyle name="Calculation 15 2 22 6 4" xfId="17927" xr:uid="{00000000-0005-0000-0000-0000E8450000}"/>
    <cellStyle name="Calculation 15 2 22 6 5" xfId="17928" xr:uid="{00000000-0005-0000-0000-0000E9450000}"/>
    <cellStyle name="Calculation 15 2 22 6 6" xfId="17929" xr:uid="{00000000-0005-0000-0000-0000EA450000}"/>
    <cellStyle name="Calculation 15 2 22 7" xfId="17930" xr:uid="{00000000-0005-0000-0000-0000EB450000}"/>
    <cellStyle name="Calculation 15 2 22 7 2" xfId="17931" xr:uid="{00000000-0005-0000-0000-0000EC450000}"/>
    <cellStyle name="Calculation 15 2 22 7 3" xfId="17932" xr:uid="{00000000-0005-0000-0000-0000ED450000}"/>
    <cellStyle name="Calculation 15 2 22 7 4" xfId="17933" xr:uid="{00000000-0005-0000-0000-0000EE450000}"/>
    <cellStyle name="Calculation 15 2 22 7 5" xfId="17934" xr:uid="{00000000-0005-0000-0000-0000EF450000}"/>
    <cellStyle name="Calculation 15 2 22 7 6" xfId="17935" xr:uid="{00000000-0005-0000-0000-0000F0450000}"/>
    <cellStyle name="Calculation 15 2 22 8" xfId="17936" xr:uid="{00000000-0005-0000-0000-0000F1450000}"/>
    <cellStyle name="Calculation 15 2 22 9" xfId="17937" xr:uid="{00000000-0005-0000-0000-0000F2450000}"/>
    <cellStyle name="Calculation 15 2 23" xfId="17938" xr:uid="{00000000-0005-0000-0000-0000F3450000}"/>
    <cellStyle name="Calculation 15 2 23 10" xfId="17939" xr:uid="{00000000-0005-0000-0000-0000F4450000}"/>
    <cellStyle name="Calculation 15 2 23 2" xfId="17940" xr:uid="{00000000-0005-0000-0000-0000F5450000}"/>
    <cellStyle name="Calculation 15 2 23 2 2" xfId="17941" xr:uid="{00000000-0005-0000-0000-0000F6450000}"/>
    <cellStyle name="Calculation 15 2 23 2 3" xfId="17942" xr:uid="{00000000-0005-0000-0000-0000F7450000}"/>
    <cellStyle name="Calculation 15 2 23 2 4" xfId="17943" xr:uid="{00000000-0005-0000-0000-0000F8450000}"/>
    <cellStyle name="Calculation 15 2 23 2 5" xfId="17944" xr:uid="{00000000-0005-0000-0000-0000F9450000}"/>
    <cellStyle name="Calculation 15 2 23 2 6" xfId="17945" xr:uid="{00000000-0005-0000-0000-0000FA450000}"/>
    <cellStyle name="Calculation 15 2 23 3" xfId="17946" xr:uid="{00000000-0005-0000-0000-0000FB450000}"/>
    <cellStyle name="Calculation 15 2 23 3 2" xfId="17947" xr:uid="{00000000-0005-0000-0000-0000FC450000}"/>
    <cellStyle name="Calculation 15 2 23 3 3" xfId="17948" xr:uid="{00000000-0005-0000-0000-0000FD450000}"/>
    <cellStyle name="Calculation 15 2 23 3 4" xfId="17949" xr:uid="{00000000-0005-0000-0000-0000FE450000}"/>
    <cellStyle name="Calculation 15 2 23 3 5" xfId="17950" xr:uid="{00000000-0005-0000-0000-0000FF450000}"/>
    <cellStyle name="Calculation 15 2 23 3 6" xfId="17951" xr:uid="{00000000-0005-0000-0000-000000460000}"/>
    <cellStyle name="Calculation 15 2 23 4" xfId="17952" xr:uid="{00000000-0005-0000-0000-000001460000}"/>
    <cellStyle name="Calculation 15 2 23 4 2" xfId="17953" xr:uid="{00000000-0005-0000-0000-000002460000}"/>
    <cellStyle name="Calculation 15 2 23 4 3" xfId="17954" xr:uid="{00000000-0005-0000-0000-000003460000}"/>
    <cellStyle name="Calculation 15 2 23 4 4" xfId="17955" xr:uid="{00000000-0005-0000-0000-000004460000}"/>
    <cellStyle name="Calculation 15 2 23 4 5" xfId="17956" xr:uid="{00000000-0005-0000-0000-000005460000}"/>
    <cellStyle name="Calculation 15 2 23 4 6" xfId="17957" xr:uid="{00000000-0005-0000-0000-000006460000}"/>
    <cellStyle name="Calculation 15 2 23 5" xfId="17958" xr:uid="{00000000-0005-0000-0000-000007460000}"/>
    <cellStyle name="Calculation 15 2 23 5 2" xfId="17959" xr:uid="{00000000-0005-0000-0000-000008460000}"/>
    <cellStyle name="Calculation 15 2 23 5 3" xfId="17960" xr:uid="{00000000-0005-0000-0000-000009460000}"/>
    <cellStyle name="Calculation 15 2 23 5 4" xfId="17961" xr:uid="{00000000-0005-0000-0000-00000A460000}"/>
    <cellStyle name="Calculation 15 2 23 5 5" xfId="17962" xr:uid="{00000000-0005-0000-0000-00000B460000}"/>
    <cellStyle name="Calculation 15 2 23 5 6" xfId="17963" xr:uid="{00000000-0005-0000-0000-00000C460000}"/>
    <cellStyle name="Calculation 15 2 23 6" xfId="17964" xr:uid="{00000000-0005-0000-0000-00000D460000}"/>
    <cellStyle name="Calculation 15 2 23 6 2" xfId="17965" xr:uid="{00000000-0005-0000-0000-00000E460000}"/>
    <cellStyle name="Calculation 15 2 23 6 3" xfId="17966" xr:uid="{00000000-0005-0000-0000-00000F460000}"/>
    <cellStyle name="Calculation 15 2 23 6 4" xfId="17967" xr:uid="{00000000-0005-0000-0000-000010460000}"/>
    <cellStyle name="Calculation 15 2 23 6 5" xfId="17968" xr:uid="{00000000-0005-0000-0000-000011460000}"/>
    <cellStyle name="Calculation 15 2 23 6 6" xfId="17969" xr:uid="{00000000-0005-0000-0000-000012460000}"/>
    <cellStyle name="Calculation 15 2 23 7" xfId="17970" xr:uid="{00000000-0005-0000-0000-000013460000}"/>
    <cellStyle name="Calculation 15 2 23 7 2" xfId="17971" xr:uid="{00000000-0005-0000-0000-000014460000}"/>
    <cellStyle name="Calculation 15 2 23 7 3" xfId="17972" xr:uid="{00000000-0005-0000-0000-000015460000}"/>
    <cellStyle name="Calculation 15 2 23 7 4" xfId="17973" xr:uid="{00000000-0005-0000-0000-000016460000}"/>
    <cellStyle name="Calculation 15 2 23 7 5" xfId="17974" xr:uid="{00000000-0005-0000-0000-000017460000}"/>
    <cellStyle name="Calculation 15 2 23 7 6" xfId="17975" xr:uid="{00000000-0005-0000-0000-000018460000}"/>
    <cellStyle name="Calculation 15 2 23 8" xfId="17976" xr:uid="{00000000-0005-0000-0000-000019460000}"/>
    <cellStyle name="Calculation 15 2 23 9" xfId="17977" xr:uid="{00000000-0005-0000-0000-00001A460000}"/>
    <cellStyle name="Calculation 15 2 24" xfId="17978" xr:uid="{00000000-0005-0000-0000-00001B460000}"/>
    <cellStyle name="Calculation 15 2 24 10" xfId="17979" xr:uid="{00000000-0005-0000-0000-00001C460000}"/>
    <cellStyle name="Calculation 15 2 24 2" xfId="17980" xr:uid="{00000000-0005-0000-0000-00001D460000}"/>
    <cellStyle name="Calculation 15 2 24 2 2" xfId="17981" xr:uid="{00000000-0005-0000-0000-00001E460000}"/>
    <cellStyle name="Calculation 15 2 24 2 3" xfId="17982" xr:uid="{00000000-0005-0000-0000-00001F460000}"/>
    <cellStyle name="Calculation 15 2 24 2 4" xfId="17983" xr:uid="{00000000-0005-0000-0000-000020460000}"/>
    <cellStyle name="Calculation 15 2 24 2 5" xfId="17984" xr:uid="{00000000-0005-0000-0000-000021460000}"/>
    <cellStyle name="Calculation 15 2 24 2 6" xfId="17985" xr:uid="{00000000-0005-0000-0000-000022460000}"/>
    <cellStyle name="Calculation 15 2 24 3" xfId="17986" xr:uid="{00000000-0005-0000-0000-000023460000}"/>
    <cellStyle name="Calculation 15 2 24 3 2" xfId="17987" xr:uid="{00000000-0005-0000-0000-000024460000}"/>
    <cellStyle name="Calculation 15 2 24 3 3" xfId="17988" xr:uid="{00000000-0005-0000-0000-000025460000}"/>
    <cellStyle name="Calculation 15 2 24 3 4" xfId="17989" xr:uid="{00000000-0005-0000-0000-000026460000}"/>
    <cellStyle name="Calculation 15 2 24 3 5" xfId="17990" xr:uid="{00000000-0005-0000-0000-000027460000}"/>
    <cellStyle name="Calculation 15 2 24 3 6" xfId="17991" xr:uid="{00000000-0005-0000-0000-000028460000}"/>
    <cellStyle name="Calculation 15 2 24 4" xfId="17992" xr:uid="{00000000-0005-0000-0000-000029460000}"/>
    <cellStyle name="Calculation 15 2 24 4 2" xfId="17993" xr:uid="{00000000-0005-0000-0000-00002A460000}"/>
    <cellStyle name="Calculation 15 2 24 4 3" xfId="17994" xr:uid="{00000000-0005-0000-0000-00002B460000}"/>
    <cellStyle name="Calculation 15 2 24 4 4" xfId="17995" xr:uid="{00000000-0005-0000-0000-00002C460000}"/>
    <cellStyle name="Calculation 15 2 24 4 5" xfId="17996" xr:uid="{00000000-0005-0000-0000-00002D460000}"/>
    <cellStyle name="Calculation 15 2 24 4 6" xfId="17997" xr:uid="{00000000-0005-0000-0000-00002E460000}"/>
    <cellStyle name="Calculation 15 2 24 5" xfId="17998" xr:uid="{00000000-0005-0000-0000-00002F460000}"/>
    <cellStyle name="Calculation 15 2 24 5 2" xfId="17999" xr:uid="{00000000-0005-0000-0000-000030460000}"/>
    <cellStyle name="Calculation 15 2 24 5 3" xfId="18000" xr:uid="{00000000-0005-0000-0000-000031460000}"/>
    <cellStyle name="Calculation 15 2 24 5 4" xfId="18001" xr:uid="{00000000-0005-0000-0000-000032460000}"/>
    <cellStyle name="Calculation 15 2 24 5 5" xfId="18002" xr:uid="{00000000-0005-0000-0000-000033460000}"/>
    <cellStyle name="Calculation 15 2 24 5 6" xfId="18003" xr:uid="{00000000-0005-0000-0000-000034460000}"/>
    <cellStyle name="Calculation 15 2 24 6" xfId="18004" xr:uid="{00000000-0005-0000-0000-000035460000}"/>
    <cellStyle name="Calculation 15 2 24 6 2" xfId="18005" xr:uid="{00000000-0005-0000-0000-000036460000}"/>
    <cellStyle name="Calculation 15 2 24 6 3" xfId="18006" xr:uid="{00000000-0005-0000-0000-000037460000}"/>
    <cellStyle name="Calculation 15 2 24 6 4" xfId="18007" xr:uid="{00000000-0005-0000-0000-000038460000}"/>
    <cellStyle name="Calculation 15 2 24 6 5" xfId="18008" xr:uid="{00000000-0005-0000-0000-000039460000}"/>
    <cellStyle name="Calculation 15 2 24 6 6" xfId="18009" xr:uid="{00000000-0005-0000-0000-00003A460000}"/>
    <cellStyle name="Calculation 15 2 24 7" xfId="18010" xr:uid="{00000000-0005-0000-0000-00003B460000}"/>
    <cellStyle name="Calculation 15 2 24 7 2" xfId="18011" xr:uid="{00000000-0005-0000-0000-00003C460000}"/>
    <cellStyle name="Calculation 15 2 24 7 3" xfId="18012" xr:uid="{00000000-0005-0000-0000-00003D460000}"/>
    <cellStyle name="Calculation 15 2 24 7 4" xfId="18013" xr:uid="{00000000-0005-0000-0000-00003E460000}"/>
    <cellStyle name="Calculation 15 2 24 7 5" xfId="18014" xr:uid="{00000000-0005-0000-0000-00003F460000}"/>
    <cellStyle name="Calculation 15 2 24 7 6" xfId="18015" xr:uid="{00000000-0005-0000-0000-000040460000}"/>
    <cellStyle name="Calculation 15 2 24 8" xfId="18016" xr:uid="{00000000-0005-0000-0000-000041460000}"/>
    <cellStyle name="Calculation 15 2 24 9" xfId="18017" xr:uid="{00000000-0005-0000-0000-000042460000}"/>
    <cellStyle name="Calculation 15 2 25" xfId="18018" xr:uid="{00000000-0005-0000-0000-000043460000}"/>
    <cellStyle name="Calculation 15 2 25 10" xfId="18019" xr:uid="{00000000-0005-0000-0000-000044460000}"/>
    <cellStyle name="Calculation 15 2 25 2" xfId="18020" xr:uid="{00000000-0005-0000-0000-000045460000}"/>
    <cellStyle name="Calculation 15 2 25 2 2" xfId="18021" xr:uid="{00000000-0005-0000-0000-000046460000}"/>
    <cellStyle name="Calculation 15 2 25 2 3" xfId="18022" xr:uid="{00000000-0005-0000-0000-000047460000}"/>
    <cellStyle name="Calculation 15 2 25 2 4" xfId="18023" xr:uid="{00000000-0005-0000-0000-000048460000}"/>
    <cellStyle name="Calculation 15 2 25 2 5" xfId="18024" xr:uid="{00000000-0005-0000-0000-000049460000}"/>
    <cellStyle name="Calculation 15 2 25 2 6" xfId="18025" xr:uid="{00000000-0005-0000-0000-00004A460000}"/>
    <cellStyle name="Calculation 15 2 25 3" xfId="18026" xr:uid="{00000000-0005-0000-0000-00004B460000}"/>
    <cellStyle name="Calculation 15 2 25 3 2" xfId="18027" xr:uid="{00000000-0005-0000-0000-00004C460000}"/>
    <cellStyle name="Calculation 15 2 25 3 3" xfId="18028" xr:uid="{00000000-0005-0000-0000-00004D460000}"/>
    <cellStyle name="Calculation 15 2 25 3 4" xfId="18029" xr:uid="{00000000-0005-0000-0000-00004E460000}"/>
    <cellStyle name="Calculation 15 2 25 3 5" xfId="18030" xr:uid="{00000000-0005-0000-0000-00004F460000}"/>
    <cellStyle name="Calculation 15 2 25 3 6" xfId="18031" xr:uid="{00000000-0005-0000-0000-000050460000}"/>
    <cellStyle name="Calculation 15 2 25 4" xfId="18032" xr:uid="{00000000-0005-0000-0000-000051460000}"/>
    <cellStyle name="Calculation 15 2 25 4 2" xfId="18033" xr:uid="{00000000-0005-0000-0000-000052460000}"/>
    <cellStyle name="Calculation 15 2 25 4 3" xfId="18034" xr:uid="{00000000-0005-0000-0000-000053460000}"/>
    <cellStyle name="Calculation 15 2 25 4 4" xfId="18035" xr:uid="{00000000-0005-0000-0000-000054460000}"/>
    <cellStyle name="Calculation 15 2 25 4 5" xfId="18036" xr:uid="{00000000-0005-0000-0000-000055460000}"/>
    <cellStyle name="Calculation 15 2 25 4 6" xfId="18037" xr:uid="{00000000-0005-0000-0000-000056460000}"/>
    <cellStyle name="Calculation 15 2 25 5" xfId="18038" xr:uid="{00000000-0005-0000-0000-000057460000}"/>
    <cellStyle name="Calculation 15 2 25 5 2" xfId="18039" xr:uid="{00000000-0005-0000-0000-000058460000}"/>
    <cellStyle name="Calculation 15 2 25 5 3" xfId="18040" xr:uid="{00000000-0005-0000-0000-000059460000}"/>
    <cellStyle name="Calculation 15 2 25 5 4" xfId="18041" xr:uid="{00000000-0005-0000-0000-00005A460000}"/>
    <cellStyle name="Calculation 15 2 25 5 5" xfId="18042" xr:uid="{00000000-0005-0000-0000-00005B460000}"/>
    <cellStyle name="Calculation 15 2 25 5 6" xfId="18043" xr:uid="{00000000-0005-0000-0000-00005C460000}"/>
    <cellStyle name="Calculation 15 2 25 6" xfId="18044" xr:uid="{00000000-0005-0000-0000-00005D460000}"/>
    <cellStyle name="Calculation 15 2 25 6 2" xfId="18045" xr:uid="{00000000-0005-0000-0000-00005E460000}"/>
    <cellStyle name="Calculation 15 2 25 6 3" xfId="18046" xr:uid="{00000000-0005-0000-0000-00005F460000}"/>
    <cellStyle name="Calculation 15 2 25 6 4" xfId="18047" xr:uid="{00000000-0005-0000-0000-000060460000}"/>
    <cellStyle name="Calculation 15 2 25 6 5" xfId="18048" xr:uid="{00000000-0005-0000-0000-000061460000}"/>
    <cellStyle name="Calculation 15 2 25 6 6" xfId="18049" xr:uid="{00000000-0005-0000-0000-000062460000}"/>
    <cellStyle name="Calculation 15 2 25 7" xfId="18050" xr:uid="{00000000-0005-0000-0000-000063460000}"/>
    <cellStyle name="Calculation 15 2 25 7 2" xfId="18051" xr:uid="{00000000-0005-0000-0000-000064460000}"/>
    <cellStyle name="Calculation 15 2 25 7 3" xfId="18052" xr:uid="{00000000-0005-0000-0000-000065460000}"/>
    <cellStyle name="Calculation 15 2 25 7 4" xfId="18053" xr:uid="{00000000-0005-0000-0000-000066460000}"/>
    <cellStyle name="Calculation 15 2 25 7 5" xfId="18054" xr:uid="{00000000-0005-0000-0000-000067460000}"/>
    <cellStyle name="Calculation 15 2 25 7 6" xfId="18055" xr:uid="{00000000-0005-0000-0000-000068460000}"/>
    <cellStyle name="Calculation 15 2 25 8" xfId="18056" xr:uid="{00000000-0005-0000-0000-000069460000}"/>
    <cellStyle name="Calculation 15 2 25 9" xfId="18057" xr:uid="{00000000-0005-0000-0000-00006A460000}"/>
    <cellStyle name="Calculation 15 2 26" xfId="18058" xr:uid="{00000000-0005-0000-0000-00006B460000}"/>
    <cellStyle name="Calculation 15 2 26 10" xfId="18059" xr:uid="{00000000-0005-0000-0000-00006C460000}"/>
    <cellStyle name="Calculation 15 2 26 2" xfId="18060" xr:uid="{00000000-0005-0000-0000-00006D460000}"/>
    <cellStyle name="Calculation 15 2 26 2 2" xfId="18061" xr:uid="{00000000-0005-0000-0000-00006E460000}"/>
    <cellStyle name="Calculation 15 2 26 2 3" xfId="18062" xr:uid="{00000000-0005-0000-0000-00006F460000}"/>
    <cellStyle name="Calculation 15 2 26 2 4" xfId="18063" xr:uid="{00000000-0005-0000-0000-000070460000}"/>
    <cellStyle name="Calculation 15 2 26 2 5" xfId="18064" xr:uid="{00000000-0005-0000-0000-000071460000}"/>
    <cellStyle name="Calculation 15 2 26 2 6" xfId="18065" xr:uid="{00000000-0005-0000-0000-000072460000}"/>
    <cellStyle name="Calculation 15 2 26 3" xfId="18066" xr:uid="{00000000-0005-0000-0000-000073460000}"/>
    <cellStyle name="Calculation 15 2 26 3 2" xfId="18067" xr:uid="{00000000-0005-0000-0000-000074460000}"/>
    <cellStyle name="Calculation 15 2 26 3 3" xfId="18068" xr:uid="{00000000-0005-0000-0000-000075460000}"/>
    <cellStyle name="Calculation 15 2 26 3 4" xfId="18069" xr:uid="{00000000-0005-0000-0000-000076460000}"/>
    <cellStyle name="Calculation 15 2 26 3 5" xfId="18070" xr:uid="{00000000-0005-0000-0000-000077460000}"/>
    <cellStyle name="Calculation 15 2 26 3 6" xfId="18071" xr:uid="{00000000-0005-0000-0000-000078460000}"/>
    <cellStyle name="Calculation 15 2 26 4" xfId="18072" xr:uid="{00000000-0005-0000-0000-000079460000}"/>
    <cellStyle name="Calculation 15 2 26 4 2" xfId="18073" xr:uid="{00000000-0005-0000-0000-00007A460000}"/>
    <cellStyle name="Calculation 15 2 26 4 3" xfId="18074" xr:uid="{00000000-0005-0000-0000-00007B460000}"/>
    <cellStyle name="Calculation 15 2 26 4 4" xfId="18075" xr:uid="{00000000-0005-0000-0000-00007C460000}"/>
    <cellStyle name="Calculation 15 2 26 4 5" xfId="18076" xr:uid="{00000000-0005-0000-0000-00007D460000}"/>
    <cellStyle name="Calculation 15 2 26 4 6" xfId="18077" xr:uid="{00000000-0005-0000-0000-00007E460000}"/>
    <cellStyle name="Calculation 15 2 26 5" xfId="18078" xr:uid="{00000000-0005-0000-0000-00007F460000}"/>
    <cellStyle name="Calculation 15 2 26 5 2" xfId="18079" xr:uid="{00000000-0005-0000-0000-000080460000}"/>
    <cellStyle name="Calculation 15 2 26 5 3" xfId="18080" xr:uid="{00000000-0005-0000-0000-000081460000}"/>
    <cellStyle name="Calculation 15 2 26 5 4" xfId="18081" xr:uid="{00000000-0005-0000-0000-000082460000}"/>
    <cellStyle name="Calculation 15 2 26 5 5" xfId="18082" xr:uid="{00000000-0005-0000-0000-000083460000}"/>
    <cellStyle name="Calculation 15 2 26 5 6" xfId="18083" xr:uid="{00000000-0005-0000-0000-000084460000}"/>
    <cellStyle name="Calculation 15 2 26 6" xfId="18084" xr:uid="{00000000-0005-0000-0000-000085460000}"/>
    <cellStyle name="Calculation 15 2 26 6 2" xfId="18085" xr:uid="{00000000-0005-0000-0000-000086460000}"/>
    <cellStyle name="Calculation 15 2 26 6 3" xfId="18086" xr:uid="{00000000-0005-0000-0000-000087460000}"/>
    <cellStyle name="Calculation 15 2 26 6 4" xfId="18087" xr:uid="{00000000-0005-0000-0000-000088460000}"/>
    <cellStyle name="Calculation 15 2 26 6 5" xfId="18088" xr:uid="{00000000-0005-0000-0000-000089460000}"/>
    <cellStyle name="Calculation 15 2 26 6 6" xfId="18089" xr:uid="{00000000-0005-0000-0000-00008A460000}"/>
    <cellStyle name="Calculation 15 2 26 7" xfId="18090" xr:uid="{00000000-0005-0000-0000-00008B460000}"/>
    <cellStyle name="Calculation 15 2 26 7 2" xfId="18091" xr:uid="{00000000-0005-0000-0000-00008C460000}"/>
    <cellStyle name="Calculation 15 2 26 7 3" xfId="18092" xr:uid="{00000000-0005-0000-0000-00008D460000}"/>
    <cellStyle name="Calculation 15 2 26 7 4" xfId="18093" xr:uid="{00000000-0005-0000-0000-00008E460000}"/>
    <cellStyle name="Calculation 15 2 26 7 5" xfId="18094" xr:uid="{00000000-0005-0000-0000-00008F460000}"/>
    <cellStyle name="Calculation 15 2 26 7 6" xfId="18095" xr:uid="{00000000-0005-0000-0000-000090460000}"/>
    <cellStyle name="Calculation 15 2 26 8" xfId="18096" xr:uid="{00000000-0005-0000-0000-000091460000}"/>
    <cellStyle name="Calculation 15 2 26 9" xfId="18097" xr:uid="{00000000-0005-0000-0000-000092460000}"/>
    <cellStyle name="Calculation 15 2 27" xfId="18098" xr:uid="{00000000-0005-0000-0000-000093460000}"/>
    <cellStyle name="Calculation 15 2 27 2" xfId="18099" xr:uid="{00000000-0005-0000-0000-000094460000}"/>
    <cellStyle name="Calculation 15 2 27 3" xfId="18100" xr:uid="{00000000-0005-0000-0000-000095460000}"/>
    <cellStyle name="Calculation 15 2 27 4" xfId="18101" xr:uid="{00000000-0005-0000-0000-000096460000}"/>
    <cellStyle name="Calculation 15 2 27 5" xfId="18102" xr:uid="{00000000-0005-0000-0000-000097460000}"/>
    <cellStyle name="Calculation 15 2 27 6" xfId="18103" xr:uid="{00000000-0005-0000-0000-000098460000}"/>
    <cellStyle name="Calculation 15 2 28" xfId="18104" xr:uid="{00000000-0005-0000-0000-000099460000}"/>
    <cellStyle name="Calculation 15 2 28 2" xfId="18105" xr:uid="{00000000-0005-0000-0000-00009A460000}"/>
    <cellStyle name="Calculation 15 2 28 3" xfId="18106" xr:uid="{00000000-0005-0000-0000-00009B460000}"/>
    <cellStyle name="Calculation 15 2 28 4" xfId="18107" xr:uid="{00000000-0005-0000-0000-00009C460000}"/>
    <cellStyle name="Calculation 15 2 28 5" xfId="18108" xr:uid="{00000000-0005-0000-0000-00009D460000}"/>
    <cellStyle name="Calculation 15 2 28 6" xfId="18109" xr:uid="{00000000-0005-0000-0000-00009E460000}"/>
    <cellStyle name="Calculation 15 2 29" xfId="18110" xr:uid="{00000000-0005-0000-0000-00009F460000}"/>
    <cellStyle name="Calculation 15 2 29 2" xfId="18111" xr:uid="{00000000-0005-0000-0000-0000A0460000}"/>
    <cellStyle name="Calculation 15 2 29 3" xfId="18112" xr:uid="{00000000-0005-0000-0000-0000A1460000}"/>
    <cellStyle name="Calculation 15 2 29 4" xfId="18113" xr:uid="{00000000-0005-0000-0000-0000A2460000}"/>
    <cellStyle name="Calculation 15 2 29 5" xfId="18114" xr:uid="{00000000-0005-0000-0000-0000A3460000}"/>
    <cellStyle name="Calculation 15 2 29 6" xfId="18115" xr:uid="{00000000-0005-0000-0000-0000A4460000}"/>
    <cellStyle name="Calculation 15 2 3" xfId="18116" xr:uid="{00000000-0005-0000-0000-0000A5460000}"/>
    <cellStyle name="Calculation 15 2 3 10" xfId="18117" xr:uid="{00000000-0005-0000-0000-0000A6460000}"/>
    <cellStyle name="Calculation 15 2 3 2" xfId="18118" xr:uid="{00000000-0005-0000-0000-0000A7460000}"/>
    <cellStyle name="Calculation 15 2 3 2 2" xfId="18119" xr:uid="{00000000-0005-0000-0000-0000A8460000}"/>
    <cellStyle name="Calculation 15 2 3 2 3" xfId="18120" xr:uid="{00000000-0005-0000-0000-0000A9460000}"/>
    <cellStyle name="Calculation 15 2 3 2 4" xfId="18121" xr:uid="{00000000-0005-0000-0000-0000AA460000}"/>
    <cellStyle name="Calculation 15 2 3 2 5" xfId="18122" xr:uid="{00000000-0005-0000-0000-0000AB460000}"/>
    <cellStyle name="Calculation 15 2 3 2 6" xfId="18123" xr:uid="{00000000-0005-0000-0000-0000AC460000}"/>
    <cellStyle name="Calculation 15 2 3 3" xfId="18124" xr:uid="{00000000-0005-0000-0000-0000AD460000}"/>
    <cellStyle name="Calculation 15 2 3 3 2" xfId="18125" xr:uid="{00000000-0005-0000-0000-0000AE460000}"/>
    <cellStyle name="Calculation 15 2 3 3 3" xfId="18126" xr:uid="{00000000-0005-0000-0000-0000AF460000}"/>
    <cellStyle name="Calculation 15 2 3 3 4" xfId="18127" xr:uid="{00000000-0005-0000-0000-0000B0460000}"/>
    <cellStyle name="Calculation 15 2 3 3 5" xfId="18128" xr:uid="{00000000-0005-0000-0000-0000B1460000}"/>
    <cellStyle name="Calculation 15 2 3 3 6" xfId="18129" xr:uid="{00000000-0005-0000-0000-0000B2460000}"/>
    <cellStyle name="Calculation 15 2 3 4" xfId="18130" xr:uid="{00000000-0005-0000-0000-0000B3460000}"/>
    <cellStyle name="Calculation 15 2 3 4 2" xfId="18131" xr:uid="{00000000-0005-0000-0000-0000B4460000}"/>
    <cellStyle name="Calculation 15 2 3 4 3" xfId="18132" xr:uid="{00000000-0005-0000-0000-0000B5460000}"/>
    <cellStyle name="Calculation 15 2 3 4 4" xfId="18133" xr:uid="{00000000-0005-0000-0000-0000B6460000}"/>
    <cellStyle name="Calculation 15 2 3 4 5" xfId="18134" xr:uid="{00000000-0005-0000-0000-0000B7460000}"/>
    <cellStyle name="Calculation 15 2 3 4 6" xfId="18135" xr:uid="{00000000-0005-0000-0000-0000B8460000}"/>
    <cellStyle name="Calculation 15 2 3 5" xfId="18136" xr:uid="{00000000-0005-0000-0000-0000B9460000}"/>
    <cellStyle name="Calculation 15 2 3 5 2" xfId="18137" xr:uid="{00000000-0005-0000-0000-0000BA460000}"/>
    <cellStyle name="Calculation 15 2 3 5 3" xfId="18138" xr:uid="{00000000-0005-0000-0000-0000BB460000}"/>
    <cellStyle name="Calculation 15 2 3 5 4" xfId="18139" xr:uid="{00000000-0005-0000-0000-0000BC460000}"/>
    <cellStyle name="Calculation 15 2 3 5 5" xfId="18140" xr:uid="{00000000-0005-0000-0000-0000BD460000}"/>
    <cellStyle name="Calculation 15 2 3 5 6" xfId="18141" xr:uid="{00000000-0005-0000-0000-0000BE460000}"/>
    <cellStyle name="Calculation 15 2 3 6" xfId="18142" xr:uid="{00000000-0005-0000-0000-0000BF460000}"/>
    <cellStyle name="Calculation 15 2 3 6 2" xfId="18143" xr:uid="{00000000-0005-0000-0000-0000C0460000}"/>
    <cellStyle name="Calculation 15 2 3 6 3" xfId="18144" xr:uid="{00000000-0005-0000-0000-0000C1460000}"/>
    <cellStyle name="Calculation 15 2 3 6 4" xfId="18145" xr:uid="{00000000-0005-0000-0000-0000C2460000}"/>
    <cellStyle name="Calculation 15 2 3 6 5" xfId="18146" xr:uid="{00000000-0005-0000-0000-0000C3460000}"/>
    <cellStyle name="Calculation 15 2 3 6 6" xfId="18147" xr:uid="{00000000-0005-0000-0000-0000C4460000}"/>
    <cellStyle name="Calculation 15 2 3 7" xfId="18148" xr:uid="{00000000-0005-0000-0000-0000C5460000}"/>
    <cellStyle name="Calculation 15 2 3 7 2" xfId="18149" xr:uid="{00000000-0005-0000-0000-0000C6460000}"/>
    <cellStyle name="Calculation 15 2 3 7 3" xfId="18150" xr:uid="{00000000-0005-0000-0000-0000C7460000}"/>
    <cellStyle name="Calculation 15 2 3 7 4" xfId="18151" xr:uid="{00000000-0005-0000-0000-0000C8460000}"/>
    <cellStyle name="Calculation 15 2 3 7 5" xfId="18152" xr:uid="{00000000-0005-0000-0000-0000C9460000}"/>
    <cellStyle name="Calculation 15 2 3 7 6" xfId="18153" xr:uid="{00000000-0005-0000-0000-0000CA460000}"/>
    <cellStyle name="Calculation 15 2 3 8" xfId="18154" xr:uid="{00000000-0005-0000-0000-0000CB460000}"/>
    <cellStyle name="Calculation 15 2 3 9" xfId="18155" xr:uid="{00000000-0005-0000-0000-0000CC460000}"/>
    <cellStyle name="Calculation 15 2 30" xfId="18156" xr:uid="{00000000-0005-0000-0000-0000CD460000}"/>
    <cellStyle name="Calculation 15 2 30 2" xfId="18157" xr:uid="{00000000-0005-0000-0000-0000CE460000}"/>
    <cellStyle name="Calculation 15 2 30 3" xfId="18158" xr:uid="{00000000-0005-0000-0000-0000CF460000}"/>
    <cellStyle name="Calculation 15 2 30 4" xfId="18159" xr:uid="{00000000-0005-0000-0000-0000D0460000}"/>
    <cellStyle name="Calculation 15 2 30 5" xfId="18160" xr:uid="{00000000-0005-0000-0000-0000D1460000}"/>
    <cellStyle name="Calculation 15 2 30 6" xfId="18161" xr:uid="{00000000-0005-0000-0000-0000D2460000}"/>
    <cellStyle name="Calculation 15 2 31" xfId="18162" xr:uid="{00000000-0005-0000-0000-0000D3460000}"/>
    <cellStyle name="Calculation 15 2 31 2" xfId="18163" xr:uid="{00000000-0005-0000-0000-0000D4460000}"/>
    <cellStyle name="Calculation 15 2 31 3" xfId="18164" xr:uid="{00000000-0005-0000-0000-0000D5460000}"/>
    <cellStyle name="Calculation 15 2 31 4" xfId="18165" xr:uid="{00000000-0005-0000-0000-0000D6460000}"/>
    <cellStyle name="Calculation 15 2 31 5" xfId="18166" xr:uid="{00000000-0005-0000-0000-0000D7460000}"/>
    <cellStyle name="Calculation 15 2 31 6" xfId="18167" xr:uid="{00000000-0005-0000-0000-0000D8460000}"/>
    <cellStyle name="Calculation 15 2 32" xfId="18168" xr:uid="{00000000-0005-0000-0000-0000D9460000}"/>
    <cellStyle name="Calculation 15 2 32 2" xfId="18169" xr:uid="{00000000-0005-0000-0000-0000DA460000}"/>
    <cellStyle name="Calculation 15 2 32 3" xfId="18170" xr:uid="{00000000-0005-0000-0000-0000DB460000}"/>
    <cellStyle name="Calculation 15 2 32 4" xfId="18171" xr:uid="{00000000-0005-0000-0000-0000DC460000}"/>
    <cellStyle name="Calculation 15 2 32 5" xfId="18172" xr:uid="{00000000-0005-0000-0000-0000DD460000}"/>
    <cellStyle name="Calculation 15 2 32 6" xfId="18173" xr:uid="{00000000-0005-0000-0000-0000DE460000}"/>
    <cellStyle name="Calculation 15 2 33" xfId="18174" xr:uid="{00000000-0005-0000-0000-0000DF460000}"/>
    <cellStyle name="Calculation 15 2 34" xfId="18175" xr:uid="{00000000-0005-0000-0000-0000E0460000}"/>
    <cellStyle name="Calculation 15 2 35" xfId="18176" xr:uid="{00000000-0005-0000-0000-0000E1460000}"/>
    <cellStyle name="Calculation 15 2 4" xfId="18177" xr:uid="{00000000-0005-0000-0000-0000E2460000}"/>
    <cellStyle name="Calculation 15 2 4 10" xfId="18178" xr:uid="{00000000-0005-0000-0000-0000E3460000}"/>
    <cellStyle name="Calculation 15 2 4 2" xfId="18179" xr:uid="{00000000-0005-0000-0000-0000E4460000}"/>
    <cellStyle name="Calculation 15 2 4 2 2" xfId="18180" xr:uid="{00000000-0005-0000-0000-0000E5460000}"/>
    <cellStyle name="Calculation 15 2 4 2 3" xfId="18181" xr:uid="{00000000-0005-0000-0000-0000E6460000}"/>
    <cellStyle name="Calculation 15 2 4 2 4" xfId="18182" xr:uid="{00000000-0005-0000-0000-0000E7460000}"/>
    <cellStyle name="Calculation 15 2 4 2 5" xfId="18183" xr:uid="{00000000-0005-0000-0000-0000E8460000}"/>
    <cellStyle name="Calculation 15 2 4 2 6" xfId="18184" xr:uid="{00000000-0005-0000-0000-0000E9460000}"/>
    <cellStyle name="Calculation 15 2 4 3" xfId="18185" xr:uid="{00000000-0005-0000-0000-0000EA460000}"/>
    <cellStyle name="Calculation 15 2 4 3 2" xfId="18186" xr:uid="{00000000-0005-0000-0000-0000EB460000}"/>
    <cellStyle name="Calculation 15 2 4 3 3" xfId="18187" xr:uid="{00000000-0005-0000-0000-0000EC460000}"/>
    <cellStyle name="Calculation 15 2 4 3 4" xfId="18188" xr:uid="{00000000-0005-0000-0000-0000ED460000}"/>
    <cellStyle name="Calculation 15 2 4 3 5" xfId="18189" xr:uid="{00000000-0005-0000-0000-0000EE460000}"/>
    <cellStyle name="Calculation 15 2 4 3 6" xfId="18190" xr:uid="{00000000-0005-0000-0000-0000EF460000}"/>
    <cellStyle name="Calculation 15 2 4 4" xfId="18191" xr:uid="{00000000-0005-0000-0000-0000F0460000}"/>
    <cellStyle name="Calculation 15 2 4 4 2" xfId="18192" xr:uid="{00000000-0005-0000-0000-0000F1460000}"/>
    <cellStyle name="Calculation 15 2 4 4 3" xfId="18193" xr:uid="{00000000-0005-0000-0000-0000F2460000}"/>
    <cellStyle name="Calculation 15 2 4 4 4" xfId="18194" xr:uid="{00000000-0005-0000-0000-0000F3460000}"/>
    <cellStyle name="Calculation 15 2 4 4 5" xfId="18195" xr:uid="{00000000-0005-0000-0000-0000F4460000}"/>
    <cellStyle name="Calculation 15 2 4 4 6" xfId="18196" xr:uid="{00000000-0005-0000-0000-0000F5460000}"/>
    <cellStyle name="Calculation 15 2 4 5" xfId="18197" xr:uid="{00000000-0005-0000-0000-0000F6460000}"/>
    <cellStyle name="Calculation 15 2 4 5 2" xfId="18198" xr:uid="{00000000-0005-0000-0000-0000F7460000}"/>
    <cellStyle name="Calculation 15 2 4 5 3" xfId="18199" xr:uid="{00000000-0005-0000-0000-0000F8460000}"/>
    <cellStyle name="Calculation 15 2 4 5 4" xfId="18200" xr:uid="{00000000-0005-0000-0000-0000F9460000}"/>
    <cellStyle name="Calculation 15 2 4 5 5" xfId="18201" xr:uid="{00000000-0005-0000-0000-0000FA460000}"/>
    <cellStyle name="Calculation 15 2 4 5 6" xfId="18202" xr:uid="{00000000-0005-0000-0000-0000FB460000}"/>
    <cellStyle name="Calculation 15 2 4 6" xfId="18203" xr:uid="{00000000-0005-0000-0000-0000FC460000}"/>
    <cellStyle name="Calculation 15 2 4 6 2" xfId="18204" xr:uid="{00000000-0005-0000-0000-0000FD460000}"/>
    <cellStyle name="Calculation 15 2 4 6 3" xfId="18205" xr:uid="{00000000-0005-0000-0000-0000FE460000}"/>
    <cellStyle name="Calculation 15 2 4 6 4" xfId="18206" xr:uid="{00000000-0005-0000-0000-0000FF460000}"/>
    <cellStyle name="Calculation 15 2 4 6 5" xfId="18207" xr:uid="{00000000-0005-0000-0000-000000470000}"/>
    <cellStyle name="Calculation 15 2 4 6 6" xfId="18208" xr:uid="{00000000-0005-0000-0000-000001470000}"/>
    <cellStyle name="Calculation 15 2 4 7" xfId="18209" xr:uid="{00000000-0005-0000-0000-000002470000}"/>
    <cellStyle name="Calculation 15 2 4 7 2" xfId="18210" xr:uid="{00000000-0005-0000-0000-000003470000}"/>
    <cellStyle name="Calculation 15 2 4 7 3" xfId="18211" xr:uid="{00000000-0005-0000-0000-000004470000}"/>
    <cellStyle name="Calculation 15 2 4 7 4" xfId="18212" xr:uid="{00000000-0005-0000-0000-000005470000}"/>
    <cellStyle name="Calculation 15 2 4 7 5" xfId="18213" xr:uid="{00000000-0005-0000-0000-000006470000}"/>
    <cellStyle name="Calculation 15 2 4 7 6" xfId="18214" xr:uid="{00000000-0005-0000-0000-000007470000}"/>
    <cellStyle name="Calculation 15 2 4 8" xfId="18215" xr:uid="{00000000-0005-0000-0000-000008470000}"/>
    <cellStyle name="Calculation 15 2 4 9" xfId="18216" xr:uid="{00000000-0005-0000-0000-000009470000}"/>
    <cellStyle name="Calculation 15 2 5" xfId="18217" xr:uid="{00000000-0005-0000-0000-00000A470000}"/>
    <cellStyle name="Calculation 15 2 5 10" xfId="18218" xr:uid="{00000000-0005-0000-0000-00000B470000}"/>
    <cellStyle name="Calculation 15 2 5 2" xfId="18219" xr:uid="{00000000-0005-0000-0000-00000C470000}"/>
    <cellStyle name="Calculation 15 2 5 2 2" xfId="18220" xr:uid="{00000000-0005-0000-0000-00000D470000}"/>
    <cellStyle name="Calculation 15 2 5 2 3" xfId="18221" xr:uid="{00000000-0005-0000-0000-00000E470000}"/>
    <cellStyle name="Calculation 15 2 5 2 4" xfId="18222" xr:uid="{00000000-0005-0000-0000-00000F470000}"/>
    <cellStyle name="Calculation 15 2 5 2 5" xfId="18223" xr:uid="{00000000-0005-0000-0000-000010470000}"/>
    <cellStyle name="Calculation 15 2 5 2 6" xfId="18224" xr:uid="{00000000-0005-0000-0000-000011470000}"/>
    <cellStyle name="Calculation 15 2 5 3" xfId="18225" xr:uid="{00000000-0005-0000-0000-000012470000}"/>
    <cellStyle name="Calculation 15 2 5 3 2" xfId="18226" xr:uid="{00000000-0005-0000-0000-000013470000}"/>
    <cellStyle name="Calculation 15 2 5 3 3" xfId="18227" xr:uid="{00000000-0005-0000-0000-000014470000}"/>
    <cellStyle name="Calculation 15 2 5 3 4" xfId="18228" xr:uid="{00000000-0005-0000-0000-000015470000}"/>
    <cellStyle name="Calculation 15 2 5 3 5" xfId="18229" xr:uid="{00000000-0005-0000-0000-000016470000}"/>
    <cellStyle name="Calculation 15 2 5 3 6" xfId="18230" xr:uid="{00000000-0005-0000-0000-000017470000}"/>
    <cellStyle name="Calculation 15 2 5 4" xfId="18231" xr:uid="{00000000-0005-0000-0000-000018470000}"/>
    <cellStyle name="Calculation 15 2 5 4 2" xfId="18232" xr:uid="{00000000-0005-0000-0000-000019470000}"/>
    <cellStyle name="Calculation 15 2 5 4 3" xfId="18233" xr:uid="{00000000-0005-0000-0000-00001A470000}"/>
    <cellStyle name="Calculation 15 2 5 4 4" xfId="18234" xr:uid="{00000000-0005-0000-0000-00001B470000}"/>
    <cellStyle name="Calculation 15 2 5 4 5" xfId="18235" xr:uid="{00000000-0005-0000-0000-00001C470000}"/>
    <cellStyle name="Calculation 15 2 5 4 6" xfId="18236" xr:uid="{00000000-0005-0000-0000-00001D470000}"/>
    <cellStyle name="Calculation 15 2 5 5" xfId="18237" xr:uid="{00000000-0005-0000-0000-00001E470000}"/>
    <cellStyle name="Calculation 15 2 5 5 2" xfId="18238" xr:uid="{00000000-0005-0000-0000-00001F470000}"/>
    <cellStyle name="Calculation 15 2 5 5 3" xfId="18239" xr:uid="{00000000-0005-0000-0000-000020470000}"/>
    <cellStyle name="Calculation 15 2 5 5 4" xfId="18240" xr:uid="{00000000-0005-0000-0000-000021470000}"/>
    <cellStyle name="Calculation 15 2 5 5 5" xfId="18241" xr:uid="{00000000-0005-0000-0000-000022470000}"/>
    <cellStyle name="Calculation 15 2 5 5 6" xfId="18242" xr:uid="{00000000-0005-0000-0000-000023470000}"/>
    <cellStyle name="Calculation 15 2 5 6" xfId="18243" xr:uid="{00000000-0005-0000-0000-000024470000}"/>
    <cellStyle name="Calculation 15 2 5 6 2" xfId="18244" xr:uid="{00000000-0005-0000-0000-000025470000}"/>
    <cellStyle name="Calculation 15 2 5 6 3" xfId="18245" xr:uid="{00000000-0005-0000-0000-000026470000}"/>
    <cellStyle name="Calculation 15 2 5 6 4" xfId="18246" xr:uid="{00000000-0005-0000-0000-000027470000}"/>
    <cellStyle name="Calculation 15 2 5 6 5" xfId="18247" xr:uid="{00000000-0005-0000-0000-000028470000}"/>
    <cellStyle name="Calculation 15 2 5 6 6" xfId="18248" xr:uid="{00000000-0005-0000-0000-000029470000}"/>
    <cellStyle name="Calculation 15 2 5 7" xfId="18249" xr:uid="{00000000-0005-0000-0000-00002A470000}"/>
    <cellStyle name="Calculation 15 2 5 7 2" xfId="18250" xr:uid="{00000000-0005-0000-0000-00002B470000}"/>
    <cellStyle name="Calculation 15 2 5 7 3" xfId="18251" xr:uid="{00000000-0005-0000-0000-00002C470000}"/>
    <cellStyle name="Calculation 15 2 5 7 4" xfId="18252" xr:uid="{00000000-0005-0000-0000-00002D470000}"/>
    <cellStyle name="Calculation 15 2 5 7 5" xfId="18253" xr:uid="{00000000-0005-0000-0000-00002E470000}"/>
    <cellStyle name="Calculation 15 2 5 7 6" xfId="18254" xr:uid="{00000000-0005-0000-0000-00002F470000}"/>
    <cellStyle name="Calculation 15 2 5 8" xfId="18255" xr:uid="{00000000-0005-0000-0000-000030470000}"/>
    <cellStyle name="Calculation 15 2 5 9" xfId="18256" xr:uid="{00000000-0005-0000-0000-000031470000}"/>
    <cellStyle name="Calculation 15 2 6" xfId="18257" xr:uid="{00000000-0005-0000-0000-000032470000}"/>
    <cellStyle name="Calculation 15 2 6 10" xfId="18258" xr:uid="{00000000-0005-0000-0000-000033470000}"/>
    <cellStyle name="Calculation 15 2 6 2" xfId="18259" xr:uid="{00000000-0005-0000-0000-000034470000}"/>
    <cellStyle name="Calculation 15 2 6 2 2" xfId="18260" xr:uid="{00000000-0005-0000-0000-000035470000}"/>
    <cellStyle name="Calculation 15 2 6 2 3" xfId="18261" xr:uid="{00000000-0005-0000-0000-000036470000}"/>
    <cellStyle name="Calculation 15 2 6 2 4" xfId="18262" xr:uid="{00000000-0005-0000-0000-000037470000}"/>
    <cellStyle name="Calculation 15 2 6 2 5" xfId="18263" xr:uid="{00000000-0005-0000-0000-000038470000}"/>
    <cellStyle name="Calculation 15 2 6 2 6" xfId="18264" xr:uid="{00000000-0005-0000-0000-000039470000}"/>
    <cellStyle name="Calculation 15 2 6 3" xfId="18265" xr:uid="{00000000-0005-0000-0000-00003A470000}"/>
    <cellStyle name="Calculation 15 2 6 3 2" xfId="18266" xr:uid="{00000000-0005-0000-0000-00003B470000}"/>
    <cellStyle name="Calculation 15 2 6 3 3" xfId="18267" xr:uid="{00000000-0005-0000-0000-00003C470000}"/>
    <cellStyle name="Calculation 15 2 6 3 4" xfId="18268" xr:uid="{00000000-0005-0000-0000-00003D470000}"/>
    <cellStyle name="Calculation 15 2 6 3 5" xfId="18269" xr:uid="{00000000-0005-0000-0000-00003E470000}"/>
    <cellStyle name="Calculation 15 2 6 3 6" xfId="18270" xr:uid="{00000000-0005-0000-0000-00003F470000}"/>
    <cellStyle name="Calculation 15 2 6 4" xfId="18271" xr:uid="{00000000-0005-0000-0000-000040470000}"/>
    <cellStyle name="Calculation 15 2 6 4 2" xfId="18272" xr:uid="{00000000-0005-0000-0000-000041470000}"/>
    <cellStyle name="Calculation 15 2 6 4 3" xfId="18273" xr:uid="{00000000-0005-0000-0000-000042470000}"/>
    <cellStyle name="Calculation 15 2 6 4 4" xfId="18274" xr:uid="{00000000-0005-0000-0000-000043470000}"/>
    <cellStyle name="Calculation 15 2 6 4 5" xfId="18275" xr:uid="{00000000-0005-0000-0000-000044470000}"/>
    <cellStyle name="Calculation 15 2 6 4 6" xfId="18276" xr:uid="{00000000-0005-0000-0000-000045470000}"/>
    <cellStyle name="Calculation 15 2 6 5" xfId="18277" xr:uid="{00000000-0005-0000-0000-000046470000}"/>
    <cellStyle name="Calculation 15 2 6 5 2" xfId="18278" xr:uid="{00000000-0005-0000-0000-000047470000}"/>
    <cellStyle name="Calculation 15 2 6 5 3" xfId="18279" xr:uid="{00000000-0005-0000-0000-000048470000}"/>
    <cellStyle name="Calculation 15 2 6 5 4" xfId="18280" xr:uid="{00000000-0005-0000-0000-000049470000}"/>
    <cellStyle name="Calculation 15 2 6 5 5" xfId="18281" xr:uid="{00000000-0005-0000-0000-00004A470000}"/>
    <cellStyle name="Calculation 15 2 6 5 6" xfId="18282" xr:uid="{00000000-0005-0000-0000-00004B470000}"/>
    <cellStyle name="Calculation 15 2 6 6" xfId="18283" xr:uid="{00000000-0005-0000-0000-00004C470000}"/>
    <cellStyle name="Calculation 15 2 6 6 2" xfId="18284" xr:uid="{00000000-0005-0000-0000-00004D470000}"/>
    <cellStyle name="Calculation 15 2 6 6 3" xfId="18285" xr:uid="{00000000-0005-0000-0000-00004E470000}"/>
    <cellStyle name="Calculation 15 2 6 6 4" xfId="18286" xr:uid="{00000000-0005-0000-0000-00004F470000}"/>
    <cellStyle name="Calculation 15 2 6 6 5" xfId="18287" xr:uid="{00000000-0005-0000-0000-000050470000}"/>
    <cellStyle name="Calculation 15 2 6 6 6" xfId="18288" xr:uid="{00000000-0005-0000-0000-000051470000}"/>
    <cellStyle name="Calculation 15 2 6 7" xfId="18289" xr:uid="{00000000-0005-0000-0000-000052470000}"/>
    <cellStyle name="Calculation 15 2 6 7 2" xfId="18290" xr:uid="{00000000-0005-0000-0000-000053470000}"/>
    <cellStyle name="Calculation 15 2 6 7 3" xfId="18291" xr:uid="{00000000-0005-0000-0000-000054470000}"/>
    <cellStyle name="Calculation 15 2 6 7 4" xfId="18292" xr:uid="{00000000-0005-0000-0000-000055470000}"/>
    <cellStyle name="Calculation 15 2 6 7 5" xfId="18293" xr:uid="{00000000-0005-0000-0000-000056470000}"/>
    <cellStyle name="Calculation 15 2 6 7 6" xfId="18294" xr:uid="{00000000-0005-0000-0000-000057470000}"/>
    <cellStyle name="Calculation 15 2 6 8" xfId="18295" xr:uid="{00000000-0005-0000-0000-000058470000}"/>
    <cellStyle name="Calculation 15 2 6 9" xfId="18296" xr:uid="{00000000-0005-0000-0000-000059470000}"/>
    <cellStyle name="Calculation 15 2 7" xfId="18297" xr:uid="{00000000-0005-0000-0000-00005A470000}"/>
    <cellStyle name="Calculation 15 2 7 10" xfId="18298" xr:uid="{00000000-0005-0000-0000-00005B470000}"/>
    <cellStyle name="Calculation 15 2 7 2" xfId="18299" xr:uid="{00000000-0005-0000-0000-00005C470000}"/>
    <cellStyle name="Calculation 15 2 7 2 2" xfId="18300" xr:uid="{00000000-0005-0000-0000-00005D470000}"/>
    <cellStyle name="Calculation 15 2 7 2 3" xfId="18301" xr:uid="{00000000-0005-0000-0000-00005E470000}"/>
    <cellStyle name="Calculation 15 2 7 2 4" xfId="18302" xr:uid="{00000000-0005-0000-0000-00005F470000}"/>
    <cellStyle name="Calculation 15 2 7 2 5" xfId="18303" xr:uid="{00000000-0005-0000-0000-000060470000}"/>
    <cellStyle name="Calculation 15 2 7 2 6" xfId="18304" xr:uid="{00000000-0005-0000-0000-000061470000}"/>
    <cellStyle name="Calculation 15 2 7 3" xfId="18305" xr:uid="{00000000-0005-0000-0000-000062470000}"/>
    <cellStyle name="Calculation 15 2 7 3 2" xfId="18306" xr:uid="{00000000-0005-0000-0000-000063470000}"/>
    <cellStyle name="Calculation 15 2 7 3 3" xfId="18307" xr:uid="{00000000-0005-0000-0000-000064470000}"/>
    <cellStyle name="Calculation 15 2 7 3 4" xfId="18308" xr:uid="{00000000-0005-0000-0000-000065470000}"/>
    <cellStyle name="Calculation 15 2 7 3 5" xfId="18309" xr:uid="{00000000-0005-0000-0000-000066470000}"/>
    <cellStyle name="Calculation 15 2 7 3 6" xfId="18310" xr:uid="{00000000-0005-0000-0000-000067470000}"/>
    <cellStyle name="Calculation 15 2 7 4" xfId="18311" xr:uid="{00000000-0005-0000-0000-000068470000}"/>
    <cellStyle name="Calculation 15 2 7 4 2" xfId="18312" xr:uid="{00000000-0005-0000-0000-000069470000}"/>
    <cellStyle name="Calculation 15 2 7 4 3" xfId="18313" xr:uid="{00000000-0005-0000-0000-00006A470000}"/>
    <cellStyle name="Calculation 15 2 7 4 4" xfId="18314" xr:uid="{00000000-0005-0000-0000-00006B470000}"/>
    <cellStyle name="Calculation 15 2 7 4 5" xfId="18315" xr:uid="{00000000-0005-0000-0000-00006C470000}"/>
    <cellStyle name="Calculation 15 2 7 4 6" xfId="18316" xr:uid="{00000000-0005-0000-0000-00006D470000}"/>
    <cellStyle name="Calculation 15 2 7 5" xfId="18317" xr:uid="{00000000-0005-0000-0000-00006E470000}"/>
    <cellStyle name="Calculation 15 2 7 5 2" xfId="18318" xr:uid="{00000000-0005-0000-0000-00006F470000}"/>
    <cellStyle name="Calculation 15 2 7 5 3" xfId="18319" xr:uid="{00000000-0005-0000-0000-000070470000}"/>
    <cellStyle name="Calculation 15 2 7 5 4" xfId="18320" xr:uid="{00000000-0005-0000-0000-000071470000}"/>
    <cellStyle name="Calculation 15 2 7 5 5" xfId="18321" xr:uid="{00000000-0005-0000-0000-000072470000}"/>
    <cellStyle name="Calculation 15 2 7 5 6" xfId="18322" xr:uid="{00000000-0005-0000-0000-000073470000}"/>
    <cellStyle name="Calculation 15 2 7 6" xfId="18323" xr:uid="{00000000-0005-0000-0000-000074470000}"/>
    <cellStyle name="Calculation 15 2 7 6 2" xfId="18324" xr:uid="{00000000-0005-0000-0000-000075470000}"/>
    <cellStyle name="Calculation 15 2 7 6 3" xfId="18325" xr:uid="{00000000-0005-0000-0000-000076470000}"/>
    <cellStyle name="Calculation 15 2 7 6 4" xfId="18326" xr:uid="{00000000-0005-0000-0000-000077470000}"/>
    <cellStyle name="Calculation 15 2 7 6 5" xfId="18327" xr:uid="{00000000-0005-0000-0000-000078470000}"/>
    <cellStyle name="Calculation 15 2 7 6 6" xfId="18328" xr:uid="{00000000-0005-0000-0000-000079470000}"/>
    <cellStyle name="Calculation 15 2 7 7" xfId="18329" xr:uid="{00000000-0005-0000-0000-00007A470000}"/>
    <cellStyle name="Calculation 15 2 7 7 2" xfId="18330" xr:uid="{00000000-0005-0000-0000-00007B470000}"/>
    <cellStyle name="Calculation 15 2 7 7 3" xfId="18331" xr:uid="{00000000-0005-0000-0000-00007C470000}"/>
    <cellStyle name="Calculation 15 2 7 7 4" xfId="18332" xr:uid="{00000000-0005-0000-0000-00007D470000}"/>
    <cellStyle name="Calculation 15 2 7 7 5" xfId="18333" xr:uid="{00000000-0005-0000-0000-00007E470000}"/>
    <cellStyle name="Calculation 15 2 7 7 6" xfId="18334" xr:uid="{00000000-0005-0000-0000-00007F470000}"/>
    <cellStyle name="Calculation 15 2 7 8" xfId="18335" xr:uid="{00000000-0005-0000-0000-000080470000}"/>
    <cellStyle name="Calculation 15 2 7 9" xfId="18336" xr:uid="{00000000-0005-0000-0000-000081470000}"/>
    <cellStyle name="Calculation 15 2 8" xfId="18337" xr:uid="{00000000-0005-0000-0000-000082470000}"/>
    <cellStyle name="Calculation 15 2 8 10" xfId="18338" xr:uid="{00000000-0005-0000-0000-000083470000}"/>
    <cellStyle name="Calculation 15 2 8 2" xfId="18339" xr:uid="{00000000-0005-0000-0000-000084470000}"/>
    <cellStyle name="Calculation 15 2 8 2 2" xfId="18340" xr:uid="{00000000-0005-0000-0000-000085470000}"/>
    <cellStyle name="Calculation 15 2 8 2 3" xfId="18341" xr:uid="{00000000-0005-0000-0000-000086470000}"/>
    <cellStyle name="Calculation 15 2 8 2 4" xfId="18342" xr:uid="{00000000-0005-0000-0000-000087470000}"/>
    <cellStyle name="Calculation 15 2 8 2 5" xfId="18343" xr:uid="{00000000-0005-0000-0000-000088470000}"/>
    <cellStyle name="Calculation 15 2 8 2 6" xfId="18344" xr:uid="{00000000-0005-0000-0000-000089470000}"/>
    <cellStyle name="Calculation 15 2 8 3" xfId="18345" xr:uid="{00000000-0005-0000-0000-00008A470000}"/>
    <cellStyle name="Calculation 15 2 8 3 2" xfId="18346" xr:uid="{00000000-0005-0000-0000-00008B470000}"/>
    <cellStyle name="Calculation 15 2 8 3 3" xfId="18347" xr:uid="{00000000-0005-0000-0000-00008C470000}"/>
    <cellStyle name="Calculation 15 2 8 3 4" xfId="18348" xr:uid="{00000000-0005-0000-0000-00008D470000}"/>
    <cellStyle name="Calculation 15 2 8 3 5" xfId="18349" xr:uid="{00000000-0005-0000-0000-00008E470000}"/>
    <cellStyle name="Calculation 15 2 8 3 6" xfId="18350" xr:uid="{00000000-0005-0000-0000-00008F470000}"/>
    <cellStyle name="Calculation 15 2 8 4" xfId="18351" xr:uid="{00000000-0005-0000-0000-000090470000}"/>
    <cellStyle name="Calculation 15 2 8 4 2" xfId="18352" xr:uid="{00000000-0005-0000-0000-000091470000}"/>
    <cellStyle name="Calculation 15 2 8 4 3" xfId="18353" xr:uid="{00000000-0005-0000-0000-000092470000}"/>
    <cellStyle name="Calculation 15 2 8 4 4" xfId="18354" xr:uid="{00000000-0005-0000-0000-000093470000}"/>
    <cellStyle name="Calculation 15 2 8 4 5" xfId="18355" xr:uid="{00000000-0005-0000-0000-000094470000}"/>
    <cellStyle name="Calculation 15 2 8 4 6" xfId="18356" xr:uid="{00000000-0005-0000-0000-000095470000}"/>
    <cellStyle name="Calculation 15 2 8 5" xfId="18357" xr:uid="{00000000-0005-0000-0000-000096470000}"/>
    <cellStyle name="Calculation 15 2 8 5 2" xfId="18358" xr:uid="{00000000-0005-0000-0000-000097470000}"/>
    <cellStyle name="Calculation 15 2 8 5 3" xfId="18359" xr:uid="{00000000-0005-0000-0000-000098470000}"/>
    <cellStyle name="Calculation 15 2 8 5 4" xfId="18360" xr:uid="{00000000-0005-0000-0000-000099470000}"/>
    <cellStyle name="Calculation 15 2 8 5 5" xfId="18361" xr:uid="{00000000-0005-0000-0000-00009A470000}"/>
    <cellStyle name="Calculation 15 2 8 5 6" xfId="18362" xr:uid="{00000000-0005-0000-0000-00009B470000}"/>
    <cellStyle name="Calculation 15 2 8 6" xfId="18363" xr:uid="{00000000-0005-0000-0000-00009C470000}"/>
    <cellStyle name="Calculation 15 2 8 6 2" xfId="18364" xr:uid="{00000000-0005-0000-0000-00009D470000}"/>
    <cellStyle name="Calculation 15 2 8 6 3" xfId="18365" xr:uid="{00000000-0005-0000-0000-00009E470000}"/>
    <cellStyle name="Calculation 15 2 8 6 4" xfId="18366" xr:uid="{00000000-0005-0000-0000-00009F470000}"/>
    <cellStyle name="Calculation 15 2 8 6 5" xfId="18367" xr:uid="{00000000-0005-0000-0000-0000A0470000}"/>
    <cellStyle name="Calculation 15 2 8 6 6" xfId="18368" xr:uid="{00000000-0005-0000-0000-0000A1470000}"/>
    <cellStyle name="Calculation 15 2 8 7" xfId="18369" xr:uid="{00000000-0005-0000-0000-0000A2470000}"/>
    <cellStyle name="Calculation 15 2 8 7 2" xfId="18370" xr:uid="{00000000-0005-0000-0000-0000A3470000}"/>
    <cellStyle name="Calculation 15 2 8 7 3" xfId="18371" xr:uid="{00000000-0005-0000-0000-0000A4470000}"/>
    <cellStyle name="Calculation 15 2 8 7 4" xfId="18372" xr:uid="{00000000-0005-0000-0000-0000A5470000}"/>
    <cellStyle name="Calculation 15 2 8 7 5" xfId="18373" xr:uid="{00000000-0005-0000-0000-0000A6470000}"/>
    <cellStyle name="Calculation 15 2 8 7 6" xfId="18374" xr:uid="{00000000-0005-0000-0000-0000A7470000}"/>
    <cellStyle name="Calculation 15 2 8 8" xfId="18375" xr:uid="{00000000-0005-0000-0000-0000A8470000}"/>
    <cellStyle name="Calculation 15 2 8 9" xfId="18376" xr:uid="{00000000-0005-0000-0000-0000A9470000}"/>
    <cellStyle name="Calculation 15 2 9" xfId="18377" xr:uid="{00000000-0005-0000-0000-0000AA470000}"/>
    <cellStyle name="Calculation 15 2 9 10" xfId="18378" xr:uid="{00000000-0005-0000-0000-0000AB470000}"/>
    <cellStyle name="Calculation 15 2 9 2" xfId="18379" xr:uid="{00000000-0005-0000-0000-0000AC470000}"/>
    <cellStyle name="Calculation 15 2 9 2 2" xfId="18380" xr:uid="{00000000-0005-0000-0000-0000AD470000}"/>
    <cellStyle name="Calculation 15 2 9 2 3" xfId="18381" xr:uid="{00000000-0005-0000-0000-0000AE470000}"/>
    <cellStyle name="Calculation 15 2 9 2 4" xfId="18382" xr:uid="{00000000-0005-0000-0000-0000AF470000}"/>
    <cellStyle name="Calculation 15 2 9 2 5" xfId="18383" xr:uid="{00000000-0005-0000-0000-0000B0470000}"/>
    <cellStyle name="Calculation 15 2 9 2 6" xfId="18384" xr:uid="{00000000-0005-0000-0000-0000B1470000}"/>
    <cellStyle name="Calculation 15 2 9 3" xfId="18385" xr:uid="{00000000-0005-0000-0000-0000B2470000}"/>
    <cellStyle name="Calculation 15 2 9 3 2" xfId="18386" xr:uid="{00000000-0005-0000-0000-0000B3470000}"/>
    <cellStyle name="Calculation 15 2 9 3 3" xfId="18387" xr:uid="{00000000-0005-0000-0000-0000B4470000}"/>
    <cellStyle name="Calculation 15 2 9 3 4" xfId="18388" xr:uid="{00000000-0005-0000-0000-0000B5470000}"/>
    <cellStyle name="Calculation 15 2 9 3 5" xfId="18389" xr:uid="{00000000-0005-0000-0000-0000B6470000}"/>
    <cellStyle name="Calculation 15 2 9 3 6" xfId="18390" xr:uid="{00000000-0005-0000-0000-0000B7470000}"/>
    <cellStyle name="Calculation 15 2 9 4" xfId="18391" xr:uid="{00000000-0005-0000-0000-0000B8470000}"/>
    <cellStyle name="Calculation 15 2 9 4 2" xfId="18392" xr:uid="{00000000-0005-0000-0000-0000B9470000}"/>
    <cellStyle name="Calculation 15 2 9 4 3" xfId="18393" xr:uid="{00000000-0005-0000-0000-0000BA470000}"/>
    <cellStyle name="Calculation 15 2 9 4 4" xfId="18394" xr:uid="{00000000-0005-0000-0000-0000BB470000}"/>
    <cellStyle name="Calculation 15 2 9 4 5" xfId="18395" xr:uid="{00000000-0005-0000-0000-0000BC470000}"/>
    <cellStyle name="Calculation 15 2 9 4 6" xfId="18396" xr:uid="{00000000-0005-0000-0000-0000BD470000}"/>
    <cellStyle name="Calculation 15 2 9 5" xfId="18397" xr:uid="{00000000-0005-0000-0000-0000BE470000}"/>
    <cellStyle name="Calculation 15 2 9 5 2" xfId="18398" xr:uid="{00000000-0005-0000-0000-0000BF470000}"/>
    <cellStyle name="Calculation 15 2 9 5 3" xfId="18399" xr:uid="{00000000-0005-0000-0000-0000C0470000}"/>
    <cellStyle name="Calculation 15 2 9 5 4" xfId="18400" xr:uid="{00000000-0005-0000-0000-0000C1470000}"/>
    <cellStyle name="Calculation 15 2 9 5 5" xfId="18401" xr:uid="{00000000-0005-0000-0000-0000C2470000}"/>
    <cellStyle name="Calculation 15 2 9 5 6" xfId="18402" xr:uid="{00000000-0005-0000-0000-0000C3470000}"/>
    <cellStyle name="Calculation 15 2 9 6" xfId="18403" xr:uid="{00000000-0005-0000-0000-0000C4470000}"/>
    <cellStyle name="Calculation 15 2 9 6 2" xfId="18404" xr:uid="{00000000-0005-0000-0000-0000C5470000}"/>
    <cellStyle name="Calculation 15 2 9 6 3" xfId="18405" xr:uid="{00000000-0005-0000-0000-0000C6470000}"/>
    <cellStyle name="Calculation 15 2 9 6 4" xfId="18406" xr:uid="{00000000-0005-0000-0000-0000C7470000}"/>
    <cellStyle name="Calculation 15 2 9 6 5" xfId="18407" xr:uid="{00000000-0005-0000-0000-0000C8470000}"/>
    <cellStyle name="Calculation 15 2 9 6 6" xfId="18408" xr:uid="{00000000-0005-0000-0000-0000C9470000}"/>
    <cellStyle name="Calculation 15 2 9 7" xfId="18409" xr:uid="{00000000-0005-0000-0000-0000CA470000}"/>
    <cellStyle name="Calculation 15 2 9 7 2" xfId="18410" xr:uid="{00000000-0005-0000-0000-0000CB470000}"/>
    <cellStyle name="Calculation 15 2 9 7 3" xfId="18411" xr:uid="{00000000-0005-0000-0000-0000CC470000}"/>
    <cellStyle name="Calculation 15 2 9 7 4" xfId="18412" xr:uid="{00000000-0005-0000-0000-0000CD470000}"/>
    <cellStyle name="Calculation 15 2 9 7 5" xfId="18413" xr:uid="{00000000-0005-0000-0000-0000CE470000}"/>
    <cellStyle name="Calculation 15 2 9 7 6" xfId="18414" xr:uid="{00000000-0005-0000-0000-0000CF470000}"/>
    <cellStyle name="Calculation 15 2 9 8" xfId="18415" xr:uid="{00000000-0005-0000-0000-0000D0470000}"/>
    <cellStyle name="Calculation 15 2 9 9" xfId="18416" xr:uid="{00000000-0005-0000-0000-0000D1470000}"/>
    <cellStyle name="Calculation 15 20" xfId="18417" xr:uid="{00000000-0005-0000-0000-0000D2470000}"/>
    <cellStyle name="Calculation 15 20 10" xfId="18418" xr:uid="{00000000-0005-0000-0000-0000D3470000}"/>
    <cellStyle name="Calculation 15 20 2" xfId="18419" xr:uid="{00000000-0005-0000-0000-0000D4470000}"/>
    <cellStyle name="Calculation 15 20 2 2" xfId="18420" xr:uid="{00000000-0005-0000-0000-0000D5470000}"/>
    <cellStyle name="Calculation 15 20 2 3" xfId="18421" xr:uid="{00000000-0005-0000-0000-0000D6470000}"/>
    <cellStyle name="Calculation 15 20 2 4" xfId="18422" xr:uid="{00000000-0005-0000-0000-0000D7470000}"/>
    <cellStyle name="Calculation 15 20 2 5" xfId="18423" xr:uid="{00000000-0005-0000-0000-0000D8470000}"/>
    <cellStyle name="Calculation 15 20 2 6" xfId="18424" xr:uid="{00000000-0005-0000-0000-0000D9470000}"/>
    <cellStyle name="Calculation 15 20 3" xfId="18425" xr:uid="{00000000-0005-0000-0000-0000DA470000}"/>
    <cellStyle name="Calculation 15 20 3 2" xfId="18426" xr:uid="{00000000-0005-0000-0000-0000DB470000}"/>
    <cellStyle name="Calculation 15 20 3 3" xfId="18427" xr:uid="{00000000-0005-0000-0000-0000DC470000}"/>
    <cellStyle name="Calculation 15 20 3 4" xfId="18428" xr:uid="{00000000-0005-0000-0000-0000DD470000}"/>
    <cellStyle name="Calculation 15 20 3 5" xfId="18429" xr:uid="{00000000-0005-0000-0000-0000DE470000}"/>
    <cellStyle name="Calculation 15 20 3 6" xfId="18430" xr:uid="{00000000-0005-0000-0000-0000DF470000}"/>
    <cellStyle name="Calculation 15 20 4" xfId="18431" xr:uid="{00000000-0005-0000-0000-0000E0470000}"/>
    <cellStyle name="Calculation 15 20 4 2" xfId="18432" xr:uid="{00000000-0005-0000-0000-0000E1470000}"/>
    <cellStyle name="Calculation 15 20 4 3" xfId="18433" xr:uid="{00000000-0005-0000-0000-0000E2470000}"/>
    <cellStyle name="Calculation 15 20 4 4" xfId="18434" xr:uid="{00000000-0005-0000-0000-0000E3470000}"/>
    <cellStyle name="Calculation 15 20 4 5" xfId="18435" xr:uid="{00000000-0005-0000-0000-0000E4470000}"/>
    <cellStyle name="Calculation 15 20 4 6" xfId="18436" xr:uid="{00000000-0005-0000-0000-0000E5470000}"/>
    <cellStyle name="Calculation 15 20 5" xfId="18437" xr:uid="{00000000-0005-0000-0000-0000E6470000}"/>
    <cellStyle name="Calculation 15 20 5 2" xfId="18438" xr:uid="{00000000-0005-0000-0000-0000E7470000}"/>
    <cellStyle name="Calculation 15 20 5 3" xfId="18439" xr:uid="{00000000-0005-0000-0000-0000E8470000}"/>
    <cellStyle name="Calculation 15 20 5 4" xfId="18440" xr:uid="{00000000-0005-0000-0000-0000E9470000}"/>
    <cellStyle name="Calculation 15 20 5 5" xfId="18441" xr:uid="{00000000-0005-0000-0000-0000EA470000}"/>
    <cellStyle name="Calculation 15 20 5 6" xfId="18442" xr:uid="{00000000-0005-0000-0000-0000EB470000}"/>
    <cellStyle name="Calculation 15 20 6" xfId="18443" xr:uid="{00000000-0005-0000-0000-0000EC470000}"/>
    <cellStyle name="Calculation 15 20 6 2" xfId="18444" xr:uid="{00000000-0005-0000-0000-0000ED470000}"/>
    <cellStyle name="Calculation 15 20 6 3" xfId="18445" xr:uid="{00000000-0005-0000-0000-0000EE470000}"/>
    <cellStyle name="Calculation 15 20 6 4" xfId="18446" xr:uid="{00000000-0005-0000-0000-0000EF470000}"/>
    <cellStyle name="Calculation 15 20 6 5" xfId="18447" xr:uid="{00000000-0005-0000-0000-0000F0470000}"/>
    <cellStyle name="Calculation 15 20 6 6" xfId="18448" xr:uid="{00000000-0005-0000-0000-0000F1470000}"/>
    <cellStyle name="Calculation 15 20 7" xfId="18449" xr:uid="{00000000-0005-0000-0000-0000F2470000}"/>
    <cellStyle name="Calculation 15 20 7 2" xfId="18450" xr:uid="{00000000-0005-0000-0000-0000F3470000}"/>
    <cellStyle name="Calculation 15 20 7 3" xfId="18451" xr:uid="{00000000-0005-0000-0000-0000F4470000}"/>
    <cellStyle name="Calculation 15 20 7 4" xfId="18452" xr:uid="{00000000-0005-0000-0000-0000F5470000}"/>
    <cellStyle name="Calculation 15 20 7 5" xfId="18453" xr:uid="{00000000-0005-0000-0000-0000F6470000}"/>
    <cellStyle name="Calculation 15 20 7 6" xfId="18454" xr:uid="{00000000-0005-0000-0000-0000F7470000}"/>
    <cellStyle name="Calculation 15 20 8" xfId="18455" xr:uid="{00000000-0005-0000-0000-0000F8470000}"/>
    <cellStyle name="Calculation 15 20 9" xfId="18456" xr:uid="{00000000-0005-0000-0000-0000F9470000}"/>
    <cellStyle name="Calculation 15 21" xfId="18457" xr:uid="{00000000-0005-0000-0000-0000FA470000}"/>
    <cellStyle name="Calculation 15 21 10" xfId="18458" xr:uid="{00000000-0005-0000-0000-0000FB470000}"/>
    <cellStyle name="Calculation 15 21 2" xfId="18459" xr:uid="{00000000-0005-0000-0000-0000FC470000}"/>
    <cellStyle name="Calculation 15 21 2 2" xfId="18460" xr:uid="{00000000-0005-0000-0000-0000FD470000}"/>
    <cellStyle name="Calculation 15 21 2 3" xfId="18461" xr:uid="{00000000-0005-0000-0000-0000FE470000}"/>
    <cellStyle name="Calculation 15 21 2 4" xfId="18462" xr:uid="{00000000-0005-0000-0000-0000FF470000}"/>
    <cellStyle name="Calculation 15 21 2 5" xfId="18463" xr:uid="{00000000-0005-0000-0000-000000480000}"/>
    <cellStyle name="Calculation 15 21 2 6" xfId="18464" xr:uid="{00000000-0005-0000-0000-000001480000}"/>
    <cellStyle name="Calculation 15 21 3" xfId="18465" xr:uid="{00000000-0005-0000-0000-000002480000}"/>
    <cellStyle name="Calculation 15 21 3 2" xfId="18466" xr:uid="{00000000-0005-0000-0000-000003480000}"/>
    <cellStyle name="Calculation 15 21 3 3" xfId="18467" xr:uid="{00000000-0005-0000-0000-000004480000}"/>
    <cellStyle name="Calculation 15 21 3 4" xfId="18468" xr:uid="{00000000-0005-0000-0000-000005480000}"/>
    <cellStyle name="Calculation 15 21 3 5" xfId="18469" xr:uid="{00000000-0005-0000-0000-000006480000}"/>
    <cellStyle name="Calculation 15 21 3 6" xfId="18470" xr:uid="{00000000-0005-0000-0000-000007480000}"/>
    <cellStyle name="Calculation 15 21 4" xfId="18471" xr:uid="{00000000-0005-0000-0000-000008480000}"/>
    <cellStyle name="Calculation 15 21 4 2" xfId="18472" xr:uid="{00000000-0005-0000-0000-000009480000}"/>
    <cellStyle name="Calculation 15 21 4 3" xfId="18473" xr:uid="{00000000-0005-0000-0000-00000A480000}"/>
    <cellStyle name="Calculation 15 21 4 4" xfId="18474" xr:uid="{00000000-0005-0000-0000-00000B480000}"/>
    <cellStyle name="Calculation 15 21 4 5" xfId="18475" xr:uid="{00000000-0005-0000-0000-00000C480000}"/>
    <cellStyle name="Calculation 15 21 4 6" xfId="18476" xr:uid="{00000000-0005-0000-0000-00000D480000}"/>
    <cellStyle name="Calculation 15 21 5" xfId="18477" xr:uid="{00000000-0005-0000-0000-00000E480000}"/>
    <cellStyle name="Calculation 15 21 5 2" xfId="18478" xr:uid="{00000000-0005-0000-0000-00000F480000}"/>
    <cellStyle name="Calculation 15 21 5 3" xfId="18479" xr:uid="{00000000-0005-0000-0000-000010480000}"/>
    <cellStyle name="Calculation 15 21 5 4" xfId="18480" xr:uid="{00000000-0005-0000-0000-000011480000}"/>
    <cellStyle name="Calculation 15 21 5 5" xfId="18481" xr:uid="{00000000-0005-0000-0000-000012480000}"/>
    <cellStyle name="Calculation 15 21 5 6" xfId="18482" xr:uid="{00000000-0005-0000-0000-000013480000}"/>
    <cellStyle name="Calculation 15 21 6" xfId="18483" xr:uid="{00000000-0005-0000-0000-000014480000}"/>
    <cellStyle name="Calculation 15 21 6 2" xfId="18484" xr:uid="{00000000-0005-0000-0000-000015480000}"/>
    <cellStyle name="Calculation 15 21 6 3" xfId="18485" xr:uid="{00000000-0005-0000-0000-000016480000}"/>
    <cellStyle name="Calculation 15 21 6 4" xfId="18486" xr:uid="{00000000-0005-0000-0000-000017480000}"/>
    <cellStyle name="Calculation 15 21 6 5" xfId="18487" xr:uid="{00000000-0005-0000-0000-000018480000}"/>
    <cellStyle name="Calculation 15 21 6 6" xfId="18488" xr:uid="{00000000-0005-0000-0000-000019480000}"/>
    <cellStyle name="Calculation 15 21 7" xfId="18489" xr:uid="{00000000-0005-0000-0000-00001A480000}"/>
    <cellStyle name="Calculation 15 21 7 2" xfId="18490" xr:uid="{00000000-0005-0000-0000-00001B480000}"/>
    <cellStyle name="Calculation 15 21 7 3" xfId="18491" xr:uid="{00000000-0005-0000-0000-00001C480000}"/>
    <cellStyle name="Calculation 15 21 7 4" xfId="18492" xr:uid="{00000000-0005-0000-0000-00001D480000}"/>
    <cellStyle name="Calculation 15 21 7 5" xfId="18493" xr:uid="{00000000-0005-0000-0000-00001E480000}"/>
    <cellStyle name="Calculation 15 21 7 6" xfId="18494" xr:uid="{00000000-0005-0000-0000-00001F480000}"/>
    <cellStyle name="Calculation 15 21 8" xfId="18495" xr:uid="{00000000-0005-0000-0000-000020480000}"/>
    <cellStyle name="Calculation 15 21 9" xfId="18496" xr:uid="{00000000-0005-0000-0000-000021480000}"/>
    <cellStyle name="Calculation 15 22" xfId="18497" xr:uid="{00000000-0005-0000-0000-000022480000}"/>
    <cellStyle name="Calculation 15 22 10" xfId="18498" xr:uid="{00000000-0005-0000-0000-000023480000}"/>
    <cellStyle name="Calculation 15 22 2" xfId="18499" xr:uid="{00000000-0005-0000-0000-000024480000}"/>
    <cellStyle name="Calculation 15 22 2 2" xfId="18500" xr:uid="{00000000-0005-0000-0000-000025480000}"/>
    <cellStyle name="Calculation 15 22 2 3" xfId="18501" xr:uid="{00000000-0005-0000-0000-000026480000}"/>
    <cellStyle name="Calculation 15 22 2 4" xfId="18502" xr:uid="{00000000-0005-0000-0000-000027480000}"/>
    <cellStyle name="Calculation 15 22 2 5" xfId="18503" xr:uid="{00000000-0005-0000-0000-000028480000}"/>
    <cellStyle name="Calculation 15 22 2 6" xfId="18504" xr:uid="{00000000-0005-0000-0000-000029480000}"/>
    <cellStyle name="Calculation 15 22 3" xfId="18505" xr:uid="{00000000-0005-0000-0000-00002A480000}"/>
    <cellStyle name="Calculation 15 22 3 2" xfId="18506" xr:uid="{00000000-0005-0000-0000-00002B480000}"/>
    <cellStyle name="Calculation 15 22 3 3" xfId="18507" xr:uid="{00000000-0005-0000-0000-00002C480000}"/>
    <cellStyle name="Calculation 15 22 3 4" xfId="18508" xr:uid="{00000000-0005-0000-0000-00002D480000}"/>
    <cellStyle name="Calculation 15 22 3 5" xfId="18509" xr:uid="{00000000-0005-0000-0000-00002E480000}"/>
    <cellStyle name="Calculation 15 22 3 6" xfId="18510" xr:uid="{00000000-0005-0000-0000-00002F480000}"/>
    <cellStyle name="Calculation 15 22 4" xfId="18511" xr:uid="{00000000-0005-0000-0000-000030480000}"/>
    <cellStyle name="Calculation 15 22 4 2" xfId="18512" xr:uid="{00000000-0005-0000-0000-000031480000}"/>
    <cellStyle name="Calculation 15 22 4 3" xfId="18513" xr:uid="{00000000-0005-0000-0000-000032480000}"/>
    <cellStyle name="Calculation 15 22 4 4" xfId="18514" xr:uid="{00000000-0005-0000-0000-000033480000}"/>
    <cellStyle name="Calculation 15 22 4 5" xfId="18515" xr:uid="{00000000-0005-0000-0000-000034480000}"/>
    <cellStyle name="Calculation 15 22 4 6" xfId="18516" xr:uid="{00000000-0005-0000-0000-000035480000}"/>
    <cellStyle name="Calculation 15 22 5" xfId="18517" xr:uid="{00000000-0005-0000-0000-000036480000}"/>
    <cellStyle name="Calculation 15 22 5 2" xfId="18518" xr:uid="{00000000-0005-0000-0000-000037480000}"/>
    <cellStyle name="Calculation 15 22 5 3" xfId="18519" xr:uid="{00000000-0005-0000-0000-000038480000}"/>
    <cellStyle name="Calculation 15 22 5 4" xfId="18520" xr:uid="{00000000-0005-0000-0000-000039480000}"/>
    <cellStyle name="Calculation 15 22 5 5" xfId="18521" xr:uid="{00000000-0005-0000-0000-00003A480000}"/>
    <cellStyle name="Calculation 15 22 5 6" xfId="18522" xr:uid="{00000000-0005-0000-0000-00003B480000}"/>
    <cellStyle name="Calculation 15 22 6" xfId="18523" xr:uid="{00000000-0005-0000-0000-00003C480000}"/>
    <cellStyle name="Calculation 15 22 6 2" xfId="18524" xr:uid="{00000000-0005-0000-0000-00003D480000}"/>
    <cellStyle name="Calculation 15 22 6 3" xfId="18525" xr:uid="{00000000-0005-0000-0000-00003E480000}"/>
    <cellStyle name="Calculation 15 22 6 4" xfId="18526" xr:uid="{00000000-0005-0000-0000-00003F480000}"/>
    <cellStyle name="Calculation 15 22 6 5" xfId="18527" xr:uid="{00000000-0005-0000-0000-000040480000}"/>
    <cellStyle name="Calculation 15 22 6 6" xfId="18528" xr:uid="{00000000-0005-0000-0000-000041480000}"/>
    <cellStyle name="Calculation 15 22 7" xfId="18529" xr:uid="{00000000-0005-0000-0000-000042480000}"/>
    <cellStyle name="Calculation 15 22 7 2" xfId="18530" xr:uid="{00000000-0005-0000-0000-000043480000}"/>
    <cellStyle name="Calculation 15 22 7 3" xfId="18531" xr:uid="{00000000-0005-0000-0000-000044480000}"/>
    <cellStyle name="Calculation 15 22 7 4" xfId="18532" xr:uid="{00000000-0005-0000-0000-000045480000}"/>
    <cellStyle name="Calculation 15 22 7 5" xfId="18533" xr:uid="{00000000-0005-0000-0000-000046480000}"/>
    <cellStyle name="Calculation 15 22 7 6" xfId="18534" xr:uid="{00000000-0005-0000-0000-000047480000}"/>
    <cellStyle name="Calculation 15 22 8" xfId="18535" xr:uid="{00000000-0005-0000-0000-000048480000}"/>
    <cellStyle name="Calculation 15 22 9" xfId="18536" xr:uid="{00000000-0005-0000-0000-000049480000}"/>
    <cellStyle name="Calculation 15 23" xfId="18537" xr:uid="{00000000-0005-0000-0000-00004A480000}"/>
    <cellStyle name="Calculation 15 23 10" xfId="18538" xr:uid="{00000000-0005-0000-0000-00004B480000}"/>
    <cellStyle name="Calculation 15 23 2" xfId="18539" xr:uid="{00000000-0005-0000-0000-00004C480000}"/>
    <cellStyle name="Calculation 15 23 2 2" xfId="18540" xr:uid="{00000000-0005-0000-0000-00004D480000}"/>
    <cellStyle name="Calculation 15 23 2 3" xfId="18541" xr:uid="{00000000-0005-0000-0000-00004E480000}"/>
    <cellStyle name="Calculation 15 23 2 4" xfId="18542" xr:uid="{00000000-0005-0000-0000-00004F480000}"/>
    <cellStyle name="Calculation 15 23 2 5" xfId="18543" xr:uid="{00000000-0005-0000-0000-000050480000}"/>
    <cellStyle name="Calculation 15 23 2 6" xfId="18544" xr:uid="{00000000-0005-0000-0000-000051480000}"/>
    <cellStyle name="Calculation 15 23 3" xfId="18545" xr:uid="{00000000-0005-0000-0000-000052480000}"/>
    <cellStyle name="Calculation 15 23 3 2" xfId="18546" xr:uid="{00000000-0005-0000-0000-000053480000}"/>
    <cellStyle name="Calculation 15 23 3 3" xfId="18547" xr:uid="{00000000-0005-0000-0000-000054480000}"/>
    <cellStyle name="Calculation 15 23 3 4" xfId="18548" xr:uid="{00000000-0005-0000-0000-000055480000}"/>
    <cellStyle name="Calculation 15 23 3 5" xfId="18549" xr:uid="{00000000-0005-0000-0000-000056480000}"/>
    <cellStyle name="Calculation 15 23 3 6" xfId="18550" xr:uid="{00000000-0005-0000-0000-000057480000}"/>
    <cellStyle name="Calculation 15 23 4" xfId="18551" xr:uid="{00000000-0005-0000-0000-000058480000}"/>
    <cellStyle name="Calculation 15 23 4 2" xfId="18552" xr:uid="{00000000-0005-0000-0000-000059480000}"/>
    <cellStyle name="Calculation 15 23 4 3" xfId="18553" xr:uid="{00000000-0005-0000-0000-00005A480000}"/>
    <cellStyle name="Calculation 15 23 4 4" xfId="18554" xr:uid="{00000000-0005-0000-0000-00005B480000}"/>
    <cellStyle name="Calculation 15 23 4 5" xfId="18555" xr:uid="{00000000-0005-0000-0000-00005C480000}"/>
    <cellStyle name="Calculation 15 23 4 6" xfId="18556" xr:uid="{00000000-0005-0000-0000-00005D480000}"/>
    <cellStyle name="Calculation 15 23 5" xfId="18557" xr:uid="{00000000-0005-0000-0000-00005E480000}"/>
    <cellStyle name="Calculation 15 23 5 2" xfId="18558" xr:uid="{00000000-0005-0000-0000-00005F480000}"/>
    <cellStyle name="Calculation 15 23 5 3" xfId="18559" xr:uid="{00000000-0005-0000-0000-000060480000}"/>
    <cellStyle name="Calculation 15 23 5 4" xfId="18560" xr:uid="{00000000-0005-0000-0000-000061480000}"/>
    <cellStyle name="Calculation 15 23 5 5" xfId="18561" xr:uid="{00000000-0005-0000-0000-000062480000}"/>
    <cellStyle name="Calculation 15 23 5 6" xfId="18562" xr:uid="{00000000-0005-0000-0000-000063480000}"/>
    <cellStyle name="Calculation 15 23 6" xfId="18563" xr:uid="{00000000-0005-0000-0000-000064480000}"/>
    <cellStyle name="Calculation 15 23 6 2" xfId="18564" xr:uid="{00000000-0005-0000-0000-000065480000}"/>
    <cellStyle name="Calculation 15 23 6 3" xfId="18565" xr:uid="{00000000-0005-0000-0000-000066480000}"/>
    <cellStyle name="Calculation 15 23 6 4" xfId="18566" xr:uid="{00000000-0005-0000-0000-000067480000}"/>
    <cellStyle name="Calculation 15 23 6 5" xfId="18567" xr:uid="{00000000-0005-0000-0000-000068480000}"/>
    <cellStyle name="Calculation 15 23 6 6" xfId="18568" xr:uid="{00000000-0005-0000-0000-000069480000}"/>
    <cellStyle name="Calculation 15 23 7" xfId="18569" xr:uid="{00000000-0005-0000-0000-00006A480000}"/>
    <cellStyle name="Calculation 15 23 7 2" xfId="18570" xr:uid="{00000000-0005-0000-0000-00006B480000}"/>
    <cellStyle name="Calculation 15 23 7 3" xfId="18571" xr:uid="{00000000-0005-0000-0000-00006C480000}"/>
    <cellStyle name="Calculation 15 23 7 4" xfId="18572" xr:uid="{00000000-0005-0000-0000-00006D480000}"/>
    <cellStyle name="Calculation 15 23 7 5" xfId="18573" xr:uid="{00000000-0005-0000-0000-00006E480000}"/>
    <cellStyle name="Calculation 15 23 7 6" xfId="18574" xr:uid="{00000000-0005-0000-0000-00006F480000}"/>
    <cellStyle name="Calculation 15 23 8" xfId="18575" xr:uid="{00000000-0005-0000-0000-000070480000}"/>
    <cellStyle name="Calculation 15 23 9" xfId="18576" xr:uid="{00000000-0005-0000-0000-000071480000}"/>
    <cellStyle name="Calculation 15 24" xfId="18577" xr:uid="{00000000-0005-0000-0000-000072480000}"/>
    <cellStyle name="Calculation 15 24 10" xfId="18578" xr:uid="{00000000-0005-0000-0000-000073480000}"/>
    <cellStyle name="Calculation 15 24 2" xfId="18579" xr:uid="{00000000-0005-0000-0000-000074480000}"/>
    <cellStyle name="Calculation 15 24 2 2" xfId="18580" xr:uid="{00000000-0005-0000-0000-000075480000}"/>
    <cellStyle name="Calculation 15 24 2 3" xfId="18581" xr:uid="{00000000-0005-0000-0000-000076480000}"/>
    <cellStyle name="Calculation 15 24 2 4" xfId="18582" xr:uid="{00000000-0005-0000-0000-000077480000}"/>
    <cellStyle name="Calculation 15 24 2 5" xfId="18583" xr:uid="{00000000-0005-0000-0000-000078480000}"/>
    <cellStyle name="Calculation 15 24 2 6" xfId="18584" xr:uid="{00000000-0005-0000-0000-000079480000}"/>
    <cellStyle name="Calculation 15 24 3" xfId="18585" xr:uid="{00000000-0005-0000-0000-00007A480000}"/>
    <cellStyle name="Calculation 15 24 3 2" xfId="18586" xr:uid="{00000000-0005-0000-0000-00007B480000}"/>
    <cellStyle name="Calculation 15 24 3 3" xfId="18587" xr:uid="{00000000-0005-0000-0000-00007C480000}"/>
    <cellStyle name="Calculation 15 24 3 4" xfId="18588" xr:uid="{00000000-0005-0000-0000-00007D480000}"/>
    <cellStyle name="Calculation 15 24 3 5" xfId="18589" xr:uid="{00000000-0005-0000-0000-00007E480000}"/>
    <cellStyle name="Calculation 15 24 3 6" xfId="18590" xr:uid="{00000000-0005-0000-0000-00007F480000}"/>
    <cellStyle name="Calculation 15 24 4" xfId="18591" xr:uid="{00000000-0005-0000-0000-000080480000}"/>
    <cellStyle name="Calculation 15 24 4 2" xfId="18592" xr:uid="{00000000-0005-0000-0000-000081480000}"/>
    <cellStyle name="Calculation 15 24 4 3" xfId="18593" xr:uid="{00000000-0005-0000-0000-000082480000}"/>
    <cellStyle name="Calculation 15 24 4 4" xfId="18594" xr:uid="{00000000-0005-0000-0000-000083480000}"/>
    <cellStyle name="Calculation 15 24 4 5" xfId="18595" xr:uid="{00000000-0005-0000-0000-000084480000}"/>
    <cellStyle name="Calculation 15 24 4 6" xfId="18596" xr:uid="{00000000-0005-0000-0000-000085480000}"/>
    <cellStyle name="Calculation 15 24 5" xfId="18597" xr:uid="{00000000-0005-0000-0000-000086480000}"/>
    <cellStyle name="Calculation 15 24 5 2" xfId="18598" xr:uid="{00000000-0005-0000-0000-000087480000}"/>
    <cellStyle name="Calculation 15 24 5 3" xfId="18599" xr:uid="{00000000-0005-0000-0000-000088480000}"/>
    <cellStyle name="Calculation 15 24 5 4" xfId="18600" xr:uid="{00000000-0005-0000-0000-000089480000}"/>
    <cellStyle name="Calculation 15 24 5 5" xfId="18601" xr:uid="{00000000-0005-0000-0000-00008A480000}"/>
    <cellStyle name="Calculation 15 24 5 6" xfId="18602" xr:uid="{00000000-0005-0000-0000-00008B480000}"/>
    <cellStyle name="Calculation 15 24 6" xfId="18603" xr:uid="{00000000-0005-0000-0000-00008C480000}"/>
    <cellStyle name="Calculation 15 24 6 2" xfId="18604" xr:uid="{00000000-0005-0000-0000-00008D480000}"/>
    <cellStyle name="Calculation 15 24 6 3" xfId="18605" xr:uid="{00000000-0005-0000-0000-00008E480000}"/>
    <cellStyle name="Calculation 15 24 6 4" xfId="18606" xr:uid="{00000000-0005-0000-0000-00008F480000}"/>
    <cellStyle name="Calculation 15 24 6 5" xfId="18607" xr:uid="{00000000-0005-0000-0000-000090480000}"/>
    <cellStyle name="Calculation 15 24 6 6" xfId="18608" xr:uid="{00000000-0005-0000-0000-000091480000}"/>
    <cellStyle name="Calculation 15 24 7" xfId="18609" xr:uid="{00000000-0005-0000-0000-000092480000}"/>
    <cellStyle name="Calculation 15 24 7 2" xfId="18610" xr:uid="{00000000-0005-0000-0000-000093480000}"/>
    <cellStyle name="Calculation 15 24 7 3" xfId="18611" xr:uid="{00000000-0005-0000-0000-000094480000}"/>
    <cellStyle name="Calculation 15 24 7 4" xfId="18612" xr:uid="{00000000-0005-0000-0000-000095480000}"/>
    <cellStyle name="Calculation 15 24 7 5" xfId="18613" xr:uid="{00000000-0005-0000-0000-000096480000}"/>
    <cellStyle name="Calculation 15 24 7 6" xfId="18614" xr:uid="{00000000-0005-0000-0000-000097480000}"/>
    <cellStyle name="Calculation 15 24 8" xfId="18615" xr:uid="{00000000-0005-0000-0000-000098480000}"/>
    <cellStyle name="Calculation 15 24 9" xfId="18616" xr:uid="{00000000-0005-0000-0000-000099480000}"/>
    <cellStyle name="Calculation 15 25" xfId="18617" xr:uid="{00000000-0005-0000-0000-00009A480000}"/>
    <cellStyle name="Calculation 15 25 10" xfId="18618" xr:uid="{00000000-0005-0000-0000-00009B480000}"/>
    <cellStyle name="Calculation 15 25 2" xfId="18619" xr:uid="{00000000-0005-0000-0000-00009C480000}"/>
    <cellStyle name="Calculation 15 25 2 2" xfId="18620" xr:uid="{00000000-0005-0000-0000-00009D480000}"/>
    <cellStyle name="Calculation 15 25 2 3" xfId="18621" xr:uid="{00000000-0005-0000-0000-00009E480000}"/>
    <cellStyle name="Calculation 15 25 2 4" xfId="18622" xr:uid="{00000000-0005-0000-0000-00009F480000}"/>
    <cellStyle name="Calculation 15 25 2 5" xfId="18623" xr:uid="{00000000-0005-0000-0000-0000A0480000}"/>
    <cellStyle name="Calculation 15 25 2 6" xfId="18624" xr:uid="{00000000-0005-0000-0000-0000A1480000}"/>
    <cellStyle name="Calculation 15 25 3" xfId="18625" xr:uid="{00000000-0005-0000-0000-0000A2480000}"/>
    <cellStyle name="Calculation 15 25 3 2" xfId="18626" xr:uid="{00000000-0005-0000-0000-0000A3480000}"/>
    <cellStyle name="Calculation 15 25 3 3" xfId="18627" xr:uid="{00000000-0005-0000-0000-0000A4480000}"/>
    <cellStyle name="Calculation 15 25 3 4" xfId="18628" xr:uid="{00000000-0005-0000-0000-0000A5480000}"/>
    <cellStyle name="Calculation 15 25 3 5" xfId="18629" xr:uid="{00000000-0005-0000-0000-0000A6480000}"/>
    <cellStyle name="Calculation 15 25 3 6" xfId="18630" xr:uid="{00000000-0005-0000-0000-0000A7480000}"/>
    <cellStyle name="Calculation 15 25 4" xfId="18631" xr:uid="{00000000-0005-0000-0000-0000A8480000}"/>
    <cellStyle name="Calculation 15 25 4 2" xfId="18632" xr:uid="{00000000-0005-0000-0000-0000A9480000}"/>
    <cellStyle name="Calculation 15 25 4 3" xfId="18633" xr:uid="{00000000-0005-0000-0000-0000AA480000}"/>
    <cellStyle name="Calculation 15 25 4 4" xfId="18634" xr:uid="{00000000-0005-0000-0000-0000AB480000}"/>
    <cellStyle name="Calculation 15 25 4 5" xfId="18635" xr:uid="{00000000-0005-0000-0000-0000AC480000}"/>
    <cellStyle name="Calculation 15 25 4 6" xfId="18636" xr:uid="{00000000-0005-0000-0000-0000AD480000}"/>
    <cellStyle name="Calculation 15 25 5" xfId="18637" xr:uid="{00000000-0005-0000-0000-0000AE480000}"/>
    <cellStyle name="Calculation 15 25 5 2" xfId="18638" xr:uid="{00000000-0005-0000-0000-0000AF480000}"/>
    <cellStyle name="Calculation 15 25 5 3" xfId="18639" xr:uid="{00000000-0005-0000-0000-0000B0480000}"/>
    <cellStyle name="Calculation 15 25 5 4" xfId="18640" xr:uid="{00000000-0005-0000-0000-0000B1480000}"/>
    <cellStyle name="Calculation 15 25 5 5" xfId="18641" xr:uid="{00000000-0005-0000-0000-0000B2480000}"/>
    <cellStyle name="Calculation 15 25 5 6" xfId="18642" xr:uid="{00000000-0005-0000-0000-0000B3480000}"/>
    <cellStyle name="Calculation 15 25 6" xfId="18643" xr:uid="{00000000-0005-0000-0000-0000B4480000}"/>
    <cellStyle name="Calculation 15 25 6 2" xfId="18644" xr:uid="{00000000-0005-0000-0000-0000B5480000}"/>
    <cellStyle name="Calculation 15 25 6 3" xfId="18645" xr:uid="{00000000-0005-0000-0000-0000B6480000}"/>
    <cellStyle name="Calculation 15 25 6 4" xfId="18646" xr:uid="{00000000-0005-0000-0000-0000B7480000}"/>
    <cellStyle name="Calculation 15 25 6 5" xfId="18647" xr:uid="{00000000-0005-0000-0000-0000B8480000}"/>
    <cellStyle name="Calculation 15 25 6 6" xfId="18648" xr:uid="{00000000-0005-0000-0000-0000B9480000}"/>
    <cellStyle name="Calculation 15 25 7" xfId="18649" xr:uid="{00000000-0005-0000-0000-0000BA480000}"/>
    <cellStyle name="Calculation 15 25 7 2" xfId="18650" xr:uid="{00000000-0005-0000-0000-0000BB480000}"/>
    <cellStyle name="Calculation 15 25 7 3" xfId="18651" xr:uid="{00000000-0005-0000-0000-0000BC480000}"/>
    <cellStyle name="Calculation 15 25 7 4" xfId="18652" xr:uid="{00000000-0005-0000-0000-0000BD480000}"/>
    <cellStyle name="Calculation 15 25 7 5" xfId="18653" xr:uid="{00000000-0005-0000-0000-0000BE480000}"/>
    <cellStyle name="Calculation 15 25 7 6" xfId="18654" xr:uid="{00000000-0005-0000-0000-0000BF480000}"/>
    <cellStyle name="Calculation 15 25 8" xfId="18655" xr:uid="{00000000-0005-0000-0000-0000C0480000}"/>
    <cellStyle name="Calculation 15 25 9" xfId="18656" xr:uid="{00000000-0005-0000-0000-0000C1480000}"/>
    <cellStyle name="Calculation 15 26" xfId="18657" xr:uid="{00000000-0005-0000-0000-0000C2480000}"/>
    <cellStyle name="Calculation 15 26 2" xfId="18658" xr:uid="{00000000-0005-0000-0000-0000C3480000}"/>
    <cellStyle name="Calculation 15 26 3" xfId="18659" xr:uid="{00000000-0005-0000-0000-0000C4480000}"/>
    <cellStyle name="Calculation 15 26 4" xfId="18660" xr:uid="{00000000-0005-0000-0000-0000C5480000}"/>
    <cellStyle name="Calculation 15 26 5" xfId="18661" xr:uid="{00000000-0005-0000-0000-0000C6480000}"/>
    <cellStyle name="Calculation 15 26 6" xfId="18662" xr:uid="{00000000-0005-0000-0000-0000C7480000}"/>
    <cellStyle name="Calculation 15 27" xfId="18663" xr:uid="{00000000-0005-0000-0000-0000C8480000}"/>
    <cellStyle name="Calculation 15 27 2" xfId="18664" xr:uid="{00000000-0005-0000-0000-0000C9480000}"/>
    <cellStyle name="Calculation 15 27 3" xfId="18665" xr:uid="{00000000-0005-0000-0000-0000CA480000}"/>
    <cellStyle name="Calculation 15 27 4" xfId="18666" xr:uid="{00000000-0005-0000-0000-0000CB480000}"/>
    <cellStyle name="Calculation 15 27 5" xfId="18667" xr:uid="{00000000-0005-0000-0000-0000CC480000}"/>
    <cellStyle name="Calculation 15 27 6" xfId="18668" xr:uid="{00000000-0005-0000-0000-0000CD480000}"/>
    <cellStyle name="Calculation 15 28" xfId="18669" xr:uid="{00000000-0005-0000-0000-0000CE480000}"/>
    <cellStyle name="Calculation 15 28 2" xfId="18670" xr:uid="{00000000-0005-0000-0000-0000CF480000}"/>
    <cellStyle name="Calculation 15 28 3" xfId="18671" xr:uid="{00000000-0005-0000-0000-0000D0480000}"/>
    <cellStyle name="Calculation 15 28 4" xfId="18672" xr:uid="{00000000-0005-0000-0000-0000D1480000}"/>
    <cellStyle name="Calculation 15 28 5" xfId="18673" xr:uid="{00000000-0005-0000-0000-0000D2480000}"/>
    <cellStyle name="Calculation 15 28 6" xfId="18674" xr:uid="{00000000-0005-0000-0000-0000D3480000}"/>
    <cellStyle name="Calculation 15 29" xfId="18675" xr:uid="{00000000-0005-0000-0000-0000D4480000}"/>
    <cellStyle name="Calculation 15 29 2" xfId="18676" xr:uid="{00000000-0005-0000-0000-0000D5480000}"/>
    <cellStyle name="Calculation 15 29 3" xfId="18677" xr:uid="{00000000-0005-0000-0000-0000D6480000}"/>
    <cellStyle name="Calculation 15 29 4" xfId="18678" xr:uid="{00000000-0005-0000-0000-0000D7480000}"/>
    <cellStyle name="Calculation 15 29 5" xfId="18679" xr:uid="{00000000-0005-0000-0000-0000D8480000}"/>
    <cellStyle name="Calculation 15 29 6" xfId="18680" xr:uid="{00000000-0005-0000-0000-0000D9480000}"/>
    <cellStyle name="Calculation 15 3" xfId="18681" xr:uid="{00000000-0005-0000-0000-0000DA480000}"/>
    <cellStyle name="Calculation 15 3 10" xfId="18682" xr:uid="{00000000-0005-0000-0000-0000DB480000}"/>
    <cellStyle name="Calculation 15 3 10 10" xfId="18683" xr:uid="{00000000-0005-0000-0000-0000DC480000}"/>
    <cellStyle name="Calculation 15 3 10 2" xfId="18684" xr:uid="{00000000-0005-0000-0000-0000DD480000}"/>
    <cellStyle name="Calculation 15 3 10 2 2" xfId="18685" xr:uid="{00000000-0005-0000-0000-0000DE480000}"/>
    <cellStyle name="Calculation 15 3 10 2 3" xfId="18686" xr:uid="{00000000-0005-0000-0000-0000DF480000}"/>
    <cellStyle name="Calculation 15 3 10 2 4" xfId="18687" xr:uid="{00000000-0005-0000-0000-0000E0480000}"/>
    <cellStyle name="Calculation 15 3 10 2 5" xfId="18688" xr:uid="{00000000-0005-0000-0000-0000E1480000}"/>
    <cellStyle name="Calculation 15 3 10 2 6" xfId="18689" xr:uid="{00000000-0005-0000-0000-0000E2480000}"/>
    <cellStyle name="Calculation 15 3 10 3" xfId="18690" xr:uid="{00000000-0005-0000-0000-0000E3480000}"/>
    <cellStyle name="Calculation 15 3 10 3 2" xfId="18691" xr:uid="{00000000-0005-0000-0000-0000E4480000}"/>
    <cellStyle name="Calculation 15 3 10 3 3" xfId="18692" xr:uid="{00000000-0005-0000-0000-0000E5480000}"/>
    <cellStyle name="Calculation 15 3 10 3 4" xfId="18693" xr:uid="{00000000-0005-0000-0000-0000E6480000}"/>
    <cellStyle name="Calculation 15 3 10 3 5" xfId="18694" xr:uid="{00000000-0005-0000-0000-0000E7480000}"/>
    <cellStyle name="Calculation 15 3 10 3 6" xfId="18695" xr:uid="{00000000-0005-0000-0000-0000E8480000}"/>
    <cellStyle name="Calculation 15 3 10 4" xfId="18696" xr:uid="{00000000-0005-0000-0000-0000E9480000}"/>
    <cellStyle name="Calculation 15 3 10 4 2" xfId="18697" xr:uid="{00000000-0005-0000-0000-0000EA480000}"/>
    <cellStyle name="Calculation 15 3 10 4 3" xfId="18698" xr:uid="{00000000-0005-0000-0000-0000EB480000}"/>
    <cellStyle name="Calculation 15 3 10 4 4" xfId="18699" xr:uid="{00000000-0005-0000-0000-0000EC480000}"/>
    <cellStyle name="Calculation 15 3 10 4 5" xfId="18700" xr:uid="{00000000-0005-0000-0000-0000ED480000}"/>
    <cellStyle name="Calculation 15 3 10 4 6" xfId="18701" xr:uid="{00000000-0005-0000-0000-0000EE480000}"/>
    <cellStyle name="Calculation 15 3 10 5" xfId="18702" xr:uid="{00000000-0005-0000-0000-0000EF480000}"/>
    <cellStyle name="Calculation 15 3 10 5 2" xfId="18703" xr:uid="{00000000-0005-0000-0000-0000F0480000}"/>
    <cellStyle name="Calculation 15 3 10 5 3" xfId="18704" xr:uid="{00000000-0005-0000-0000-0000F1480000}"/>
    <cellStyle name="Calculation 15 3 10 5 4" xfId="18705" xr:uid="{00000000-0005-0000-0000-0000F2480000}"/>
    <cellStyle name="Calculation 15 3 10 5 5" xfId="18706" xr:uid="{00000000-0005-0000-0000-0000F3480000}"/>
    <cellStyle name="Calculation 15 3 10 5 6" xfId="18707" xr:uid="{00000000-0005-0000-0000-0000F4480000}"/>
    <cellStyle name="Calculation 15 3 10 6" xfId="18708" xr:uid="{00000000-0005-0000-0000-0000F5480000}"/>
    <cellStyle name="Calculation 15 3 10 6 2" xfId="18709" xr:uid="{00000000-0005-0000-0000-0000F6480000}"/>
    <cellStyle name="Calculation 15 3 10 6 3" xfId="18710" xr:uid="{00000000-0005-0000-0000-0000F7480000}"/>
    <cellStyle name="Calculation 15 3 10 6 4" xfId="18711" xr:uid="{00000000-0005-0000-0000-0000F8480000}"/>
    <cellStyle name="Calculation 15 3 10 6 5" xfId="18712" xr:uid="{00000000-0005-0000-0000-0000F9480000}"/>
    <cellStyle name="Calculation 15 3 10 6 6" xfId="18713" xr:uid="{00000000-0005-0000-0000-0000FA480000}"/>
    <cellStyle name="Calculation 15 3 10 7" xfId="18714" xr:uid="{00000000-0005-0000-0000-0000FB480000}"/>
    <cellStyle name="Calculation 15 3 10 7 2" xfId="18715" xr:uid="{00000000-0005-0000-0000-0000FC480000}"/>
    <cellStyle name="Calculation 15 3 10 7 3" xfId="18716" xr:uid="{00000000-0005-0000-0000-0000FD480000}"/>
    <cellStyle name="Calculation 15 3 10 7 4" xfId="18717" xr:uid="{00000000-0005-0000-0000-0000FE480000}"/>
    <cellStyle name="Calculation 15 3 10 7 5" xfId="18718" xr:uid="{00000000-0005-0000-0000-0000FF480000}"/>
    <cellStyle name="Calculation 15 3 10 7 6" xfId="18719" xr:uid="{00000000-0005-0000-0000-000000490000}"/>
    <cellStyle name="Calculation 15 3 10 8" xfId="18720" xr:uid="{00000000-0005-0000-0000-000001490000}"/>
    <cellStyle name="Calculation 15 3 10 9" xfId="18721" xr:uid="{00000000-0005-0000-0000-000002490000}"/>
    <cellStyle name="Calculation 15 3 11" xfId="18722" xr:uid="{00000000-0005-0000-0000-000003490000}"/>
    <cellStyle name="Calculation 15 3 11 10" xfId="18723" xr:uid="{00000000-0005-0000-0000-000004490000}"/>
    <cellStyle name="Calculation 15 3 11 2" xfId="18724" xr:uid="{00000000-0005-0000-0000-000005490000}"/>
    <cellStyle name="Calculation 15 3 11 2 2" xfId="18725" xr:uid="{00000000-0005-0000-0000-000006490000}"/>
    <cellStyle name="Calculation 15 3 11 2 3" xfId="18726" xr:uid="{00000000-0005-0000-0000-000007490000}"/>
    <cellStyle name="Calculation 15 3 11 2 4" xfId="18727" xr:uid="{00000000-0005-0000-0000-000008490000}"/>
    <cellStyle name="Calculation 15 3 11 2 5" xfId="18728" xr:uid="{00000000-0005-0000-0000-000009490000}"/>
    <cellStyle name="Calculation 15 3 11 2 6" xfId="18729" xr:uid="{00000000-0005-0000-0000-00000A490000}"/>
    <cellStyle name="Calculation 15 3 11 3" xfId="18730" xr:uid="{00000000-0005-0000-0000-00000B490000}"/>
    <cellStyle name="Calculation 15 3 11 3 2" xfId="18731" xr:uid="{00000000-0005-0000-0000-00000C490000}"/>
    <cellStyle name="Calculation 15 3 11 3 3" xfId="18732" xr:uid="{00000000-0005-0000-0000-00000D490000}"/>
    <cellStyle name="Calculation 15 3 11 3 4" xfId="18733" xr:uid="{00000000-0005-0000-0000-00000E490000}"/>
    <cellStyle name="Calculation 15 3 11 3 5" xfId="18734" xr:uid="{00000000-0005-0000-0000-00000F490000}"/>
    <cellStyle name="Calculation 15 3 11 3 6" xfId="18735" xr:uid="{00000000-0005-0000-0000-000010490000}"/>
    <cellStyle name="Calculation 15 3 11 4" xfId="18736" xr:uid="{00000000-0005-0000-0000-000011490000}"/>
    <cellStyle name="Calculation 15 3 11 4 2" xfId="18737" xr:uid="{00000000-0005-0000-0000-000012490000}"/>
    <cellStyle name="Calculation 15 3 11 4 3" xfId="18738" xr:uid="{00000000-0005-0000-0000-000013490000}"/>
    <cellStyle name="Calculation 15 3 11 4 4" xfId="18739" xr:uid="{00000000-0005-0000-0000-000014490000}"/>
    <cellStyle name="Calculation 15 3 11 4 5" xfId="18740" xr:uid="{00000000-0005-0000-0000-000015490000}"/>
    <cellStyle name="Calculation 15 3 11 4 6" xfId="18741" xr:uid="{00000000-0005-0000-0000-000016490000}"/>
    <cellStyle name="Calculation 15 3 11 5" xfId="18742" xr:uid="{00000000-0005-0000-0000-000017490000}"/>
    <cellStyle name="Calculation 15 3 11 5 2" xfId="18743" xr:uid="{00000000-0005-0000-0000-000018490000}"/>
    <cellStyle name="Calculation 15 3 11 5 3" xfId="18744" xr:uid="{00000000-0005-0000-0000-000019490000}"/>
    <cellStyle name="Calculation 15 3 11 5 4" xfId="18745" xr:uid="{00000000-0005-0000-0000-00001A490000}"/>
    <cellStyle name="Calculation 15 3 11 5 5" xfId="18746" xr:uid="{00000000-0005-0000-0000-00001B490000}"/>
    <cellStyle name="Calculation 15 3 11 5 6" xfId="18747" xr:uid="{00000000-0005-0000-0000-00001C490000}"/>
    <cellStyle name="Calculation 15 3 11 6" xfId="18748" xr:uid="{00000000-0005-0000-0000-00001D490000}"/>
    <cellStyle name="Calculation 15 3 11 6 2" xfId="18749" xr:uid="{00000000-0005-0000-0000-00001E490000}"/>
    <cellStyle name="Calculation 15 3 11 6 3" xfId="18750" xr:uid="{00000000-0005-0000-0000-00001F490000}"/>
    <cellStyle name="Calculation 15 3 11 6 4" xfId="18751" xr:uid="{00000000-0005-0000-0000-000020490000}"/>
    <cellStyle name="Calculation 15 3 11 6 5" xfId="18752" xr:uid="{00000000-0005-0000-0000-000021490000}"/>
    <cellStyle name="Calculation 15 3 11 6 6" xfId="18753" xr:uid="{00000000-0005-0000-0000-000022490000}"/>
    <cellStyle name="Calculation 15 3 11 7" xfId="18754" xr:uid="{00000000-0005-0000-0000-000023490000}"/>
    <cellStyle name="Calculation 15 3 11 7 2" xfId="18755" xr:uid="{00000000-0005-0000-0000-000024490000}"/>
    <cellStyle name="Calculation 15 3 11 7 3" xfId="18756" xr:uid="{00000000-0005-0000-0000-000025490000}"/>
    <cellStyle name="Calculation 15 3 11 7 4" xfId="18757" xr:uid="{00000000-0005-0000-0000-000026490000}"/>
    <cellStyle name="Calculation 15 3 11 7 5" xfId="18758" xr:uid="{00000000-0005-0000-0000-000027490000}"/>
    <cellStyle name="Calculation 15 3 11 7 6" xfId="18759" xr:uid="{00000000-0005-0000-0000-000028490000}"/>
    <cellStyle name="Calculation 15 3 11 8" xfId="18760" xr:uid="{00000000-0005-0000-0000-000029490000}"/>
    <cellStyle name="Calculation 15 3 11 9" xfId="18761" xr:uid="{00000000-0005-0000-0000-00002A490000}"/>
    <cellStyle name="Calculation 15 3 12" xfId="18762" xr:uid="{00000000-0005-0000-0000-00002B490000}"/>
    <cellStyle name="Calculation 15 3 12 10" xfId="18763" xr:uid="{00000000-0005-0000-0000-00002C490000}"/>
    <cellStyle name="Calculation 15 3 12 2" xfId="18764" xr:uid="{00000000-0005-0000-0000-00002D490000}"/>
    <cellStyle name="Calculation 15 3 12 2 2" xfId="18765" xr:uid="{00000000-0005-0000-0000-00002E490000}"/>
    <cellStyle name="Calculation 15 3 12 2 3" xfId="18766" xr:uid="{00000000-0005-0000-0000-00002F490000}"/>
    <cellStyle name="Calculation 15 3 12 2 4" xfId="18767" xr:uid="{00000000-0005-0000-0000-000030490000}"/>
    <cellStyle name="Calculation 15 3 12 2 5" xfId="18768" xr:uid="{00000000-0005-0000-0000-000031490000}"/>
    <cellStyle name="Calculation 15 3 12 2 6" xfId="18769" xr:uid="{00000000-0005-0000-0000-000032490000}"/>
    <cellStyle name="Calculation 15 3 12 3" xfId="18770" xr:uid="{00000000-0005-0000-0000-000033490000}"/>
    <cellStyle name="Calculation 15 3 12 3 2" xfId="18771" xr:uid="{00000000-0005-0000-0000-000034490000}"/>
    <cellStyle name="Calculation 15 3 12 3 3" xfId="18772" xr:uid="{00000000-0005-0000-0000-000035490000}"/>
    <cellStyle name="Calculation 15 3 12 3 4" xfId="18773" xr:uid="{00000000-0005-0000-0000-000036490000}"/>
    <cellStyle name="Calculation 15 3 12 3 5" xfId="18774" xr:uid="{00000000-0005-0000-0000-000037490000}"/>
    <cellStyle name="Calculation 15 3 12 3 6" xfId="18775" xr:uid="{00000000-0005-0000-0000-000038490000}"/>
    <cellStyle name="Calculation 15 3 12 4" xfId="18776" xr:uid="{00000000-0005-0000-0000-000039490000}"/>
    <cellStyle name="Calculation 15 3 12 4 2" xfId="18777" xr:uid="{00000000-0005-0000-0000-00003A490000}"/>
    <cellStyle name="Calculation 15 3 12 4 3" xfId="18778" xr:uid="{00000000-0005-0000-0000-00003B490000}"/>
    <cellStyle name="Calculation 15 3 12 4 4" xfId="18779" xr:uid="{00000000-0005-0000-0000-00003C490000}"/>
    <cellStyle name="Calculation 15 3 12 4 5" xfId="18780" xr:uid="{00000000-0005-0000-0000-00003D490000}"/>
    <cellStyle name="Calculation 15 3 12 4 6" xfId="18781" xr:uid="{00000000-0005-0000-0000-00003E490000}"/>
    <cellStyle name="Calculation 15 3 12 5" xfId="18782" xr:uid="{00000000-0005-0000-0000-00003F490000}"/>
    <cellStyle name="Calculation 15 3 12 5 2" xfId="18783" xr:uid="{00000000-0005-0000-0000-000040490000}"/>
    <cellStyle name="Calculation 15 3 12 5 3" xfId="18784" xr:uid="{00000000-0005-0000-0000-000041490000}"/>
    <cellStyle name="Calculation 15 3 12 5 4" xfId="18785" xr:uid="{00000000-0005-0000-0000-000042490000}"/>
    <cellStyle name="Calculation 15 3 12 5 5" xfId="18786" xr:uid="{00000000-0005-0000-0000-000043490000}"/>
    <cellStyle name="Calculation 15 3 12 5 6" xfId="18787" xr:uid="{00000000-0005-0000-0000-000044490000}"/>
    <cellStyle name="Calculation 15 3 12 6" xfId="18788" xr:uid="{00000000-0005-0000-0000-000045490000}"/>
    <cellStyle name="Calculation 15 3 12 6 2" xfId="18789" xr:uid="{00000000-0005-0000-0000-000046490000}"/>
    <cellStyle name="Calculation 15 3 12 6 3" xfId="18790" xr:uid="{00000000-0005-0000-0000-000047490000}"/>
    <cellStyle name="Calculation 15 3 12 6 4" xfId="18791" xr:uid="{00000000-0005-0000-0000-000048490000}"/>
    <cellStyle name="Calculation 15 3 12 6 5" xfId="18792" xr:uid="{00000000-0005-0000-0000-000049490000}"/>
    <cellStyle name="Calculation 15 3 12 6 6" xfId="18793" xr:uid="{00000000-0005-0000-0000-00004A490000}"/>
    <cellStyle name="Calculation 15 3 12 7" xfId="18794" xr:uid="{00000000-0005-0000-0000-00004B490000}"/>
    <cellStyle name="Calculation 15 3 12 7 2" xfId="18795" xr:uid="{00000000-0005-0000-0000-00004C490000}"/>
    <cellStyle name="Calculation 15 3 12 7 3" xfId="18796" xr:uid="{00000000-0005-0000-0000-00004D490000}"/>
    <cellStyle name="Calculation 15 3 12 7 4" xfId="18797" xr:uid="{00000000-0005-0000-0000-00004E490000}"/>
    <cellStyle name="Calculation 15 3 12 7 5" xfId="18798" xr:uid="{00000000-0005-0000-0000-00004F490000}"/>
    <cellStyle name="Calculation 15 3 12 7 6" xfId="18799" xr:uid="{00000000-0005-0000-0000-000050490000}"/>
    <cellStyle name="Calculation 15 3 12 8" xfId="18800" xr:uid="{00000000-0005-0000-0000-000051490000}"/>
    <cellStyle name="Calculation 15 3 12 9" xfId="18801" xr:uid="{00000000-0005-0000-0000-000052490000}"/>
    <cellStyle name="Calculation 15 3 13" xfId="18802" xr:uid="{00000000-0005-0000-0000-000053490000}"/>
    <cellStyle name="Calculation 15 3 13 10" xfId="18803" xr:uid="{00000000-0005-0000-0000-000054490000}"/>
    <cellStyle name="Calculation 15 3 13 2" xfId="18804" xr:uid="{00000000-0005-0000-0000-000055490000}"/>
    <cellStyle name="Calculation 15 3 13 2 2" xfId="18805" xr:uid="{00000000-0005-0000-0000-000056490000}"/>
    <cellStyle name="Calculation 15 3 13 2 3" xfId="18806" xr:uid="{00000000-0005-0000-0000-000057490000}"/>
    <cellStyle name="Calculation 15 3 13 2 4" xfId="18807" xr:uid="{00000000-0005-0000-0000-000058490000}"/>
    <cellStyle name="Calculation 15 3 13 2 5" xfId="18808" xr:uid="{00000000-0005-0000-0000-000059490000}"/>
    <cellStyle name="Calculation 15 3 13 2 6" xfId="18809" xr:uid="{00000000-0005-0000-0000-00005A490000}"/>
    <cellStyle name="Calculation 15 3 13 3" xfId="18810" xr:uid="{00000000-0005-0000-0000-00005B490000}"/>
    <cellStyle name="Calculation 15 3 13 3 2" xfId="18811" xr:uid="{00000000-0005-0000-0000-00005C490000}"/>
    <cellStyle name="Calculation 15 3 13 3 3" xfId="18812" xr:uid="{00000000-0005-0000-0000-00005D490000}"/>
    <cellStyle name="Calculation 15 3 13 3 4" xfId="18813" xr:uid="{00000000-0005-0000-0000-00005E490000}"/>
    <cellStyle name="Calculation 15 3 13 3 5" xfId="18814" xr:uid="{00000000-0005-0000-0000-00005F490000}"/>
    <cellStyle name="Calculation 15 3 13 3 6" xfId="18815" xr:uid="{00000000-0005-0000-0000-000060490000}"/>
    <cellStyle name="Calculation 15 3 13 4" xfId="18816" xr:uid="{00000000-0005-0000-0000-000061490000}"/>
    <cellStyle name="Calculation 15 3 13 4 2" xfId="18817" xr:uid="{00000000-0005-0000-0000-000062490000}"/>
    <cellStyle name="Calculation 15 3 13 4 3" xfId="18818" xr:uid="{00000000-0005-0000-0000-000063490000}"/>
    <cellStyle name="Calculation 15 3 13 4 4" xfId="18819" xr:uid="{00000000-0005-0000-0000-000064490000}"/>
    <cellStyle name="Calculation 15 3 13 4 5" xfId="18820" xr:uid="{00000000-0005-0000-0000-000065490000}"/>
    <cellStyle name="Calculation 15 3 13 4 6" xfId="18821" xr:uid="{00000000-0005-0000-0000-000066490000}"/>
    <cellStyle name="Calculation 15 3 13 5" xfId="18822" xr:uid="{00000000-0005-0000-0000-000067490000}"/>
    <cellStyle name="Calculation 15 3 13 5 2" xfId="18823" xr:uid="{00000000-0005-0000-0000-000068490000}"/>
    <cellStyle name="Calculation 15 3 13 5 3" xfId="18824" xr:uid="{00000000-0005-0000-0000-000069490000}"/>
    <cellStyle name="Calculation 15 3 13 5 4" xfId="18825" xr:uid="{00000000-0005-0000-0000-00006A490000}"/>
    <cellStyle name="Calculation 15 3 13 5 5" xfId="18826" xr:uid="{00000000-0005-0000-0000-00006B490000}"/>
    <cellStyle name="Calculation 15 3 13 5 6" xfId="18827" xr:uid="{00000000-0005-0000-0000-00006C490000}"/>
    <cellStyle name="Calculation 15 3 13 6" xfId="18828" xr:uid="{00000000-0005-0000-0000-00006D490000}"/>
    <cellStyle name="Calculation 15 3 13 6 2" xfId="18829" xr:uid="{00000000-0005-0000-0000-00006E490000}"/>
    <cellStyle name="Calculation 15 3 13 6 3" xfId="18830" xr:uid="{00000000-0005-0000-0000-00006F490000}"/>
    <cellStyle name="Calculation 15 3 13 6 4" xfId="18831" xr:uid="{00000000-0005-0000-0000-000070490000}"/>
    <cellStyle name="Calculation 15 3 13 6 5" xfId="18832" xr:uid="{00000000-0005-0000-0000-000071490000}"/>
    <cellStyle name="Calculation 15 3 13 6 6" xfId="18833" xr:uid="{00000000-0005-0000-0000-000072490000}"/>
    <cellStyle name="Calculation 15 3 13 7" xfId="18834" xr:uid="{00000000-0005-0000-0000-000073490000}"/>
    <cellStyle name="Calculation 15 3 13 7 2" xfId="18835" xr:uid="{00000000-0005-0000-0000-000074490000}"/>
    <cellStyle name="Calculation 15 3 13 7 3" xfId="18836" xr:uid="{00000000-0005-0000-0000-000075490000}"/>
    <cellStyle name="Calculation 15 3 13 7 4" xfId="18837" xr:uid="{00000000-0005-0000-0000-000076490000}"/>
    <cellStyle name="Calculation 15 3 13 7 5" xfId="18838" xr:uid="{00000000-0005-0000-0000-000077490000}"/>
    <cellStyle name="Calculation 15 3 13 7 6" xfId="18839" xr:uid="{00000000-0005-0000-0000-000078490000}"/>
    <cellStyle name="Calculation 15 3 13 8" xfId="18840" xr:uid="{00000000-0005-0000-0000-000079490000}"/>
    <cellStyle name="Calculation 15 3 13 9" xfId="18841" xr:uid="{00000000-0005-0000-0000-00007A490000}"/>
    <cellStyle name="Calculation 15 3 14" xfId="18842" xr:uid="{00000000-0005-0000-0000-00007B490000}"/>
    <cellStyle name="Calculation 15 3 14 10" xfId="18843" xr:uid="{00000000-0005-0000-0000-00007C490000}"/>
    <cellStyle name="Calculation 15 3 14 2" xfId="18844" xr:uid="{00000000-0005-0000-0000-00007D490000}"/>
    <cellStyle name="Calculation 15 3 14 2 2" xfId="18845" xr:uid="{00000000-0005-0000-0000-00007E490000}"/>
    <cellStyle name="Calculation 15 3 14 2 3" xfId="18846" xr:uid="{00000000-0005-0000-0000-00007F490000}"/>
    <cellStyle name="Calculation 15 3 14 2 4" xfId="18847" xr:uid="{00000000-0005-0000-0000-000080490000}"/>
    <cellStyle name="Calculation 15 3 14 2 5" xfId="18848" xr:uid="{00000000-0005-0000-0000-000081490000}"/>
    <cellStyle name="Calculation 15 3 14 2 6" xfId="18849" xr:uid="{00000000-0005-0000-0000-000082490000}"/>
    <cellStyle name="Calculation 15 3 14 3" xfId="18850" xr:uid="{00000000-0005-0000-0000-000083490000}"/>
    <cellStyle name="Calculation 15 3 14 3 2" xfId="18851" xr:uid="{00000000-0005-0000-0000-000084490000}"/>
    <cellStyle name="Calculation 15 3 14 3 3" xfId="18852" xr:uid="{00000000-0005-0000-0000-000085490000}"/>
    <cellStyle name="Calculation 15 3 14 3 4" xfId="18853" xr:uid="{00000000-0005-0000-0000-000086490000}"/>
    <cellStyle name="Calculation 15 3 14 3 5" xfId="18854" xr:uid="{00000000-0005-0000-0000-000087490000}"/>
    <cellStyle name="Calculation 15 3 14 3 6" xfId="18855" xr:uid="{00000000-0005-0000-0000-000088490000}"/>
    <cellStyle name="Calculation 15 3 14 4" xfId="18856" xr:uid="{00000000-0005-0000-0000-000089490000}"/>
    <cellStyle name="Calculation 15 3 14 4 2" xfId="18857" xr:uid="{00000000-0005-0000-0000-00008A490000}"/>
    <cellStyle name="Calculation 15 3 14 4 3" xfId="18858" xr:uid="{00000000-0005-0000-0000-00008B490000}"/>
    <cellStyle name="Calculation 15 3 14 4 4" xfId="18859" xr:uid="{00000000-0005-0000-0000-00008C490000}"/>
    <cellStyle name="Calculation 15 3 14 4 5" xfId="18860" xr:uid="{00000000-0005-0000-0000-00008D490000}"/>
    <cellStyle name="Calculation 15 3 14 4 6" xfId="18861" xr:uid="{00000000-0005-0000-0000-00008E490000}"/>
    <cellStyle name="Calculation 15 3 14 5" xfId="18862" xr:uid="{00000000-0005-0000-0000-00008F490000}"/>
    <cellStyle name="Calculation 15 3 14 5 2" xfId="18863" xr:uid="{00000000-0005-0000-0000-000090490000}"/>
    <cellStyle name="Calculation 15 3 14 5 3" xfId="18864" xr:uid="{00000000-0005-0000-0000-000091490000}"/>
    <cellStyle name="Calculation 15 3 14 5 4" xfId="18865" xr:uid="{00000000-0005-0000-0000-000092490000}"/>
    <cellStyle name="Calculation 15 3 14 5 5" xfId="18866" xr:uid="{00000000-0005-0000-0000-000093490000}"/>
    <cellStyle name="Calculation 15 3 14 5 6" xfId="18867" xr:uid="{00000000-0005-0000-0000-000094490000}"/>
    <cellStyle name="Calculation 15 3 14 6" xfId="18868" xr:uid="{00000000-0005-0000-0000-000095490000}"/>
    <cellStyle name="Calculation 15 3 14 6 2" xfId="18869" xr:uid="{00000000-0005-0000-0000-000096490000}"/>
    <cellStyle name="Calculation 15 3 14 6 3" xfId="18870" xr:uid="{00000000-0005-0000-0000-000097490000}"/>
    <cellStyle name="Calculation 15 3 14 6 4" xfId="18871" xr:uid="{00000000-0005-0000-0000-000098490000}"/>
    <cellStyle name="Calculation 15 3 14 6 5" xfId="18872" xr:uid="{00000000-0005-0000-0000-000099490000}"/>
    <cellStyle name="Calculation 15 3 14 6 6" xfId="18873" xr:uid="{00000000-0005-0000-0000-00009A490000}"/>
    <cellStyle name="Calculation 15 3 14 7" xfId="18874" xr:uid="{00000000-0005-0000-0000-00009B490000}"/>
    <cellStyle name="Calculation 15 3 14 7 2" xfId="18875" xr:uid="{00000000-0005-0000-0000-00009C490000}"/>
    <cellStyle name="Calculation 15 3 14 7 3" xfId="18876" xr:uid="{00000000-0005-0000-0000-00009D490000}"/>
    <cellStyle name="Calculation 15 3 14 7 4" xfId="18877" xr:uid="{00000000-0005-0000-0000-00009E490000}"/>
    <cellStyle name="Calculation 15 3 14 7 5" xfId="18878" xr:uid="{00000000-0005-0000-0000-00009F490000}"/>
    <cellStyle name="Calculation 15 3 14 7 6" xfId="18879" xr:uid="{00000000-0005-0000-0000-0000A0490000}"/>
    <cellStyle name="Calculation 15 3 14 8" xfId="18880" xr:uid="{00000000-0005-0000-0000-0000A1490000}"/>
    <cellStyle name="Calculation 15 3 14 9" xfId="18881" xr:uid="{00000000-0005-0000-0000-0000A2490000}"/>
    <cellStyle name="Calculation 15 3 15" xfId="18882" xr:uid="{00000000-0005-0000-0000-0000A3490000}"/>
    <cellStyle name="Calculation 15 3 15 10" xfId="18883" xr:uid="{00000000-0005-0000-0000-0000A4490000}"/>
    <cellStyle name="Calculation 15 3 15 2" xfId="18884" xr:uid="{00000000-0005-0000-0000-0000A5490000}"/>
    <cellStyle name="Calculation 15 3 15 2 2" xfId="18885" xr:uid="{00000000-0005-0000-0000-0000A6490000}"/>
    <cellStyle name="Calculation 15 3 15 2 3" xfId="18886" xr:uid="{00000000-0005-0000-0000-0000A7490000}"/>
    <cellStyle name="Calculation 15 3 15 2 4" xfId="18887" xr:uid="{00000000-0005-0000-0000-0000A8490000}"/>
    <cellStyle name="Calculation 15 3 15 2 5" xfId="18888" xr:uid="{00000000-0005-0000-0000-0000A9490000}"/>
    <cellStyle name="Calculation 15 3 15 2 6" xfId="18889" xr:uid="{00000000-0005-0000-0000-0000AA490000}"/>
    <cellStyle name="Calculation 15 3 15 3" xfId="18890" xr:uid="{00000000-0005-0000-0000-0000AB490000}"/>
    <cellStyle name="Calculation 15 3 15 3 2" xfId="18891" xr:uid="{00000000-0005-0000-0000-0000AC490000}"/>
    <cellStyle name="Calculation 15 3 15 3 3" xfId="18892" xr:uid="{00000000-0005-0000-0000-0000AD490000}"/>
    <cellStyle name="Calculation 15 3 15 3 4" xfId="18893" xr:uid="{00000000-0005-0000-0000-0000AE490000}"/>
    <cellStyle name="Calculation 15 3 15 3 5" xfId="18894" xr:uid="{00000000-0005-0000-0000-0000AF490000}"/>
    <cellStyle name="Calculation 15 3 15 3 6" xfId="18895" xr:uid="{00000000-0005-0000-0000-0000B0490000}"/>
    <cellStyle name="Calculation 15 3 15 4" xfId="18896" xr:uid="{00000000-0005-0000-0000-0000B1490000}"/>
    <cellStyle name="Calculation 15 3 15 4 2" xfId="18897" xr:uid="{00000000-0005-0000-0000-0000B2490000}"/>
    <cellStyle name="Calculation 15 3 15 4 3" xfId="18898" xr:uid="{00000000-0005-0000-0000-0000B3490000}"/>
    <cellStyle name="Calculation 15 3 15 4 4" xfId="18899" xr:uid="{00000000-0005-0000-0000-0000B4490000}"/>
    <cellStyle name="Calculation 15 3 15 4 5" xfId="18900" xr:uid="{00000000-0005-0000-0000-0000B5490000}"/>
    <cellStyle name="Calculation 15 3 15 4 6" xfId="18901" xr:uid="{00000000-0005-0000-0000-0000B6490000}"/>
    <cellStyle name="Calculation 15 3 15 5" xfId="18902" xr:uid="{00000000-0005-0000-0000-0000B7490000}"/>
    <cellStyle name="Calculation 15 3 15 5 2" xfId="18903" xr:uid="{00000000-0005-0000-0000-0000B8490000}"/>
    <cellStyle name="Calculation 15 3 15 5 3" xfId="18904" xr:uid="{00000000-0005-0000-0000-0000B9490000}"/>
    <cellStyle name="Calculation 15 3 15 5 4" xfId="18905" xr:uid="{00000000-0005-0000-0000-0000BA490000}"/>
    <cellStyle name="Calculation 15 3 15 5 5" xfId="18906" xr:uid="{00000000-0005-0000-0000-0000BB490000}"/>
    <cellStyle name="Calculation 15 3 15 5 6" xfId="18907" xr:uid="{00000000-0005-0000-0000-0000BC490000}"/>
    <cellStyle name="Calculation 15 3 15 6" xfId="18908" xr:uid="{00000000-0005-0000-0000-0000BD490000}"/>
    <cellStyle name="Calculation 15 3 15 6 2" xfId="18909" xr:uid="{00000000-0005-0000-0000-0000BE490000}"/>
    <cellStyle name="Calculation 15 3 15 6 3" xfId="18910" xr:uid="{00000000-0005-0000-0000-0000BF490000}"/>
    <cellStyle name="Calculation 15 3 15 6 4" xfId="18911" xr:uid="{00000000-0005-0000-0000-0000C0490000}"/>
    <cellStyle name="Calculation 15 3 15 6 5" xfId="18912" xr:uid="{00000000-0005-0000-0000-0000C1490000}"/>
    <cellStyle name="Calculation 15 3 15 6 6" xfId="18913" xr:uid="{00000000-0005-0000-0000-0000C2490000}"/>
    <cellStyle name="Calculation 15 3 15 7" xfId="18914" xr:uid="{00000000-0005-0000-0000-0000C3490000}"/>
    <cellStyle name="Calculation 15 3 15 7 2" xfId="18915" xr:uid="{00000000-0005-0000-0000-0000C4490000}"/>
    <cellStyle name="Calculation 15 3 15 7 3" xfId="18916" xr:uid="{00000000-0005-0000-0000-0000C5490000}"/>
    <cellStyle name="Calculation 15 3 15 7 4" xfId="18917" xr:uid="{00000000-0005-0000-0000-0000C6490000}"/>
    <cellStyle name="Calculation 15 3 15 7 5" xfId="18918" xr:uid="{00000000-0005-0000-0000-0000C7490000}"/>
    <cellStyle name="Calculation 15 3 15 7 6" xfId="18919" xr:uid="{00000000-0005-0000-0000-0000C8490000}"/>
    <cellStyle name="Calculation 15 3 15 8" xfId="18920" xr:uid="{00000000-0005-0000-0000-0000C9490000}"/>
    <cellStyle name="Calculation 15 3 15 9" xfId="18921" xr:uid="{00000000-0005-0000-0000-0000CA490000}"/>
    <cellStyle name="Calculation 15 3 16" xfId="18922" xr:uid="{00000000-0005-0000-0000-0000CB490000}"/>
    <cellStyle name="Calculation 15 3 16 10" xfId="18923" xr:uid="{00000000-0005-0000-0000-0000CC490000}"/>
    <cellStyle name="Calculation 15 3 16 2" xfId="18924" xr:uid="{00000000-0005-0000-0000-0000CD490000}"/>
    <cellStyle name="Calculation 15 3 16 2 2" xfId="18925" xr:uid="{00000000-0005-0000-0000-0000CE490000}"/>
    <cellStyle name="Calculation 15 3 16 2 3" xfId="18926" xr:uid="{00000000-0005-0000-0000-0000CF490000}"/>
    <cellStyle name="Calculation 15 3 16 2 4" xfId="18927" xr:uid="{00000000-0005-0000-0000-0000D0490000}"/>
    <cellStyle name="Calculation 15 3 16 2 5" xfId="18928" xr:uid="{00000000-0005-0000-0000-0000D1490000}"/>
    <cellStyle name="Calculation 15 3 16 2 6" xfId="18929" xr:uid="{00000000-0005-0000-0000-0000D2490000}"/>
    <cellStyle name="Calculation 15 3 16 3" xfId="18930" xr:uid="{00000000-0005-0000-0000-0000D3490000}"/>
    <cellStyle name="Calculation 15 3 16 3 2" xfId="18931" xr:uid="{00000000-0005-0000-0000-0000D4490000}"/>
    <cellStyle name="Calculation 15 3 16 3 3" xfId="18932" xr:uid="{00000000-0005-0000-0000-0000D5490000}"/>
    <cellStyle name="Calculation 15 3 16 3 4" xfId="18933" xr:uid="{00000000-0005-0000-0000-0000D6490000}"/>
    <cellStyle name="Calculation 15 3 16 3 5" xfId="18934" xr:uid="{00000000-0005-0000-0000-0000D7490000}"/>
    <cellStyle name="Calculation 15 3 16 3 6" xfId="18935" xr:uid="{00000000-0005-0000-0000-0000D8490000}"/>
    <cellStyle name="Calculation 15 3 16 4" xfId="18936" xr:uid="{00000000-0005-0000-0000-0000D9490000}"/>
    <cellStyle name="Calculation 15 3 16 4 2" xfId="18937" xr:uid="{00000000-0005-0000-0000-0000DA490000}"/>
    <cellStyle name="Calculation 15 3 16 4 3" xfId="18938" xr:uid="{00000000-0005-0000-0000-0000DB490000}"/>
    <cellStyle name="Calculation 15 3 16 4 4" xfId="18939" xr:uid="{00000000-0005-0000-0000-0000DC490000}"/>
    <cellStyle name="Calculation 15 3 16 4 5" xfId="18940" xr:uid="{00000000-0005-0000-0000-0000DD490000}"/>
    <cellStyle name="Calculation 15 3 16 4 6" xfId="18941" xr:uid="{00000000-0005-0000-0000-0000DE490000}"/>
    <cellStyle name="Calculation 15 3 16 5" xfId="18942" xr:uid="{00000000-0005-0000-0000-0000DF490000}"/>
    <cellStyle name="Calculation 15 3 16 5 2" xfId="18943" xr:uid="{00000000-0005-0000-0000-0000E0490000}"/>
    <cellStyle name="Calculation 15 3 16 5 3" xfId="18944" xr:uid="{00000000-0005-0000-0000-0000E1490000}"/>
    <cellStyle name="Calculation 15 3 16 5 4" xfId="18945" xr:uid="{00000000-0005-0000-0000-0000E2490000}"/>
    <cellStyle name="Calculation 15 3 16 5 5" xfId="18946" xr:uid="{00000000-0005-0000-0000-0000E3490000}"/>
    <cellStyle name="Calculation 15 3 16 5 6" xfId="18947" xr:uid="{00000000-0005-0000-0000-0000E4490000}"/>
    <cellStyle name="Calculation 15 3 16 6" xfId="18948" xr:uid="{00000000-0005-0000-0000-0000E5490000}"/>
    <cellStyle name="Calculation 15 3 16 6 2" xfId="18949" xr:uid="{00000000-0005-0000-0000-0000E6490000}"/>
    <cellStyle name="Calculation 15 3 16 6 3" xfId="18950" xr:uid="{00000000-0005-0000-0000-0000E7490000}"/>
    <cellStyle name="Calculation 15 3 16 6 4" xfId="18951" xr:uid="{00000000-0005-0000-0000-0000E8490000}"/>
    <cellStyle name="Calculation 15 3 16 6 5" xfId="18952" xr:uid="{00000000-0005-0000-0000-0000E9490000}"/>
    <cellStyle name="Calculation 15 3 16 6 6" xfId="18953" xr:uid="{00000000-0005-0000-0000-0000EA490000}"/>
    <cellStyle name="Calculation 15 3 16 7" xfId="18954" xr:uid="{00000000-0005-0000-0000-0000EB490000}"/>
    <cellStyle name="Calculation 15 3 16 7 2" xfId="18955" xr:uid="{00000000-0005-0000-0000-0000EC490000}"/>
    <cellStyle name="Calculation 15 3 16 7 3" xfId="18956" xr:uid="{00000000-0005-0000-0000-0000ED490000}"/>
    <cellStyle name="Calculation 15 3 16 7 4" xfId="18957" xr:uid="{00000000-0005-0000-0000-0000EE490000}"/>
    <cellStyle name="Calculation 15 3 16 7 5" xfId="18958" xr:uid="{00000000-0005-0000-0000-0000EF490000}"/>
    <cellStyle name="Calculation 15 3 16 7 6" xfId="18959" xr:uid="{00000000-0005-0000-0000-0000F0490000}"/>
    <cellStyle name="Calculation 15 3 16 8" xfId="18960" xr:uid="{00000000-0005-0000-0000-0000F1490000}"/>
    <cellStyle name="Calculation 15 3 16 9" xfId="18961" xr:uid="{00000000-0005-0000-0000-0000F2490000}"/>
    <cellStyle name="Calculation 15 3 17" xfId="18962" xr:uid="{00000000-0005-0000-0000-0000F3490000}"/>
    <cellStyle name="Calculation 15 3 17 10" xfId="18963" xr:uid="{00000000-0005-0000-0000-0000F4490000}"/>
    <cellStyle name="Calculation 15 3 17 2" xfId="18964" xr:uid="{00000000-0005-0000-0000-0000F5490000}"/>
    <cellStyle name="Calculation 15 3 17 2 2" xfId="18965" xr:uid="{00000000-0005-0000-0000-0000F6490000}"/>
    <cellStyle name="Calculation 15 3 17 2 3" xfId="18966" xr:uid="{00000000-0005-0000-0000-0000F7490000}"/>
    <cellStyle name="Calculation 15 3 17 2 4" xfId="18967" xr:uid="{00000000-0005-0000-0000-0000F8490000}"/>
    <cellStyle name="Calculation 15 3 17 2 5" xfId="18968" xr:uid="{00000000-0005-0000-0000-0000F9490000}"/>
    <cellStyle name="Calculation 15 3 17 2 6" xfId="18969" xr:uid="{00000000-0005-0000-0000-0000FA490000}"/>
    <cellStyle name="Calculation 15 3 17 3" xfId="18970" xr:uid="{00000000-0005-0000-0000-0000FB490000}"/>
    <cellStyle name="Calculation 15 3 17 3 2" xfId="18971" xr:uid="{00000000-0005-0000-0000-0000FC490000}"/>
    <cellStyle name="Calculation 15 3 17 3 3" xfId="18972" xr:uid="{00000000-0005-0000-0000-0000FD490000}"/>
    <cellStyle name="Calculation 15 3 17 3 4" xfId="18973" xr:uid="{00000000-0005-0000-0000-0000FE490000}"/>
    <cellStyle name="Calculation 15 3 17 3 5" xfId="18974" xr:uid="{00000000-0005-0000-0000-0000FF490000}"/>
    <cellStyle name="Calculation 15 3 17 3 6" xfId="18975" xr:uid="{00000000-0005-0000-0000-0000004A0000}"/>
    <cellStyle name="Calculation 15 3 17 4" xfId="18976" xr:uid="{00000000-0005-0000-0000-0000014A0000}"/>
    <cellStyle name="Calculation 15 3 17 4 2" xfId="18977" xr:uid="{00000000-0005-0000-0000-0000024A0000}"/>
    <cellStyle name="Calculation 15 3 17 4 3" xfId="18978" xr:uid="{00000000-0005-0000-0000-0000034A0000}"/>
    <cellStyle name="Calculation 15 3 17 4 4" xfId="18979" xr:uid="{00000000-0005-0000-0000-0000044A0000}"/>
    <cellStyle name="Calculation 15 3 17 4 5" xfId="18980" xr:uid="{00000000-0005-0000-0000-0000054A0000}"/>
    <cellStyle name="Calculation 15 3 17 4 6" xfId="18981" xr:uid="{00000000-0005-0000-0000-0000064A0000}"/>
    <cellStyle name="Calculation 15 3 17 5" xfId="18982" xr:uid="{00000000-0005-0000-0000-0000074A0000}"/>
    <cellStyle name="Calculation 15 3 17 5 2" xfId="18983" xr:uid="{00000000-0005-0000-0000-0000084A0000}"/>
    <cellStyle name="Calculation 15 3 17 5 3" xfId="18984" xr:uid="{00000000-0005-0000-0000-0000094A0000}"/>
    <cellStyle name="Calculation 15 3 17 5 4" xfId="18985" xr:uid="{00000000-0005-0000-0000-00000A4A0000}"/>
    <cellStyle name="Calculation 15 3 17 5 5" xfId="18986" xr:uid="{00000000-0005-0000-0000-00000B4A0000}"/>
    <cellStyle name="Calculation 15 3 17 5 6" xfId="18987" xr:uid="{00000000-0005-0000-0000-00000C4A0000}"/>
    <cellStyle name="Calculation 15 3 17 6" xfId="18988" xr:uid="{00000000-0005-0000-0000-00000D4A0000}"/>
    <cellStyle name="Calculation 15 3 17 6 2" xfId="18989" xr:uid="{00000000-0005-0000-0000-00000E4A0000}"/>
    <cellStyle name="Calculation 15 3 17 6 3" xfId="18990" xr:uid="{00000000-0005-0000-0000-00000F4A0000}"/>
    <cellStyle name="Calculation 15 3 17 6 4" xfId="18991" xr:uid="{00000000-0005-0000-0000-0000104A0000}"/>
    <cellStyle name="Calculation 15 3 17 6 5" xfId="18992" xr:uid="{00000000-0005-0000-0000-0000114A0000}"/>
    <cellStyle name="Calculation 15 3 17 6 6" xfId="18993" xr:uid="{00000000-0005-0000-0000-0000124A0000}"/>
    <cellStyle name="Calculation 15 3 17 7" xfId="18994" xr:uid="{00000000-0005-0000-0000-0000134A0000}"/>
    <cellStyle name="Calculation 15 3 17 7 2" xfId="18995" xr:uid="{00000000-0005-0000-0000-0000144A0000}"/>
    <cellStyle name="Calculation 15 3 17 7 3" xfId="18996" xr:uid="{00000000-0005-0000-0000-0000154A0000}"/>
    <cellStyle name="Calculation 15 3 17 7 4" xfId="18997" xr:uid="{00000000-0005-0000-0000-0000164A0000}"/>
    <cellStyle name="Calculation 15 3 17 7 5" xfId="18998" xr:uid="{00000000-0005-0000-0000-0000174A0000}"/>
    <cellStyle name="Calculation 15 3 17 7 6" xfId="18999" xr:uid="{00000000-0005-0000-0000-0000184A0000}"/>
    <cellStyle name="Calculation 15 3 17 8" xfId="19000" xr:uid="{00000000-0005-0000-0000-0000194A0000}"/>
    <cellStyle name="Calculation 15 3 17 9" xfId="19001" xr:uid="{00000000-0005-0000-0000-00001A4A0000}"/>
    <cellStyle name="Calculation 15 3 18" xfId="19002" xr:uid="{00000000-0005-0000-0000-00001B4A0000}"/>
    <cellStyle name="Calculation 15 3 18 10" xfId="19003" xr:uid="{00000000-0005-0000-0000-00001C4A0000}"/>
    <cellStyle name="Calculation 15 3 18 2" xfId="19004" xr:uid="{00000000-0005-0000-0000-00001D4A0000}"/>
    <cellStyle name="Calculation 15 3 18 2 2" xfId="19005" xr:uid="{00000000-0005-0000-0000-00001E4A0000}"/>
    <cellStyle name="Calculation 15 3 18 2 3" xfId="19006" xr:uid="{00000000-0005-0000-0000-00001F4A0000}"/>
    <cellStyle name="Calculation 15 3 18 2 4" xfId="19007" xr:uid="{00000000-0005-0000-0000-0000204A0000}"/>
    <cellStyle name="Calculation 15 3 18 2 5" xfId="19008" xr:uid="{00000000-0005-0000-0000-0000214A0000}"/>
    <cellStyle name="Calculation 15 3 18 2 6" xfId="19009" xr:uid="{00000000-0005-0000-0000-0000224A0000}"/>
    <cellStyle name="Calculation 15 3 18 3" xfId="19010" xr:uid="{00000000-0005-0000-0000-0000234A0000}"/>
    <cellStyle name="Calculation 15 3 18 3 2" xfId="19011" xr:uid="{00000000-0005-0000-0000-0000244A0000}"/>
    <cellStyle name="Calculation 15 3 18 3 3" xfId="19012" xr:uid="{00000000-0005-0000-0000-0000254A0000}"/>
    <cellStyle name="Calculation 15 3 18 3 4" xfId="19013" xr:uid="{00000000-0005-0000-0000-0000264A0000}"/>
    <cellStyle name="Calculation 15 3 18 3 5" xfId="19014" xr:uid="{00000000-0005-0000-0000-0000274A0000}"/>
    <cellStyle name="Calculation 15 3 18 3 6" xfId="19015" xr:uid="{00000000-0005-0000-0000-0000284A0000}"/>
    <cellStyle name="Calculation 15 3 18 4" xfId="19016" xr:uid="{00000000-0005-0000-0000-0000294A0000}"/>
    <cellStyle name="Calculation 15 3 18 4 2" xfId="19017" xr:uid="{00000000-0005-0000-0000-00002A4A0000}"/>
    <cellStyle name="Calculation 15 3 18 4 3" xfId="19018" xr:uid="{00000000-0005-0000-0000-00002B4A0000}"/>
    <cellStyle name="Calculation 15 3 18 4 4" xfId="19019" xr:uid="{00000000-0005-0000-0000-00002C4A0000}"/>
    <cellStyle name="Calculation 15 3 18 4 5" xfId="19020" xr:uid="{00000000-0005-0000-0000-00002D4A0000}"/>
    <cellStyle name="Calculation 15 3 18 4 6" xfId="19021" xr:uid="{00000000-0005-0000-0000-00002E4A0000}"/>
    <cellStyle name="Calculation 15 3 18 5" xfId="19022" xr:uid="{00000000-0005-0000-0000-00002F4A0000}"/>
    <cellStyle name="Calculation 15 3 18 5 2" xfId="19023" xr:uid="{00000000-0005-0000-0000-0000304A0000}"/>
    <cellStyle name="Calculation 15 3 18 5 3" xfId="19024" xr:uid="{00000000-0005-0000-0000-0000314A0000}"/>
    <cellStyle name="Calculation 15 3 18 5 4" xfId="19025" xr:uid="{00000000-0005-0000-0000-0000324A0000}"/>
    <cellStyle name="Calculation 15 3 18 5 5" xfId="19026" xr:uid="{00000000-0005-0000-0000-0000334A0000}"/>
    <cellStyle name="Calculation 15 3 18 5 6" xfId="19027" xr:uid="{00000000-0005-0000-0000-0000344A0000}"/>
    <cellStyle name="Calculation 15 3 18 6" xfId="19028" xr:uid="{00000000-0005-0000-0000-0000354A0000}"/>
    <cellStyle name="Calculation 15 3 18 6 2" xfId="19029" xr:uid="{00000000-0005-0000-0000-0000364A0000}"/>
    <cellStyle name="Calculation 15 3 18 6 3" xfId="19030" xr:uid="{00000000-0005-0000-0000-0000374A0000}"/>
    <cellStyle name="Calculation 15 3 18 6 4" xfId="19031" xr:uid="{00000000-0005-0000-0000-0000384A0000}"/>
    <cellStyle name="Calculation 15 3 18 6 5" xfId="19032" xr:uid="{00000000-0005-0000-0000-0000394A0000}"/>
    <cellStyle name="Calculation 15 3 18 6 6" xfId="19033" xr:uid="{00000000-0005-0000-0000-00003A4A0000}"/>
    <cellStyle name="Calculation 15 3 18 7" xfId="19034" xr:uid="{00000000-0005-0000-0000-00003B4A0000}"/>
    <cellStyle name="Calculation 15 3 18 7 2" xfId="19035" xr:uid="{00000000-0005-0000-0000-00003C4A0000}"/>
    <cellStyle name="Calculation 15 3 18 7 3" xfId="19036" xr:uid="{00000000-0005-0000-0000-00003D4A0000}"/>
    <cellStyle name="Calculation 15 3 18 7 4" xfId="19037" xr:uid="{00000000-0005-0000-0000-00003E4A0000}"/>
    <cellStyle name="Calculation 15 3 18 7 5" xfId="19038" xr:uid="{00000000-0005-0000-0000-00003F4A0000}"/>
    <cellStyle name="Calculation 15 3 18 7 6" xfId="19039" xr:uid="{00000000-0005-0000-0000-0000404A0000}"/>
    <cellStyle name="Calculation 15 3 18 8" xfId="19040" xr:uid="{00000000-0005-0000-0000-0000414A0000}"/>
    <cellStyle name="Calculation 15 3 18 9" xfId="19041" xr:uid="{00000000-0005-0000-0000-0000424A0000}"/>
    <cellStyle name="Calculation 15 3 19" xfId="19042" xr:uid="{00000000-0005-0000-0000-0000434A0000}"/>
    <cellStyle name="Calculation 15 3 19 10" xfId="19043" xr:uid="{00000000-0005-0000-0000-0000444A0000}"/>
    <cellStyle name="Calculation 15 3 19 2" xfId="19044" xr:uid="{00000000-0005-0000-0000-0000454A0000}"/>
    <cellStyle name="Calculation 15 3 19 2 2" xfId="19045" xr:uid="{00000000-0005-0000-0000-0000464A0000}"/>
    <cellStyle name="Calculation 15 3 19 2 3" xfId="19046" xr:uid="{00000000-0005-0000-0000-0000474A0000}"/>
    <cellStyle name="Calculation 15 3 19 2 4" xfId="19047" xr:uid="{00000000-0005-0000-0000-0000484A0000}"/>
    <cellStyle name="Calculation 15 3 19 2 5" xfId="19048" xr:uid="{00000000-0005-0000-0000-0000494A0000}"/>
    <cellStyle name="Calculation 15 3 19 2 6" xfId="19049" xr:uid="{00000000-0005-0000-0000-00004A4A0000}"/>
    <cellStyle name="Calculation 15 3 19 3" xfId="19050" xr:uid="{00000000-0005-0000-0000-00004B4A0000}"/>
    <cellStyle name="Calculation 15 3 19 3 2" xfId="19051" xr:uid="{00000000-0005-0000-0000-00004C4A0000}"/>
    <cellStyle name="Calculation 15 3 19 3 3" xfId="19052" xr:uid="{00000000-0005-0000-0000-00004D4A0000}"/>
    <cellStyle name="Calculation 15 3 19 3 4" xfId="19053" xr:uid="{00000000-0005-0000-0000-00004E4A0000}"/>
    <cellStyle name="Calculation 15 3 19 3 5" xfId="19054" xr:uid="{00000000-0005-0000-0000-00004F4A0000}"/>
    <cellStyle name="Calculation 15 3 19 3 6" xfId="19055" xr:uid="{00000000-0005-0000-0000-0000504A0000}"/>
    <cellStyle name="Calculation 15 3 19 4" xfId="19056" xr:uid="{00000000-0005-0000-0000-0000514A0000}"/>
    <cellStyle name="Calculation 15 3 19 4 2" xfId="19057" xr:uid="{00000000-0005-0000-0000-0000524A0000}"/>
    <cellStyle name="Calculation 15 3 19 4 3" xfId="19058" xr:uid="{00000000-0005-0000-0000-0000534A0000}"/>
    <cellStyle name="Calculation 15 3 19 4 4" xfId="19059" xr:uid="{00000000-0005-0000-0000-0000544A0000}"/>
    <cellStyle name="Calculation 15 3 19 4 5" xfId="19060" xr:uid="{00000000-0005-0000-0000-0000554A0000}"/>
    <cellStyle name="Calculation 15 3 19 4 6" xfId="19061" xr:uid="{00000000-0005-0000-0000-0000564A0000}"/>
    <cellStyle name="Calculation 15 3 19 5" xfId="19062" xr:uid="{00000000-0005-0000-0000-0000574A0000}"/>
    <cellStyle name="Calculation 15 3 19 5 2" xfId="19063" xr:uid="{00000000-0005-0000-0000-0000584A0000}"/>
    <cellStyle name="Calculation 15 3 19 5 3" xfId="19064" xr:uid="{00000000-0005-0000-0000-0000594A0000}"/>
    <cellStyle name="Calculation 15 3 19 5 4" xfId="19065" xr:uid="{00000000-0005-0000-0000-00005A4A0000}"/>
    <cellStyle name="Calculation 15 3 19 5 5" xfId="19066" xr:uid="{00000000-0005-0000-0000-00005B4A0000}"/>
    <cellStyle name="Calculation 15 3 19 5 6" xfId="19067" xr:uid="{00000000-0005-0000-0000-00005C4A0000}"/>
    <cellStyle name="Calculation 15 3 19 6" xfId="19068" xr:uid="{00000000-0005-0000-0000-00005D4A0000}"/>
    <cellStyle name="Calculation 15 3 19 6 2" xfId="19069" xr:uid="{00000000-0005-0000-0000-00005E4A0000}"/>
    <cellStyle name="Calculation 15 3 19 6 3" xfId="19070" xr:uid="{00000000-0005-0000-0000-00005F4A0000}"/>
    <cellStyle name="Calculation 15 3 19 6 4" xfId="19071" xr:uid="{00000000-0005-0000-0000-0000604A0000}"/>
    <cellStyle name="Calculation 15 3 19 6 5" xfId="19072" xr:uid="{00000000-0005-0000-0000-0000614A0000}"/>
    <cellStyle name="Calculation 15 3 19 6 6" xfId="19073" xr:uid="{00000000-0005-0000-0000-0000624A0000}"/>
    <cellStyle name="Calculation 15 3 19 7" xfId="19074" xr:uid="{00000000-0005-0000-0000-0000634A0000}"/>
    <cellStyle name="Calculation 15 3 19 7 2" xfId="19075" xr:uid="{00000000-0005-0000-0000-0000644A0000}"/>
    <cellStyle name="Calculation 15 3 19 7 3" xfId="19076" xr:uid="{00000000-0005-0000-0000-0000654A0000}"/>
    <cellStyle name="Calculation 15 3 19 7 4" xfId="19077" xr:uid="{00000000-0005-0000-0000-0000664A0000}"/>
    <cellStyle name="Calculation 15 3 19 7 5" xfId="19078" xr:uid="{00000000-0005-0000-0000-0000674A0000}"/>
    <cellStyle name="Calculation 15 3 19 7 6" xfId="19079" xr:uid="{00000000-0005-0000-0000-0000684A0000}"/>
    <cellStyle name="Calculation 15 3 19 8" xfId="19080" xr:uid="{00000000-0005-0000-0000-0000694A0000}"/>
    <cellStyle name="Calculation 15 3 19 9" xfId="19081" xr:uid="{00000000-0005-0000-0000-00006A4A0000}"/>
    <cellStyle name="Calculation 15 3 2" xfId="19082" xr:uid="{00000000-0005-0000-0000-00006B4A0000}"/>
    <cellStyle name="Calculation 15 3 2 10" xfId="19083" xr:uid="{00000000-0005-0000-0000-00006C4A0000}"/>
    <cellStyle name="Calculation 15 3 2 2" xfId="19084" xr:uid="{00000000-0005-0000-0000-00006D4A0000}"/>
    <cellStyle name="Calculation 15 3 2 2 2" xfId="19085" xr:uid="{00000000-0005-0000-0000-00006E4A0000}"/>
    <cellStyle name="Calculation 15 3 2 2 3" xfId="19086" xr:uid="{00000000-0005-0000-0000-00006F4A0000}"/>
    <cellStyle name="Calculation 15 3 2 2 4" xfId="19087" xr:uid="{00000000-0005-0000-0000-0000704A0000}"/>
    <cellStyle name="Calculation 15 3 2 2 5" xfId="19088" xr:uid="{00000000-0005-0000-0000-0000714A0000}"/>
    <cellStyle name="Calculation 15 3 2 2 6" xfId="19089" xr:uid="{00000000-0005-0000-0000-0000724A0000}"/>
    <cellStyle name="Calculation 15 3 2 3" xfId="19090" xr:uid="{00000000-0005-0000-0000-0000734A0000}"/>
    <cellStyle name="Calculation 15 3 2 3 2" xfId="19091" xr:uid="{00000000-0005-0000-0000-0000744A0000}"/>
    <cellStyle name="Calculation 15 3 2 3 3" xfId="19092" xr:uid="{00000000-0005-0000-0000-0000754A0000}"/>
    <cellStyle name="Calculation 15 3 2 3 4" xfId="19093" xr:uid="{00000000-0005-0000-0000-0000764A0000}"/>
    <cellStyle name="Calculation 15 3 2 3 5" xfId="19094" xr:uid="{00000000-0005-0000-0000-0000774A0000}"/>
    <cellStyle name="Calculation 15 3 2 3 6" xfId="19095" xr:uid="{00000000-0005-0000-0000-0000784A0000}"/>
    <cellStyle name="Calculation 15 3 2 4" xfId="19096" xr:uid="{00000000-0005-0000-0000-0000794A0000}"/>
    <cellStyle name="Calculation 15 3 2 4 2" xfId="19097" xr:uid="{00000000-0005-0000-0000-00007A4A0000}"/>
    <cellStyle name="Calculation 15 3 2 4 3" xfId="19098" xr:uid="{00000000-0005-0000-0000-00007B4A0000}"/>
    <cellStyle name="Calculation 15 3 2 4 4" xfId="19099" xr:uid="{00000000-0005-0000-0000-00007C4A0000}"/>
    <cellStyle name="Calculation 15 3 2 4 5" xfId="19100" xr:uid="{00000000-0005-0000-0000-00007D4A0000}"/>
    <cellStyle name="Calculation 15 3 2 4 6" xfId="19101" xr:uid="{00000000-0005-0000-0000-00007E4A0000}"/>
    <cellStyle name="Calculation 15 3 2 5" xfId="19102" xr:uid="{00000000-0005-0000-0000-00007F4A0000}"/>
    <cellStyle name="Calculation 15 3 2 5 2" xfId="19103" xr:uid="{00000000-0005-0000-0000-0000804A0000}"/>
    <cellStyle name="Calculation 15 3 2 5 3" xfId="19104" xr:uid="{00000000-0005-0000-0000-0000814A0000}"/>
    <cellStyle name="Calculation 15 3 2 5 4" xfId="19105" xr:uid="{00000000-0005-0000-0000-0000824A0000}"/>
    <cellStyle name="Calculation 15 3 2 5 5" xfId="19106" xr:uid="{00000000-0005-0000-0000-0000834A0000}"/>
    <cellStyle name="Calculation 15 3 2 5 6" xfId="19107" xr:uid="{00000000-0005-0000-0000-0000844A0000}"/>
    <cellStyle name="Calculation 15 3 2 6" xfId="19108" xr:uid="{00000000-0005-0000-0000-0000854A0000}"/>
    <cellStyle name="Calculation 15 3 2 6 2" xfId="19109" xr:uid="{00000000-0005-0000-0000-0000864A0000}"/>
    <cellStyle name="Calculation 15 3 2 6 3" xfId="19110" xr:uid="{00000000-0005-0000-0000-0000874A0000}"/>
    <cellStyle name="Calculation 15 3 2 6 4" xfId="19111" xr:uid="{00000000-0005-0000-0000-0000884A0000}"/>
    <cellStyle name="Calculation 15 3 2 6 5" xfId="19112" xr:uid="{00000000-0005-0000-0000-0000894A0000}"/>
    <cellStyle name="Calculation 15 3 2 6 6" xfId="19113" xr:uid="{00000000-0005-0000-0000-00008A4A0000}"/>
    <cellStyle name="Calculation 15 3 2 7" xfId="19114" xr:uid="{00000000-0005-0000-0000-00008B4A0000}"/>
    <cellStyle name="Calculation 15 3 2 7 2" xfId="19115" xr:uid="{00000000-0005-0000-0000-00008C4A0000}"/>
    <cellStyle name="Calculation 15 3 2 7 3" xfId="19116" xr:uid="{00000000-0005-0000-0000-00008D4A0000}"/>
    <cellStyle name="Calculation 15 3 2 7 4" xfId="19117" xr:uid="{00000000-0005-0000-0000-00008E4A0000}"/>
    <cellStyle name="Calculation 15 3 2 7 5" xfId="19118" xr:uid="{00000000-0005-0000-0000-00008F4A0000}"/>
    <cellStyle name="Calculation 15 3 2 7 6" xfId="19119" xr:uid="{00000000-0005-0000-0000-0000904A0000}"/>
    <cellStyle name="Calculation 15 3 2 8" xfId="19120" xr:uid="{00000000-0005-0000-0000-0000914A0000}"/>
    <cellStyle name="Calculation 15 3 2 9" xfId="19121" xr:uid="{00000000-0005-0000-0000-0000924A0000}"/>
    <cellStyle name="Calculation 15 3 20" xfId="19122" xr:uid="{00000000-0005-0000-0000-0000934A0000}"/>
    <cellStyle name="Calculation 15 3 20 10" xfId="19123" xr:uid="{00000000-0005-0000-0000-0000944A0000}"/>
    <cellStyle name="Calculation 15 3 20 2" xfId="19124" xr:uid="{00000000-0005-0000-0000-0000954A0000}"/>
    <cellStyle name="Calculation 15 3 20 2 2" xfId="19125" xr:uid="{00000000-0005-0000-0000-0000964A0000}"/>
    <cellStyle name="Calculation 15 3 20 2 3" xfId="19126" xr:uid="{00000000-0005-0000-0000-0000974A0000}"/>
    <cellStyle name="Calculation 15 3 20 2 4" xfId="19127" xr:uid="{00000000-0005-0000-0000-0000984A0000}"/>
    <cellStyle name="Calculation 15 3 20 2 5" xfId="19128" xr:uid="{00000000-0005-0000-0000-0000994A0000}"/>
    <cellStyle name="Calculation 15 3 20 2 6" xfId="19129" xr:uid="{00000000-0005-0000-0000-00009A4A0000}"/>
    <cellStyle name="Calculation 15 3 20 3" xfId="19130" xr:uid="{00000000-0005-0000-0000-00009B4A0000}"/>
    <cellStyle name="Calculation 15 3 20 3 2" xfId="19131" xr:uid="{00000000-0005-0000-0000-00009C4A0000}"/>
    <cellStyle name="Calculation 15 3 20 3 3" xfId="19132" xr:uid="{00000000-0005-0000-0000-00009D4A0000}"/>
    <cellStyle name="Calculation 15 3 20 3 4" xfId="19133" xr:uid="{00000000-0005-0000-0000-00009E4A0000}"/>
    <cellStyle name="Calculation 15 3 20 3 5" xfId="19134" xr:uid="{00000000-0005-0000-0000-00009F4A0000}"/>
    <cellStyle name="Calculation 15 3 20 3 6" xfId="19135" xr:uid="{00000000-0005-0000-0000-0000A04A0000}"/>
    <cellStyle name="Calculation 15 3 20 4" xfId="19136" xr:uid="{00000000-0005-0000-0000-0000A14A0000}"/>
    <cellStyle name="Calculation 15 3 20 4 2" xfId="19137" xr:uid="{00000000-0005-0000-0000-0000A24A0000}"/>
    <cellStyle name="Calculation 15 3 20 4 3" xfId="19138" xr:uid="{00000000-0005-0000-0000-0000A34A0000}"/>
    <cellStyle name="Calculation 15 3 20 4 4" xfId="19139" xr:uid="{00000000-0005-0000-0000-0000A44A0000}"/>
    <cellStyle name="Calculation 15 3 20 4 5" xfId="19140" xr:uid="{00000000-0005-0000-0000-0000A54A0000}"/>
    <cellStyle name="Calculation 15 3 20 4 6" xfId="19141" xr:uid="{00000000-0005-0000-0000-0000A64A0000}"/>
    <cellStyle name="Calculation 15 3 20 5" xfId="19142" xr:uid="{00000000-0005-0000-0000-0000A74A0000}"/>
    <cellStyle name="Calculation 15 3 20 5 2" xfId="19143" xr:uid="{00000000-0005-0000-0000-0000A84A0000}"/>
    <cellStyle name="Calculation 15 3 20 5 3" xfId="19144" xr:uid="{00000000-0005-0000-0000-0000A94A0000}"/>
    <cellStyle name="Calculation 15 3 20 5 4" xfId="19145" xr:uid="{00000000-0005-0000-0000-0000AA4A0000}"/>
    <cellStyle name="Calculation 15 3 20 5 5" xfId="19146" xr:uid="{00000000-0005-0000-0000-0000AB4A0000}"/>
    <cellStyle name="Calculation 15 3 20 5 6" xfId="19147" xr:uid="{00000000-0005-0000-0000-0000AC4A0000}"/>
    <cellStyle name="Calculation 15 3 20 6" xfId="19148" xr:uid="{00000000-0005-0000-0000-0000AD4A0000}"/>
    <cellStyle name="Calculation 15 3 20 6 2" xfId="19149" xr:uid="{00000000-0005-0000-0000-0000AE4A0000}"/>
    <cellStyle name="Calculation 15 3 20 6 3" xfId="19150" xr:uid="{00000000-0005-0000-0000-0000AF4A0000}"/>
    <cellStyle name="Calculation 15 3 20 6 4" xfId="19151" xr:uid="{00000000-0005-0000-0000-0000B04A0000}"/>
    <cellStyle name="Calculation 15 3 20 6 5" xfId="19152" xr:uid="{00000000-0005-0000-0000-0000B14A0000}"/>
    <cellStyle name="Calculation 15 3 20 6 6" xfId="19153" xr:uid="{00000000-0005-0000-0000-0000B24A0000}"/>
    <cellStyle name="Calculation 15 3 20 7" xfId="19154" xr:uid="{00000000-0005-0000-0000-0000B34A0000}"/>
    <cellStyle name="Calculation 15 3 20 7 2" xfId="19155" xr:uid="{00000000-0005-0000-0000-0000B44A0000}"/>
    <cellStyle name="Calculation 15 3 20 7 3" xfId="19156" xr:uid="{00000000-0005-0000-0000-0000B54A0000}"/>
    <cellStyle name="Calculation 15 3 20 7 4" xfId="19157" xr:uid="{00000000-0005-0000-0000-0000B64A0000}"/>
    <cellStyle name="Calculation 15 3 20 7 5" xfId="19158" xr:uid="{00000000-0005-0000-0000-0000B74A0000}"/>
    <cellStyle name="Calculation 15 3 20 7 6" xfId="19159" xr:uid="{00000000-0005-0000-0000-0000B84A0000}"/>
    <cellStyle name="Calculation 15 3 20 8" xfId="19160" xr:uid="{00000000-0005-0000-0000-0000B94A0000}"/>
    <cellStyle name="Calculation 15 3 20 9" xfId="19161" xr:uid="{00000000-0005-0000-0000-0000BA4A0000}"/>
    <cellStyle name="Calculation 15 3 21" xfId="19162" xr:uid="{00000000-0005-0000-0000-0000BB4A0000}"/>
    <cellStyle name="Calculation 15 3 21 10" xfId="19163" xr:uid="{00000000-0005-0000-0000-0000BC4A0000}"/>
    <cellStyle name="Calculation 15 3 21 2" xfId="19164" xr:uid="{00000000-0005-0000-0000-0000BD4A0000}"/>
    <cellStyle name="Calculation 15 3 21 2 2" xfId="19165" xr:uid="{00000000-0005-0000-0000-0000BE4A0000}"/>
    <cellStyle name="Calculation 15 3 21 2 3" xfId="19166" xr:uid="{00000000-0005-0000-0000-0000BF4A0000}"/>
    <cellStyle name="Calculation 15 3 21 2 4" xfId="19167" xr:uid="{00000000-0005-0000-0000-0000C04A0000}"/>
    <cellStyle name="Calculation 15 3 21 2 5" xfId="19168" xr:uid="{00000000-0005-0000-0000-0000C14A0000}"/>
    <cellStyle name="Calculation 15 3 21 2 6" xfId="19169" xr:uid="{00000000-0005-0000-0000-0000C24A0000}"/>
    <cellStyle name="Calculation 15 3 21 3" xfId="19170" xr:uid="{00000000-0005-0000-0000-0000C34A0000}"/>
    <cellStyle name="Calculation 15 3 21 3 2" xfId="19171" xr:uid="{00000000-0005-0000-0000-0000C44A0000}"/>
    <cellStyle name="Calculation 15 3 21 3 3" xfId="19172" xr:uid="{00000000-0005-0000-0000-0000C54A0000}"/>
    <cellStyle name="Calculation 15 3 21 3 4" xfId="19173" xr:uid="{00000000-0005-0000-0000-0000C64A0000}"/>
    <cellStyle name="Calculation 15 3 21 3 5" xfId="19174" xr:uid="{00000000-0005-0000-0000-0000C74A0000}"/>
    <cellStyle name="Calculation 15 3 21 3 6" xfId="19175" xr:uid="{00000000-0005-0000-0000-0000C84A0000}"/>
    <cellStyle name="Calculation 15 3 21 4" xfId="19176" xr:uid="{00000000-0005-0000-0000-0000C94A0000}"/>
    <cellStyle name="Calculation 15 3 21 4 2" xfId="19177" xr:uid="{00000000-0005-0000-0000-0000CA4A0000}"/>
    <cellStyle name="Calculation 15 3 21 4 3" xfId="19178" xr:uid="{00000000-0005-0000-0000-0000CB4A0000}"/>
    <cellStyle name="Calculation 15 3 21 4 4" xfId="19179" xr:uid="{00000000-0005-0000-0000-0000CC4A0000}"/>
    <cellStyle name="Calculation 15 3 21 4 5" xfId="19180" xr:uid="{00000000-0005-0000-0000-0000CD4A0000}"/>
    <cellStyle name="Calculation 15 3 21 4 6" xfId="19181" xr:uid="{00000000-0005-0000-0000-0000CE4A0000}"/>
    <cellStyle name="Calculation 15 3 21 5" xfId="19182" xr:uid="{00000000-0005-0000-0000-0000CF4A0000}"/>
    <cellStyle name="Calculation 15 3 21 5 2" xfId="19183" xr:uid="{00000000-0005-0000-0000-0000D04A0000}"/>
    <cellStyle name="Calculation 15 3 21 5 3" xfId="19184" xr:uid="{00000000-0005-0000-0000-0000D14A0000}"/>
    <cellStyle name="Calculation 15 3 21 5 4" xfId="19185" xr:uid="{00000000-0005-0000-0000-0000D24A0000}"/>
    <cellStyle name="Calculation 15 3 21 5 5" xfId="19186" xr:uid="{00000000-0005-0000-0000-0000D34A0000}"/>
    <cellStyle name="Calculation 15 3 21 5 6" xfId="19187" xr:uid="{00000000-0005-0000-0000-0000D44A0000}"/>
    <cellStyle name="Calculation 15 3 21 6" xfId="19188" xr:uid="{00000000-0005-0000-0000-0000D54A0000}"/>
    <cellStyle name="Calculation 15 3 21 6 2" xfId="19189" xr:uid="{00000000-0005-0000-0000-0000D64A0000}"/>
    <cellStyle name="Calculation 15 3 21 6 3" xfId="19190" xr:uid="{00000000-0005-0000-0000-0000D74A0000}"/>
    <cellStyle name="Calculation 15 3 21 6 4" xfId="19191" xr:uid="{00000000-0005-0000-0000-0000D84A0000}"/>
    <cellStyle name="Calculation 15 3 21 6 5" xfId="19192" xr:uid="{00000000-0005-0000-0000-0000D94A0000}"/>
    <cellStyle name="Calculation 15 3 21 6 6" xfId="19193" xr:uid="{00000000-0005-0000-0000-0000DA4A0000}"/>
    <cellStyle name="Calculation 15 3 21 7" xfId="19194" xr:uid="{00000000-0005-0000-0000-0000DB4A0000}"/>
    <cellStyle name="Calculation 15 3 21 7 2" xfId="19195" xr:uid="{00000000-0005-0000-0000-0000DC4A0000}"/>
    <cellStyle name="Calculation 15 3 21 7 3" xfId="19196" xr:uid="{00000000-0005-0000-0000-0000DD4A0000}"/>
    <cellStyle name="Calculation 15 3 21 7 4" xfId="19197" xr:uid="{00000000-0005-0000-0000-0000DE4A0000}"/>
    <cellStyle name="Calculation 15 3 21 7 5" xfId="19198" xr:uid="{00000000-0005-0000-0000-0000DF4A0000}"/>
    <cellStyle name="Calculation 15 3 21 7 6" xfId="19199" xr:uid="{00000000-0005-0000-0000-0000E04A0000}"/>
    <cellStyle name="Calculation 15 3 21 8" xfId="19200" xr:uid="{00000000-0005-0000-0000-0000E14A0000}"/>
    <cellStyle name="Calculation 15 3 21 9" xfId="19201" xr:uid="{00000000-0005-0000-0000-0000E24A0000}"/>
    <cellStyle name="Calculation 15 3 22" xfId="19202" xr:uid="{00000000-0005-0000-0000-0000E34A0000}"/>
    <cellStyle name="Calculation 15 3 22 10" xfId="19203" xr:uid="{00000000-0005-0000-0000-0000E44A0000}"/>
    <cellStyle name="Calculation 15 3 22 2" xfId="19204" xr:uid="{00000000-0005-0000-0000-0000E54A0000}"/>
    <cellStyle name="Calculation 15 3 22 2 2" xfId="19205" xr:uid="{00000000-0005-0000-0000-0000E64A0000}"/>
    <cellStyle name="Calculation 15 3 22 2 3" xfId="19206" xr:uid="{00000000-0005-0000-0000-0000E74A0000}"/>
    <cellStyle name="Calculation 15 3 22 2 4" xfId="19207" xr:uid="{00000000-0005-0000-0000-0000E84A0000}"/>
    <cellStyle name="Calculation 15 3 22 2 5" xfId="19208" xr:uid="{00000000-0005-0000-0000-0000E94A0000}"/>
    <cellStyle name="Calculation 15 3 22 2 6" xfId="19209" xr:uid="{00000000-0005-0000-0000-0000EA4A0000}"/>
    <cellStyle name="Calculation 15 3 22 3" xfId="19210" xr:uid="{00000000-0005-0000-0000-0000EB4A0000}"/>
    <cellStyle name="Calculation 15 3 22 3 2" xfId="19211" xr:uid="{00000000-0005-0000-0000-0000EC4A0000}"/>
    <cellStyle name="Calculation 15 3 22 3 3" xfId="19212" xr:uid="{00000000-0005-0000-0000-0000ED4A0000}"/>
    <cellStyle name="Calculation 15 3 22 3 4" xfId="19213" xr:uid="{00000000-0005-0000-0000-0000EE4A0000}"/>
    <cellStyle name="Calculation 15 3 22 3 5" xfId="19214" xr:uid="{00000000-0005-0000-0000-0000EF4A0000}"/>
    <cellStyle name="Calculation 15 3 22 3 6" xfId="19215" xr:uid="{00000000-0005-0000-0000-0000F04A0000}"/>
    <cellStyle name="Calculation 15 3 22 4" xfId="19216" xr:uid="{00000000-0005-0000-0000-0000F14A0000}"/>
    <cellStyle name="Calculation 15 3 22 4 2" xfId="19217" xr:uid="{00000000-0005-0000-0000-0000F24A0000}"/>
    <cellStyle name="Calculation 15 3 22 4 3" xfId="19218" xr:uid="{00000000-0005-0000-0000-0000F34A0000}"/>
    <cellStyle name="Calculation 15 3 22 4 4" xfId="19219" xr:uid="{00000000-0005-0000-0000-0000F44A0000}"/>
    <cellStyle name="Calculation 15 3 22 4 5" xfId="19220" xr:uid="{00000000-0005-0000-0000-0000F54A0000}"/>
    <cellStyle name="Calculation 15 3 22 4 6" xfId="19221" xr:uid="{00000000-0005-0000-0000-0000F64A0000}"/>
    <cellStyle name="Calculation 15 3 22 5" xfId="19222" xr:uid="{00000000-0005-0000-0000-0000F74A0000}"/>
    <cellStyle name="Calculation 15 3 22 5 2" xfId="19223" xr:uid="{00000000-0005-0000-0000-0000F84A0000}"/>
    <cellStyle name="Calculation 15 3 22 5 3" xfId="19224" xr:uid="{00000000-0005-0000-0000-0000F94A0000}"/>
    <cellStyle name="Calculation 15 3 22 5 4" xfId="19225" xr:uid="{00000000-0005-0000-0000-0000FA4A0000}"/>
    <cellStyle name="Calculation 15 3 22 5 5" xfId="19226" xr:uid="{00000000-0005-0000-0000-0000FB4A0000}"/>
    <cellStyle name="Calculation 15 3 22 5 6" xfId="19227" xr:uid="{00000000-0005-0000-0000-0000FC4A0000}"/>
    <cellStyle name="Calculation 15 3 22 6" xfId="19228" xr:uid="{00000000-0005-0000-0000-0000FD4A0000}"/>
    <cellStyle name="Calculation 15 3 22 6 2" xfId="19229" xr:uid="{00000000-0005-0000-0000-0000FE4A0000}"/>
    <cellStyle name="Calculation 15 3 22 6 3" xfId="19230" xr:uid="{00000000-0005-0000-0000-0000FF4A0000}"/>
    <cellStyle name="Calculation 15 3 22 6 4" xfId="19231" xr:uid="{00000000-0005-0000-0000-0000004B0000}"/>
    <cellStyle name="Calculation 15 3 22 6 5" xfId="19232" xr:uid="{00000000-0005-0000-0000-0000014B0000}"/>
    <cellStyle name="Calculation 15 3 22 6 6" xfId="19233" xr:uid="{00000000-0005-0000-0000-0000024B0000}"/>
    <cellStyle name="Calculation 15 3 22 7" xfId="19234" xr:uid="{00000000-0005-0000-0000-0000034B0000}"/>
    <cellStyle name="Calculation 15 3 22 7 2" xfId="19235" xr:uid="{00000000-0005-0000-0000-0000044B0000}"/>
    <cellStyle name="Calculation 15 3 22 7 3" xfId="19236" xr:uid="{00000000-0005-0000-0000-0000054B0000}"/>
    <cellStyle name="Calculation 15 3 22 7 4" xfId="19237" xr:uid="{00000000-0005-0000-0000-0000064B0000}"/>
    <cellStyle name="Calculation 15 3 22 7 5" xfId="19238" xr:uid="{00000000-0005-0000-0000-0000074B0000}"/>
    <cellStyle name="Calculation 15 3 22 7 6" xfId="19239" xr:uid="{00000000-0005-0000-0000-0000084B0000}"/>
    <cellStyle name="Calculation 15 3 22 8" xfId="19240" xr:uid="{00000000-0005-0000-0000-0000094B0000}"/>
    <cellStyle name="Calculation 15 3 22 9" xfId="19241" xr:uid="{00000000-0005-0000-0000-00000A4B0000}"/>
    <cellStyle name="Calculation 15 3 23" xfId="19242" xr:uid="{00000000-0005-0000-0000-00000B4B0000}"/>
    <cellStyle name="Calculation 15 3 23 10" xfId="19243" xr:uid="{00000000-0005-0000-0000-00000C4B0000}"/>
    <cellStyle name="Calculation 15 3 23 2" xfId="19244" xr:uid="{00000000-0005-0000-0000-00000D4B0000}"/>
    <cellStyle name="Calculation 15 3 23 2 2" xfId="19245" xr:uid="{00000000-0005-0000-0000-00000E4B0000}"/>
    <cellStyle name="Calculation 15 3 23 2 3" xfId="19246" xr:uid="{00000000-0005-0000-0000-00000F4B0000}"/>
    <cellStyle name="Calculation 15 3 23 2 4" xfId="19247" xr:uid="{00000000-0005-0000-0000-0000104B0000}"/>
    <cellStyle name="Calculation 15 3 23 2 5" xfId="19248" xr:uid="{00000000-0005-0000-0000-0000114B0000}"/>
    <cellStyle name="Calculation 15 3 23 2 6" xfId="19249" xr:uid="{00000000-0005-0000-0000-0000124B0000}"/>
    <cellStyle name="Calculation 15 3 23 3" xfId="19250" xr:uid="{00000000-0005-0000-0000-0000134B0000}"/>
    <cellStyle name="Calculation 15 3 23 3 2" xfId="19251" xr:uid="{00000000-0005-0000-0000-0000144B0000}"/>
    <cellStyle name="Calculation 15 3 23 3 3" xfId="19252" xr:uid="{00000000-0005-0000-0000-0000154B0000}"/>
    <cellStyle name="Calculation 15 3 23 3 4" xfId="19253" xr:uid="{00000000-0005-0000-0000-0000164B0000}"/>
    <cellStyle name="Calculation 15 3 23 3 5" xfId="19254" xr:uid="{00000000-0005-0000-0000-0000174B0000}"/>
    <cellStyle name="Calculation 15 3 23 3 6" xfId="19255" xr:uid="{00000000-0005-0000-0000-0000184B0000}"/>
    <cellStyle name="Calculation 15 3 23 4" xfId="19256" xr:uid="{00000000-0005-0000-0000-0000194B0000}"/>
    <cellStyle name="Calculation 15 3 23 4 2" xfId="19257" xr:uid="{00000000-0005-0000-0000-00001A4B0000}"/>
    <cellStyle name="Calculation 15 3 23 4 3" xfId="19258" xr:uid="{00000000-0005-0000-0000-00001B4B0000}"/>
    <cellStyle name="Calculation 15 3 23 4 4" xfId="19259" xr:uid="{00000000-0005-0000-0000-00001C4B0000}"/>
    <cellStyle name="Calculation 15 3 23 4 5" xfId="19260" xr:uid="{00000000-0005-0000-0000-00001D4B0000}"/>
    <cellStyle name="Calculation 15 3 23 4 6" xfId="19261" xr:uid="{00000000-0005-0000-0000-00001E4B0000}"/>
    <cellStyle name="Calculation 15 3 23 5" xfId="19262" xr:uid="{00000000-0005-0000-0000-00001F4B0000}"/>
    <cellStyle name="Calculation 15 3 23 5 2" xfId="19263" xr:uid="{00000000-0005-0000-0000-0000204B0000}"/>
    <cellStyle name="Calculation 15 3 23 5 3" xfId="19264" xr:uid="{00000000-0005-0000-0000-0000214B0000}"/>
    <cellStyle name="Calculation 15 3 23 5 4" xfId="19265" xr:uid="{00000000-0005-0000-0000-0000224B0000}"/>
    <cellStyle name="Calculation 15 3 23 5 5" xfId="19266" xr:uid="{00000000-0005-0000-0000-0000234B0000}"/>
    <cellStyle name="Calculation 15 3 23 5 6" xfId="19267" xr:uid="{00000000-0005-0000-0000-0000244B0000}"/>
    <cellStyle name="Calculation 15 3 23 6" xfId="19268" xr:uid="{00000000-0005-0000-0000-0000254B0000}"/>
    <cellStyle name="Calculation 15 3 23 6 2" xfId="19269" xr:uid="{00000000-0005-0000-0000-0000264B0000}"/>
    <cellStyle name="Calculation 15 3 23 6 3" xfId="19270" xr:uid="{00000000-0005-0000-0000-0000274B0000}"/>
    <cellStyle name="Calculation 15 3 23 6 4" xfId="19271" xr:uid="{00000000-0005-0000-0000-0000284B0000}"/>
    <cellStyle name="Calculation 15 3 23 6 5" xfId="19272" xr:uid="{00000000-0005-0000-0000-0000294B0000}"/>
    <cellStyle name="Calculation 15 3 23 6 6" xfId="19273" xr:uid="{00000000-0005-0000-0000-00002A4B0000}"/>
    <cellStyle name="Calculation 15 3 23 7" xfId="19274" xr:uid="{00000000-0005-0000-0000-00002B4B0000}"/>
    <cellStyle name="Calculation 15 3 23 7 2" xfId="19275" xr:uid="{00000000-0005-0000-0000-00002C4B0000}"/>
    <cellStyle name="Calculation 15 3 23 7 3" xfId="19276" xr:uid="{00000000-0005-0000-0000-00002D4B0000}"/>
    <cellStyle name="Calculation 15 3 23 7 4" xfId="19277" xr:uid="{00000000-0005-0000-0000-00002E4B0000}"/>
    <cellStyle name="Calculation 15 3 23 7 5" xfId="19278" xr:uid="{00000000-0005-0000-0000-00002F4B0000}"/>
    <cellStyle name="Calculation 15 3 23 7 6" xfId="19279" xr:uid="{00000000-0005-0000-0000-0000304B0000}"/>
    <cellStyle name="Calculation 15 3 23 8" xfId="19280" xr:uid="{00000000-0005-0000-0000-0000314B0000}"/>
    <cellStyle name="Calculation 15 3 23 9" xfId="19281" xr:uid="{00000000-0005-0000-0000-0000324B0000}"/>
    <cellStyle name="Calculation 15 3 24" xfId="19282" xr:uid="{00000000-0005-0000-0000-0000334B0000}"/>
    <cellStyle name="Calculation 15 3 24 10" xfId="19283" xr:uid="{00000000-0005-0000-0000-0000344B0000}"/>
    <cellStyle name="Calculation 15 3 24 2" xfId="19284" xr:uid="{00000000-0005-0000-0000-0000354B0000}"/>
    <cellStyle name="Calculation 15 3 24 2 2" xfId="19285" xr:uid="{00000000-0005-0000-0000-0000364B0000}"/>
    <cellStyle name="Calculation 15 3 24 2 3" xfId="19286" xr:uid="{00000000-0005-0000-0000-0000374B0000}"/>
    <cellStyle name="Calculation 15 3 24 2 4" xfId="19287" xr:uid="{00000000-0005-0000-0000-0000384B0000}"/>
    <cellStyle name="Calculation 15 3 24 2 5" xfId="19288" xr:uid="{00000000-0005-0000-0000-0000394B0000}"/>
    <cellStyle name="Calculation 15 3 24 2 6" xfId="19289" xr:uid="{00000000-0005-0000-0000-00003A4B0000}"/>
    <cellStyle name="Calculation 15 3 24 3" xfId="19290" xr:uid="{00000000-0005-0000-0000-00003B4B0000}"/>
    <cellStyle name="Calculation 15 3 24 3 2" xfId="19291" xr:uid="{00000000-0005-0000-0000-00003C4B0000}"/>
    <cellStyle name="Calculation 15 3 24 3 3" xfId="19292" xr:uid="{00000000-0005-0000-0000-00003D4B0000}"/>
    <cellStyle name="Calculation 15 3 24 3 4" xfId="19293" xr:uid="{00000000-0005-0000-0000-00003E4B0000}"/>
    <cellStyle name="Calculation 15 3 24 3 5" xfId="19294" xr:uid="{00000000-0005-0000-0000-00003F4B0000}"/>
    <cellStyle name="Calculation 15 3 24 3 6" xfId="19295" xr:uid="{00000000-0005-0000-0000-0000404B0000}"/>
    <cellStyle name="Calculation 15 3 24 4" xfId="19296" xr:uid="{00000000-0005-0000-0000-0000414B0000}"/>
    <cellStyle name="Calculation 15 3 24 4 2" xfId="19297" xr:uid="{00000000-0005-0000-0000-0000424B0000}"/>
    <cellStyle name="Calculation 15 3 24 4 3" xfId="19298" xr:uid="{00000000-0005-0000-0000-0000434B0000}"/>
    <cellStyle name="Calculation 15 3 24 4 4" xfId="19299" xr:uid="{00000000-0005-0000-0000-0000444B0000}"/>
    <cellStyle name="Calculation 15 3 24 4 5" xfId="19300" xr:uid="{00000000-0005-0000-0000-0000454B0000}"/>
    <cellStyle name="Calculation 15 3 24 4 6" xfId="19301" xr:uid="{00000000-0005-0000-0000-0000464B0000}"/>
    <cellStyle name="Calculation 15 3 24 5" xfId="19302" xr:uid="{00000000-0005-0000-0000-0000474B0000}"/>
    <cellStyle name="Calculation 15 3 24 5 2" xfId="19303" xr:uid="{00000000-0005-0000-0000-0000484B0000}"/>
    <cellStyle name="Calculation 15 3 24 5 3" xfId="19304" xr:uid="{00000000-0005-0000-0000-0000494B0000}"/>
    <cellStyle name="Calculation 15 3 24 5 4" xfId="19305" xr:uid="{00000000-0005-0000-0000-00004A4B0000}"/>
    <cellStyle name="Calculation 15 3 24 5 5" xfId="19306" xr:uid="{00000000-0005-0000-0000-00004B4B0000}"/>
    <cellStyle name="Calculation 15 3 24 5 6" xfId="19307" xr:uid="{00000000-0005-0000-0000-00004C4B0000}"/>
    <cellStyle name="Calculation 15 3 24 6" xfId="19308" xr:uid="{00000000-0005-0000-0000-00004D4B0000}"/>
    <cellStyle name="Calculation 15 3 24 6 2" xfId="19309" xr:uid="{00000000-0005-0000-0000-00004E4B0000}"/>
    <cellStyle name="Calculation 15 3 24 6 3" xfId="19310" xr:uid="{00000000-0005-0000-0000-00004F4B0000}"/>
    <cellStyle name="Calculation 15 3 24 6 4" xfId="19311" xr:uid="{00000000-0005-0000-0000-0000504B0000}"/>
    <cellStyle name="Calculation 15 3 24 6 5" xfId="19312" xr:uid="{00000000-0005-0000-0000-0000514B0000}"/>
    <cellStyle name="Calculation 15 3 24 6 6" xfId="19313" xr:uid="{00000000-0005-0000-0000-0000524B0000}"/>
    <cellStyle name="Calculation 15 3 24 7" xfId="19314" xr:uid="{00000000-0005-0000-0000-0000534B0000}"/>
    <cellStyle name="Calculation 15 3 24 7 2" xfId="19315" xr:uid="{00000000-0005-0000-0000-0000544B0000}"/>
    <cellStyle name="Calculation 15 3 24 7 3" xfId="19316" xr:uid="{00000000-0005-0000-0000-0000554B0000}"/>
    <cellStyle name="Calculation 15 3 24 7 4" xfId="19317" xr:uid="{00000000-0005-0000-0000-0000564B0000}"/>
    <cellStyle name="Calculation 15 3 24 7 5" xfId="19318" xr:uid="{00000000-0005-0000-0000-0000574B0000}"/>
    <cellStyle name="Calculation 15 3 24 7 6" xfId="19319" xr:uid="{00000000-0005-0000-0000-0000584B0000}"/>
    <cellStyle name="Calculation 15 3 24 8" xfId="19320" xr:uid="{00000000-0005-0000-0000-0000594B0000}"/>
    <cellStyle name="Calculation 15 3 24 9" xfId="19321" xr:uid="{00000000-0005-0000-0000-00005A4B0000}"/>
    <cellStyle name="Calculation 15 3 25" xfId="19322" xr:uid="{00000000-0005-0000-0000-00005B4B0000}"/>
    <cellStyle name="Calculation 15 3 25 10" xfId="19323" xr:uid="{00000000-0005-0000-0000-00005C4B0000}"/>
    <cellStyle name="Calculation 15 3 25 2" xfId="19324" xr:uid="{00000000-0005-0000-0000-00005D4B0000}"/>
    <cellStyle name="Calculation 15 3 25 2 2" xfId="19325" xr:uid="{00000000-0005-0000-0000-00005E4B0000}"/>
    <cellStyle name="Calculation 15 3 25 2 3" xfId="19326" xr:uid="{00000000-0005-0000-0000-00005F4B0000}"/>
    <cellStyle name="Calculation 15 3 25 2 4" xfId="19327" xr:uid="{00000000-0005-0000-0000-0000604B0000}"/>
    <cellStyle name="Calculation 15 3 25 2 5" xfId="19328" xr:uid="{00000000-0005-0000-0000-0000614B0000}"/>
    <cellStyle name="Calculation 15 3 25 2 6" xfId="19329" xr:uid="{00000000-0005-0000-0000-0000624B0000}"/>
    <cellStyle name="Calculation 15 3 25 3" xfId="19330" xr:uid="{00000000-0005-0000-0000-0000634B0000}"/>
    <cellStyle name="Calculation 15 3 25 3 2" xfId="19331" xr:uid="{00000000-0005-0000-0000-0000644B0000}"/>
    <cellStyle name="Calculation 15 3 25 3 3" xfId="19332" xr:uid="{00000000-0005-0000-0000-0000654B0000}"/>
    <cellStyle name="Calculation 15 3 25 3 4" xfId="19333" xr:uid="{00000000-0005-0000-0000-0000664B0000}"/>
    <cellStyle name="Calculation 15 3 25 3 5" xfId="19334" xr:uid="{00000000-0005-0000-0000-0000674B0000}"/>
    <cellStyle name="Calculation 15 3 25 3 6" xfId="19335" xr:uid="{00000000-0005-0000-0000-0000684B0000}"/>
    <cellStyle name="Calculation 15 3 25 4" xfId="19336" xr:uid="{00000000-0005-0000-0000-0000694B0000}"/>
    <cellStyle name="Calculation 15 3 25 4 2" xfId="19337" xr:uid="{00000000-0005-0000-0000-00006A4B0000}"/>
    <cellStyle name="Calculation 15 3 25 4 3" xfId="19338" xr:uid="{00000000-0005-0000-0000-00006B4B0000}"/>
    <cellStyle name="Calculation 15 3 25 4 4" xfId="19339" xr:uid="{00000000-0005-0000-0000-00006C4B0000}"/>
    <cellStyle name="Calculation 15 3 25 4 5" xfId="19340" xr:uid="{00000000-0005-0000-0000-00006D4B0000}"/>
    <cellStyle name="Calculation 15 3 25 4 6" xfId="19341" xr:uid="{00000000-0005-0000-0000-00006E4B0000}"/>
    <cellStyle name="Calculation 15 3 25 5" xfId="19342" xr:uid="{00000000-0005-0000-0000-00006F4B0000}"/>
    <cellStyle name="Calculation 15 3 25 5 2" xfId="19343" xr:uid="{00000000-0005-0000-0000-0000704B0000}"/>
    <cellStyle name="Calculation 15 3 25 5 3" xfId="19344" xr:uid="{00000000-0005-0000-0000-0000714B0000}"/>
    <cellStyle name="Calculation 15 3 25 5 4" xfId="19345" xr:uid="{00000000-0005-0000-0000-0000724B0000}"/>
    <cellStyle name="Calculation 15 3 25 5 5" xfId="19346" xr:uid="{00000000-0005-0000-0000-0000734B0000}"/>
    <cellStyle name="Calculation 15 3 25 5 6" xfId="19347" xr:uid="{00000000-0005-0000-0000-0000744B0000}"/>
    <cellStyle name="Calculation 15 3 25 6" xfId="19348" xr:uid="{00000000-0005-0000-0000-0000754B0000}"/>
    <cellStyle name="Calculation 15 3 25 6 2" xfId="19349" xr:uid="{00000000-0005-0000-0000-0000764B0000}"/>
    <cellStyle name="Calculation 15 3 25 6 3" xfId="19350" xr:uid="{00000000-0005-0000-0000-0000774B0000}"/>
    <cellStyle name="Calculation 15 3 25 6 4" xfId="19351" xr:uid="{00000000-0005-0000-0000-0000784B0000}"/>
    <cellStyle name="Calculation 15 3 25 6 5" xfId="19352" xr:uid="{00000000-0005-0000-0000-0000794B0000}"/>
    <cellStyle name="Calculation 15 3 25 6 6" xfId="19353" xr:uid="{00000000-0005-0000-0000-00007A4B0000}"/>
    <cellStyle name="Calculation 15 3 25 7" xfId="19354" xr:uid="{00000000-0005-0000-0000-00007B4B0000}"/>
    <cellStyle name="Calculation 15 3 25 7 2" xfId="19355" xr:uid="{00000000-0005-0000-0000-00007C4B0000}"/>
    <cellStyle name="Calculation 15 3 25 7 3" xfId="19356" xr:uid="{00000000-0005-0000-0000-00007D4B0000}"/>
    <cellStyle name="Calculation 15 3 25 7 4" xfId="19357" xr:uid="{00000000-0005-0000-0000-00007E4B0000}"/>
    <cellStyle name="Calculation 15 3 25 7 5" xfId="19358" xr:uid="{00000000-0005-0000-0000-00007F4B0000}"/>
    <cellStyle name="Calculation 15 3 25 7 6" xfId="19359" xr:uid="{00000000-0005-0000-0000-0000804B0000}"/>
    <cellStyle name="Calculation 15 3 25 8" xfId="19360" xr:uid="{00000000-0005-0000-0000-0000814B0000}"/>
    <cellStyle name="Calculation 15 3 25 9" xfId="19361" xr:uid="{00000000-0005-0000-0000-0000824B0000}"/>
    <cellStyle name="Calculation 15 3 26" xfId="19362" xr:uid="{00000000-0005-0000-0000-0000834B0000}"/>
    <cellStyle name="Calculation 15 3 26 10" xfId="19363" xr:uid="{00000000-0005-0000-0000-0000844B0000}"/>
    <cellStyle name="Calculation 15 3 26 2" xfId="19364" xr:uid="{00000000-0005-0000-0000-0000854B0000}"/>
    <cellStyle name="Calculation 15 3 26 2 2" xfId="19365" xr:uid="{00000000-0005-0000-0000-0000864B0000}"/>
    <cellStyle name="Calculation 15 3 26 2 3" xfId="19366" xr:uid="{00000000-0005-0000-0000-0000874B0000}"/>
    <cellStyle name="Calculation 15 3 26 2 4" xfId="19367" xr:uid="{00000000-0005-0000-0000-0000884B0000}"/>
    <cellStyle name="Calculation 15 3 26 2 5" xfId="19368" xr:uid="{00000000-0005-0000-0000-0000894B0000}"/>
    <cellStyle name="Calculation 15 3 26 2 6" xfId="19369" xr:uid="{00000000-0005-0000-0000-00008A4B0000}"/>
    <cellStyle name="Calculation 15 3 26 3" xfId="19370" xr:uid="{00000000-0005-0000-0000-00008B4B0000}"/>
    <cellStyle name="Calculation 15 3 26 3 2" xfId="19371" xr:uid="{00000000-0005-0000-0000-00008C4B0000}"/>
    <cellStyle name="Calculation 15 3 26 3 3" xfId="19372" xr:uid="{00000000-0005-0000-0000-00008D4B0000}"/>
    <cellStyle name="Calculation 15 3 26 3 4" xfId="19373" xr:uid="{00000000-0005-0000-0000-00008E4B0000}"/>
    <cellStyle name="Calculation 15 3 26 3 5" xfId="19374" xr:uid="{00000000-0005-0000-0000-00008F4B0000}"/>
    <cellStyle name="Calculation 15 3 26 3 6" xfId="19375" xr:uid="{00000000-0005-0000-0000-0000904B0000}"/>
    <cellStyle name="Calculation 15 3 26 4" xfId="19376" xr:uid="{00000000-0005-0000-0000-0000914B0000}"/>
    <cellStyle name="Calculation 15 3 26 4 2" xfId="19377" xr:uid="{00000000-0005-0000-0000-0000924B0000}"/>
    <cellStyle name="Calculation 15 3 26 4 3" xfId="19378" xr:uid="{00000000-0005-0000-0000-0000934B0000}"/>
    <cellStyle name="Calculation 15 3 26 4 4" xfId="19379" xr:uid="{00000000-0005-0000-0000-0000944B0000}"/>
    <cellStyle name="Calculation 15 3 26 4 5" xfId="19380" xr:uid="{00000000-0005-0000-0000-0000954B0000}"/>
    <cellStyle name="Calculation 15 3 26 4 6" xfId="19381" xr:uid="{00000000-0005-0000-0000-0000964B0000}"/>
    <cellStyle name="Calculation 15 3 26 5" xfId="19382" xr:uid="{00000000-0005-0000-0000-0000974B0000}"/>
    <cellStyle name="Calculation 15 3 26 5 2" xfId="19383" xr:uid="{00000000-0005-0000-0000-0000984B0000}"/>
    <cellStyle name="Calculation 15 3 26 5 3" xfId="19384" xr:uid="{00000000-0005-0000-0000-0000994B0000}"/>
    <cellStyle name="Calculation 15 3 26 5 4" xfId="19385" xr:uid="{00000000-0005-0000-0000-00009A4B0000}"/>
    <cellStyle name="Calculation 15 3 26 5 5" xfId="19386" xr:uid="{00000000-0005-0000-0000-00009B4B0000}"/>
    <cellStyle name="Calculation 15 3 26 5 6" xfId="19387" xr:uid="{00000000-0005-0000-0000-00009C4B0000}"/>
    <cellStyle name="Calculation 15 3 26 6" xfId="19388" xr:uid="{00000000-0005-0000-0000-00009D4B0000}"/>
    <cellStyle name="Calculation 15 3 26 6 2" xfId="19389" xr:uid="{00000000-0005-0000-0000-00009E4B0000}"/>
    <cellStyle name="Calculation 15 3 26 6 3" xfId="19390" xr:uid="{00000000-0005-0000-0000-00009F4B0000}"/>
    <cellStyle name="Calculation 15 3 26 6 4" xfId="19391" xr:uid="{00000000-0005-0000-0000-0000A04B0000}"/>
    <cellStyle name="Calculation 15 3 26 6 5" xfId="19392" xr:uid="{00000000-0005-0000-0000-0000A14B0000}"/>
    <cellStyle name="Calculation 15 3 26 6 6" xfId="19393" xr:uid="{00000000-0005-0000-0000-0000A24B0000}"/>
    <cellStyle name="Calculation 15 3 26 7" xfId="19394" xr:uid="{00000000-0005-0000-0000-0000A34B0000}"/>
    <cellStyle name="Calculation 15 3 26 7 2" xfId="19395" xr:uid="{00000000-0005-0000-0000-0000A44B0000}"/>
    <cellStyle name="Calculation 15 3 26 7 3" xfId="19396" xr:uid="{00000000-0005-0000-0000-0000A54B0000}"/>
    <cellStyle name="Calculation 15 3 26 7 4" xfId="19397" xr:uid="{00000000-0005-0000-0000-0000A64B0000}"/>
    <cellStyle name="Calculation 15 3 26 7 5" xfId="19398" xr:uid="{00000000-0005-0000-0000-0000A74B0000}"/>
    <cellStyle name="Calculation 15 3 26 7 6" xfId="19399" xr:uid="{00000000-0005-0000-0000-0000A84B0000}"/>
    <cellStyle name="Calculation 15 3 26 8" xfId="19400" xr:uid="{00000000-0005-0000-0000-0000A94B0000}"/>
    <cellStyle name="Calculation 15 3 26 9" xfId="19401" xr:uid="{00000000-0005-0000-0000-0000AA4B0000}"/>
    <cellStyle name="Calculation 15 3 27" xfId="19402" xr:uid="{00000000-0005-0000-0000-0000AB4B0000}"/>
    <cellStyle name="Calculation 15 3 27 2" xfId="19403" xr:uid="{00000000-0005-0000-0000-0000AC4B0000}"/>
    <cellStyle name="Calculation 15 3 27 3" xfId="19404" xr:uid="{00000000-0005-0000-0000-0000AD4B0000}"/>
    <cellStyle name="Calculation 15 3 27 4" xfId="19405" xr:uid="{00000000-0005-0000-0000-0000AE4B0000}"/>
    <cellStyle name="Calculation 15 3 27 5" xfId="19406" xr:uid="{00000000-0005-0000-0000-0000AF4B0000}"/>
    <cellStyle name="Calculation 15 3 27 6" xfId="19407" xr:uid="{00000000-0005-0000-0000-0000B04B0000}"/>
    <cellStyle name="Calculation 15 3 28" xfId="19408" xr:uid="{00000000-0005-0000-0000-0000B14B0000}"/>
    <cellStyle name="Calculation 15 3 28 2" xfId="19409" xr:uid="{00000000-0005-0000-0000-0000B24B0000}"/>
    <cellStyle name="Calculation 15 3 28 3" xfId="19410" xr:uid="{00000000-0005-0000-0000-0000B34B0000}"/>
    <cellStyle name="Calculation 15 3 28 4" xfId="19411" xr:uid="{00000000-0005-0000-0000-0000B44B0000}"/>
    <cellStyle name="Calculation 15 3 28 5" xfId="19412" xr:uid="{00000000-0005-0000-0000-0000B54B0000}"/>
    <cellStyle name="Calculation 15 3 28 6" xfId="19413" xr:uid="{00000000-0005-0000-0000-0000B64B0000}"/>
    <cellStyle name="Calculation 15 3 29" xfId="19414" xr:uid="{00000000-0005-0000-0000-0000B74B0000}"/>
    <cellStyle name="Calculation 15 3 29 2" xfId="19415" xr:uid="{00000000-0005-0000-0000-0000B84B0000}"/>
    <cellStyle name="Calculation 15 3 29 3" xfId="19416" xr:uid="{00000000-0005-0000-0000-0000B94B0000}"/>
    <cellStyle name="Calculation 15 3 29 4" xfId="19417" xr:uid="{00000000-0005-0000-0000-0000BA4B0000}"/>
    <cellStyle name="Calculation 15 3 29 5" xfId="19418" xr:uid="{00000000-0005-0000-0000-0000BB4B0000}"/>
    <cellStyle name="Calculation 15 3 29 6" xfId="19419" xr:uid="{00000000-0005-0000-0000-0000BC4B0000}"/>
    <cellStyle name="Calculation 15 3 3" xfId="19420" xr:uid="{00000000-0005-0000-0000-0000BD4B0000}"/>
    <cellStyle name="Calculation 15 3 3 10" xfId="19421" xr:uid="{00000000-0005-0000-0000-0000BE4B0000}"/>
    <cellStyle name="Calculation 15 3 3 2" xfId="19422" xr:uid="{00000000-0005-0000-0000-0000BF4B0000}"/>
    <cellStyle name="Calculation 15 3 3 2 2" xfId="19423" xr:uid="{00000000-0005-0000-0000-0000C04B0000}"/>
    <cellStyle name="Calculation 15 3 3 2 3" xfId="19424" xr:uid="{00000000-0005-0000-0000-0000C14B0000}"/>
    <cellStyle name="Calculation 15 3 3 2 4" xfId="19425" xr:uid="{00000000-0005-0000-0000-0000C24B0000}"/>
    <cellStyle name="Calculation 15 3 3 2 5" xfId="19426" xr:uid="{00000000-0005-0000-0000-0000C34B0000}"/>
    <cellStyle name="Calculation 15 3 3 2 6" xfId="19427" xr:uid="{00000000-0005-0000-0000-0000C44B0000}"/>
    <cellStyle name="Calculation 15 3 3 3" xfId="19428" xr:uid="{00000000-0005-0000-0000-0000C54B0000}"/>
    <cellStyle name="Calculation 15 3 3 3 2" xfId="19429" xr:uid="{00000000-0005-0000-0000-0000C64B0000}"/>
    <cellStyle name="Calculation 15 3 3 3 3" xfId="19430" xr:uid="{00000000-0005-0000-0000-0000C74B0000}"/>
    <cellStyle name="Calculation 15 3 3 3 4" xfId="19431" xr:uid="{00000000-0005-0000-0000-0000C84B0000}"/>
    <cellStyle name="Calculation 15 3 3 3 5" xfId="19432" xr:uid="{00000000-0005-0000-0000-0000C94B0000}"/>
    <cellStyle name="Calculation 15 3 3 3 6" xfId="19433" xr:uid="{00000000-0005-0000-0000-0000CA4B0000}"/>
    <cellStyle name="Calculation 15 3 3 4" xfId="19434" xr:uid="{00000000-0005-0000-0000-0000CB4B0000}"/>
    <cellStyle name="Calculation 15 3 3 4 2" xfId="19435" xr:uid="{00000000-0005-0000-0000-0000CC4B0000}"/>
    <cellStyle name="Calculation 15 3 3 4 3" xfId="19436" xr:uid="{00000000-0005-0000-0000-0000CD4B0000}"/>
    <cellStyle name="Calculation 15 3 3 4 4" xfId="19437" xr:uid="{00000000-0005-0000-0000-0000CE4B0000}"/>
    <cellStyle name="Calculation 15 3 3 4 5" xfId="19438" xr:uid="{00000000-0005-0000-0000-0000CF4B0000}"/>
    <cellStyle name="Calculation 15 3 3 4 6" xfId="19439" xr:uid="{00000000-0005-0000-0000-0000D04B0000}"/>
    <cellStyle name="Calculation 15 3 3 5" xfId="19440" xr:uid="{00000000-0005-0000-0000-0000D14B0000}"/>
    <cellStyle name="Calculation 15 3 3 5 2" xfId="19441" xr:uid="{00000000-0005-0000-0000-0000D24B0000}"/>
    <cellStyle name="Calculation 15 3 3 5 3" xfId="19442" xr:uid="{00000000-0005-0000-0000-0000D34B0000}"/>
    <cellStyle name="Calculation 15 3 3 5 4" xfId="19443" xr:uid="{00000000-0005-0000-0000-0000D44B0000}"/>
    <cellStyle name="Calculation 15 3 3 5 5" xfId="19444" xr:uid="{00000000-0005-0000-0000-0000D54B0000}"/>
    <cellStyle name="Calculation 15 3 3 5 6" xfId="19445" xr:uid="{00000000-0005-0000-0000-0000D64B0000}"/>
    <cellStyle name="Calculation 15 3 3 6" xfId="19446" xr:uid="{00000000-0005-0000-0000-0000D74B0000}"/>
    <cellStyle name="Calculation 15 3 3 6 2" xfId="19447" xr:uid="{00000000-0005-0000-0000-0000D84B0000}"/>
    <cellStyle name="Calculation 15 3 3 6 3" xfId="19448" xr:uid="{00000000-0005-0000-0000-0000D94B0000}"/>
    <cellStyle name="Calculation 15 3 3 6 4" xfId="19449" xr:uid="{00000000-0005-0000-0000-0000DA4B0000}"/>
    <cellStyle name="Calculation 15 3 3 6 5" xfId="19450" xr:uid="{00000000-0005-0000-0000-0000DB4B0000}"/>
    <cellStyle name="Calculation 15 3 3 6 6" xfId="19451" xr:uid="{00000000-0005-0000-0000-0000DC4B0000}"/>
    <cellStyle name="Calculation 15 3 3 7" xfId="19452" xr:uid="{00000000-0005-0000-0000-0000DD4B0000}"/>
    <cellStyle name="Calculation 15 3 3 7 2" xfId="19453" xr:uid="{00000000-0005-0000-0000-0000DE4B0000}"/>
    <cellStyle name="Calculation 15 3 3 7 3" xfId="19454" xr:uid="{00000000-0005-0000-0000-0000DF4B0000}"/>
    <cellStyle name="Calculation 15 3 3 7 4" xfId="19455" xr:uid="{00000000-0005-0000-0000-0000E04B0000}"/>
    <cellStyle name="Calculation 15 3 3 7 5" xfId="19456" xr:uid="{00000000-0005-0000-0000-0000E14B0000}"/>
    <cellStyle name="Calculation 15 3 3 7 6" xfId="19457" xr:uid="{00000000-0005-0000-0000-0000E24B0000}"/>
    <cellStyle name="Calculation 15 3 3 8" xfId="19458" xr:uid="{00000000-0005-0000-0000-0000E34B0000}"/>
    <cellStyle name="Calculation 15 3 3 9" xfId="19459" xr:uid="{00000000-0005-0000-0000-0000E44B0000}"/>
    <cellStyle name="Calculation 15 3 30" xfId="19460" xr:uid="{00000000-0005-0000-0000-0000E54B0000}"/>
    <cellStyle name="Calculation 15 3 30 2" xfId="19461" xr:uid="{00000000-0005-0000-0000-0000E64B0000}"/>
    <cellStyle name="Calculation 15 3 30 3" xfId="19462" xr:uid="{00000000-0005-0000-0000-0000E74B0000}"/>
    <cellStyle name="Calculation 15 3 30 4" xfId="19463" xr:uid="{00000000-0005-0000-0000-0000E84B0000}"/>
    <cellStyle name="Calculation 15 3 30 5" xfId="19464" xr:uid="{00000000-0005-0000-0000-0000E94B0000}"/>
    <cellStyle name="Calculation 15 3 30 6" xfId="19465" xr:uid="{00000000-0005-0000-0000-0000EA4B0000}"/>
    <cellStyle name="Calculation 15 3 31" xfId="19466" xr:uid="{00000000-0005-0000-0000-0000EB4B0000}"/>
    <cellStyle name="Calculation 15 3 31 2" xfId="19467" xr:uid="{00000000-0005-0000-0000-0000EC4B0000}"/>
    <cellStyle name="Calculation 15 3 31 3" xfId="19468" xr:uid="{00000000-0005-0000-0000-0000ED4B0000}"/>
    <cellStyle name="Calculation 15 3 31 4" xfId="19469" xr:uid="{00000000-0005-0000-0000-0000EE4B0000}"/>
    <cellStyle name="Calculation 15 3 31 5" xfId="19470" xr:uid="{00000000-0005-0000-0000-0000EF4B0000}"/>
    <cellStyle name="Calculation 15 3 31 6" xfId="19471" xr:uid="{00000000-0005-0000-0000-0000F04B0000}"/>
    <cellStyle name="Calculation 15 3 32" xfId="19472" xr:uid="{00000000-0005-0000-0000-0000F14B0000}"/>
    <cellStyle name="Calculation 15 3 32 2" xfId="19473" xr:uid="{00000000-0005-0000-0000-0000F24B0000}"/>
    <cellStyle name="Calculation 15 3 32 3" xfId="19474" xr:uid="{00000000-0005-0000-0000-0000F34B0000}"/>
    <cellStyle name="Calculation 15 3 32 4" xfId="19475" xr:uid="{00000000-0005-0000-0000-0000F44B0000}"/>
    <cellStyle name="Calculation 15 3 32 5" xfId="19476" xr:uid="{00000000-0005-0000-0000-0000F54B0000}"/>
    <cellStyle name="Calculation 15 3 32 6" xfId="19477" xr:uid="{00000000-0005-0000-0000-0000F64B0000}"/>
    <cellStyle name="Calculation 15 3 33" xfId="19478" xr:uid="{00000000-0005-0000-0000-0000F74B0000}"/>
    <cellStyle name="Calculation 15 3 34" xfId="19479" xr:uid="{00000000-0005-0000-0000-0000F84B0000}"/>
    <cellStyle name="Calculation 15 3 35" xfId="19480" xr:uid="{00000000-0005-0000-0000-0000F94B0000}"/>
    <cellStyle name="Calculation 15 3 4" xfId="19481" xr:uid="{00000000-0005-0000-0000-0000FA4B0000}"/>
    <cellStyle name="Calculation 15 3 4 10" xfId="19482" xr:uid="{00000000-0005-0000-0000-0000FB4B0000}"/>
    <cellStyle name="Calculation 15 3 4 2" xfId="19483" xr:uid="{00000000-0005-0000-0000-0000FC4B0000}"/>
    <cellStyle name="Calculation 15 3 4 2 2" xfId="19484" xr:uid="{00000000-0005-0000-0000-0000FD4B0000}"/>
    <cellStyle name="Calculation 15 3 4 2 3" xfId="19485" xr:uid="{00000000-0005-0000-0000-0000FE4B0000}"/>
    <cellStyle name="Calculation 15 3 4 2 4" xfId="19486" xr:uid="{00000000-0005-0000-0000-0000FF4B0000}"/>
    <cellStyle name="Calculation 15 3 4 2 5" xfId="19487" xr:uid="{00000000-0005-0000-0000-0000004C0000}"/>
    <cellStyle name="Calculation 15 3 4 2 6" xfId="19488" xr:uid="{00000000-0005-0000-0000-0000014C0000}"/>
    <cellStyle name="Calculation 15 3 4 3" xfId="19489" xr:uid="{00000000-0005-0000-0000-0000024C0000}"/>
    <cellStyle name="Calculation 15 3 4 3 2" xfId="19490" xr:uid="{00000000-0005-0000-0000-0000034C0000}"/>
    <cellStyle name="Calculation 15 3 4 3 3" xfId="19491" xr:uid="{00000000-0005-0000-0000-0000044C0000}"/>
    <cellStyle name="Calculation 15 3 4 3 4" xfId="19492" xr:uid="{00000000-0005-0000-0000-0000054C0000}"/>
    <cellStyle name="Calculation 15 3 4 3 5" xfId="19493" xr:uid="{00000000-0005-0000-0000-0000064C0000}"/>
    <cellStyle name="Calculation 15 3 4 3 6" xfId="19494" xr:uid="{00000000-0005-0000-0000-0000074C0000}"/>
    <cellStyle name="Calculation 15 3 4 4" xfId="19495" xr:uid="{00000000-0005-0000-0000-0000084C0000}"/>
    <cellStyle name="Calculation 15 3 4 4 2" xfId="19496" xr:uid="{00000000-0005-0000-0000-0000094C0000}"/>
    <cellStyle name="Calculation 15 3 4 4 3" xfId="19497" xr:uid="{00000000-0005-0000-0000-00000A4C0000}"/>
    <cellStyle name="Calculation 15 3 4 4 4" xfId="19498" xr:uid="{00000000-0005-0000-0000-00000B4C0000}"/>
    <cellStyle name="Calculation 15 3 4 4 5" xfId="19499" xr:uid="{00000000-0005-0000-0000-00000C4C0000}"/>
    <cellStyle name="Calculation 15 3 4 4 6" xfId="19500" xr:uid="{00000000-0005-0000-0000-00000D4C0000}"/>
    <cellStyle name="Calculation 15 3 4 5" xfId="19501" xr:uid="{00000000-0005-0000-0000-00000E4C0000}"/>
    <cellStyle name="Calculation 15 3 4 5 2" xfId="19502" xr:uid="{00000000-0005-0000-0000-00000F4C0000}"/>
    <cellStyle name="Calculation 15 3 4 5 3" xfId="19503" xr:uid="{00000000-0005-0000-0000-0000104C0000}"/>
    <cellStyle name="Calculation 15 3 4 5 4" xfId="19504" xr:uid="{00000000-0005-0000-0000-0000114C0000}"/>
    <cellStyle name="Calculation 15 3 4 5 5" xfId="19505" xr:uid="{00000000-0005-0000-0000-0000124C0000}"/>
    <cellStyle name="Calculation 15 3 4 5 6" xfId="19506" xr:uid="{00000000-0005-0000-0000-0000134C0000}"/>
    <cellStyle name="Calculation 15 3 4 6" xfId="19507" xr:uid="{00000000-0005-0000-0000-0000144C0000}"/>
    <cellStyle name="Calculation 15 3 4 6 2" xfId="19508" xr:uid="{00000000-0005-0000-0000-0000154C0000}"/>
    <cellStyle name="Calculation 15 3 4 6 3" xfId="19509" xr:uid="{00000000-0005-0000-0000-0000164C0000}"/>
    <cellStyle name="Calculation 15 3 4 6 4" xfId="19510" xr:uid="{00000000-0005-0000-0000-0000174C0000}"/>
    <cellStyle name="Calculation 15 3 4 6 5" xfId="19511" xr:uid="{00000000-0005-0000-0000-0000184C0000}"/>
    <cellStyle name="Calculation 15 3 4 6 6" xfId="19512" xr:uid="{00000000-0005-0000-0000-0000194C0000}"/>
    <cellStyle name="Calculation 15 3 4 7" xfId="19513" xr:uid="{00000000-0005-0000-0000-00001A4C0000}"/>
    <cellStyle name="Calculation 15 3 4 7 2" xfId="19514" xr:uid="{00000000-0005-0000-0000-00001B4C0000}"/>
    <cellStyle name="Calculation 15 3 4 7 3" xfId="19515" xr:uid="{00000000-0005-0000-0000-00001C4C0000}"/>
    <cellStyle name="Calculation 15 3 4 7 4" xfId="19516" xr:uid="{00000000-0005-0000-0000-00001D4C0000}"/>
    <cellStyle name="Calculation 15 3 4 7 5" xfId="19517" xr:uid="{00000000-0005-0000-0000-00001E4C0000}"/>
    <cellStyle name="Calculation 15 3 4 7 6" xfId="19518" xr:uid="{00000000-0005-0000-0000-00001F4C0000}"/>
    <cellStyle name="Calculation 15 3 4 8" xfId="19519" xr:uid="{00000000-0005-0000-0000-0000204C0000}"/>
    <cellStyle name="Calculation 15 3 4 9" xfId="19520" xr:uid="{00000000-0005-0000-0000-0000214C0000}"/>
    <cellStyle name="Calculation 15 3 5" xfId="19521" xr:uid="{00000000-0005-0000-0000-0000224C0000}"/>
    <cellStyle name="Calculation 15 3 5 10" xfId="19522" xr:uid="{00000000-0005-0000-0000-0000234C0000}"/>
    <cellStyle name="Calculation 15 3 5 2" xfId="19523" xr:uid="{00000000-0005-0000-0000-0000244C0000}"/>
    <cellStyle name="Calculation 15 3 5 2 2" xfId="19524" xr:uid="{00000000-0005-0000-0000-0000254C0000}"/>
    <cellStyle name="Calculation 15 3 5 2 3" xfId="19525" xr:uid="{00000000-0005-0000-0000-0000264C0000}"/>
    <cellStyle name="Calculation 15 3 5 2 4" xfId="19526" xr:uid="{00000000-0005-0000-0000-0000274C0000}"/>
    <cellStyle name="Calculation 15 3 5 2 5" xfId="19527" xr:uid="{00000000-0005-0000-0000-0000284C0000}"/>
    <cellStyle name="Calculation 15 3 5 2 6" xfId="19528" xr:uid="{00000000-0005-0000-0000-0000294C0000}"/>
    <cellStyle name="Calculation 15 3 5 3" xfId="19529" xr:uid="{00000000-0005-0000-0000-00002A4C0000}"/>
    <cellStyle name="Calculation 15 3 5 3 2" xfId="19530" xr:uid="{00000000-0005-0000-0000-00002B4C0000}"/>
    <cellStyle name="Calculation 15 3 5 3 3" xfId="19531" xr:uid="{00000000-0005-0000-0000-00002C4C0000}"/>
    <cellStyle name="Calculation 15 3 5 3 4" xfId="19532" xr:uid="{00000000-0005-0000-0000-00002D4C0000}"/>
    <cellStyle name="Calculation 15 3 5 3 5" xfId="19533" xr:uid="{00000000-0005-0000-0000-00002E4C0000}"/>
    <cellStyle name="Calculation 15 3 5 3 6" xfId="19534" xr:uid="{00000000-0005-0000-0000-00002F4C0000}"/>
    <cellStyle name="Calculation 15 3 5 4" xfId="19535" xr:uid="{00000000-0005-0000-0000-0000304C0000}"/>
    <cellStyle name="Calculation 15 3 5 4 2" xfId="19536" xr:uid="{00000000-0005-0000-0000-0000314C0000}"/>
    <cellStyle name="Calculation 15 3 5 4 3" xfId="19537" xr:uid="{00000000-0005-0000-0000-0000324C0000}"/>
    <cellStyle name="Calculation 15 3 5 4 4" xfId="19538" xr:uid="{00000000-0005-0000-0000-0000334C0000}"/>
    <cellStyle name="Calculation 15 3 5 4 5" xfId="19539" xr:uid="{00000000-0005-0000-0000-0000344C0000}"/>
    <cellStyle name="Calculation 15 3 5 4 6" xfId="19540" xr:uid="{00000000-0005-0000-0000-0000354C0000}"/>
    <cellStyle name="Calculation 15 3 5 5" xfId="19541" xr:uid="{00000000-0005-0000-0000-0000364C0000}"/>
    <cellStyle name="Calculation 15 3 5 5 2" xfId="19542" xr:uid="{00000000-0005-0000-0000-0000374C0000}"/>
    <cellStyle name="Calculation 15 3 5 5 3" xfId="19543" xr:uid="{00000000-0005-0000-0000-0000384C0000}"/>
    <cellStyle name="Calculation 15 3 5 5 4" xfId="19544" xr:uid="{00000000-0005-0000-0000-0000394C0000}"/>
    <cellStyle name="Calculation 15 3 5 5 5" xfId="19545" xr:uid="{00000000-0005-0000-0000-00003A4C0000}"/>
    <cellStyle name="Calculation 15 3 5 5 6" xfId="19546" xr:uid="{00000000-0005-0000-0000-00003B4C0000}"/>
    <cellStyle name="Calculation 15 3 5 6" xfId="19547" xr:uid="{00000000-0005-0000-0000-00003C4C0000}"/>
    <cellStyle name="Calculation 15 3 5 6 2" xfId="19548" xr:uid="{00000000-0005-0000-0000-00003D4C0000}"/>
    <cellStyle name="Calculation 15 3 5 6 3" xfId="19549" xr:uid="{00000000-0005-0000-0000-00003E4C0000}"/>
    <cellStyle name="Calculation 15 3 5 6 4" xfId="19550" xr:uid="{00000000-0005-0000-0000-00003F4C0000}"/>
    <cellStyle name="Calculation 15 3 5 6 5" xfId="19551" xr:uid="{00000000-0005-0000-0000-0000404C0000}"/>
    <cellStyle name="Calculation 15 3 5 6 6" xfId="19552" xr:uid="{00000000-0005-0000-0000-0000414C0000}"/>
    <cellStyle name="Calculation 15 3 5 7" xfId="19553" xr:uid="{00000000-0005-0000-0000-0000424C0000}"/>
    <cellStyle name="Calculation 15 3 5 7 2" xfId="19554" xr:uid="{00000000-0005-0000-0000-0000434C0000}"/>
    <cellStyle name="Calculation 15 3 5 7 3" xfId="19555" xr:uid="{00000000-0005-0000-0000-0000444C0000}"/>
    <cellStyle name="Calculation 15 3 5 7 4" xfId="19556" xr:uid="{00000000-0005-0000-0000-0000454C0000}"/>
    <cellStyle name="Calculation 15 3 5 7 5" xfId="19557" xr:uid="{00000000-0005-0000-0000-0000464C0000}"/>
    <cellStyle name="Calculation 15 3 5 7 6" xfId="19558" xr:uid="{00000000-0005-0000-0000-0000474C0000}"/>
    <cellStyle name="Calculation 15 3 5 8" xfId="19559" xr:uid="{00000000-0005-0000-0000-0000484C0000}"/>
    <cellStyle name="Calculation 15 3 5 9" xfId="19560" xr:uid="{00000000-0005-0000-0000-0000494C0000}"/>
    <cellStyle name="Calculation 15 3 6" xfId="19561" xr:uid="{00000000-0005-0000-0000-00004A4C0000}"/>
    <cellStyle name="Calculation 15 3 6 10" xfId="19562" xr:uid="{00000000-0005-0000-0000-00004B4C0000}"/>
    <cellStyle name="Calculation 15 3 6 2" xfId="19563" xr:uid="{00000000-0005-0000-0000-00004C4C0000}"/>
    <cellStyle name="Calculation 15 3 6 2 2" xfId="19564" xr:uid="{00000000-0005-0000-0000-00004D4C0000}"/>
    <cellStyle name="Calculation 15 3 6 2 3" xfId="19565" xr:uid="{00000000-0005-0000-0000-00004E4C0000}"/>
    <cellStyle name="Calculation 15 3 6 2 4" xfId="19566" xr:uid="{00000000-0005-0000-0000-00004F4C0000}"/>
    <cellStyle name="Calculation 15 3 6 2 5" xfId="19567" xr:uid="{00000000-0005-0000-0000-0000504C0000}"/>
    <cellStyle name="Calculation 15 3 6 2 6" xfId="19568" xr:uid="{00000000-0005-0000-0000-0000514C0000}"/>
    <cellStyle name="Calculation 15 3 6 3" xfId="19569" xr:uid="{00000000-0005-0000-0000-0000524C0000}"/>
    <cellStyle name="Calculation 15 3 6 3 2" xfId="19570" xr:uid="{00000000-0005-0000-0000-0000534C0000}"/>
    <cellStyle name="Calculation 15 3 6 3 3" xfId="19571" xr:uid="{00000000-0005-0000-0000-0000544C0000}"/>
    <cellStyle name="Calculation 15 3 6 3 4" xfId="19572" xr:uid="{00000000-0005-0000-0000-0000554C0000}"/>
    <cellStyle name="Calculation 15 3 6 3 5" xfId="19573" xr:uid="{00000000-0005-0000-0000-0000564C0000}"/>
    <cellStyle name="Calculation 15 3 6 3 6" xfId="19574" xr:uid="{00000000-0005-0000-0000-0000574C0000}"/>
    <cellStyle name="Calculation 15 3 6 4" xfId="19575" xr:uid="{00000000-0005-0000-0000-0000584C0000}"/>
    <cellStyle name="Calculation 15 3 6 4 2" xfId="19576" xr:uid="{00000000-0005-0000-0000-0000594C0000}"/>
    <cellStyle name="Calculation 15 3 6 4 3" xfId="19577" xr:uid="{00000000-0005-0000-0000-00005A4C0000}"/>
    <cellStyle name="Calculation 15 3 6 4 4" xfId="19578" xr:uid="{00000000-0005-0000-0000-00005B4C0000}"/>
    <cellStyle name="Calculation 15 3 6 4 5" xfId="19579" xr:uid="{00000000-0005-0000-0000-00005C4C0000}"/>
    <cellStyle name="Calculation 15 3 6 4 6" xfId="19580" xr:uid="{00000000-0005-0000-0000-00005D4C0000}"/>
    <cellStyle name="Calculation 15 3 6 5" xfId="19581" xr:uid="{00000000-0005-0000-0000-00005E4C0000}"/>
    <cellStyle name="Calculation 15 3 6 5 2" xfId="19582" xr:uid="{00000000-0005-0000-0000-00005F4C0000}"/>
    <cellStyle name="Calculation 15 3 6 5 3" xfId="19583" xr:uid="{00000000-0005-0000-0000-0000604C0000}"/>
    <cellStyle name="Calculation 15 3 6 5 4" xfId="19584" xr:uid="{00000000-0005-0000-0000-0000614C0000}"/>
    <cellStyle name="Calculation 15 3 6 5 5" xfId="19585" xr:uid="{00000000-0005-0000-0000-0000624C0000}"/>
    <cellStyle name="Calculation 15 3 6 5 6" xfId="19586" xr:uid="{00000000-0005-0000-0000-0000634C0000}"/>
    <cellStyle name="Calculation 15 3 6 6" xfId="19587" xr:uid="{00000000-0005-0000-0000-0000644C0000}"/>
    <cellStyle name="Calculation 15 3 6 6 2" xfId="19588" xr:uid="{00000000-0005-0000-0000-0000654C0000}"/>
    <cellStyle name="Calculation 15 3 6 6 3" xfId="19589" xr:uid="{00000000-0005-0000-0000-0000664C0000}"/>
    <cellStyle name="Calculation 15 3 6 6 4" xfId="19590" xr:uid="{00000000-0005-0000-0000-0000674C0000}"/>
    <cellStyle name="Calculation 15 3 6 6 5" xfId="19591" xr:uid="{00000000-0005-0000-0000-0000684C0000}"/>
    <cellStyle name="Calculation 15 3 6 6 6" xfId="19592" xr:uid="{00000000-0005-0000-0000-0000694C0000}"/>
    <cellStyle name="Calculation 15 3 6 7" xfId="19593" xr:uid="{00000000-0005-0000-0000-00006A4C0000}"/>
    <cellStyle name="Calculation 15 3 6 7 2" xfId="19594" xr:uid="{00000000-0005-0000-0000-00006B4C0000}"/>
    <cellStyle name="Calculation 15 3 6 7 3" xfId="19595" xr:uid="{00000000-0005-0000-0000-00006C4C0000}"/>
    <cellStyle name="Calculation 15 3 6 7 4" xfId="19596" xr:uid="{00000000-0005-0000-0000-00006D4C0000}"/>
    <cellStyle name="Calculation 15 3 6 7 5" xfId="19597" xr:uid="{00000000-0005-0000-0000-00006E4C0000}"/>
    <cellStyle name="Calculation 15 3 6 7 6" xfId="19598" xr:uid="{00000000-0005-0000-0000-00006F4C0000}"/>
    <cellStyle name="Calculation 15 3 6 8" xfId="19599" xr:uid="{00000000-0005-0000-0000-0000704C0000}"/>
    <cellStyle name="Calculation 15 3 6 9" xfId="19600" xr:uid="{00000000-0005-0000-0000-0000714C0000}"/>
    <cellStyle name="Calculation 15 3 7" xfId="19601" xr:uid="{00000000-0005-0000-0000-0000724C0000}"/>
    <cellStyle name="Calculation 15 3 7 10" xfId="19602" xr:uid="{00000000-0005-0000-0000-0000734C0000}"/>
    <cellStyle name="Calculation 15 3 7 2" xfId="19603" xr:uid="{00000000-0005-0000-0000-0000744C0000}"/>
    <cellStyle name="Calculation 15 3 7 2 2" xfId="19604" xr:uid="{00000000-0005-0000-0000-0000754C0000}"/>
    <cellStyle name="Calculation 15 3 7 2 3" xfId="19605" xr:uid="{00000000-0005-0000-0000-0000764C0000}"/>
    <cellStyle name="Calculation 15 3 7 2 4" xfId="19606" xr:uid="{00000000-0005-0000-0000-0000774C0000}"/>
    <cellStyle name="Calculation 15 3 7 2 5" xfId="19607" xr:uid="{00000000-0005-0000-0000-0000784C0000}"/>
    <cellStyle name="Calculation 15 3 7 2 6" xfId="19608" xr:uid="{00000000-0005-0000-0000-0000794C0000}"/>
    <cellStyle name="Calculation 15 3 7 3" xfId="19609" xr:uid="{00000000-0005-0000-0000-00007A4C0000}"/>
    <cellStyle name="Calculation 15 3 7 3 2" xfId="19610" xr:uid="{00000000-0005-0000-0000-00007B4C0000}"/>
    <cellStyle name="Calculation 15 3 7 3 3" xfId="19611" xr:uid="{00000000-0005-0000-0000-00007C4C0000}"/>
    <cellStyle name="Calculation 15 3 7 3 4" xfId="19612" xr:uid="{00000000-0005-0000-0000-00007D4C0000}"/>
    <cellStyle name="Calculation 15 3 7 3 5" xfId="19613" xr:uid="{00000000-0005-0000-0000-00007E4C0000}"/>
    <cellStyle name="Calculation 15 3 7 3 6" xfId="19614" xr:uid="{00000000-0005-0000-0000-00007F4C0000}"/>
    <cellStyle name="Calculation 15 3 7 4" xfId="19615" xr:uid="{00000000-0005-0000-0000-0000804C0000}"/>
    <cellStyle name="Calculation 15 3 7 4 2" xfId="19616" xr:uid="{00000000-0005-0000-0000-0000814C0000}"/>
    <cellStyle name="Calculation 15 3 7 4 3" xfId="19617" xr:uid="{00000000-0005-0000-0000-0000824C0000}"/>
    <cellStyle name="Calculation 15 3 7 4 4" xfId="19618" xr:uid="{00000000-0005-0000-0000-0000834C0000}"/>
    <cellStyle name="Calculation 15 3 7 4 5" xfId="19619" xr:uid="{00000000-0005-0000-0000-0000844C0000}"/>
    <cellStyle name="Calculation 15 3 7 4 6" xfId="19620" xr:uid="{00000000-0005-0000-0000-0000854C0000}"/>
    <cellStyle name="Calculation 15 3 7 5" xfId="19621" xr:uid="{00000000-0005-0000-0000-0000864C0000}"/>
    <cellStyle name="Calculation 15 3 7 5 2" xfId="19622" xr:uid="{00000000-0005-0000-0000-0000874C0000}"/>
    <cellStyle name="Calculation 15 3 7 5 3" xfId="19623" xr:uid="{00000000-0005-0000-0000-0000884C0000}"/>
    <cellStyle name="Calculation 15 3 7 5 4" xfId="19624" xr:uid="{00000000-0005-0000-0000-0000894C0000}"/>
    <cellStyle name="Calculation 15 3 7 5 5" xfId="19625" xr:uid="{00000000-0005-0000-0000-00008A4C0000}"/>
    <cellStyle name="Calculation 15 3 7 5 6" xfId="19626" xr:uid="{00000000-0005-0000-0000-00008B4C0000}"/>
    <cellStyle name="Calculation 15 3 7 6" xfId="19627" xr:uid="{00000000-0005-0000-0000-00008C4C0000}"/>
    <cellStyle name="Calculation 15 3 7 6 2" xfId="19628" xr:uid="{00000000-0005-0000-0000-00008D4C0000}"/>
    <cellStyle name="Calculation 15 3 7 6 3" xfId="19629" xr:uid="{00000000-0005-0000-0000-00008E4C0000}"/>
    <cellStyle name="Calculation 15 3 7 6 4" xfId="19630" xr:uid="{00000000-0005-0000-0000-00008F4C0000}"/>
    <cellStyle name="Calculation 15 3 7 6 5" xfId="19631" xr:uid="{00000000-0005-0000-0000-0000904C0000}"/>
    <cellStyle name="Calculation 15 3 7 6 6" xfId="19632" xr:uid="{00000000-0005-0000-0000-0000914C0000}"/>
    <cellStyle name="Calculation 15 3 7 7" xfId="19633" xr:uid="{00000000-0005-0000-0000-0000924C0000}"/>
    <cellStyle name="Calculation 15 3 7 7 2" xfId="19634" xr:uid="{00000000-0005-0000-0000-0000934C0000}"/>
    <cellStyle name="Calculation 15 3 7 7 3" xfId="19635" xr:uid="{00000000-0005-0000-0000-0000944C0000}"/>
    <cellStyle name="Calculation 15 3 7 7 4" xfId="19636" xr:uid="{00000000-0005-0000-0000-0000954C0000}"/>
    <cellStyle name="Calculation 15 3 7 7 5" xfId="19637" xr:uid="{00000000-0005-0000-0000-0000964C0000}"/>
    <cellStyle name="Calculation 15 3 7 7 6" xfId="19638" xr:uid="{00000000-0005-0000-0000-0000974C0000}"/>
    <cellStyle name="Calculation 15 3 7 8" xfId="19639" xr:uid="{00000000-0005-0000-0000-0000984C0000}"/>
    <cellStyle name="Calculation 15 3 7 9" xfId="19640" xr:uid="{00000000-0005-0000-0000-0000994C0000}"/>
    <cellStyle name="Calculation 15 3 8" xfId="19641" xr:uid="{00000000-0005-0000-0000-00009A4C0000}"/>
    <cellStyle name="Calculation 15 3 8 10" xfId="19642" xr:uid="{00000000-0005-0000-0000-00009B4C0000}"/>
    <cellStyle name="Calculation 15 3 8 2" xfId="19643" xr:uid="{00000000-0005-0000-0000-00009C4C0000}"/>
    <cellStyle name="Calculation 15 3 8 2 2" xfId="19644" xr:uid="{00000000-0005-0000-0000-00009D4C0000}"/>
    <cellStyle name="Calculation 15 3 8 2 3" xfId="19645" xr:uid="{00000000-0005-0000-0000-00009E4C0000}"/>
    <cellStyle name="Calculation 15 3 8 2 4" xfId="19646" xr:uid="{00000000-0005-0000-0000-00009F4C0000}"/>
    <cellStyle name="Calculation 15 3 8 2 5" xfId="19647" xr:uid="{00000000-0005-0000-0000-0000A04C0000}"/>
    <cellStyle name="Calculation 15 3 8 2 6" xfId="19648" xr:uid="{00000000-0005-0000-0000-0000A14C0000}"/>
    <cellStyle name="Calculation 15 3 8 3" xfId="19649" xr:uid="{00000000-0005-0000-0000-0000A24C0000}"/>
    <cellStyle name="Calculation 15 3 8 3 2" xfId="19650" xr:uid="{00000000-0005-0000-0000-0000A34C0000}"/>
    <cellStyle name="Calculation 15 3 8 3 3" xfId="19651" xr:uid="{00000000-0005-0000-0000-0000A44C0000}"/>
    <cellStyle name="Calculation 15 3 8 3 4" xfId="19652" xr:uid="{00000000-0005-0000-0000-0000A54C0000}"/>
    <cellStyle name="Calculation 15 3 8 3 5" xfId="19653" xr:uid="{00000000-0005-0000-0000-0000A64C0000}"/>
    <cellStyle name="Calculation 15 3 8 3 6" xfId="19654" xr:uid="{00000000-0005-0000-0000-0000A74C0000}"/>
    <cellStyle name="Calculation 15 3 8 4" xfId="19655" xr:uid="{00000000-0005-0000-0000-0000A84C0000}"/>
    <cellStyle name="Calculation 15 3 8 4 2" xfId="19656" xr:uid="{00000000-0005-0000-0000-0000A94C0000}"/>
    <cellStyle name="Calculation 15 3 8 4 3" xfId="19657" xr:uid="{00000000-0005-0000-0000-0000AA4C0000}"/>
    <cellStyle name="Calculation 15 3 8 4 4" xfId="19658" xr:uid="{00000000-0005-0000-0000-0000AB4C0000}"/>
    <cellStyle name="Calculation 15 3 8 4 5" xfId="19659" xr:uid="{00000000-0005-0000-0000-0000AC4C0000}"/>
    <cellStyle name="Calculation 15 3 8 4 6" xfId="19660" xr:uid="{00000000-0005-0000-0000-0000AD4C0000}"/>
    <cellStyle name="Calculation 15 3 8 5" xfId="19661" xr:uid="{00000000-0005-0000-0000-0000AE4C0000}"/>
    <cellStyle name="Calculation 15 3 8 5 2" xfId="19662" xr:uid="{00000000-0005-0000-0000-0000AF4C0000}"/>
    <cellStyle name="Calculation 15 3 8 5 3" xfId="19663" xr:uid="{00000000-0005-0000-0000-0000B04C0000}"/>
    <cellStyle name="Calculation 15 3 8 5 4" xfId="19664" xr:uid="{00000000-0005-0000-0000-0000B14C0000}"/>
    <cellStyle name="Calculation 15 3 8 5 5" xfId="19665" xr:uid="{00000000-0005-0000-0000-0000B24C0000}"/>
    <cellStyle name="Calculation 15 3 8 5 6" xfId="19666" xr:uid="{00000000-0005-0000-0000-0000B34C0000}"/>
    <cellStyle name="Calculation 15 3 8 6" xfId="19667" xr:uid="{00000000-0005-0000-0000-0000B44C0000}"/>
    <cellStyle name="Calculation 15 3 8 6 2" xfId="19668" xr:uid="{00000000-0005-0000-0000-0000B54C0000}"/>
    <cellStyle name="Calculation 15 3 8 6 3" xfId="19669" xr:uid="{00000000-0005-0000-0000-0000B64C0000}"/>
    <cellStyle name="Calculation 15 3 8 6 4" xfId="19670" xr:uid="{00000000-0005-0000-0000-0000B74C0000}"/>
    <cellStyle name="Calculation 15 3 8 6 5" xfId="19671" xr:uid="{00000000-0005-0000-0000-0000B84C0000}"/>
    <cellStyle name="Calculation 15 3 8 6 6" xfId="19672" xr:uid="{00000000-0005-0000-0000-0000B94C0000}"/>
    <cellStyle name="Calculation 15 3 8 7" xfId="19673" xr:uid="{00000000-0005-0000-0000-0000BA4C0000}"/>
    <cellStyle name="Calculation 15 3 8 7 2" xfId="19674" xr:uid="{00000000-0005-0000-0000-0000BB4C0000}"/>
    <cellStyle name="Calculation 15 3 8 7 3" xfId="19675" xr:uid="{00000000-0005-0000-0000-0000BC4C0000}"/>
    <cellStyle name="Calculation 15 3 8 7 4" xfId="19676" xr:uid="{00000000-0005-0000-0000-0000BD4C0000}"/>
    <cellStyle name="Calculation 15 3 8 7 5" xfId="19677" xr:uid="{00000000-0005-0000-0000-0000BE4C0000}"/>
    <cellStyle name="Calculation 15 3 8 7 6" xfId="19678" xr:uid="{00000000-0005-0000-0000-0000BF4C0000}"/>
    <cellStyle name="Calculation 15 3 8 8" xfId="19679" xr:uid="{00000000-0005-0000-0000-0000C04C0000}"/>
    <cellStyle name="Calculation 15 3 8 9" xfId="19680" xr:uid="{00000000-0005-0000-0000-0000C14C0000}"/>
    <cellStyle name="Calculation 15 3 9" xfId="19681" xr:uid="{00000000-0005-0000-0000-0000C24C0000}"/>
    <cellStyle name="Calculation 15 3 9 10" xfId="19682" xr:uid="{00000000-0005-0000-0000-0000C34C0000}"/>
    <cellStyle name="Calculation 15 3 9 2" xfId="19683" xr:uid="{00000000-0005-0000-0000-0000C44C0000}"/>
    <cellStyle name="Calculation 15 3 9 2 2" xfId="19684" xr:uid="{00000000-0005-0000-0000-0000C54C0000}"/>
    <cellStyle name="Calculation 15 3 9 2 3" xfId="19685" xr:uid="{00000000-0005-0000-0000-0000C64C0000}"/>
    <cellStyle name="Calculation 15 3 9 2 4" xfId="19686" xr:uid="{00000000-0005-0000-0000-0000C74C0000}"/>
    <cellStyle name="Calculation 15 3 9 2 5" xfId="19687" xr:uid="{00000000-0005-0000-0000-0000C84C0000}"/>
    <cellStyle name="Calculation 15 3 9 2 6" xfId="19688" xr:uid="{00000000-0005-0000-0000-0000C94C0000}"/>
    <cellStyle name="Calculation 15 3 9 3" xfId="19689" xr:uid="{00000000-0005-0000-0000-0000CA4C0000}"/>
    <cellStyle name="Calculation 15 3 9 3 2" xfId="19690" xr:uid="{00000000-0005-0000-0000-0000CB4C0000}"/>
    <cellStyle name="Calculation 15 3 9 3 3" xfId="19691" xr:uid="{00000000-0005-0000-0000-0000CC4C0000}"/>
    <cellStyle name="Calculation 15 3 9 3 4" xfId="19692" xr:uid="{00000000-0005-0000-0000-0000CD4C0000}"/>
    <cellStyle name="Calculation 15 3 9 3 5" xfId="19693" xr:uid="{00000000-0005-0000-0000-0000CE4C0000}"/>
    <cellStyle name="Calculation 15 3 9 3 6" xfId="19694" xr:uid="{00000000-0005-0000-0000-0000CF4C0000}"/>
    <cellStyle name="Calculation 15 3 9 4" xfId="19695" xr:uid="{00000000-0005-0000-0000-0000D04C0000}"/>
    <cellStyle name="Calculation 15 3 9 4 2" xfId="19696" xr:uid="{00000000-0005-0000-0000-0000D14C0000}"/>
    <cellStyle name="Calculation 15 3 9 4 3" xfId="19697" xr:uid="{00000000-0005-0000-0000-0000D24C0000}"/>
    <cellStyle name="Calculation 15 3 9 4 4" xfId="19698" xr:uid="{00000000-0005-0000-0000-0000D34C0000}"/>
    <cellStyle name="Calculation 15 3 9 4 5" xfId="19699" xr:uid="{00000000-0005-0000-0000-0000D44C0000}"/>
    <cellStyle name="Calculation 15 3 9 4 6" xfId="19700" xr:uid="{00000000-0005-0000-0000-0000D54C0000}"/>
    <cellStyle name="Calculation 15 3 9 5" xfId="19701" xr:uid="{00000000-0005-0000-0000-0000D64C0000}"/>
    <cellStyle name="Calculation 15 3 9 5 2" xfId="19702" xr:uid="{00000000-0005-0000-0000-0000D74C0000}"/>
    <cellStyle name="Calculation 15 3 9 5 3" xfId="19703" xr:uid="{00000000-0005-0000-0000-0000D84C0000}"/>
    <cellStyle name="Calculation 15 3 9 5 4" xfId="19704" xr:uid="{00000000-0005-0000-0000-0000D94C0000}"/>
    <cellStyle name="Calculation 15 3 9 5 5" xfId="19705" xr:uid="{00000000-0005-0000-0000-0000DA4C0000}"/>
    <cellStyle name="Calculation 15 3 9 5 6" xfId="19706" xr:uid="{00000000-0005-0000-0000-0000DB4C0000}"/>
    <cellStyle name="Calculation 15 3 9 6" xfId="19707" xr:uid="{00000000-0005-0000-0000-0000DC4C0000}"/>
    <cellStyle name="Calculation 15 3 9 6 2" xfId="19708" xr:uid="{00000000-0005-0000-0000-0000DD4C0000}"/>
    <cellStyle name="Calculation 15 3 9 6 3" xfId="19709" xr:uid="{00000000-0005-0000-0000-0000DE4C0000}"/>
    <cellStyle name="Calculation 15 3 9 6 4" xfId="19710" xr:uid="{00000000-0005-0000-0000-0000DF4C0000}"/>
    <cellStyle name="Calculation 15 3 9 6 5" xfId="19711" xr:uid="{00000000-0005-0000-0000-0000E04C0000}"/>
    <cellStyle name="Calculation 15 3 9 6 6" xfId="19712" xr:uid="{00000000-0005-0000-0000-0000E14C0000}"/>
    <cellStyle name="Calculation 15 3 9 7" xfId="19713" xr:uid="{00000000-0005-0000-0000-0000E24C0000}"/>
    <cellStyle name="Calculation 15 3 9 7 2" xfId="19714" xr:uid="{00000000-0005-0000-0000-0000E34C0000}"/>
    <cellStyle name="Calculation 15 3 9 7 3" xfId="19715" xr:uid="{00000000-0005-0000-0000-0000E44C0000}"/>
    <cellStyle name="Calculation 15 3 9 7 4" xfId="19716" xr:uid="{00000000-0005-0000-0000-0000E54C0000}"/>
    <cellStyle name="Calculation 15 3 9 7 5" xfId="19717" xr:uid="{00000000-0005-0000-0000-0000E64C0000}"/>
    <cellStyle name="Calculation 15 3 9 7 6" xfId="19718" xr:uid="{00000000-0005-0000-0000-0000E74C0000}"/>
    <cellStyle name="Calculation 15 3 9 8" xfId="19719" xr:uid="{00000000-0005-0000-0000-0000E84C0000}"/>
    <cellStyle name="Calculation 15 3 9 9" xfId="19720" xr:uid="{00000000-0005-0000-0000-0000E94C0000}"/>
    <cellStyle name="Calculation 15 30" xfId="19721" xr:uid="{00000000-0005-0000-0000-0000EA4C0000}"/>
    <cellStyle name="Calculation 15 30 2" xfId="19722" xr:uid="{00000000-0005-0000-0000-0000EB4C0000}"/>
    <cellStyle name="Calculation 15 30 3" xfId="19723" xr:uid="{00000000-0005-0000-0000-0000EC4C0000}"/>
    <cellStyle name="Calculation 15 30 4" xfId="19724" xr:uid="{00000000-0005-0000-0000-0000ED4C0000}"/>
    <cellStyle name="Calculation 15 30 5" xfId="19725" xr:uid="{00000000-0005-0000-0000-0000EE4C0000}"/>
    <cellStyle name="Calculation 15 30 6" xfId="19726" xr:uid="{00000000-0005-0000-0000-0000EF4C0000}"/>
    <cellStyle name="Calculation 15 31" xfId="19727" xr:uid="{00000000-0005-0000-0000-0000F04C0000}"/>
    <cellStyle name="Calculation 15 31 2" xfId="19728" xr:uid="{00000000-0005-0000-0000-0000F14C0000}"/>
    <cellStyle name="Calculation 15 31 3" xfId="19729" xr:uid="{00000000-0005-0000-0000-0000F24C0000}"/>
    <cellStyle name="Calculation 15 31 4" xfId="19730" xr:uid="{00000000-0005-0000-0000-0000F34C0000}"/>
    <cellStyle name="Calculation 15 31 5" xfId="19731" xr:uid="{00000000-0005-0000-0000-0000F44C0000}"/>
    <cellStyle name="Calculation 15 31 6" xfId="19732" xr:uid="{00000000-0005-0000-0000-0000F54C0000}"/>
    <cellStyle name="Calculation 15 32" xfId="19733" xr:uid="{00000000-0005-0000-0000-0000F64C0000}"/>
    <cellStyle name="Calculation 15 33" xfId="19734" xr:uid="{00000000-0005-0000-0000-0000F74C0000}"/>
    <cellStyle name="Calculation 15 34" xfId="19735" xr:uid="{00000000-0005-0000-0000-0000F84C0000}"/>
    <cellStyle name="Calculation 15 4" xfId="19736" xr:uid="{00000000-0005-0000-0000-0000F94C0000}"/>
    <cellStyle name="Calculation 15 4 10" xfId="19737" xr:uid="{00000000-0005-0000-0000-0000FA4C0000}"/>
    <cellStyle name="Calculation 15 4 2" xfId="19738" xr:uid="{00000000-0005-0000-0000-0000FB4C0000}"/>
    <cellStyle name="Calculation 15 4 2 2" xfId="19739" xr:uid="{00000000-0005-0000-0000-0000FC4C0000}"/>
    <cellStyle name="Calculation 15 4 2 3" xfId="19740" xr:uid="{00000000-0005-0000-0000-0000FD4C0000}"/>
    <cellStyle name="Calculation 15 4 2 4" xfId="19741" xr:uid="{00000000-0005-0000-0000-0000FE4C0000}"/>
    <cellStyle name="Calculation 15 4 2 5" xfId="19742" xr:uid="{00000000-0005-0000-0000-0000FF4C0000}"/>
    <cellStyle name="Calculation 15 4 2 6" xfId="19743" xr:uid="{00000000-0005-0000-0000-0000004D0000}"/>
    <cellStyle name="Calculation 15 4 3" xfId="19744" xr:uid="{00000000-0005-0000-0000-0000014D0000}"/>
    <cellStyle name="Calculation 15 4 3 2" xfId="19745" xr:uid="{00000000-0005-0000-0000-0000024D0000}"/>
    <cellStyle name="Calculation 15 4 3 3" xfId="19746" xr:uid="{00000000-0005-0000-0000-0000034D0000}"/>
    <cellStyle name="Calculation 15 4 3 4" xfId="19747" xr:uid="{00000000-0005-0000-0000-0000044D0000}"/>
    <cellStyle name="Calculation 15 4 3 5" xfId="19748" xr:uid="{00000000-0005-0000-0000-0000054D0000}"/>
    <cellStyle name="Calculation 15 4 3 6" xfId="19749" xr:uid="{00000000-0005-0000-0000-0000064D0000}"/>
    <cellStyle name="Calculation 15 4 4" xfId="19750" xr:uid="{00000000-0005-0000-0000-0000074D0000}"/>
    <cellStyle name="Calculation 15 4 4 2" xfId="19751" xr:uid="{00000000-0005-0000-0000-0000084D0000}"/>
    <cellStyle name="Calculation 15 4 4 3" xfId="19752" xr:uid="{00000000-0005-0000-0000-0000094D0000}"/>
    <cellStyle name="Calculation 15 4 4 4" xfId="19753" xr:uid="{00000000-0005-0000-0000-00000A4D0000}"/>
    <cellStyle name="Calculation 15 4 4 5" xfId="19754" xr:uid="{00000000-0005-0000-0000-00000B4D0000}"/>
    <cellStyle name="Calculation 15 4 4 6" xfId="19755" xr:uid="{00000000-0005-0000-0000-00000C4D0000}"/>
    <cellStyle name="Calculation 15 4 5" xfId="19756" xr:uid="{00000000-0005-0000-0000-00000D4D0000}"/>
    <cellStyle name="Calculation 15 4 5 2" xfId="19757" xr:uid="{00000000-0005-0000-0000-00000E4D0000}"/>
    <cellStyle name="Calculation 15 4 5 3" xfId="19758" xr:uid="{00000000-0005-0000-0000-00000F4D0000}"/>
    <cellStyle name="Calculation 15 4 5 4" xfId="19759" xr:uid="{00000000-0005-0000-0000-0000104D0000}"/>
    <cellStyle name="Calculation 15 4 5 5" xfId="19760" xr:uid="{00000000-0005-0000-0000-0000114D0000}"/>
    <cellStyle name="Calculation 15 4 5 6" xfId="19761" xr:uid="{00000000-0005-0000-0000-0000124D0000}"/>
    <cellStyle name="Calculation 15 4 6" xfId="19762" xr:uid="{00000000-0005-0000-0000-0000134D0000}"/>
    <cellStyle name="Calculation 15 4 6 2" xfId="19763" xr:uid="{00000000-0005-0000-0000-0000144D0000}"/>
    <cellStyle name="Calculation 15 4 6 3" xfId="19764" xr:uid="{00000000-0005-0000-0000-0000154D0000}"/>
    <cellStyle name="Calculation 15 4 6 4" xfId="19765" xr:uid="{00000000-0005-0000-0000-0000164D0000}"/>
    <cellStyle name="Calculation 15 4 6 5" xfId="19766" xr:uid="{00000000-0005-0000-0000-0000174D0000}"/>
    <cellStyle name="Calculation 15 4 6 6" xfId="19767" xr:uid="{00000000-0005-0000-0000-0000184D0000}"/>
    <cellStyle name="Calculation 15 4 7" xfId="19768" xr:uid="{00000000-0005-0000-0000-0000194D0000}"/>
    <cellStyle name="Calculation 15 4 7 2" xfId="19769" xr:uid="{00000000-0005-0000-0000-00001A4D0000}"/>
    <cellStyle name="Calculation 15 4 7 3" xfId="19770" xr:uid="{00000000-0005-0000-0000-00001B4D0000}"/>
    <cellStyle name="Calculation 15 4 7 4" xfId="19771" xr:uid="{00000000-0005-0000-0000-00001C4D0000}"/>
    <cellStyle name="Calculation 15 4 7 5" xfId="19772" xr:uid="{00000000-0005-0000-0000-00001D4D0000}"/>
    <cellStyle name="Calculation 15 4 7 6" xfId="19773" xr:uid="{00000000-0005-0000-0000-00001E4D0000}"/>
    <cellStyle name="Calculation 15 4 8" xfId="19774" xr:uid="{00000000-0005-0000-0000-00001F4D0000}"/>
    <cellStyle name="Calculation 15 4 9" xfId="19775" xr:uid="{00000000-0005-0000-0000-0000204D0000}"/>
    <cellStyle name="Calculation 15 5" xfId="19776" xr:uid="{00000000-0005-0000-0000-0000214D0000}"/>
    <cellStyle name="Calculation 15 5 10" xfId="19777" xr:uid="{00000000-0005-0000-0000-0000224D0000}"/>
    <cellStyle name="Calculation 15 5 2" xfId="19778" xr:uid="{00000000-0005-0000-0000-0000234D0000}"/>
    <cellStyle name="Calculation 15 5 2 2" xfId="19779" xr:uid="{00000000-0005-0000-0000-0000244D0000}"/>
    <cellStyle name="Calculation 15 5 2 3" xfId="19780" xr:uid="{00000000-0005-0000-0000-0000254D0000}"/>
    <cellStyle name="Calculation 15 5 2 4" xfId="19781" xr:uid="{00000000-0005-0000-0000-0000264D0000}"/>
    <cellStyle name="Calculation 15 5 2 5" xfId="19782" xr:uid="{00000000-0005-0000-0000-0000274D0000}"/>
    <cellStyle name="Calculation 15 5 2 6" xfId="19783" xr:uid="{00000000-0005-0000-0000-0000284D0000}"/>
    <cellStyle name="Calculation 15 5 3" xfId="19784" xr:uid="{00000000-0005-0000-0000-0000294D0000}"/>
    <cellStyle name="Calculation 15 5 3 2" xfId="19785" xr:uid="{00000000-0005-0000-0000-00002A4D0000}"/>
    <cellStyle name="Calculation 15 5 3 3" xfId="19786" xr:uid="{00000000-0005-0000-0000-00002B4D0000}"/>
    <cellStyle name="Calculation 15 5 3 4" xfId="19787" xr:uid="{00000000-0005-0000-0000-00002C4D0000}"/>
    <cellStyle name="Calculation 15 5 3 5" xfId="19788" xr:uid="{00000000-0005-0000-0000-00002D4D0000}"/>
    <cellStyle name="Calculation 15 5 3 6" xfId="19789" xr:uid="{00000000-0005-0000-0000-00002E4D0000}"/>
    <cellStyle name="Calculation 15 5 4" xfId="19790" xr:uid="{00000000-0005-0000-0000-00002F4D0000}"/>
    <cellStyle name="Calculation 15 5 4 2" xfId="19791" xr:uid="{00000000-0005-0000-0000-0000304D0000}"/>
    <cellStyle name="Calculation 15 5 4 3" xfId="19792" xr:uid="{00000000-0005-0000-0000-0000314D0000}"/>
    <cellStyle name="Calculation 15 5 4 4" xfId="19793" xr:uid="{00000000-0005-0000-0000-0000324D0000}"/>
    <cellStyle name="Calculation 15 5 4 5" xfId="19794" xr:uid="{00000000-0005-0000-0000-0000334D0000}"/>
    <cellStyle name="Calculation 15 5 4 6" xfId="19795" xr:uid="{00000000-0005-0000-0000-0000344D0000}"/>
    <cellStyle name="Calculation 15 5 5" xfId="19796" xr:uid="{00000000-0005-0000-0000-0000354D0000}"/>
    <cellStyle name="Calculation 15 5 5 2" xfId="19797" xr:uid="{00000000-0005-0000-0000-0000364D0000}"/>
    <cellStyle name="Calculation 15 5 5 3" xfId="19798" xr:uid="{00000000-0005-0000-0000-0000374D0000}"/>
    <cellStyle name="Calculation 15 5 5 4" xfId="19799" xr:uid="{00000000-0005-0000-0000-0000384D0000}"/>
    <cellStyle name="Calculation 15 5 5 5" xfId="19800" xr:uid="{00000000-0005-0000-0000-0000394D0000}"/>
    <cellStyle name="Calculation 15 5 5 6" xfId="19801" xr:uid="{00000000-0005-0000-0000-00003A4D0000}"/>
    <cellStyle name="Calculation 15 5 6" xfId="19802" xr:uid="{00000000-0005-0000-0000-00003B4D0000}"/>
    <cellStyle name="Calculation 15 5 6 2" xfId="19803" xr:uid="{00000000-0005-0000-0000-00003C4D0000}"/>
    <cellStyle name="Calculation 15 5 6 3" xfId="19804" xr:uid="{00000000-0005-0000-0000-00003D4D0000}"/>
    <cellStyle name="Calculation 15 5 6 4" xfId="19805" xr:uid="{00000000-0005-0000-0000-00003E4D0000}"/>
    <cellStyle name="Calculation 15 5 6 5" xfId="19806" xr:uid="{00000000-0005-0000-0000-00003F4D0000}"/>
    <cellStyle name="Calculation 15 5 6 6" xfId="19807" xr:uid="{00000000-0005-0000-0000-0000404D0000}"/>
    <cellStyle name="Calculation 15 5 7" xfId="19808" xr:uid="{00000000-0005-0000-0000-0000414D0000}"/>
    <cellStyle name="Calculation 15 5 7 2" xfId="19809" xr:uid="{00000000-0005-0000-0000-0000424D0000}"/>
    <cellStyle name="Calculation 15 5 7 3" xfId="19810" xr:uid="{00000000-0005-0000-0000-0000434D0000}"/>
    <cellStyle name="Calculation 15 5 7 4" xfId="19811" xr:uid="{00000000-0005-0000-0000-0000444D0000}"/>
    <cellStyle name="Calculation 15 5 7 5" xfId="19812" xr:uid="{00000000-0005-0000-0000-0000454D0000}"/>
    <cellStyle name="Calculation 15 5 7 6" xfId="19813" xr:uid="{00000000-0005-0000-0000-0000464D0000}"/>
    <cellStyle name="Calculation 15 5 8" xfId="19814" xr:uid="{00000000-0005-0000-0000-0000474D0000}"/>
    <cellStyle name="Calculation 15 5 9" xfId="19815" xr:uid="{00000000-0005-0000-0000-0000484D0000}"/>
    <cellStyle name="Calculation 15 6" xfId="19816" xr:uid="{00000000-0005-0000-0000-0000494D0000}"/>
    <cellStyle name="Calculation 15 6 10" xfId="19817" xr:uid="{00000000-0005-0000-0000-00004A4D0000}"/>
    <cellStyle name="Calculation 15 6 2" xfId="19818" xr:uid="{00000000-0005-0000-0000-00004B4D0000}"/>
    <cellStyle name="Calculation 15 6 2 2" xfId="19819" xr:uid="{00000000-0005-0000-0000-00004C4D0000}"/>
    <cellStyle name="Calculation 15 6 2 3" xfId="19820" xr:uid="{00000000-0005-0000-0000-00004D4D0000}"/>
    <cellStyle name="Calculation 15 6 2 4" xfId="19821" xr:uid="{00000000-0005-0000-0000-00004E4D0000}"/>
    <cellStyle name="Calculation 15 6 2 5" xfId="19822" xr:uid="{00000000-0005-0000-0000-00004F4D0000}"/>
    <cellStyle name="Calculation 15 6 2 6" xfId="19823" xr:uid="{00000000-0005-0000-0000-0000504D0000}"/>
    <cellStyle name="Calculation 15 6 3" xfId="19824" xr:uid="{00000000-0005-0000-0000-0000514D0000}"/>
    <cellStyle name="Calculation 15 6 3 2" xfId="19825" xr:uid="{00000000-0005-0000-0000-0000524D0000}"/>
    <cellStyle name="Calculation 15 6 3 3" xfId="19826" xr:uid="{00000000-0005-0000-0000-0000534D0000}"/>
    <cellStyle name="Calculation 15 6 3 4" xfId="19827" xr:uid="{00000000-0005-0000-0000-0000544D0000}"/>
    <cellStyle name="Calculation 15 6 3 5" xfId="19828" xr:uid="{00000000-0005-0000-0000-0000554D0000}"/>
    <cellStyle name="Calculation 15 6 3 6" xfId="19829" xr:uid="{00000000-0005-0000-0000-0000564D0000}"/>
    <cellStyle name="Calculation 15 6 4" xfId="19830" xr:uid="{00000000-0005-0000-0000-0000574D0000}"/>
    <cellStyle name="Calculation 15 6 4 2" xfId="19831" xr:uid="{00000000-0005-0000-0000-0000584D0000}"/>
    <cellStyle name="Calculation 15 6 4 3" xfId="19832" xr:uid="{00000000-0005-0000-0000-0000594D0000}"/>
    <cellStyle name="Calculation 15 6 4 4" xfId="19833" xr:uid="{00000000-0005-0000-0000-00005A4D0000}"/>
    <cellStyle name="Calculation 15 6 4 5" xfId="19834" xr:uid="{00000000-0005-0000-0000-00005B4D0000}"/>
    <cellStyle name="Calculation 15 6 4 6" xfId="19835" xr:uid="{00000000-0005-0000-0000-00005C4D0000}"/>
    <cellStyle name="Calculation 15 6 5" xfId="19836" xr:uid="{00000000-0005-0000-0000-00005D4D0000}"/>
    <cellStyle name="Calculation 15 6 5 2" xfId="19837" xr:uid="{00000000-0005-0000-0000-00005E4D0000}"/>
    <cellStyle name="Calculation 15 6 5 3" xfId="19838" xr:uid="{00000000-0005-0000-0000-00005F4D0000}"/>
    <cellStyle name="Calculation 15 6 5 4" xfId="19839" xr:uid="{00000000-0005-0000-0000-0000604D0000}"/>
    <cellStyle name="Calculation 15 6 5 5" xfId="19840" xr:uid="{00000000-0005-0000-0000-0000614D0000}"/>
    <cellStyle name="Calculation 15 6 5 6" xfId="19841" xr:uid="{00000000-0005-0000-0000-0000624D0000}"/>
    <cellStyle name="Calculation 15 6 6" xfId="19842" xr:uid="{00000000-0005-0000-0000-0000634D0000}"/>
    <cellStyle name="Calculation 15 6 6 2" xfId="19843" xr:uid="{00000000-0005-0000-0000-0000644D0000}"/>
    <cellStyle name="Calculation 15 6 6 3" xfId="19844" xr:uid="{00000000-0005-0000-0000-0000654D0000}"/>
    <cellStyle name="Calculation 15 6 6 4" xfId="19845" xr:uid="{00000000-0005-0000-0000-0000664D0000}"/>
    <cellStyle name="Calculation 15 6 6 5" xfId="19846" xr:uid="{00000000-0005-0000-0000-0000674D0000}"/>
    <cellStyle name="Calculation 15 6 6 6" xfId="19847" xr:uid="{00000000-0005-0000-0000-0000684D0000}"/>
    <cellStyle name="Calculation 15 6 7" xfId="19848" xr:uid="{00000000-0005-0000-0000-0000694D0000}"/>
    <cellStyle name="Calculation 15 6 7 2" xfId="19849" xr:uid="{00000000-0005-0000-0000-00006A4D0000}"/>
    <cellStyle name="Calculation 15 6 7 3" xfId="19850" xr:uid="{00000000-0005-0000-0000-00006B4D0000}"/>
    <cellStyle name="Calculation 15 6 7 4" xfId="19851" xr:uid="{00000000-0005-0000-0000-00006C4D0000}"/>
    <cellStyle name="Calculation 15 6 7 5" xfId="19852" xr:uid="{00000000-0005-0000-0000-00006D4D0000}"/>
    <cellStyle name="Calculation 15 6 7 6" xfId="19853" xr:uid="{00000000-0005-0000-0000-00006E4D0000}"/>
    <cellStyle name="Calculation 15 6 8" xfId="19854" xr:uid="{00000000-0005-0000-0000-00006F4D0000}"/>
    <cellStyle name="Calculation 15 6 9" xfId="19855" xr:uid="{00000000-0005-0000-0000-0000704D0000}"/>
    <cellStyle name="Calculation 15 7" xfId="19856" xr:uid="{00000000-0005-0000-0000-0000714D0000}"/>
    <cellStyle name="Calculation 15 7 10" xfId="19857" xr:uid="{00000000-0005-0000-0000-0000724D0000}"/>
    <cellStyle name="Calculation 15 7 2" xfId="19858" xr:uid="{00000000-0005-0000-0000-0000734D0000}"/>
    <cellStyle name="Calculation 15 7 2 2" xfId="19859" xr:uid="{00000000-0005-0000-0000-0000744D0000}"/>
    <cellStyle name="Calculation 15 7 2 3" xfId="19860" xr:uid="{00000000-0005-0000-0000-0000754D0000}"/>
    <cellStyle name="Calculation 15 7 2 4" xfId="19861" xr:uid="{00000000-0005-0000-0000-0000764D0000}"/>
    <cellStyle name="Calculation 15 7 2 5" xfId="19862" xr:uid="{00000000-0005-0000-0000-0000774D0000}"/>
    <cellStyle name="Calculation 15 7 2 6" xfId="19863" xr:uid="{00000000-0005-0000-0000-0000784D0000}"/>
    <cellStyle name="Calculation 15 7 3" xfId="19864" xr:uid="{00000000-0005-0000-0000-0000794D0000}"/>
    <cellStyle name="Calculation 15 7 3 2" xfId="19865" xr:uid="{00000000-0005-0000-0000-00007A4D0000}"/>
    <cellStyle name="Calculation 15 7 3 3" xfId="19866" xr:uid="{00000000-0005-0000-0000-00007B4D0000}"/>
    <cellStyle name="Calculation 15 7 3 4" xfId="19867" xr:uid="{00000000-0005-0000-0000-00007C4D0000}"/>
    <cellStyle name="Calculation 15 7 3 5" xfId="19868" xr:uid="{00000000-0005-0000-0000-00007D4D0000}"/>
    <cellStyle name="Calculation 15 7 3 6" xfId="19869" xr:uid="{00000000-0005-0000-0000-00007E4D0000}"/>
    <cellStyle name="Calculation 15 7 4" xfId="19870" xr:uid="{00000000-0005-0000-0000-00007F4D0000}"/>
    <cellStyle name="Calculation 15 7 4 2" xfId="19871" xr:uid="{00000000-0005-0000-0000-0000804D0000}"/>
    <cellStyle name="Calculation 15 7 4 3" xfId="19872" xr:uid="{00000000-0005-0000-0000-0000814D0000}"/>
    <cellStyle name="Calculation 15 7 4 4" xfId="19873" xr:uid="{00000000-0005-0000-0000-0000824D0000}"/>
    <cellStyle name="Calculation 15 7 4 5" xfId="19874" xr:uid="{00000000-0005-0000-0000-0000834D0000}"/>
    <cellStyle name="Calculation 15 7 4 6" xfId="19875" xr:uid="{00000000-0005-0000-0000-0000844D0000}"/>
    <cellStyle name="Calculation 15 7 5" xfId="19876" xr:uid="{00000000-0005-0000-0000-0000854D0000}"/>
    <cellStyle name="Calculation 15 7 5 2" xfId="19877" xr:uid="{00000000-0005-0000-0000-0000864D0000}"/>
    <cellStyle name="Calculation 15 7 5 3" xfId="19878" xr:uid="{00000000-0005-0000-0000-0000874D0000}"/>
    <cellStyle name="Calculation 15 7 5 4" xfId="19879" xr:uid="{00000000-0005-0000-0000-0000884D0000}"/>
    <cellStyle name="Calculation 15 7 5 5" xfId="19880" xr:uid="{00000000-0005-0000-0000-0000894D0000}"/>
    <cellStyle name="Calculation 15 7 5 6" xfId="19881" xr:uid="{00000000-0005-0000-0000-00008A4D0000}"/>
    <cellStyle name="Calculation 15 7 6" xfId="19882" xr:uid="{00000000-0005-0000-0000-00008B4D0000}"/>
    <cellStyle name="Calculation 15 7 6 2" xfId="19883" xr:uid="{00000000-0005-0000-0000-00008C4D0000}"/>
    <cellStyle name="Calculation 15 7 6 3" xfId="19884" xr:uid="{00000000-0005-0000-0000-00008D4D0000}"/>
    <cellStyle name="Calculation 15 7 6 4" xfId="19885" xr:uid="{00000000-0005-0000-0000-00008E4D0000}"/>
    <cellStyle name="Calculation 15 7 6 5" xfId="19886" xr:uid="{00000000-0005-0000-0000-00008F4D0000}"/>
    <cellStyle name="Calculation 15 7 6 6" xfId="19887" xr:uid="{00000000-0005-0000-0000-0000904D0000}"/>
    <cellStyle name="Calculation 15 7 7" xfId="19888" xr:uid="{00000000-0005-0000-0000-0000914D0000}"/>
    <cellStyle name="Calculation 15 7 7 2" xfId="19889" xr:uid="{00000000-0005-0000-0000-0000924D0000}"/>
    <cellStyle name="Calculation 15 7 7 3" xfId="19890" xr:uid="{00000000-0005-0000-0000-0000934D0000}"/>
    <cellStyle name="Calculation 15 7 7 4" xfId="19891" xr:uid="{00000000-0005-0000-0000-0000944D0000}"/>
    <cellStyle name="Calculation 15 7 7 5" xfId="19892" xr:uid="{00000000-0005-0000-0000-0000954D0000}"/>
    <cellStyle name="Calculation 15 7 7 6" xfId="19893" xr:uid="{00000000-0005-0000-0000-0000964D0000}"/>
    <cellStyle name="Calculation 15 7 8" xfId="19894" xr:uid="{00000000-0005-0000-0000-0000974D0000}"/>
    <cellStyle name="Calculation 15 7 9" xfId="19895" xr:uid="{00000000-0005-0000-0000-0000984D0000}"/>
    <cellStyle name="Calculation 15 8" xfId="19896" xr:uid="{00000000-0005-0000-0000-0000994D0000}"/>
    <cellStyle name="Calculation 15 8 10" xfId="19897" xr:uid="{00000000-0005-0000-0000-00009A4D0000}"/>
    <cellStyle name="Calculation 15 8 2" xfId="19898" xr:uid="{00000000-0005-0000-0000-00009B4D0000}"/>
    <cellStyle name="Calculation 15 8 2 2" xfId="19899" xr:uid="{00000000-0005-0000-0000-00009C4D0000}"/>
    <cellStyle name="Calculation 15 8 2 3" xfId="19900" xr:uid="{00000000-0005-0000-0000-00009D4D0000}"/>
    <cellStyle name="Calculation 15 8 2 4" xfId="19901" xr:uid="{00000000-0005-0000-0000-00009E4D0000}"/>
    <cellStyle name="Calculation 15 8 2 5" xfId="19902" xr:uid="{00000000-0005-0000-0000-00009F4D0000}"/>
    <cellStyle name="Calculation 15 8 2 6" xfId="19903" xr:uid="{00000000-0005-0000-0000-0000A04D0000}"/>
    <cellStyle name="Calculation 15 8 3" xfId="19904" xr:uid="{00000000-0005-0000-0000-0000A14D0000}"/>
    <cellStyle name="Calculation 15 8 3 2" xfId="19905" xr:uid="{00000000-0005-0000-0000-0000A24D0000}"/>
    <cellStyle name="Calculation 15 8 3 3" xfId="19906" xr:uid="{00000000-0005-0000-0000-0000A34D0000}"/>
    <cellStyle name="Calculation 15 8 3 4" xfId="19907" xr:uid="{00000000-0005-0000-0000-0000A44D0000}"/>
    <cellStyle name="Calculation 15 8 3 5" xfId="19908" xr:uid="{00000000-0005-0000-0000-0000A54D0000}"/>
    <cellStyle name="Calculation 15 8 3 6" xfId="19909" xr:uid="{00000000-0005-0000-0000-0000A64D0000}"/>
    <cellStyle name="Calculation 15 8 4" xfId="19910" xr:uid="{00000000-0005-0000-0000-0000A74D0000}"/>
    <cellStyle name="Calculation 15 8 4 2" xfId="19911" xr:uid="{00000000-0005-0000-0000-0000A84D0000}"/>
    <cellStyle name="Calculation 15 8 4 3" xfId="19912" xr:uid="{00000000-0005-0000-0000-0000A94D0000}"/>
    <cellStyle name="Calculation 15 8 4 4" xfId="19913" xr:uid="{00000000-0005-0000-0000-0000AA4D0000}"/>
    <cellStyle name="Calculation 15 8 4 5" xfId="19914" xr:uid="{00000000-0005-0000-0000-0000AB4D0000}"/>
    <cellStyle name="Calculation 15 8 4 6" xfId="19915" xr:uid="{00000000-0005-0000-0000-0000AC4D0000}"/>
    <cellStyle name="Calculation 15 8 5" xfId="19916" xr:uid="{00000000-0005-0000-0000-0000AD4D0000}"/>
    <cellStyle name="Calculation 15 8 5 2" xfId="19917" xr:uid="{00000000-0005-0000-0000-0000AE4D0000}"/>
    <cellStyle name="Calculation 15 8 5 3" xfId="19918" xr:uid="{00000000-0005-0000-0000-0000AF4D0000}"/>
    <cellStyle name="Calculation 15 8 5 4" xfId="19919" xr:uid="{00000000-0005-0000-0000-0000B04D0000}"/>
    <cellStyle name="Calculation 15 8 5 5" xfId="19920" xr:uid="{00000000-0005-0000-0000-0000B14D0000}"/>
    <cellStyle name="Calculation 15 8 5 6" xfId="19921" xr:uid="{00000000-0005-0000-0000-0000B24D0000}"/>
    <cellStyle name="Calculation 15 8 6" xfId="19922" xr:uid="{00000000-0005-0000-0000-0000B34D0000}"/>
    <cellStyle name="Calculation 15 8 6 2" xfId="19923" xr:uid="{00000000-0005-0000-0000-0000B44D0000}"/>
    <cellStyle name="Calculation 15 8 6 3" xfId="19924" xr:uid="{00000000-0005-0000-0000-0000B54D0000}"/>
    <cellStyle name="Calculation 15 8 6 4" xfId="19925" xr:uid="{00000000-0005-0000-0000-0000B64D0000}"/>
    <cellStyle name="Calculation 15 8 6 5" xfId="19926" xr:uid="{00000000-0005-0000-0000-0000B74D0000}"/>
    <cellStyle name="Calculation 15 8 6 6" xfId="19927" xr:uid="{00000000-0005-0000-0000-0000B84D0000}"/>
    <cellStyle name="Calculation 15 8 7" xfId="19928" xr:uid="{00000000-0005-0000-0000-0000B94D0000}"/>
    <cellStyle name="Calculation 15 8 7 2" xfId="19929" xr:uid="{00000000-0005-0000-0000-0000BA4D0000}"/>
    <cellStyle name="Calculation 15 8 7 3" xfId="19930" xr:uid="{00000000-0005-0000-0000-0000BB4D0000}"/>
    <cellStyle name="Calculation 15 8 7 4" xfId="19931" xr:uid="{00000000-0005-0000-0000-0000BC4D0000}"/>
    <cellStyle name="Calculation 15 8 7 5" xfId="19932" xr:uid="{00000000-0005-0000-0000-0000BD4D0000}"/>
    <cellStyle name="Calculation 15 8 7 6" xfId="19933" xr:uid="{00000000-0005-0000-0000-0000BE4D0000}"/>
    <cellStyle name="Calculation 15 8 8" xfId="19934" xr:uid="{00000000-0005-0000-0000-0000BF4D0000}"/>
    <cellStyle name="Calculation 15 8 9" xfId="19935" xr:uid="{00000000-0005-0000-0000-0000C04D0000}"/>
    <cellStyle name="Calculation 15 9" xfId="19936" xr:uid="{00000000-0005-0000-0000-0000C14D0000}"/>
    <cellStyle name="Calculation 15 9 10" xfId="19937" xr:uid="{00000000-0005-0000-0000-0000C24D0000}"/>
    <cellStyle name="Calculation 15 9 2" xfId="19938" xr:uid="{00000000-0005-0000-0000-0000C34D0000}"/>
    <cellStyle name="Calculation 15 9 2 2" xfId="19939" xr:uid="{00000000-0005-0000-0000-0000C44D0000}"/>
    <cellStyle name="Calculation 15 9 2 3" xfId="19940" xr:uid="{00000000-0005-0000-0000-0000C54D0000}"/>
    <cellStyle name="Calculation 15 9 2 4" xfId="19941" xr:uid="{00000000-0005-0000-0000-0000C64D0000}"/>
    <cellStyle name="Calculation 15 9 2 5" xfId="19942" xr:uid="{00000000-0005-0000-0000-0000C74D0000}"/>
    <cellStyle name="Calculation 15 9 2 6" xfId="19943" xr:uid="{00000000-0005-0000-0000-0000C84D0000}"/>
    <cellStyle name="Calculation 15 9 3" xfId="19944" xr:uid="{00000000-0005-0000-0000-0000C94D0000}"/>
    <cellStyle name="Calculation 15 9 3 2" xfId="19945" xr:uid="{00000000-0005-0000-0000-0000CA4D0000}"/>
    <cellStyle name="Calculation 15 9 3 3" xfId="19946" xr:uid="{00000000-0005-0000-0000-0000CB4D0000}"/>
    <cellStyle name="Calculation 15 9 3 4" xfId="19947" xr:uid="{00000000-0005-0000-0000-0000CC4D0000}"/>
    <cellStyle name="Calculation 15 9 3 5" xfId="19948" xr:uid="{00000000-0005-0000-0000-0000CD4D0000}"/>
    <cellStyle name="Calculation 15 9 3 6" xfId="19949" xr:uid="{00000000-0005-0000-0000-0000CE4D0000}"/>
    <cellStyle name="Calculation 15 9 4" xfId="19950" xr:uid="{00000000-0005-0000-0000-0000CF4D0000}"/>
    <cellStyle name="Calculation 15 9 4 2" xfId="19951" xr:uid="{00000000-0005-0000-0000-0000D04D0000}"/>
    <cellStyle name="Calculation 15 9 4 3" xfId="19952" xr:uid="{00000000-0005-0000-0000-0000D14D0000}"/>
    <cellStyle name="Calculation 15 9 4 4" xfId="19953" xr:uid="{00000000-0005-0000-0000-0000D24D0000}"/>
    <cellStyle name="Calculation 15 9 4 5" xfId="19954" xr:uid="{00000000-0005-0000-0000-0000D34D0000}"/>
    <cellStyle name="Calculation 15 9 4 6" xfId="19955" xr:uid="{00000000-0005-0000-0000-0000D44D0000}"/>
    <cellStyle name="Calculation 15 9 5" xfId="19956" xr:uid="{00000000-0005-0000-0000-0000D54D0000}"/>
    <cellStyle name="Calculation 15 9 5 2" xfId="19957" xr:uid="{00000000-0005-0000-0000-0000D64D0000}"/>
    <cellStyle name="Calculation 15 9 5 3" xfId="19958" xr:uid="{00000000-0005-0000-0000-0000D74D0000}"/>
    <cellStyle name="Calculation 15 9 5 4" xfId="19959" xr:uid="{00000000-0005-0000-0000-0000D84D0000}"/>
    <cellStyle name="Calculation 15 9 5 5" xfId="19960" xr:uid="{00000000-0005-0000-0000-0000D94D0000}"/>
    <cellStyle name="Calculation 15 9 5 6" xfId="19961" xr:uid="{00000000-0005-0000-0000-0000DA4D0000}"/>
    <cellStyle name="Calculation 15 9 6" xfId="19962" xr:uid="{00000000-0005-0000-0000-0000DB4D0000}"/>
    <cellStyle name="Calculation 15 9 6 2" xfId="19963" xr:uid="{00000000-0005-0000-0000-0000DC4D0000}"/>
    <cellStyle name="Calculation 15 9 6 3" xfId="19964" xr:uid="{00000000-0005-0000-0000-0000DD4D0000}"/>
    <cellStyle name="Calculation 15 9 6 4" xfId="19965" xr:uid="{00000000-0005-0000-0000-0000DE4D0000}"/>
    <cellStyle name="Calculation 15 9 6 5" xfId="19966" xr:uid="{00000000-0005-0000-0000-0000DF4D0000}"/>
    <cellStyle name="Calculation 15 9 6 6" xfId="19967" xr:uid="{00000000-0005-0000-0000-0000E04D0000}"/>
    <cellStyle name="Calculation 15 9 7" xfId="19968" xr:uid="{00000000-0005-0000-0000-0000E14D0000}"/>
    <cellStyle name="Calculation 15 9 7 2" xfId="19969" xr:uid="{00000000-0005-0000-0000-0000E24D0000}"/>
    <cellStyle name="Calculation 15 9 7 3" xfId="19970" xr:uid="{00000000-0005-0000-0000-0000E34D0000}"/>
    <cellStyle name="Calculation 15 9 7 4" xfId="19971" xr:uid="{00000000-0005-0000-0000-0000E44D0000}"/>
    <cellStyle name="Calculation 15 9 7 5" xfId="19972" xr:uid="{00000000-0005-0000-0000-0000E54D0000}"/>
    <cellStyle name="Calculation 15 9 7 6" xfId="19973" xr:uid="{00000000-0005-0000-0000-0000E64D0000}"/>
    <cellStyle name="Calculation 15 9 8" xfId="19974" xr:uid="{00000000-0005-0000-0000-0000E74D0000}"/>
    <cellStyle name="Calculation 15 9 9" xfId="19975" xr:uid="{00000000-0005-0000-0000-0000E84D0000}"/>
    <cellStyle name="Calculation 16" xfId="19976" xr:uid="{00000000-0005-0000-0000-0000E94D0000}"/>
    <cellStyle name="Calculation 16 10" xfId="19977" xr:uid="{00000000-0005-0000-0000-0000EA4D0000}"/>
    <cellStyle name="Calculation 16 10 10" xfId="19978" xr:uid="{00000000-0005-0000-0000-0000EB4D0000}"/>
    <cellStyle name="Calculation 16 10 2" xfId="19979" xr:uid="{00000000-0005-0000-0000-0000EC4D0000}"/>
    <cellStyle name="Calculation 16 10 2 2" xfId="19980" xr:uid="{00000000-0005-0000-0000-0000ED4D0000}"/>
    <cellStyle name="Calculation 16 10 2 3" xfId="19981" xr:uid="{00000000-0005-0000-0000-0000EE4D0000}"/>
    <cellStyle name="Calculation 16 10 2 4" xfId="19982" xr:uid="{00000000-0005-0000-0000-0000EF4D0000}"/>
    <cellStyle name="Calculation 16 10 2 5" xfId="19983" xr:uid="{00000000-0005-0000-0000-0000F04D0000}"/>
    <cellStyle name="Calculation 16 10 2 6" xfId="19984" xr:uid="{00000000-0005-0000-0000-0000F14D0000}"/>
    <cellStyle name="Calculation 16 10 3" xfId="19985" xr:uid="{00000000-0005-0000-0000-0000F24D0000}"/>
    <cellStyle name="Calculation 16 10 3 2" xfId="19986" xr:uid="{00000000-0005-0000-0000-0000F34D0000}"/>
    <cellStyle name="Calculation 16 10 3 3" xfId="19987" xr:uid="{00000000-0005-0000-0000-0000F44D0000}"/>
    <cellStyle name="Calculation 16 10 3 4" xfId="19988" xr:uid="{00000000-0005-0000-0000-0000F54D0000}"/>
    <cellStyle name="Calculation 16 10 3 5" xfId="19989" xr:uid="{00000000-0005-0000-0000-0000F64D0000}"/>
    <cellStyle name="Calculation 16 10 3 6" xfId="19990" xr:uid="{00000000-0005-0000-0000-0000F74D0000}"/>
    <cellStyle name="Calculation 16 10 4" xfId="19991" xr:uid="{00000000-0005-0000-0000-0000F84D0000}"/>
    <cellStyle name="Calculation 16 10 4 2" xfId="19992" xr:uid="{00000000-0005-0000-0000-0000F94D0000}"/>
    <cellStyle name="Calculation 16 10 4 3" xfId="19993" xr:uid="{00000000-0005-0000-0000-0000FA4D0000}"/>
    <cellStyle name="Calculation 16 10 4 4" xfId="19994" xr:uid="{00000000-0005-0000-0000-0000FB4D0000}"/>
    <cellStyle name="Calculation 16 10 4 5" xfId="19995" xr:uid="{00000000-0005-0000-0000-0000FC4D0000}"/>
    <cellStyle name="Calculation 16 10 4 6" xfId="19996" xr:uid="{00000000-0005-0000-0000-0000FD4D0000}"/>
    <cellStyle name="Calculation 16 10 5" xfId="19997" xr:uid="{00000000-0005-0000-0000-0000FE4D0000}"/>
    <cellStyle name="Calculation 16 10 5 2" xfId="19998" xr:uid="{00000000-0005-0000-0000-0000FF4D0000}"/>
    <cellStyle name="Calculation 16 10 5 3" xfId="19999" xr:uid="{00000000-0005-0000-0000-0000004E0000}"/>
    <cellStyle name="Calculation 16 10 5 4" xfId="20000" xr:uid="{00000000-0005-0000-0000-0000014E0000}"/>
    <cellStyle name="Calculation 16 10 5 5" xfId="20001" xr:uid="{00000000-0005-0000-0000-0000024E0000}"/>
    <cellStyle name="Calculation 16 10 5 6" xfId="20002" xr:uid="{00000000-0005-0000-0000-0000034E0000}"/>
    <cellStyle name="Calculation 16 10 6" xfId="20003" xr:uid="{00000000-0005-0000-0000-0000044E0000}"/>
    <cellStyle name="Calculation 16 10 6 2" xfId="20004" xr:uid="{00000000-0005-0000-0000-0000054E0000}"/>
    <cellStyle name="Calculation 16 10 6 3" xfId="20005" xr:uid="{00000000-0005-0000-0000-0000064E0000}"/>
    <cellStyle name="Calculation 16 10 6 4" xfId="20006" xr:uid="{00000000-0005-0000-0000-0000074E0000}"/>
    <cellStyle name="Calculation 16 10 6 5" xfId="20007" xr:uid="{00000000-0005-0000-0000-0000084E0000}"/>
    <cellStyle name="Calculation 16 10 6 6" xfId="20008" xr:uid="{00000000-0005-0000-0000-0000094E0000}"/>
    <cellStyle name="Calculation 16 10 7" xfId="20009" xr:uid="{00000000-0005-0000-0000-00000A4E0000}"/>
    <cellStyle name="Calculation 16 10 7 2" xfId="20010" xr:uid="{00000000-0005-0000-0000-00000B4E0000}"/>
    <cellStyle name="Calculation 16 10 7 3" xfId="20011" xr:uid="{00000000-0005-0000-0000-00000C4E0000}"/>
    <cellStyle name="Calculation 16 10 7 4" xfId="20012" xr:uid="{00000000-0005-0000-0000-00000D4E0000}"/>
    <cellStyle name="Calculation 16 10 7 5" xfId="20013" xr:uid="{00000000-0005-0000-0000-00000E4E0000}"/>
    <cellStyle name="Calculation 16 10 7 6" xfId="20014" xr:uid="{00000000-0005-0000-0000-00000F4E0000}"/>
    <cellStyle name="Calculation 16 10 8" xfId="20015" xr:uid="{00000000-0005-0000-0000-0000104E0000}"/>
    <cellStyle name="Calculation 16 10 9" xfId="20016" xr:uid="{00000000-0005-0000-0000-0000114E0000}"/>
    <cellStyle name="Calculation 16 11" xfId="20017" xr:uid="{00000000-0005-0000-0000-0000124E0000}"/>
    <cellStyle name="Calculation 16 11 10" xfId="20018" xr:uid="{00000000-0005-0000-0000-0000134E0000}"/>
    <cellStyle name="Calculation 16 11 2" xfId="20019" xr:uid="{00000000-0005-0000-0000-0000144E0000}"/>
    <cellStyle name="Calculation 16 11 2 2" xfId="20020" xr:uid="{00000000-0005-0000-0000-0000154E0000}"/>
    <cellStyle name="Calculation 16 11 2 3" xfId="20021" xr:uid="{00000000-0005-0000-0000-0000164E0000}"/>
    <cellStyle name="Calculation 16 11 2 4" xfId="20022" xr:uid="{00000000-0005-0000-0000-0000174E0000}"/>
    <cellStyle name="Calculation 16 11 2 5" xfId="20023" xr:uid="{00000000-0005-0000-0000-0000184E0000}"/>
    <cellStyle name="Calculation 16 11 2 6" xfId="20024" xr:uid="{00000000-0005-0000-0000-0000194E0000}"/>
    <cellStyle name="Calculation 16 11 3" xfId="20025" xr:uid="{00000000-0005-0000-0000-00001A4E0000}"/>
    <cellStyle name="Calculation 16 11 3 2" xfId="20026" xr:uid="{00000000-0005-0000-0000-00001B4E0000}"/>
    <cellStyle name="Calculation 16 11 3 3" xfId="20027" xr:uid="{00000000-0005-0000-0000-00001C4E0000}"/>
    <cellStyle name="Calculation 16 11 3 4" xfId="20028" xr:uid="{00000000-0005-0000-0000-00001D4E0000}"/>
    <cellStyle name="Calculation 16 11 3 5" xfId="20029" xr:uid="{00000000-0005-0000-0000-00001E4E0000}"/>
    <cellStyle name="Calculation 16 11 3 6" xfId="20030" xr:uid="{00000000-0005-0000-0000-00001F4E0000}"/>
    <cellStyle name="Calculation 16 11 4" xfId="20031" xr:uid="{00000000-0005-0000-0000-0000204E0000}"/>
    <cellStyle name="Calculation 16 11 4 2" xfId="20032" xr:uid="{00000000-0005-0000-0000-0000214E0000}"/>
    <cellStyle name="Calculation 16 11 4 3" xfId="20033" xr:uid="{00000000-0005-0000-0000-0000224E0000}"/>
    <cellStyle name="Calculation 16 11 4 4" xfId="20034" xr:uid="{00000000-0005-0000-0000-0000234E0000}"/>
    <cellStyle name="Calculation 16 11 4 5" xfId="20035" xr:uid="{00000000-0005-0000-0000-0000244E0000}"/>
    <cellStyle name="Calculation 16 11 4 6" xfId="20036" xr:uid="{00000000-0005-0000-0000-0000254E0000}"/>
    <cellStyle name="Calculation 16 11 5" xfId="20037" xr:uid="{00000000-0005-0000-0000-0000264E0000}"/>
    <cellStyle name="Calculation 16 11 5 2" xfId="20038" xr:uid="{00000000-0005-0000-0000-0000274E0000}"/>
    <cellStyle name="Calculation 16 11 5 3" xfId="20039" xr:uid="{00000000-0005-0000-0000-0000284E0000}"/>
    <cellStyle name="Calculation 16 11 5 4" xfId="20040" xr:uid="{00000000-0005-0000-0000-0000294E0000}"/>
    <cellStyle name="Calculation 16 11 5 5" xfId="20041" xr:uid="{00000000-0005-0000-0000-00002A4E0000}"/>
    <cellStyle name="Calculation 16 11 5 6" xfId="20042" xr:uid="{00000000-0005-0000-0000-00002B4E0000}"/>
    <cellStyle name="Calculation 16 11 6" xfId="20043" xr:uid="{00000000-0005-0000-0000-00002C4E0000}"/>
    <cellStyle name="Calculation 16 11 6 2" xfId="20044" xr:uid="{00000000-0005-0000-0000-00002D4E0000}"/>
    <cellStyle name="Calculation 16 11 6 3" xfId="20045" xr:uid="{00000000-0005-0000-0000-00002E4E0000}"/>
    <cellStyle name="Calculation 16 11 6 4" xfId="20046" xr:uid="{00000000-0005-0000-0000-00002F4E0000}"/>
    <cellStyle name="Calculation 16 11 6 5" xfId="20047" xr:uid="{00000000-0005-0000-0000-0000304E0000}"/>
    <cellStyle name="Calculation 16 11 6 6" xfId="20048" xr:uid="{00000000-0005-0000-0000-0000314E0000}"/>
    <cellStyle name="Calculation 16 11 7" xfId="20049" xr:uid="{00000000-0005-0000-0000-0000324E0000}"/>
    <cellStyle name="Calculation 16 11 7 2" xfId="20050" xr:uid="{00000000-0005-0000-0000-0000334E0000}"/>
    <cellStyle name="Calculation 16 11 7 3" xfId="20051" xr:uid="{00000000-0005-0000-0000-0000344E0000}"/>
    <cellStyle name="Calculation 16 11 7 4" xfId="20052" xr:uid="{00000000-0005-0000-0000-0000354E0000}"/>
    <cellStyle name="Calculation 16 11 7 5" xfId="20053" xr:uid="{00000000-0005-0000-0000-0000364E0000}"/>
    <cellStyle name="Calculation 16 11 7 6" xfId="20054" xr:uid="{00000000-0005-0000-0000-0000374E0000}"/>
    <cellStyle name="Calculation 16 11 8" xfId="20055" xr:uid="{00000000-0005-0000-0000-0000384E0000}"/>
    <cellStyle name="Calculation 16 11 9" xfId="20056" xr:uid="{00000000-0005-0000-0000-0000394E0000}"/>
    <cellStyle name="Calculation 16 12" xfId="20057" xr:uid="{00000000-0005-0000-0000-00003A4E0000}"/>
    <cellStyle name="Calculation 16 12 10" xfId="20058" xr:uid="{00000000-0005-0000-0000-00003B4E0000}"/>
    <cellStyle name="Calculation 16 12 2" xfId="20059" xr:uid="{00000000-0005-0000-0000-00003C4E0000}"/>
    <cellStyle name="Calculation 16 12 2 2" xfId="20060" xr:uid="{00000000-0005-0000-0000-00003D4E0000}"/>
    <cellStyle name="Calculation 16 12 2 3" xfId="20061" xr:uid="{00000000-0005-0000-0000-00003E4E0000}"/>
    <cellStyle name="Calculation 16 12 2 4" xfId="20062" xr:uid="{00000000-0005-0000-0000-00003F4E0000}"/>
    <cellStyle name="Calculation 16 12 2 5" xfId="20063" xr:uid="{00000000-0005-0000-0000-0000404E0000}"/>
    <cellStyle name="Calculation 16 12 2 6" xfId="20064" xr:uid="{00000000-0005-0000-0000-0000414E0000}"/>
    <cellStyle name="Calculation 16 12 3" xfId="20065" xr:uid="{00000000-0005-0000-0000-0000424E0000}"/>
    <cellStyle name="Calculation 16 12 3 2" xfId="20066" xr:uid="{00000000-0005-0000-0000-0000434E0000}"/>
    <cellStyle name="Calculation 16 12 3 3" xfId="20067" xr:uid="{00000000-0005-0000-0000-0000444E0000}"/>
    <cellStyle name="Calculation 16 12 3 4" xfId="20068" xr:uid="{00000000-0005-0000-0000-0000454E0000}"/>
    <cellStyle name="Calculation 16 12 3 5" xfId="20069" xr:uid="{00000000-0005-0000-0000-0000464E0000}"/>
    <cellStyle name="Calculation 16 12 3 6" xfId="20070" xr:uid="{00000000-0005-0000-0000-0000474E0000}"/>
    <cellStyle name="Calculation 16 12 4" xfId="20071" xr:uid="{00000000-0005-0000-0000-0000484E0000}"/>
    <cellStyle name="Calculation 16 12 4 2" xfId="20072" xr:uid="{00000000-0005-0000-0000-0000494E0000}"/>
    <cellStyle name="Calculation 16 12 4 3" xfId="20073" xr:uid="{00000000-0005-0000-0000-00004A4E0000}"/>
    <cellStyle name="Calculation 16 12 4 4" xfId="20074" xr:uid="{00000000-0005-0000-0000-00004B4E0000}"/>
    <cellStyle name="Calculation 16 12 4 5" xfId="20075" xr:uid="{00000000-0005-0000-0000-00004C4E0000}"/>
    <cellStyle name="Calculation 16 12 4 6" xfId="20076" xr:uid="{00000000-0005-0000-0000-00004D4E0000}"/>
    <cellStyle name="Calculation 16 12 5" xfId="20077" xr:uid="{00000000-0005-0000-0000-00004E4E0000}"/>
    <cellStyle name="Calculation 16 12 5 2" xfId="20078" xr:uid="{00000000-0005-0000-0000-00004F4E0000}"/>
    <cellStyle name="Calculation 16 12 5 3" xfId="20079" xr:uid="{00000000-0005-0000-0000-0000504E0000}"/>
    <cellStyle name="Calculation 16 12 5 4" xfId="20080" xr:uid="{00000000-0005-0000-0000-0000514E0000}"/>
    <cellStyle name="Calculation 16 12 5 5" xfId="20081" xr:uid="{00000000-0005-0000-0000-0000524E0000}"/>
    <cellStyle name="Calculation 16 12 5 6" xfId="20082" xr:uid="{00000000-0005-0000-0000-0000534E0000}"/>
    <cellStyle name="Calculation 16 12 6" xfId="20083" xr:uid="{00000000-0005-0000-0000-0000544E0000}"/>
    <cellStyle name="Calculation 16 12 6 2" xfId="20084" xr:uid="{00000000-0005-0000-0000-0000554E0000}"/>
    <cellStyle name="Calculation 16 12 6 3" xfId="20085" xr:uid="{00000000-0005-0000-0000-0000564E0000}"/>
    <cellStyle name="Calculation 16 12 6 4" xfId="20086" xr:uid="{00000000-0005-0000-0000-0000574E0000}"/>
    <cellStyle name="Calculation 16 12 6 5" xfId="20087" xr:uid="{00000000-0005-0000-0000-0000584E0000}"/>
    <cellStyle name="Calculation 16 12 6 6" xfId="20088" xr:uid="{00000000-0005-0000-0000-0000594E0000}"/>
    <cellStyle name="Calculation 16 12 7" xfId="20089" xr:uid="{00000000-0005-0000-0000-00005A4E0000}"/>
    <cellStyle name="Calculation 16 12 7 2" xfId="20090" xr:uid="{00000000-0005-0000-0000-00005B4E0000}"/>
    <cellStyle name="Calculation 16 12 7 3" xfId="20091" xr:uid="{00000000-0005-0000-0000-00005C4E0000}"/>
    <cellStyle name="Calculation 16 12 7 4" xfId="20092" xr:uid="{00000000-0005-0000-0000-00005D4E0000}"/>
    <cellStyle name="Calculation 16 12 7 5" xfId="20093" xr:uid="{00000000-0005-0000-0000-00005E4E0000}"/>
    <cellStyle name="Calculation 16 12 7 6" xfId="20094" xr:uid="{00000000-0005-0000-0000-00005F4E0000}"/>
    <cellStyle name="Calculation 16 12 8" xfId="20095" xr:uid="{00000000-0005-0000-0000-0000604E0000}"/>
    <cellStyle name="Calculation 16 12 9" xfId="20096" xr:uid="{00000000-0005-0000-0000-0000614E0000}"/>
    <cellStyle name="Calculation 16 13" xfId="20097" xr:uid="{00000000-0005-0000-0000-0000624E0000}"/>
    <cellStyle name="Calculation 16 13 10" xfId="20098" xr:uid="{00000000-0005-0000-0000-0000634E0000}"/>
    <cellStyle name="Calculation 16 13 2" xfId="20099" xr:uid="{00000000-0005-0000-0000-0000644E0000}"/>
    <cellStyle name="Calculation 16 13 2 2" xfId="20100" xr:uid="{00000000-0005-0000-0000-0000654E0000}"/>
    <cellStyle name="Calculation 16 13 2 3" xfId="20101" xr:uid="{00000000-0005-0000-0000-0000664E0000}"/>
    <cellStyle name="Calculation 16 13 2 4" xfId="20102" xr:uid="{00000000-0005-0000-0000-0000674E0000}"/>
    <cellStyle name="Calculation 16 13 2 5" xfId="20103" xr:uid="{00000000-0005-0000-0000-0000684E0000}"/>
    <cellStyle name="Calculation 16 13 2 6" xfId="20104" xr:uid="{00000000-0005-0000-0000-0000694E0000}"/>
    <cellStyle name="Calculation 16 13 3" xfId="20105" xr:uid="{00000000-0005-0000-0000-00006A4E0000}"/>
    <cellStyle name="Calculation 16 13 3 2" xfId="20106" xr:uid="{00000000-0005-0000-0000-00006B4E0000}"/>
    <cellStyle name="Calculation 16 13 3 3" xfId="20107" xr:uid="{00000000-0005-0000-0000-00006C4E0000}"/>
    <cellStyle name="Calculation 16 13 3 4" xfId="20108" xr:uid="{00000000-0005-0000-0000-00006D4E0000}"/>
    <cellStyle name="Calculation 16 13 3 5" xfId="20109" xr:uid="{00000000-0005-0000-0000-00006E4E0000}"/>
    <cellStyle name="Calculation 16 13 3 6" xfId="20110" xr:uid="{00000000-0005-0000-0000-00006F4E0000}"/>
    <cellStyle name="Calculation 16 13 4" xfId="20111" xr:uid="{00000000-0005-0000-0000-0000704E0000}"/>
    <cellStyle name="Calculation 16 13 4 2" xfId="20112" xr:uid="{00000000-0005-0000-0000-0000714E0000}"/>
    <cellStyle name="Calculation 16 13 4 3" xfId="20113" xr:uid="{00000000-0005-0000-0000-0000724E0000}"/>
    <cellStyle name="Calculation 16 13 4 4" xfId="20114" xr:uid="{00000000-0005-0000-0000-0000734E0000}"/>
    <cellStyle name="Calculation 16 13 4 5" xfId="20115" xr:uid="{00000000-0005-0000-0000-0000744E0000}"/>
    <cellStyle name="Calculation 16 13 4 6" xfId="20116" xr:uid="{00000000-0005-0000-0000-0000754E0000}"/>
    <cellStyle name="Calculation 16 13 5" xfId="20117" xr:uid="{00000000-0005-0000-0000-0000764E0000}"/>
    <cellStyle name="Calculation 16 13 5 2" xfId="20118" xr:uid="{00000000-0005-0000-0000-0000774E0000}"/>
    <cellStyle name="Calculation 16 13 5 3" xfId="20119" xr:uid="{00000000-0005-0000-0000-0000784E0000}"/>
    <cellStyle name="Calculation 16 13 5 4" xfId="20120" xr:uid="{00000000-0005-0000-0000-0000794E0000}"/>
    <cellStyle name="Calculation 16 13 5 5" xfId="20121" xr:uid="{00000000-0005-0000-0000-00007A4E0000}"/>
    <cellStyle name="Calculation 16 13 5 6" xfId="20122" xr:uid="{00000000-0005-0000-0000-00007B4E0000}"/>
    <cellStyle name="Calculation 16 13 6" xfId="20123" xr:uid="{00000000-0005-0000-0000-00007C4E0000}"/>
    <cellStyle name="Calculation 16 13 6 2" xfId="20124" xr:uid="{00000000-0005-0000-0000-00007D4E0000}"/>
    <cellStyle name="Calculation 16 13 6 3" xfId="20125" xr:uid="{00000000-0005-0000-0000-00007E4E0000}"/>
    <cellStyle name="Calculation 16 13 6 4" xfId="20126" xr:uid="{00000000-0005-0000-0000-00007F4E0000}"/>
    <cellStyle name="Calculation 16 13 6 5" xfId="20127" xr:uid="{00000000-0005-0000-0000-0000804E0000}"/>
    <cellStyle name="Calculation 16 13 6 6" xfId="20128" xr:uid="{00000000-0005-0000-0000-0000814E0000}"/>
    <cellStyle name="Calculation 16 13 7" xfId="20129" xr:uid="{00000000-0005-0000-0000-0000824E0000}"/>
    <cellStyle name="Calculation 16 13 7 2" xfId="20130" xr:uid="{00000000-0005-0000-0000-0000834E0000}"/>
    <cellStyle name="Calculation 16 13 7 3" xfId="20131" xr:uid="{00000000-0005-0000-0000-0000844E0000}"/>
    <cellStyle name="Calculation 16 13 7 4" xfId="20132" xr:uid="{00000000-0005-0000-0000-0000854E0000}"/>
    <cellStyle name="Calculation 16 13 7 5" xfId="20133" xr:uid="{00000000-0005-0000-0000-0000864E0000}"/>
    <cellStyle name="Calculation 16 13 7 6" xfId="20134" xr:uid="{00000000-0005-0000-0000-0000874E0000}"/>
    <cellStyle name="Calculation 16 13 8" xfId="20135" xr:uid="{00000000-0005-0000-0000-0000884E0000}"/>
    <cellStyle name="Calculation 16 13 9" xfId="20136" xr:uid="{00000000-0005-0000-0000-0000894E0000}"/>
    <cellStyle name="Calculation 16 14" xfId="20137" xr:uid="{00000000-0005-0000-0000-00008A4E0000}"/>
    <cellStyle name="Calculation 16 14 10" xfId="20138" xr:uid="{00000000-0005-0000-0000-00008B4E0000}"/>
    <cellStyle name="Calculation 16 14 2" xfId="20139" xr:uid="{00000000-0005-0000-0000-00008C4E0000}"/>
    <cellStyle name="Calculation 16 14 2 2" xfId="20140" xr:uid="{00000000-0005-0000-0000-00008D4E0000}"/>
    <cellStyle name="Calculation 16 14 2 3" xfId="20141" xr:uid="{00000000-0005-0000-0000-00008E4E0000}"/>
    <cellStyle name="Calculation 16 14 2 4" xfId="20142" xr:uid="{00000000-0005-0000-0000-00008F4E0000}"/>
    <cellStyle name="Calculation 16 14 2 5" xfId="20143" xr:uid="{00000000-0005-0000-0000-0000904E0000}"/>
    <cellStyle name="Calculation 16 14 2 6" xfId="20144" xr:uid="{00000000-0005-0000-0000-0000914E0000}"/>
    <cellStyle name="Calculation 16 14 3" xfId="20145" xr:uid="{00000000-0005-0000-0000-0000924E0000}"/>
    <cellStyle name="Calculation 16 14 3 2" xfId="20146" xr:uid="{00000000-0005-0000-0000-0000934E0000}"/>
    <cellStyle name="Calculation 16 14 3 3" xfId="20147" xr:uid="{00000000-0005-0000-0000-0000944E0000}"/>
    <cellStyle name="Calculation 16 14 3 4" xfId="20148" xr:uid="{00000000-0005-0000-0000-0000954E0000}"/>
    <cellStyle name="Calculation 16 14 3 5" xfId="20149" xr:uid="{00000000-0005-0000-0000-0000964E0000}"/>
    <cellStyle name="Calculation 16 14 3 6" xfId="20150" xr:uid="{00000000-0005-0000-0000-0000974E0000}"/>
    <cellStyle name="Calculation 16 14 4" xfId="20151" xr:uid="{00000000-0005-0000-0000-0000984E0000}"/>
    <cellStyle name="Calculation 16 14 4 2" xfId="20152" xr:uid="{00000000-0005-0000-0000-0000994E0000}"/>
    <cellStyle name="Calculation 16 14 4 3" xfId="20153" xr:uid="{00000000-0005-0000-0000-00009A4E0000}"/>
    <cellStyle name="Calculation 16 14 4 4" xfId="20154" xr:uid="{00000000-0005-0000-0000-00009B4E0000}"/>
    <cellStyle name="Calculation 16 14 4 5" xfId="20155" xr:uid="{00000000-0005-0000-0000-00009C4E0000}"/>
    <cellStyle name="Calculation 16 14 4 6" xfId="20156" xr:uid="{00000000-0005-0000-0000-00009D4E0000}"/>
    <cellStyle name="Calculation 16 14 5" xfId="20157" xr:uid="{00000000-0005-0000-0000-00009E4E0000}"/>
    <cellStyle name="Calculation 16 14 5 2" xfId="20158" xr:uid="{00000000-0005-0000-0000-00009F4E0000}"/>
    <cellStyle name="Calculation 16 14 5 3" xfId="20159" xr:uid="{00000000-0005-0000-0000-0000A04E0000}"/>
    <cellStyle name="Calculation 16 14 5 4" xfId="20160" xr:uid="{00000000-0005-0000-0000-0000A14E0000}"/>
    <cellStyle name="Calculation 16 14 5 5" xfId="20161" xr:uid="{00000000-0005-0000-0000-0000A24E0000}"/>
    <cellStyle name="Calculation 16 14 5 6" xfId="20162" xr:uid="{00000000-0005-0000-0000-0000A34E0000}"/>
    <cellStyle name="Calculation 16 14 6" xfId="20163" xr:uid="{00000000-0005-0000-0000-0000A44E0000}"/>
    <cellStyle name="Calculation 16 14 6 2" xfId="20164" xr:uid="{00000000-0005-0000-0000-0000A54E0000}"/>
    <cellStyle name="Calculation 16 14 6 3" xfId="20165" xr:uid="{00000000-0005-0000-0000-0000A64E0000}"/>
    <cellStyle name="Calculation 16 14 6 4" xfId="20166" xr:uid="{00000000-0005-0000-0000-0000A74E0000}"/>
    <cellStyle name="Calculation 16 14 6 5" xfId="20167" xr:uid="{00000000-0005-0000-0000-0000A84E0000}"/>
    <cellStyle name="Calculation 16 14 6 6" xfId="20168" xr:uid="{00000000-0005-0000-0000-0000A94E0000}"/>
    <cellStyle name="Calculation 16 14 7" xfId="20169" xr:uid="{00000000-0005-0000-0000-0000AA4E0000}"/>
    <cellStyle name="Calculation 16 14 7 2" xfId="20170" xr:uid="{00000000-0005-0000-0000-0000AB4E0000}"/>
    <cellStyle name="Calculation 16 14 7 3" xfId="20171" xr:uid="{00000000-0005-0000-0000-0000AC4E0000}"/>
    <cellStyle name="Calculation 16 14 7 4" xfId="20172" xr:uid="{00000000-0005-0000-0000-0000AD4E0000}"/>
    <cellStyle name="Calculation 16 14 7 5" xfId="20173" xr:uid="{00000000-0005-0000-0000-0000AE4E0000}"/>
    <cellStyle name="Calculation 16 14 7 6" xfId="20174" xr:uid="{00000000-0005-0000-0000-0000AF4E0000}"/>
    <cellStyle name="Calculation 16 14 8" xfId="20175" xr:uid="{00000000-0005-0000-0000-0000B04E0000}"/>
    <cellStyle name="Calculation 16 14 9" xfId="20176" xr:uid="{00000000-0005-0000-0000-0000B14E0000}"/>
    <cellStyle name="Calculation 16 15" xfId="20177" xr:uid="{00000000-0005-0000-0000-0000B24E0000}"/>
    <cellStyle name="Calculation 16 15 10" xfId="20178" xr:uid="{00000000-0005-0000-0000-0000B34E0000}"/>
    <cellStyle name="Calculation 16 15 2" xfId="20179" xr:uid="{00000000-0005-0000-0000-0000B44E0000}"/>
    <cellStyle name="Calculation 16 15 2 2" xfId="20180" xr:uid="{00000000-0005-0000-0000-0000B54E0000}"/>
    <cellStyle name="Calculation 16 15 2 3" xfId="20181" xr:uid="{00000000-0005-0000-0000-0000B64E0000}"/>
    <cellStyle name="Calculation 16 15 2 4" xfId="20182" xr:uid="{00000000-0005-0000-0000-0000B74E0000}"/>
    <cellStyle name="Calculation 16 15 2 5" xfId="20183" xr:uid="{00000000-0005-0000-0000-0000B84E0000}"/>
    <cellStyle name="Calculation 16 15 2 6" xfId="20184" xr:uid="{00000000-0005-0000-0000-0000B94E0000}"/>
    <cellStyle name="Calculation 16 15 3" xfId="20185" xr:uid="{00000000-0005-0000-0000-0000BA4E0000}"/>
    <cellStyle name="Calculation 16 15 3 2" xfId="20186" xr:uid="{00000000-0005-0000-0000-0000BB4E0000}"/>
    <cellStyle name="Calculation 16 15 3 3" xfId="20187" xr:uid="{00000000-0005-0000-0000-0000BC4E0000}"/>
    <cellStyle name="Calculation 16 15 3 4" xfId="20188" xr:uid="{00000000-0005-0000-0000-0000BD4E0000}"/>
    <cellStyle name="Calculation 16 15 3 5" xfId="20189" xr:uid="{00000000-0005-0000-0000-0000BE4E0000}"/>
    <cellStyle name="Calculation 16 15 3 6" xfId="20190" xr:uid="{00000000-0005-0000-0000-0000BF4E0000}"/>
    <cellStyle name="Calculation 16 15 4" xfId="20191" xr:uid="{00000000-0005-0000-0000-0000C04E0000}"/>
    <cellStyle name="Calculation 16 15 4 2" xfId="20192" xr:uid="{00000000-0005-0000-0000-0000C14E0000}"/>
    <cellStyle name="Calculation 16 15 4 3" xfId="20193" xr:uid="{00000000-0005-0000-0000-0000C24E0000}"/>
    <cellStyle name="Calculation 16 15 4 4" xfId="20194" xr:uid="{00000000-0005-0000-0000-0000C34E0000}"/>
    <cellStyle name="Calculation 16 15 4 5" xfId="20195" xr:uid="{00000000-0005-0000-0000-0000C44E0000}"/>
    <cellStyle name="Calculation 16 15 4 6" xfId="20196" xr:uid="{00000000-0005-0000-0000-0000C54E0000}"/>
    <cellStyle name="Calculation 16 15 5" xfId="20197" xr:uid="{00000000-0005-0000-0000-0000C64E0000}"/>
    <cellStyle name="Calculation 16 15 5 2" xfId="20198" xr:uid="{00000000-0005-0000-0000-0000C74E0000}"/>
    <cellStyle name="Calculation 16 15 5 3" xfId="20199" xr:uid="{00000000-0005-0000-0000-0000C84E0000}"/>
    <cellStyle name="Calculation 16 15 5 4" xfId="20200" xr:uid="{00000000-0005-0000-0000-0000C94E0000}"/>
    <cellStyle name="Calculation 16 15 5 5" xfId="20201" xr:uid="{00000000-0005-0000-0000-0000CA4E0000}"/>
    <cellStyle name="Calculation 16 15 5 6" xfId="20202" xr:uid="{00000000-0005-0000-0000-0000CB4E0000}"/>
    <cellStyle name="Calculation 16 15 6" xfId="20203" xr:uid="{00000000-0005-0000-0000-0000CC4E0000}"/>
    <cellStyle name="Calculation 16 15 6 2" xfId="20204" xr:uid="{00000000-0005-0000-0000-0000CD4E0000}"/>
    <cellStyle name="Calculation 16 15 6 3" xfId="20205" xr:uid="{00000000-0005-0000-0000-0000CE4E0000}"/>
    <cellStyle name="Calculation 16 15 6 4" xfId="20206" xr:uid="{00000000-0005-0000-0000-0000CF4E0000}"/>
    <cellStyle name="Calculation 16 15 6 5" xfId="20207" xr:uid="{00000000-0005-0000-0000-0000D04E0000}"/>
    <cellStyle name="Calculation 16 15 6 6" xfId="20208" xr:uid="{00000000-0005-0000-0000-0000D14E0000}"/>
    <cellStyle name="Calculation 16 15 7" xfId="20209" xr:uid="{00000000-0005-0000-0000-0000D24E0000}"/>
    <cellStyle name="Calculation 16 15 7 2" xfId="20210" xr:uid="{00000000-0005-0000-0000-0000D34E0000}"/>
    <cellStyle name="Calculation 16 15 7 3" xfId="20211" xr:uid="{00000000-0005-0000-0000-0000D44E0000}"/>
    <cellStyle name="Calculation 16 15 7 4" xfId="20212" xr:uid="{00000000-0005-0000-0000-0000D54E0000}"/>
    <cellStyle name="Calculation 16 15 7 5" xfId="20213" xr:uid="{00000000-0005-0000-0000-0000D64E0000}"/>
    <cellStyle name="Calculation 16 15 7 6" xfId="20214" xr:uid="{00000000-0005-0000-0000-0000D74E0000}"/>
    <cellStyle name="Calculation 16 15 8" xfId="20215" xr:uid="{00000000-0005-0000-0000-0000D84E0000}"/>
    <cellStyle name="Calculation 16 15 9" xfId="20216" xr:uid="{00000000-0005-0000-0000-0000D94E0000}"/>
    <cellStyle name="Calculation 16 16" xfId="20217" xr:uid="{00000000-0005-0000-0000-0000DA4E0000}"/>
    <cellStyle name="Calculation 16 16 10" xfId="20218" xr:uid="{00000000-0005-0000-0000-0000DB4E0000}"/>
    <cellStyle name="Calculation 16 16 2" xfId="20219" xr:uid="{00000000-0005-0000-0000-0000DC4E0000}"/>
    <cellStyle name="Calculation 16 16 2 2" xfId="20220" xr:uid="{00000000-0005-0000-0000-0000DD4E0000}"/>
    <cellStyle name="Calculation 16 16 2 3" xfId="20221" xr:uid="{00000000-0005-0000-0000-0000DE4E0000}"/>
    <cellStyle name="Calculation 16 16 2 4" xfId="20222" xr:uid="{00000000-0005-0000-0000-0000DF4E0000}"/>
    <cellStyle name="Calculation 16 16 2 5" xfId="20223" xr:uid="{00000000-0005-0000-0000-0000E04E0000}"/>
    <cellStyle name="Calculation 16 16 2 6" xfId="20224" xr:uid="{00000000-0005-0000-0000-0000E14E0000}"/>
    <cellStyle name="Calculation 16 16 3" xfId="20225" xr:uid="{00000000-0005-0000-0000-0000E24E0000}"/>
    <cellStyle name="Calculation 16 16 3 2" xfId="20226" xr:uid="{00000000-0005-0000-0000-0000E34E0000}"/>
    <cellStyle name="Calculation 16 16 3 3" xfId="20227" xr:uid="{00000000-0005-0000-0000-0000E44E0000}"/>
    <cellStyle name="Calculation 16 16 3 4" xfId="20228" xr:uid="{00000000-0005-0000-0000-0000E54E0000}"/>
    <cellStyle name="Calculation 16 16 3 5" xfId="20229" xr:uid="{00000000-0005-0000-0000-0000E64E0000}"/>
    <cellStyle name="Calculation 16 16 3 6" xfId="20230" xr:uid="{00000000-0005-0000-0000-0000E74E0000}"/>
    <cellStyle name="Calculation 16 16 4" xfId="20231" xr:uid="{00000000-0005-0000-0000-0000E84E0000}"/>
    <cellStyle name="Calculation 16 16 4 2" xfId="20232" xr:uid="{00000000-0005-0000-0000-0000E94E0000}"/>
    <cellStyle name="Calculation 16 16 4 3" xfId="20233" xr:uid="{00000000-0005-0000-0000-0000EA4E0000}"/>
    <cellStyle name="Calculation 16 16 4 4" xfId="20234" xr:uid="{00000000-0005-0000-0000-0000EB4E0000}"/>
    <cellStyle name="Calculation 16 16 4 5" xfId="20235" xr:uid="{00000000-0005-0000-0000-0000EC4E0000}"/>
    <cellStyle name="Calculation 16 16 4 6" xfId="20236" xr:uid="{00000000-0005-0000-0000-0000ED4E0000}"/>
    <cellStyle name="Calculation 16 16 5" xfId="20237" xr:uid="{00000000-0005-0000-0000-0000EE4E0000}"/>
    <cellStyle name="Calculation 16 16 5 2" xfId="20238" xr:uid="{00000000-0005-0000-0000-0000EF4E0000}"/>
    <cellStyle name="Calculation 16 16 5 3" xfId="20239" xr:uid="{00000000-0005-0000-0000-0000F04E0000}"/>
    <cellStyle name="Calculation 16 16 5 4" xfId="20240" xr:uid="{00000000-0005-0000-0000-0000F14E0000}"/>
    <cellStyle name="Calculation 16 16 5 5" xfId="20241" xr:uid="{00000000-0005-0000-0000-0000F24E0000}"/>
    <cellStyle name="Calculation 16 16 5 6" xfId="20242" xr:uid="{00000000-0005-0000-0000-0000F34E0000}"/>
    <cellStyle name="Calculation 16 16 6" xfId="20243" xr:uid="{00000000-0005-0000-0000-0000F44E0000}"/>
    <cellStyle name="Calculation 16 16 6 2" xfId="20244" xr:uid="{00000000-0005-0000-0000-0000F54E0000}"/>
    <cellStyle name="Calculation 16 16 6 3" xfId="20245" xr:uid="{00000000-0005-0000-0000-0000F64E0000}"/>
    <cellStyle name="Calculation 16 16 6 4" xfId="20246" xr:uid="{00000000-0005-0000-0000-0000F74E0000}"/>
    <cellStyle name="Calculation 16 16 6 5" xfId="20247" xr:uid="{00000000-0005-0000-0000-0000F84E0000}"/>
    <cellStyle name="Calculation 16 16 6 6" xfId="20248" xr:uid="{00000000-0005-0000-0000-0000F94E0000}"/>
    <cellStyle name="Calculation 16 16 7" xfId="20249" xr:uid="{00000000-0005-0000-0000-0000FA4E0000}"/>
    <cellStyle name="Calculation 16 16 7 2" xfId="20250" xr:uid="{00000000-0005-0000-0000-0000FB4E0000}"/>
    <cellStyle name="Calculation 16 16 7 3" xfId="20251" xr:uid="{00000000-0005-0000-0000-0000FC4E0000}"/>
    <cellStyle name="Calculation 16 16 7 4" xfId="20252" xr:uid="{00000000-0005-0000-0000-0000FD4E0000}"/>
    <cellStyle name="Calculation 16 16 7 5" xfId="20253" xr:uid="{00000000-0005-0000-0000-0000FE4E0000}"/>
    <cellStyle name="Calculation 16 16 7 6" xfId="20254" xr:uid="{00000000-0005-0000-0000-0000FF4E0000}"/>
    <cellStyle name="Calculation 16 16 8" xfId="20255" xr:uid="{00000000-0005-0000-0000-0000004F0000}"/>
    <cellStyle name="Calculation 16 16 9" xfId="20256" xr:uid="{00000000-0005-0000-0000-0000014F0000}"/>
    <cellStyle name="Calculation 16 17" xfId="20257" xr:uid="{00000000-0005-0000-0000-0000024F0000}"/>
    <cellStyle name="Calculation 16 17 10" xfId="20258" xr:uid="{00000000-0005-0000-0000-0000034F0000}"/>
    <cellStyle name="Calculation 16 17 2" xfId="20259" xr:uid="{00000000-0005-0000-0000-0000044F0000}"/>
    <cellStyle name="Calculation 16 17 2 2" xfId="20260" xr:uid="{00000000-0005-0000-0000-0000054F0000}"/>
    <cellStyle name="Calculation 16 17 2 3" xfId="20261" xr:uid="{00000000-0005-0000-0000-0000064F0000}"/>
    <cellStyle name="Calculation 16 17 2 4" xfId="20262" xr:uid="{00000000-0005-0000-0000-0000074F0000}"/>
    <cellStyle name="Calculation 16 17 2 5" xfId="20263" xr:uid="{00000000-0005-0000-0000-0000084F0000}"/>
    <cellStyle name="Calculation 16 17 2 6" xfId="20264" xr:uid="{00000000-0005-0000-0000-0000094F0000}"/>
    <cellStyle name="Calculation 16 17 3" xfId="20265" xr:uid="{00000000-0005-0000-0000-00000A4F0000}"/>
    <cellStyle name="Calculation 16 17 3 2" xfId="20266" xr:uid="{00000000-0005-0000-0000-00000B4F0000}"/>
    <cellStyle name="Calculation 16 17 3 3" xfId="20267" xr:uid="{00000000-0005-0000-0000-00000C4F0000}"/>
    <cellStyle name="Calculation 16 17 3 4" xfId="20268" xr:uid="{00000000-0005-0000-0000-00000D4F0000}"/>
    <cellStyle name="Calculation 16 17 3 5" xfId="20269" xr:uid="{00000000-0005-0000-0000-00000E4F0000}"/>
    <cellStyle name="Calculation 16 17 3 6" xfId="20270" xr:uid="{00000000-0005-0000-0000-00000F4F0000}"/>
    <cellStyle name="Calculation 16 17 4" xfId="20271" xr:uid="{00000000-0005-0000-0000-0000104F0000}"/>
    <cellStyle name="Calculation 16 17 4 2" xfId="20272" xr:uid="{00000000-0005-0000-0000-0000114F0000}"/>
    <cellStyle name="Calculation 16 17 4 3" xfId="20273" xr:uid="{00000000-0005-0000-0000-0000124F0000}"/>
    <cellStyle name="Calculation 16 17 4 4" xfId="20274" xr:uid="{00000000-0005-0000-0000-0000134F0000}"/>
    <cellStyle name="Calculation 16 17 4 5" xfId="20275" xr:uid="{00000000-0005-0000-0000-0000144F0000}"/>
    <cellStyle name="Calculation 16 17 4 6" xfId="20276" xr:uid="{00000000-0005-0000-0000-0000154F0000}"/>
    <cellStyle name="Calculation 16 17 5" xfId="20277" xr:uid="{00000000-0005-0000-0000-0000164F0000}"/>
    <cellStyle name="Calculation 16 17 5 2" xfId="20278" xr:uid="{00000000-0005-0000-0000-0000174F0000}"/>
    <cellStyle name="Calculation 16 17 5 3" xfId="20279" xr:uid="{00000000-0005-0000-0000-0000184F0000}"/>
    <cellStyle name="Calculation 16 17 5 4" xfId="20280" xr:uid="{00000000-0005-0000-0000-0000194F0000}"/>
    <cellStyle name="Calculation 16 17 5 5" xfId="20281" xr:uid="{00000000-0005-0000-0000-00001A4F0000}"/>
    <cellStyle name="Calculation 16 17 5 6" xfId="20282" xr:uid="{00000000-0005-0000-0000-00001B4F0000}"/>
    <cellStyle name="Calculation 16 17 6" xfId="20283" xr:uid="{00000000-0005-0000-0000-00001C4F0000}"/>
    <cellStyle name="Calculation 16 17 6 2" xfId="20284" xr:uid="{00000000-0005-0000-0000-00001D4F0000}"/>
    <cellStyle name="Calculation 16 17 6 3" xfId="20285" xr:uid="{00000000-0005-0000-0000-00001E4F0000}"/>
    <cellStyle name="Calculation 16 17 6 4" xfId="20286" xr:uid="{00000000-0005-0000-0000-00001F4F0000}"/>
    <cellStyle name="Calculation 16 17 6 5" xfId="20287" xr:uid="{00000000-0005-0000-0000-0000204F0000}"/>
    <cellStyle name="Calculation 16 17 6 6" xfId="20288" xr:uid="{00000000-0005-0000-0000-0000214F0000}"/>
    <cellStyle name="Calculation 16 17 7" xfId="20289" xr:uid="{00000000-0005-0000-0000-0000224F0000}"/>
    <cellStyle name="Calculation 16 17 7 2" xfId="20290" xr:uid="{00000000-0005-0000-0000-0000234F0000}"/>
    <cellStyle name="Calculation 16 17 7 3" xfId="20291" xr:uid="{00000000-0005-0000-0000-0000244F0000}"/>
    <cellStyle name="Calculation 16 17 7 4" xfId="20292" xr:uid="{00000000-0005-0000-0000-0000254F0000}"/>
    <cellStyle name="Calculation 16 17 7 5" xfId="20293" xr:uid="{00000000-0005-0000-0000-0000264F0000}"/>
    <cellStyle name="Calculation 16 17 7 6" xfId="20294" xr:uid="{00000000-0005-0000-0000-0000274F0000}"/>
    <cellStyle name="Calculation 16 17 8" xfId="20295" xr:uid="{00000000-0005-0000-0000-0000284F0000}"/>
    <cellStyle name="Calculation 16 17 9" xfId="20296" xr:uid="{00000000-0005-0000-0000-0000294F0000}"/>
    <cellStyle name="Calculation 16 18" xfId="20297" xr:uid="{00000000-0005-0000-0000-00002A4F0000}"/>
    <cellStyle name="Calculation 16 18 10" xfId="20298" xr:uid="{00000000-0005-0000-0000-00002B4F0000}"/>
    <cellStyle name="Calculation 16 18 2" xfId="20299" xr:uid="{00000000-0005-0000-0000-00002C4F0000}"/>
    <cellStyle name="Calculation 16 18 2 2" xfId="20300" xr:uid="{00000000-0005-0000-0000-00002D4F0000}"/>
    <cellStyle name="Calculation 16 18 2 3" xfId="20301" xr:uid="{00000000-0005-0000-0000-00002E4F0000}"/>
    <cellStyle name="Calculation 16 18 2 4" xfId="20302" xr:uid="{00000000-0005-0000-0000-00002F4F0000}"/>
    <cellStyle name="Calculation 16 18 2 5" xfId="20303" xr:uid="{00000000-0005-0000-0000-0000304F0000}"/>
    <cellStyle name="Calculation 16 18 2 6" xfId="20304" xr:uid="{00000000-0005-0000-0000-0000314F0000}"/>
    <cellStyle name="Calculation 16 18 3" xfId="20305" xr:uid="{00000000-0005-0000-0000-0000324F0000}"/>
    <cellStyle name="Calculation 16 18 3 2" xfId="20306" xr:uid="{00000000-0005-0000-0000-0000334F0000}"/>
    <cellStyle name="Calculation 16 18 3 3" xfId="20307" xr:uid="{00000000-0005-0000-0000-0000344F0000}"/>
    <cellStyle name="Calculation 16 18 3 4" xfId="20308" xr:uid="{00000000-0005-0000-0000-0000354F0000}"/>
    <cellStyle name="Calculation 16 18 3 5" xfId="20309" xr:uid="{00000000-0005-0000-0000-0000364F0000}"/>
    <cellStyle name="Calculation 16 18 3 6" xfId="20310" xr:uid="{00000000-0005-0000-0000-0000374F0000}"/>
    <cellStyle name="Calculation 16 18 4" xfId="20311" xr:uid="{00000000-0005-0000-0000-0000384F0000}"/>
    <cellStyle name="Calculation 16 18 4 2" xfId="20312" xr:uid="{00000000-0005-0000-0000-0000394F0000}"/>
    <cellStyle name="Calculation 16 18 4 3" xfId="20313" xr:uid="{00000000-0005-0000-0000-00003A4F0000}"/>
    <cellStyle name="Calculation 16 18 4 4" xfId="20314" xr:uid="{00000000-0005-0000-0000-00003B4F0000}"/>
    <cellStyle name="Calculation 16 18 4 5" xfId="20315" xr:uid="{00000000-0005-0000-0000-00003C4F0000}"/>
    <cellStyle name="Calculation 16 18 4 6" xfId="20316" xr:uid="{00000000-0005-0000-0000-00003D4F0000}"/>
    <cellStyle name="Calculation 16 18 5" xfId="20317" xr:uid="{00000000-0005-0000-0000-00003E4F0000}"/>
    <cellStyle name="Calculation 16 18 5 2" xfId="20318" xr:uid="{00000000-0005-0000-0000-00003F4F0000}"/>
    <cellStyle name="Calculation 16 18 5 3" xfId="20319" xr:uid="{00000000-0005-0000-0000-0000404F0000}"/>
    <cellStyle name="Calculation 16 18 5 4" xfId="20320" xr:uid="{00000000-0005-0000-0000-0000414F0000}"/>
    <cellStyle name="Calculation 16 18 5 5" xfId="20321" xr:uid="{00000000-0005-0000-0000-0000424F0000}"/>
    <cellStyle name="Calculation 16 18 5 6" xfId="20322" xr:uid="{00000000-0005-0000-0000-0000434F0000}"/>
    <cellStyle name="Calculation 16 18 6" xfId="20323" xr:uid="{00000000-0005-0000-0000-0000444F0000}"/>
    <cellStyle name="Calculation 16 18 6 2" xfId="20324" xr:uid="{00000000-0005-0000-0000-0000454F0000}"/>
    <cellStyle name="Calculation 16 18 6 3" xfId="20325" xr:uid="{00000000-0005-0000-0000-0000464F0000}"/>
    <cellStyle name="Calculation 16 18 6 4" xfId="20326" xr:uid="{00000000-0005-0000-0000-0000474F0000}"/>
    <cellStyle name="Calculation 16 18 6 5" xfId="20327" xr:uid="{00000000-0005-0000-0000-0000484F0000}"/>
    <cellStyle name="Calculation 16 18 6 6" xfId="20328" xr:uid="{00000000-0005-0000-0000-0000494F0000}"/>
    <cellStyle name="Calculation 16 18 7" xfId="20329" xr:uid="{00000000-0005-0000-0000-00004A4F0000}"/>
    <cellStyle name="Calculation 16 18 7 2" xfId="20330" xr:uid="{00000000-0005-0000-0000-00004B4F0000}"/>
    <cellStyle name="Calculation 16 18 7 3" xfId="20331" xr:uid="{00000000-0005-0000-0000-00004C4F0000}"/>
    <cellStyle name="Calculation 16 18 7 4" xfId="20332" xr:uid="{00000000-0005-0000-0000-00004D4F0000}"/>
    <cellStyle name="Calculation 16 18 7 5" xfId="20333" xr:uid="{00000000-0005-0000-0000-00004E4F0000}"/>
    <cellStyle name="Calculation 16 18 7 6" xfId="20334" xr:uid="{00000000-0005-0000-0000-00004F4F0000}"/>
    <cellStyle name="Calculation 16 18 8" xfId="20335" xr:uid="{00000000-0005-0000-0000-0000504F0000}"/>
    <cellStyle name="Calculation 16 18 9" xfId="20336" xr:uid="{00000000-0005-0000-0000-0000514F0000}"/>
    <cellStyle name="Calculation 16 19" xfId="20337" xr:uid="{00000000-0005-0000-0000-0000524F0000}"/>
    <cellStyle name="Calculation 16 19 10" xfId="20338" xr:uid="{00000000-0005-0000-0000-0000534F0000}"/>
    <cellStyle name="Calculation 16 19 2" xfId="20339" xr:uid="{00000000-0005-0000-0000-0000544F0000}"/>
    <cellStyle name="Calculation 16 19 2 2" xfId="20340" xr:uid="{00000000-0005-0000-0000-0000554F0000}"/>
    <cellStyle name="Calculation 16 19 2 3" xfId="20341" xr:uid="{00000000-0005-0000-0000-0000564F0000}"/>
    <cellStyle name="Calculation 16 19 2 4" xfId="20342" xr:uid="{00000000-0005-0000-0000-0000574F0000}"/>
    <cellStyle name="Calculation 16 19 2 5" xfId="20343" xr:uid="{00000000-0005-0000-0000-0000584F0000}"/>
    <cellStyle name="Calculation 16 19 2 6" xfId="20344" xr:uid="{00000000-0005-0000-0000-0000594F0000}"/>
    <cellStyle name="Calculation 16 19 3" xfId="20345" xr:uid="{00000000-0005-0000-0000-00005A4F0000}"/>
    <cellStyle name="Calculation 16 19 3 2" xfId="20346" xr:uid="{00000000-0005-0000-0000-00005B4F0000}"/>
    <cellStyle name="Calculation 16 19 3 3" xfId="20347" xr:uid="{00000000-0005-0000-0000-00005C4F0000}"/>
    <cellStyle name="Calculation 16 19 3 4" xfId="20348" xr:uid="{00000000-0005-0000-0000-00005D4F0000}"/>
    <cellStyle name="Calculation 16 19 3 5" xfId="20349" xr:uid="{00000000-0005-0000-0000-00005E4F0000}"/>
    <cellStyle name="Calculation 16 19 3 6" xfId="20350" xr:uid="{00000000-0005-0000-0000-00005F4F0000}"/>
    <cellStyle name="Calculation 16 19 4" xfId="20351" xr:uid="{00000000-0005-0000-0000-0000604F0000}"/>
    <cellStyle name="Calculation 16 19 4 2" xfId="20352" xr:uid="{00000000-0005-0000-0000-0000614F0000}"/>
    <cellStyle name="Calculation 16 19 4 3" xfId="20353" xr:uid="{00000000-0005-0000-0000-0000624F0000}"/>
    <cellStyle name="Calculation 16 19 4 4" xfId="20354" xr:uid="{00000000-0005-0000-0000-0000634F0000}"/>
    <cellStyle name="Calculation 16 19 4 5" xfId="20355" xr:uid="{00000000-0005-0000-0000-0000644F0000}"/>
    <cellStyle name="Calculation 16 19 4 6" xfId="20356" xr:uid="{00000000-0005-0000-0000-0000654F0000}"/>
    <cellStyle name="Calculation 16 19 5" xfId="20357" xr:uid="{00000000-0005-0000-0000-0000664F0000}"/>
    <cellStyle name="Calculation 16 19 5 2" xfId="20358" xr:uid="{00000000-0005-0000-0000-0000674F0000}"/>
    <cellStyle name="Calculation 16 19 5 3" xfId="20359" xr:uid="{00000000-0005-0000-0000-0000684F0000}"/>
    <cellStyle name="Calculation 16 19 5 4" xfId="20360" xr:uid="{00000000-0005-0000-0000-0000694F0000}"/>
    <cellStyle name="Calculation 16 19 5 5" xfId="20361" xr:uid="{00000000-0005-0000-0000-00006A4F0000}"/>
    <cellStyle name="Calculation 16 19 5 6" xfId="20362" xr:uid="{00000000-0005-0000-0000-00006B4F0000}"/>
    <cellStyle name="Calculation 16 19 6" xfId="20363" xr:uid="{00000000-0005-0000-0000-00006C4F0000}"/>
    <cellStyle name="Calculation 16 19 6 2" xfId="20364" xr:uid="{00000000-0005-0000-0000-00006D4F0000}"/>
    <cellStyle name="Calculation 16 19 6 3" xfId="20365" xr:uid="{00000000-0005-0000-0000-00006E4F0000}"/>
    <cellStyle name="Calculation 16 19 6 4" xfId="20366" xr:uid="{00000000-0005-0000-0000-00006F4F0000}"/>
    <cellStyle name="Calculation 16 19 6 5" xfId="20367" xr:uid="{00000000-0005-0000-0000-0000704F0000}"/>
    <cellStyle name="Calculation 16 19 6 6" xfId="20368" xr:uid="{00000000-0005-0000-0000-0000714F0000}"/>
    <cellStyle name="Calculation 16 19 7" xfId="20369" xr:uid="{00000000-0005-0000-0000-0000724F0000}"/>
    <cellStyle name="Calculation 16 19 7 2" xfId="20370" xr:uid="{00000000-0005-0000-0000-0000734F0000}"/>
    <cellStyle name="Calculation 16 19 7 3" xfId="20371" xr:uid="{00000000-0005-0000-0000-0000744F0000}"/>
    <cellStyle name="Calculation 16 19 7 4" xfId="20372" xr:uid="{00000000-0005-0000-0000-0000754F0000}"/>
    <cellStyle name="Calculation 16 19 7 5" xfId="20373" xr:uid="{00000000-0005-0000-0000-0000764F0000}"/>
    <cellStyle name="Calculation 16 19 7 6" xfId="20374" xr:uid="{00000000-0005-0000-0000-0000774F0000}"/>
    <cellStyle name="Calculation 16 19 8" xfId="20375" xr:uid="{00000000-0005-0000-0000-0000784F0000}"/>
    <cellStyle name="Calculation 16 19 9" xfId="20376" xr:uid="{00000000-0005-0000-0000-0000794F0000}"/>
    <cellStyle name="Calculation 16 2" xfId="20377" xr:uid="{00000000-0005-0000-0000-00007A4F0000}"/>
    <cellStyle name="Calculation 16 2 10" xfId="20378" xr:uid="{00000000-0005-0000-0000-00007B4F0000}"/>
    <cellStyle name="Calculation 16 2 10 10" xfId="20379" xr:uid="{00000000-0005-0000-0000-00007C4F0000}"/>
    <cellStyle name="Calculation 16 2 10 2" xfId="20380" xr:uid="{00000000-0005-0000-0000-00007D4F0000}"/>
    <cellStyle name="Calculation 16 2 10 2 2" xfId="20381" xr:uid="{00000000-0005-0000-0000-00007E4F0000}"/>
    <cellStyle name="Calculation 16 2 10 2 3" xfId="20382" xr:uid="{00000000-0005-0000-0000-00007F4F0000}"/>
    <cellStyle name="Calculation 16 2 10 2 4" xfId="20383" xr:uid="{00000000-0005-0000-0000-0000804F0000}"/>
    <cellStyle name="Calculation 16 2 10 2 5" xfId="20384" xr:uid="{00000000-0005-0000-0000-0000814F0000}"/>
    <cellStyle name="Calculation 16 2 10 2 6" xfId="20385" xr:uid="{00000000-0005-0000-0000-0000824F0000}"/>
    <cellStyle name="Calculation 16 2 10 3" xfId="20386" xr:uid="{00000000-0005-0000-0000-0000834F0000}"/>
    <cellStyle name="Calculation 16 2 10 3 2" xfId="20387" xr:uid="{00000000-0005-0000-0000-0000844F0000}"/>
    <cellStyle name="Calculation 16 2 10 3 3" xfId="20388" xr:uid="{00000000-0005-0000-0000-0000854F0000}"/>
    <cellStyle name="Calculation 16 2 10 3 4" xfId="20389" xr:uid="{00000000-0005-0000-0000-0000864F0000}"/>
    <cellStyle name="Calculation 16 2 10 3 5" xfId="20390" xr:uid="{00000000-0005-0000-0000-0000874F0000}"/>
    <cellStyle name="Calculation 16 2 10 3 6" xfId="20391" xr:uid="{00000000-0005-0000-0000-0000884F0000}"/>
    <cellStyle name="Calculation 16 2 10 4" xfId="20392" xr:uid="{00000000-0005-0000-0000-0000894F0000}"/>
    <cellStyle name="Calculation 16 2 10 4 2" xfId="20393" xr:uid="{00000000-0005-0000-0000-00008A4F0000}"/>
    <cellStyle name="Calculation 16 2 10 4 3" xfId="20394" xr:uid="{00000000-0005-0000-0000-00008B4F0000}"/>
    <cellStyle name="Calculation 16 2 10 4 4" xfId="20395" xr:uid="{00000000-0005-0000-0000-00008C4F0000}"/>
    <cellStyle name="Calculation 16 2 10 4 5" xfId="20396" xr:uid="{00000000-0005-0000-0000-00008D4F0000}"/>
    <cellStyle name="Calculation 16 2 10 4 6" xfId="20397" xr:uid="{00000000-0005-0000-0000-00008E4F0000}"/>
    <cellStyle name="Calculation 16 2 10 5" xfId="20398" xr:uid="{00000000-0005-0000-0000-00008F4F0000}"/>
    <cellStyle name="Calculation 16 2 10 5 2" xfId="20399" xr:uid="{00000000-0005-0000-0000-0000904F0000}"/>
    <cellStyle name="Calculation 16 2 10 5 3" xfId="20400" xr:uid="{00000000-0005-0000-0000-0000914F0000}"/>
    <cellStyle name="Calculation 16 2 10 5 4" xfId="20401" xr:uid="{00000000-0005-0000-0000-0000924F0000}"/>
    <cellStyle name="Calculation 16 2 10 5 5" xfId="20402" xr:uid="{00000000-0005-0000-0000-0000934F0000}"/>
    <cellStyle name="Calculation 16 2 10 5 6" xfId="20403" xr:uid="{00000000-0005-0000-0000-0000944F0000}"/>
    <cellStyle name="Calculation 16 2 10 6" xfId="20404" xr:uid="{00000000-0005-0000-0000-0000954F0000}"/>
    <cellStyle name="Calculation 16 2 10 6 2" xfId="20405" xr:uid="{00000000-0005-0000-0000-0000964F0000}"/>
    <cellStyle name="Calculation 16 2 10 6 3" xfId="20406" xr:uid="{00000000-0005-0000-0000-0000974F0000}"/>
    <cellStyle name="Calculation 16 2 10 6 4" xfId="20407" xr:uid="{00000000-0005-0000-0000-0000984F0000}"/>
    <cellStyle name="Calculation 16 2 10 6 5" xfId="20408" xr:uid="{00000000-0005-0000-0000-0000994F0000}"/>
    <cellStyle name="Calculation 16 2 10 6 6" xfId="20409" xr:uid="{00000000-0005-0000-0000-00009A4F0000}"/>
    <cellStyle name="Calculation 16 2 10 7" xfId="20410" xr:uid="{00000000-0005-0000-0000-00009B4F0000}"/>
    <cellStyle name="Calculation 16 2 10 7 2" xfId="20411" xr:uid="{00000000-0005-0000-0000-00009C4F0000}"/>
    <cellStyle name="Calculation 16 2 10 7 3" xfId="20412" xr:uid="{00000000-0005-0000-0000-00009D4F0000}"/>
    <cellStyle name="Calculation 16 2 10 7 4" xfId="20413" xr:uid="{00000000-0005-0000-0000-00009E4F0000}"/>
    <cellStyle name="Calculation 16 2 10 7 5" xfId="20414" xr:uid="{00000000-0005-0000-0000-00009F4F0000}"/>
    <cellStyle name="Calculation 16 2 10 7 6" xfId="20415" xr:uid="{00000000-0005-0000-0000-0000A04F0000}"/>
    <cellStyle name="Calculation 16 2 10 8" xfId="20416" xr:uid="{00000000-0005-0000-0000-0000A14F0000}"/>
    <cellStyle name="Calculation 16 2 10 9" xfId="20417" xr:uid="{00000000-0005-0000-0000-0000A24F0000}"/>
    <cellStyle name="Calculation 16 2 11" xfId="20418" xr:uid="{00000000-0005-0000-0000-0000A34F0000}"/>
    <cellStyle name="Calculation 16 2 11 10" xfId="20419" xr:uid="{00000000-0005-0000-0000-0000A44F0000}"/>
    <cellStyle name="Calculation 16 2 11 2" xfId="20420" xr:uid="{00000000-0005-0000-0000-0000A54F0000}"/>
    <cellStyle name="Calculation 16 2 11 2 2" xfId="20421" xr:uid="{00000000-0005-0000-0000-0000A64F0000}"/>
    <cellStyle name="Calculation 16 2 11 2 3" xfId="20422" xr:uid="{00000000-0005-0000-0000-0000A74F0000}"/>
    <cellStyle name="Calculation 16 2 11 2 4" xfId="20423" xr:uid="{00000000-0005-0000-0000-0000A84F0000}"/>
    <cellStyle name="Calculation 16 2 11 2 5" xfId="20424" xr:uid="{00000000-0005-0000-0000-0000A94F0000}"/>
    <cellStyle name="Calculation 16 2 11 2 6" xfId="20425" xr:uid="{00000000-0005-0000-0000-0000AA4F0000}"/>
    <cellStyle name="Calculation 16 2 11 3" xfId="20426" xr:uid="{00000000-0005-0000-0000-0000AB4F0000}"/>
    <cellStyle name="Calculation 16 2 11 3 2" xfId="20427" xr:uid="{00000000-0005-0000-0000-0000AC4F0000}"/>
    <cellStyle name="Calculation 16 2 11 3 3" xfId="20428" xr:uid="{00000000-0005-0000-0000-0000AD4F0000}"/>
    <cellStyle name="Calculation 16 2 11 3 4" xfId="20429" xr:uid="{00000000-0005-0000-0000-0000AE4F0000}"/>
    <cellStyle name="Calculation 16 2 11 3 5" xfId="20430" xr:uid="{00000000-0005-0000-0000-0000AF4F0000}"/>
    <cellStyle name="Calculation 16 2 11 3 6" xfId="20431" xr:uid="{00000000-0005-0000-0000-0000B04F0000}"/>
    <cellStyle name="Calculation 16 2 11 4" xfId="20432" xr:uid="{00000000-0005-0000-0000-0000B14F0000}"/>
    <cellStyle name="Calculation 16 2 11 4 2" xfId="20433" xr:uid="{00000000-0005-0000-0000-0000B24F0000}"/>
    <cellStyle name="Calculation 16 2 11 4 3" xfId="20434" xr:uid="{00000000-0005-0000-0000-0000B34F0000}"/>
    <cellStyle name="Calculation 16 2 11 4 4" xfId="20435" xr:uid="{00000000-0005-0000-0000-0000B44F0000}"/>
    <cellStyle name="Calculation 16 2 11 4 5" xfId="20436" xr:uid="{00000000-0005-0000-0000-0000B54F0000}"/>
    <cellStyle name="Calculation 16 2 11 4 6" xfId="20437" xr:uid="{00000000-0005-0000-0000-0000B64F0000}"/>
    <cellStyle name="Calculation 16 2 11 5" xfId="20438" xr:uid="{00000000-0005-0000-0000-0000B74F0000}"/>
    <cellStyle name="Calculation 16 2 11 5 2" xfId="20439" xr:uid="{00000000-0005-0000-0000-0000B84F0000}"/>
    <cellStyle name="Calculation 16 2 11 5 3" xfId="20440" xr:uid="{00000000-0005-0000-0000-0000B94F0000}"/>
    <cellStyle name="Calculation 16 2 11 5 4" xfId="20441" xr:uid="{00000000-0005-0000-0000-0000BA4F0000}"/>
    <cellStyle name="Calculation 16 2 11 5 5" xfId="20442" xr:uid="{00000000-0005-0000-0000-0000BB4F0000}"/>
    <cellStyle name="Calculation 16 2 11 5 6" xfId="20443" xr:uid="{00000000-0005-0000-0000-0000BC4F0000}"/>
    <cellStyle name="Calculation 16 2 11 6" xfId="20444" xr:uid="{00000000-0005-0000-0000-0000BD4F0000}"/>
    <cellStyle name="Calculation 16 2 11 6 2" xfId="20445" xr:uid="{00000000-0005-0000-0000-0000BE4F0000}"/>
    <cellStyle name="Calculation 16 2 11 6 3" xfId="20446" xr:uid="{00000000-0005-0000-0000-0000BF4F0000}"/>
    <cellStyle name="Calculation 16 2 11 6 4" xfId="20447" xr:uid="{00000000-0005-0000-0000-0000C04F0000}"/>
    <cellStyle name="Calculation 16 2 11 6 5" xfId="20448" xr:uid="{00000000-0005-0000-0000-0000C14F0000}"/>
    <cellStyle name="Calculation 16 2 11 6 6" xfId="20449" xr:uid="{00000000-0005-0000-0000-0000C24F0000}"/>
    <cellStyle name="Calculation 16 2 11 7" xfId="20450" xr:uid="{00000000-0005-0000-0000-0000C34F0000}"/>
    <cellStyle name="Calculation 16 2 11 7 2" xfId="20451" xr:uid="{00000000-0005-0000-0000-0000C44F0000}"/>
    <cellStyle name="Calculation 16 2 11 7 3" xfId="20452" xr:uid="{00000000-0005-0000-0000-0000C54F0000}"/>
    <cellStyle name="Calculation 16 2 11 7 4" xfId="20453" xr:uid="{00000000-0005-0000-0000-0000C64F0000}"/>
    <cellStyle name="Calculation 16 2 11 7 5" xfId="20454" xr:uid="{00000000-0005-0000-0000-0000C74F0000}"/>
    <cellStyle name="Calculation 16 2 11 7 6" xfId="20455" xr:uid="{00000000-0005-0000-0000-0000C84F0000}"/>
    <cellStyle name="Calculation 16 2 11 8" xfId="20456" xr:uid="{00000000-0005-0000-0000-0000C94F0000}"/>
    <cellStyle name="Calculation 16 2 11 9" xfId="20457" xr:uid="{00000000-0005-0000-0000-0000CA4F0000}"/>
    <cellStyle name="Calculation 16 2 12" xfId="20458" xr:uid="{00000000-0005-0000-0000-0000CB4F0000}"/>
    <cellStyle name="Calculation 16 2 12 10" xfId="20459" xr:uid="{00000000-0005-0000-0000-0000CC4F0000}"/>
    <cellStyle name="Calculation 16 2 12 2" xfId="20460" xr:uid="{00000000-0005-0000-0000-0000CD4F0000}"/>
    <cellStyle name="Calculation 16 2 12 2 2" xfId="20461" xr:uid="{00000000-0005-0000-0000-0000CE4F0000}"/>
    <cellStyle name="Calculation 16 2 12 2 3" xfId="20462" xr:uid="{00000000-0005-0000-0000-0000CF4F0000}"/>
    <cellStyle name="Calculation 16 2 12 2 4" xfId="20463" xr:uid="{00000000-0005-0000-0000-0000D04F0000}"/>
    <cellStyle name="Calculation 16 2 12 2 5" xfId="20464" xr:uid="{00000000-0005-0000-0000-0000D14F0000}"/>
    <cellStyle name="Calculation 16 2 12 2 6" xfId="20465" xr:uid="{00000000-0005-0000-0000-0000D24F0000}"/>
    <cellStyle name="Calculation 16 2 12 3" xfId="20466" xr:uid="{00000000-0005-0000-0000-0000D34F0000}"/>
    <cellStyle name="Calculation 16 2 12 3 2" xfId="20467" xr:uid="{00000000-0005-0000-0000-0000D44F0000}"/>
    <cellStyle name="Calculation 16 2 12 3 3" xfId="20468" xr:uid="{00000000-0005-0000-0000-0000D54F0000}"/>
    <cellStyle name="Calculation 16 2 12 3 4" xfId="20469" xr:uid="{00000000-0005-0000-0000-0000D64F0000}"/>
    <cellStyle name="Calculation 16 2 12 3 5" xfId="20470" xr:uid="{00000000-0005-0000-0000-0000D74F0000}"/>
    <cellStyle name="Calculation 16 2 12 3 6" xfId="20471" xr:uid="{00000000-0005-0000-0000-0000D84F0000}"/>
    <cellStyle name="Calculation 16 2 12 4" xfId="20472" xr:uid="{00000000-0005-0000-0000-0000D94F0000}"/>
    <cellStyle name="Calculation 16 2 12 4 2" xfId="20473" xr:uid="{00000000-0005-0000-0000-0000DA4F0000}"/>
    <cellStyle name="Calculation 16 2 12 4 3" xfId="20474" xr:uid="{00000000-0005-0000-0000-0000DB4F0000}"/>
    <cellStyle name="Calculation 16 2 12 4 4" xfId="20475" xr:uid="{00000000-0005-0000-0000-0000DC4F0000}"/>
    <cellStyle name="Calculation 16 2 12 4 5" xfId="20476" xr:uid="{00000000-0005-0000-0000-0000DD4F0000}"/>
    <cellStyle name="Calculation 16 2 12 4 6" xfId="20477" xr:uid="{00000000-0005-0000-0000-0000DE4F0000}"/>
    <cellStyle name="Calculation 16 2 12 5" xfId="20478" xr:uid="{00000000-0005-0000-0000-0000DF4F0000}"/>
    <cellStyle name="Calculation 16 2 12 5 2" xfId="20479" xr:uid="{00000000-0005-0000-0000-0000E04F0000}"/>
    <cellStyle name="Calculation 16 2 12 5 3" xfId="20480" xr:uid="{00000000-0005-0000-0000-0000E14F0000}"/>
    <cellStyle name="Calculation 16 2 12 5 4" xfId="20481" xr:uid="{00000000-0005-0000-0000-0000E24F0000}"/>
    <cellStyle name="Calculation 16 2 12 5 5" xfId="20482" xr:uid="{00000000-0005-0000-0000-0000E34F0000}"/>
    <cellStyle name="Calculation 16 2 12 5 6" xfId="20483" xr:uid="{00000000-0005-0000-0000-0000E44F0000}"/>
    <cellStyle name="Calculation 16 2 12 6" xfId="20484" xr:uid="{00000000-0005-0000-0000-0000E54F0000}"/>
    <cellStyle name="Calculation 16 2 12 6 2" xfId="20485" xr:uid="{00000000-0005-0000-0000-0000E64F0000}"/>
    <cellStyle name="Calculation 16 2 12 6 3" xfId="20486" xr:uid="{00000000-0005-0000-0000-0000E74F0000}"/>
    <cellStyle name="Calculation 16 2 12 6 4" xfId="20487" xr:uid="{00000000-0005-0000-0000-0000E84F0000}"/>
    <cellStyle name="Calculation 16 2 12 6 5" xfId="20488" xr:uid="{00000000-0005-0000-0000-0000E94F0000}"/>
    <cellStyle name="Calculation 16 2 12 6 6" xfId="20489" xr:uid="{00000000-0005-0000-0000-0000EA4F0000}"/>
    <cellStyle name="Calculation 16 2 12 7" xfId="20490" xr:uid="{00000000-0005-0000-0000-0000EB4F0000}"/>
    <cellStyle name="Calculation 16 2 12 7 2" xfId="20491" xr:uid="{00000000-0005-0000-0000-0000EC4F0000}"/>
    <cellStyle name="Calculation 16 2 12 7 3" xfId="20492" xr:uid="{00000000-0005-0000-0000-0000ED4F0000}"/>
    <cellStyle name="Calculation 16 2 12 7 4" xfId="20493" xr:uid="{00000000-0005-0000-0000-0000EE4F0000}"/>
    <cellStyle name="Calculation 16 2 12 7 5" xfId="20494" xr:uid="{00000000-0005-0000-0000-0000EF4F0000}"/>
    <cellStyle name="Calculation 16 2 12 7 6" xfId="20495" xr:uid="{00000000-0005-0000-0000-0000F04F0000}"/>
    <cellStyle name="Calculation 16 2 12 8" xfId="20496" xr:uid="{00000000-0005-0000-0000-0000F14F0000}"/>
    <cellStyle name="Calculation 16 2 12 9" xfId="20497" xr:uid="{00000000-0005-0000-0000-0000F24F0000}"/>
    <cellStyle name="Calculation 16 2 13" xfId="20498" xr:uid="{00000000-0005-0000-0000-0000F34F0000}"/>
    <cellStyle name="Calculation 16 2 13 10" xfId="20499" xr:uid="{00000000-0005-0000-0000-0000F44F0000}"/>
    <cellStyle name="Calculation 16 2 13 2" xfId="20500" xr:uid="{00000000-0005-0000-0000-0000F54F0000}"/>
    <cellStyle name="Calculation 16 2 13 2 2" xfId="20501" xr:uid="{00000000-0005-0000-0000-0000F64F0000}"/>
    <cellStyle name="Calculation 16 2 13 2 3" xfId="20502" xr:uid="{00000000-0005-0000-0000-0000F74F0000}"/>
    <cellStyle name="Calculation 16 2 13 2 4" xfId="20503" xr:uid="{00000000-0005-0000-0000-0000F84F0000}"/>
    <cellStyle name="Calculation 16 2 13 2 5" xfId="20504" xr:uid="{00000000-0005-0000-0000-0000F94F0000}"/>
    <cellStyle name="Calculation 16 2 13 2 6" xfId="20505" xr:uid="{00000000-0005-0000-0000-0000FA4F0000}"/>
    <cellStyle name="Calculation 16 2 13 3" xfId="20506" xr:uid="{00000000-0005-0000-0000-0000FB4F0000}"/>
    <cellStyle name="Calculation 16 2 13 3 2" xfId="20507" xr:uid="{00000000-0005-0000-0000-0000FC4F0000}"/>
    <cellStyle name="Calculation 16 2 13 3 3" xfId="20508" xr:uid="{00000000-0005-0000-0000-0000FD4F0000}"/>
    <cellStyle name="Calculation 16 2 13 3 4" xfId="20509" xr:uid="{00000000-0005-0000-0000-0000FE4F0000}"/>
    <cellStyle name="Calculation 16 2 13 3 5" xfId="20510" xr:uid="{00000000-0005-0000-0000-0000FF4F0000}"/>
    <cellStyle name="Calculation 16 2 13 3 6" xfId="20511" xr:uid="{00000000-0005-0000-0000-000000500000}"/>
    <cellStyle name="Calculation 16 2 13 4" xfId="20512" xr:uid="{00000000-0005-0000-0000-000001500000}"/>
    <cellStyle name="Calculation 16 2 13 4 2" xfId="20513" xr:uid="{00000000-0005-0000-0000-000002500000}"/>
    <cellStyle name="Calculation 16 2 13 4 3" xfId="20514" xr:uid="{00000000-0005-0000-0000-000003500000}"/>
    <cellStyle name="Calculation 16 2 13 4 4" xfId="20515" xr:uid="{00000000-0005-0000-0000-000004500000}"/>
    <cellStyle name="Calculation 16 2 13 4 5" xfId="20516" xr:uid="{00000000-0005-0000-0000-000005500000}"/>
    <cellStyle name="Calculation 16 2 13 4 6" xfId="20517" xr:uid="{00000000-0005-0000-0000-000006500000}"/>
    <cellStyle name="Calculation 16 2 13 5" xfId="20518" xr:uid="{00000000-0005-0000-0000-000007500000}"/>
    <cellStyle name="Calculation 16 2 13 5 2" xfId="20519" xr:uid="{00000000-0005-0000-0000-000008500000}"/>
    <cellStyle name="Calculation 16 2 13 5 3" xfId="20520" xr:uid="{00000000-0005-0000-0000-000009500000}"/>
    <cellStyle name="Calculation 16 2 13 5 4" xfId="20521" xr:uid="{00000000-0005-0000-0000-00000A500000}"/>
    <cellStyle name="Calculation 16 2 13 5 5" xfId="20522" xr:uid="{00000000-0005-0000-0000-00000B500000}"/>
    <cellStyle name="Calculation 16 2 13 5 6" xfId="20523" xr:uid="{00000000-0005-0000-0000-00000C500000}"/>
    <cellStyle name="Calculation 16 2 13 6" xfId="20524" xr:uid="{00000000-0005-0000-0000-00000D500000}"/>
    <cellStyle name="Calculation 16 2 13 6 2" xfId="20525" xr:uid="{00000000-0005-0000-0000-00000E500000}"/>
    <cellStyle name="Calculation 16 2 13 6 3" xfId="20526" xr:uid="{00000000-0005-0000-0000-00000F500000}"/>
    <cellStyle name="Calculation 16 2 13 6 4" xfId="20527" xr:uid="{00000000-0005-0000-0000-000010500000}"/>
    <cellStyle name="Calculation 16 2 13 6 5" xfId="20528" xr:uid="{00000000-0005-0000-0000-000011500000}"/>
    <cellStyle name="Calculation 16 2 13 6 6" xfId="20529" xr:uid="{00000000-0005-0000-0000-000012500000}"/>
    <cellStyle name="Calculation 16 2 13 7" xfId="20530" xr:uid="{00000000-0005-0000-0000-000013500000}"/>
    <cellStyle name="Calculation 16 2 13 7 2" xfId="20531" xr:uid="{00000000-0005-0000-0000-000014500000}"/>
    <cellStyle name="Calculation 16 2 13 7 3" xfId="20532" xr:uid="{00000000-0005-0000-0000-000015500000}"/>
    <cellStyle name="Calculation 16 2 13 7 4" xfId="20533" xr:uid="{00000000-0005-0000-0000-000016500000}"/>
    <cellStyle name="Calculation 16 2 13 7 5" xfId="20534" xr:uid="{00000000-0005-0000-0000-000017500000}"/>
    <cellStyle name="Calculation 16 2 13 7 6" xfId="20535" xr:uid="{00000000-0005-0000-0000-000018500000}"/>
    <cellStyle name="Calculation 16 2 13 8" xfId="20536" xr:uid="{00000000-0005-0000-0000-000019500000}"/>
    <cellStyle name="Calculation 16 2 13 9" xfId="20537" xr:uid="{00000000-0005-0000-0000-00001A500000}"/>
    <cellStyle name="Calculation 16 2 14" xfId="20538" xr:uid="{00000000-0005-0000-0000-00001B500000}"/>
    <cellStyle name="Calculation 16 2 14 10" xfId="20539" xr:uid="{00000000-0005-0000-0000-00001C500000}"/>
    <cellStyle name="Calculation 16 2 14 2" xfId="20540" xr:uid="{00000000-0005-0000-0000-00001D500000}"/>
    <cellStyle name="Calculation 16 2 14 2 2" xfId="20541" xr:uid="{00000000-0005-0000-0000-00001E500000}"/>
    <cellStyle name="Calculation 16 2 14 2 3" xfId="20542" xr:uid="{00000000-0005-0000-0000-00001F500000}"/>
    <cellStyle name="Calculation 16 2 14 2 4" xfId="20543" xr:uid="{00000000-0005-0000-0000-000020500000}"/>
    <cellStyle name="Calculation 16 2 14 2 5" xfId="20544" xr:uid="{00000000-0005-0000-0000-000021500000}"/>
    <cellStyle name="Calculation 16 2 14 2 6" xfId="20545" xr:uid="{00000000-0005-0000-0000-000022500000}"/>
    <cellStyle name="Calculation 16 2 14 3" xfId="20546" xr:uid="{00000000-0005-0000-0000-000023500000}"/>
    <cellStyle name="Calculation 16 2 14 3 2" xfId="20547" xr:uid="{00000000-0005-0000-0000-000024500000}"/>
    <cellStyle name="Calculation 16 2 14 3 3" xfId="20548" xr:uid="{00000000-0005-0000-0000-000025500000}"/>
    <cellStyle name="Calculation 16 2 14 3 4" xfId="20549" xr:uid="{00000000-0005-0000-0000-000026500000}"/>
    <cellStyle name="Calculation 16 2 14 3 5" xfId="20550" xr:uid="{00000000-0005-0000-0000-000027500000}"/>
    <cellStyle name="Calculation 16 2 14 3 6" xfId="20551" xr:uid="{00000000-0005-0000-0000-000028500000}"/>
    <cellStyle name="Calculation 16 2 14 4" xfId="20552" xr:uid="{00000000-0005-0000-0000-000029500000}"/>
    <cellStyle name="Calculation 16 2 14 4 2" xfId="20553" xr:uid="{00000000-0005-0000-0000-00002A500000}"/>
    <cellStyle name="Calculation 16 2 14 4 3" xfId="20554" xr:uid="{00000000-0005-0000-0000-00002B500000}"/>
    <cellStyle name="Calculation 16 2 14 4 4" xfId="20555" xr:uid="{00000000-0005-0000-0000-00002C500000}"/>
    <cellStyle name="Calculation 16 2 14 4 5" xfId="20556" xr:uid="{00000000-0005-0000-0000-00002D500000}"/>
    <cellStyle name="Calculation 16 2 14 4 6" xfId="20557" xr:uid="{00000000-0005-0000-0000-00002E500000}"/>
    <cellStyle name="Calculation 16 2 14 5" xfId="20558" xr:uid="{00000000-0005-0000-0000-00002F500000}"/>
    <cellStyle name="Calculation 16 2 14 5 2" xfId="20559" xr:uid="{00000000-0005-0000-0000-000030500000}"/>
    <cellStyle name="Calculation 16 2 14 5 3" xfId="20560" xr:uid="{00000000-0005-0000-0000-000031500000}"/>
    <cellStyle name="Calculation 16 2 14 5 4" xfId="20561" xr:uid="{00000000-0005-0000-0000-000032500000}"/>
    <cellStyle name="Calculation 16 2 14 5 5" xfId="20562" xr:uid="{00000000-0005-0000-0000-000033500000}"/>
    <cellStyle name="Calculation 16 2 14 5 6" xfId="20563" xr:uid="{00000000-0005-0000-0000-000034500000}"/>
    <cellStyle name="Calculation 16 2 14 6" xfId="20564" xr:uid="{00000000-0005-0000-0000-000035500000}"/>
    <cellStyle name="Calculation 16 2 14 6 2" xfId="20565" xr:uid="{00000000-0005-0000-0000-000036500000}"/>
    <cellStyle name="Calculation 16 2 14 6 3" xfId="20566" xr:uid="{00000000-0005-0000-0000-000037500000}"/>
    <cellStyle name="Calculation 16 2 14 6 4" xfId="20567" xr:uid="{00000000-0005-0000-0000-000038500000}"/>
    <cellStyle name="Calculation 16 2 14 6 5" xfId="20568" xr:uid="{00000000-0005-0000-0000-000039500000}"/>
    <cellStyle name="Calculation 16 2 14 6 6" xfId="20569" xr:uid="{00000000-0005-0000-0000-00003A500000}"/>
    <cellStyle name="Calculation 16 2 14 7" xfId="20570" xr:uid="{00000000-0005-0000-0000-00003B500000}"/>
    <cellStyle name="Calculation 16 2 14 7 2" xfId="20571" xr:uid="{00000000-0005-0000-0000-00003C500000}"/>
    <cellStyle name="Calculation 16 2 14 7 3" xfId="20572" xr:uid="{00000000-0005-0000-0000-00003D500000}"/>
    <cellStyle name="Calculation 16 2 14 7 4" xfId="20573" xr:uid="{00000000-0005-0000-0000-00003E500000}"/>
    <cellStyle name="Calculation 16 2 14 7 5" xfId="20574" xr:uid="{00000000-0005-0000-0000-00003F500000}"/>
    <cellStyle name="Calculation 16 2 14 7 6" xfId="20575" xr:uid="{00000000-0005-0000-0000-000040500000}"/>
    <cellStyle name="Calculation 16 2 14 8" xfId="20576" xr:uid="{00000000-0005-0000-0000-000041500000}"/>
    <cellStyle name="Calculation 16 2 14 9" xfId="20577" xr:uid="{00000000-0005-0000-0000-000042500000}"/>
    <cellStyle name="Calculation 16 2 15" xfId="20578" xr:uid="{00000000-0005-0000-0000-000043500000}"/>
    <cellStyle name="Calculation 16 2 15 10" xfId="20579" xr:uid="{00000000-0005-0000-0000-000044500000}"/>
    <cellStyle name="Calculation 16 2 15 2" xfId="20580" xr:uid="{00000000-0005-0000-0000-000045500000}"/>
    <cellStyle name="Calculation 16 2 15 2 2" xfId="20581" xr:uid="{00000000-0005-0000-0000-000046500000}"/>
    <cellStyle name="Calculation 16 2 15 2 3" xfId="20582" xr:uid="{00000000-0005-0000-0000-000047500000}"/>
    <cellStyle name="Calculation 16 2 15 2 4" xfId="20583" xr:uid="{00000000-0005-0000-0000-000048500000}"/>
    <cellStyle name="Calculation 16 2 15 2 5" xfId="20584" xr:uid="{00000000-0005-0000-0000-000049500000}"/>
    <cellStyle name="Calculation 16 2 15 2 6" xfId="20585" xr:uid="{00000000-0005-0000-0000-00004A500000}"/>
    <cellStyle name="Calculation 16 2 15 3" xfId="20586" xr:uid="{00000000-0005-0000-0000-00004B500000}"/>
    <cellStyle name="Calculation 16 2 15 3 2" xfId="20587" xr:uid="{00000000-0005-0000-0000-00004C500000}"/>
    <cellStyle name="Calculation 16 2 15 3 3" xfId="20588" xr:uid="{00000000-0005-0000-0000-00004D500000}"/>
    <cellStyle name="Calculation 16 2 15 3 4" xfId="20589" xr:uid="{00000000-0005-0000-0000-00004E500000}"/>
    <cellStyle name="Calculation 16 2 15 3 5" xfId="20590" xr:uid="{00000000-0005-0000-0000-00004F500000}"/>
    <cellStyle name="Calculation 16 2 15 3 6" xfId="20591" xr:uid="{00000000-0005-0000-0000-000050500000}"/>
    <cellStyle name="Calculation 16 2 15 4" xfId="20592" xr:uid="{00000000-0005-0000-0000-000051500000}"/>
    <cellStyle name="Calculation 16 2 15 4 2" xfId="20593" xr:uid="{00000000-0005-0000-0000-000052500000}"/>
    <cellStyle name="Calculation 16 2 15 4 3" xfId="20594" xr:uid="{00000000-0005-0000-0000-000053500000}"/>
    <cellStyle name="Calculation 16 2 15 4 4" xfId="20595" xr:uid="{00000000-0005-0000-0000-000054500000}"/>
    <cellStyle name="Calculation 16 2 15 4 5" xfId="20596" xr:uid="{00000000-0005-0000-0000-000055500000}"/>
    <cellStyle name="Calculation 16 2 15 4 6" xfId="20597" xr:uid="{00000000-0005-0000-0000-000056500000}"/>
    <cellStyle name="Calculation 16 2 15 5" xfId="20598" xr:uid="{00000000-0005-0000-0000-000057500000}"/>
    <cellStyle name="Calculation 16 2 15 5 2" xfId="20599" xr:uid="{00000000-0005-0000-0000-000058500000}"/>
    <cellStyle name="Calculation 16 2 15 5 3" xfId="20600" xr:uid="{00000000-0005-0000-0000-000059500000}"/>
    <cellStyle name="Calculation 16 2 15 5 4" xfId="20601" xr:uid="{00000000-0005-0000-0000-00005A500000}"/>
    <cellStyle name="Calculation 16 2 15 5 5" xfId="20602" xr:uid="{00000000-0005-0000-0000-00005B500000}"/>
    <cellStyle name="Calculation 16 2 15 5 6" xfId="20603" xr:uid="{00000000-0005-0000-0000-00005C500000}"/>
    <cellStyle name="Calculation 16 2 15 6" xfId="20604" xr:uid="{00000000-0005-0000-0000-00005D500000}"/>
    <cellStyle name="Calculation 16 2 15 6 2" xfId="20605" xr:uid="{00000000-0005-0000-0000-00005E500000}"/>
    <cellStyle name="Calculation 16 2 15 6 3" xfId="20606" xr:uid="{00000000-0005-0000-0000-00005F500000}"/>
    <cellStyle name="Calculation 16 2 15 6 4" xfId="20607" xr:uid="{00000000-0005-0000-0000-000060500000}"/>
    <cellStyle name="Calculation 16 2 15 6 5" xfId="20608" xr:uid="{00000000-0005-0000-0000-000061500000}"/>
    <cellStyle name="Calculation 16 2 15 6 6" xfId="20609" xr:uid="{00000000-0005-0000-0000-000062500000}"/>
    <cellStyle name="Calculation 16 2 15 7" xfId="20610" xr:uid="{00000000-0005-0000-0000-000063500000}"/>
    <cellStyle name="Calculation 16 2 15 7 2" xfId="20611" xr:uid="{00000000-0005-0000-0000-000064500000}"/>
    <cellStyle name="Calculation 16 2 15 7 3" xfId="20612" xr:uid="{00000000-0005-0000-0000-000065500000}"/>
    <cellStyle name="Calculation 16 2 15 7 4" xfId="20613" xr:uid="{00000000-0005-0000-0000-000066500000}"/>
    <cellStyle name="Calculation 16 2 15 7 5" xfId="20614" xr:uid="{00000000-0005-0000-0000-000067500000}"/>
    <cellStyle name="Calculation 16 2 15 7 6" xfId="20615" xr:uid="{00000000-0005-0000-0000-000068500000}"/>
    <cellStyle name="Calculation 16 2 15 8" xfId="20616" xr:uid="{00000000-0005-0000-0000-000069500000}"/>
    <cellStyle name="Calculation 16 2 15 9" xfId="20617" xr:uid="{00000000-0005-0000-0000-00006A500000}"/>
    <cellStyle name="Calculation 16 2 16" xfId="20618" xr:uid="{00000000-0005-0000-0000-00006B500000}"/>
    <cellStyle name="Calculation 16 2 16 10" xfId="20619" xr:uid="{00000000-0005-0000-0000-00006C500000}"/>
    <cellStyle name="Calculation 16 2 16 2" xfId="20620" xr:uid="{00000000-0005-0000-0000-00006D500000}"/>
    <cellStyle name="Calculation 16 2 16 2 2" xfId="20621" xr:uid="{00000000-0005-0000-0000-00006E500000}"/>
    <cellStyle name="Calculation 16 2 16 2 3" xfId="20622" xr:uid="{00000000-0005-0000-0000-00006F500000}"/>
    <cellStyle name="Calculation 16 2 16 2 4" xfId="20623" xr:uid="{00000000-0005-0000-0000-000070500000}"/>
    <cellStyle name="Calculation 16 2 16 2 5" xfId="20624" xr:uid="{00000000-0005-0000-0000-000071500000}"/>
    <cellStyle name="Calculation 16 2 16 2 6" xfId="20625" xr:uid="{00000000-0005-0000-0000-000072500000}"/>
    <cellStyle name="Calculation 16 2 16 3" xfId="20626" xr:uid="{00000000-0005-0000-0000-000073500000}"/>
    <cellStyle name="Calculation 16 2 16 3 2" xfId="20627" xr:uid="{00000000-0005-0000-0000-000074500000}"/>
    <cellStyle name="Calculation 16 2 16 3 3" xfId="20628" xr:uid="{00000000-0005-0000-0000-000075500000}"/>
    <cellStyle name="Calculation 16 2 16 3 4" xfId="20629" xr:uid="{00000000-0005-0000-0000-000076500000}"/>
    <cellStyle name="Calculation 16 2 16 3 5" xfId="20630" xr:uid="{00000000-0005-0000-0000-000077500000}"/>
    <cellStyle name="Calculation 16 2 16 3 6" xfId="20631" xr:uid="{00000000-0005-0000-0000-000078500000}"/>
    <cellStyle name="Calculation 16 2 16 4" xfId="20632" xr:uid="{00000000-0005-0000-0000-000079500000}"/>
    <cellStyle name="Calculation 16 2 16 4 2" xfId="20633" xr:uid="{00000000-0005-0000-0000-00007A500000}"/>
    <cellStyle name="Calculation 16 2 16 4 3" xfId="20634" xr:uid="{00000000-0005-0000-0000-00007B500000}"/>
    <cellStyle name="Calculation 16 2 16 4 4" xfId="20635" xr:uid="{00000000-0005-0000-0000-00007C500000}"/>
    <cellStyle name="Calculation 16 2 16 4 5" xfId="20636" xr:uid="{00000000-0005-0000-0000-00007D500000}"/>
    <cellStyle name="Calculation 16 2 16 4 6" xfId="20637" xr:uid="{00000000-0005-0000-0000-00007E500000}"/>
    <cellStyle name="Calculation 16 2 16 5" xfId="20638" xr:uid="{00000000-0005-0000-0000-00007F500000}"/>
    <cellStyle name="Calculation 16 2 16 5 2" xfId="20639" xr:uid="{00000000-0005-0000-0000-000080500000}"/>
    <cellStyle name="Calculation 16 2 16 5 3" xfId="20640" xr:uid="{00000000-0005-0000-0000-000081500000}"/>
    <cellStyle name="Calculation 16 2 16 5 4" xfId="20641" xr:uid="{00000000-0005-0000-0000-000082500000}"/>
    <cellStyle name="Calculation 16 2 16 5 5" xfId="20642" xr:uid="{00000000-0005-0000-0000-000083500000}"/>
    <cellStyle name="Calculation 16 2 16 5 6" xfId="20643" xr:uid="{00000000-0005-0000-0000-000084500000}"/>
    <cellStyle name="Calculation 16 2 16 6" xfId="20644" xr:uid="{00000000-0005-0000-0000-000085500000}"/>
    <cellStyle name="Calculation 16 2 16 6 2" xfId="20645" xr:uid="{00000000-0005-0000-0000-000086500000}"/>
    <cellStyle name="Calculation 16 2 16 6 3" xfId="20646" xr:uid="{00000000-0005-0000-0000-000087500000}"/>
    <cellStyle name="Calculation 16 2 16 6 4" xfId="20647" xr:uid="{00000000-0005-0000-0000-000088500000}"/>
    <cellStyle name="Calculation 16 2 16 6 5" xfId="20648" xr:uid="{00000000-0005-0000-0000-000089500000}"/>
    <cellStyle name="Calculation 16 2 16 6 6" xfId="20649" xr:uid="{00000000-0005-0000-0000-00008A500000}"/>
    <cellStyle name="Calculation 16 2 16 7" xfId="20650" xr:uid="{00000000-0005-0000-0000-00008B500000}"/>
    <cellStyle name="Calculation 16 2 16 7 2" xfId="20651" xr:uid="{00000000-0005-0000-0000-00008C500000}"/>
    <cellStyle name="Calculation 16 2 16 7 3" xfId="20652" xr:uid="{00000000-0005-0000-0000-00008D500000}"/>
    <cellStyle name="Calculation 16 2 16 7 4" xfId="20653" xr:uid="{00000000-0005-0000-0000-00008E500000}"/>
    <cellStyle name="Calculation 16 2 16 7 5" xfId="20654" xr:uid="{00000000-0005-0000-0000-00008F500000}"/>
    <cellStyle name="Calculation 16 2 16 7 6" xfId="20655" xr:uid="{00000000-0005-0000-0000-000090500000}"/>
    <cellStyle name="Calculation 16 2 16 8" xfId="20656" xr:uid="{00000000-0005-0000-0000-000091500000}"/>
    <cellStyle name="Calculation 16 2 16 9" xfId="20657" xr:uid="{00000000-0005-0000-0000-000092500000}"/>
    <cellStyle name="Calculation 16 2 17" xfId="20658" xr:uid="{00000000-0005-0000-0000-000093500000}"/>
    <cellStyle name="Calculation 16 2 17 10" xfId="20659" xr:uid="{00000000-0005-0000-0000-000094500000}"/>
    <cellStyle name="Calculation 16 2 17 2" xfId="20660" xr:uid="{00000000-0005-0000-0000-000095500000}"/>
    <cellStyle name="Calculation 16 2 17 2 2" xfId="20661" xr:uid="{00000000-0005-0000-0000-000096500000}"/>
    <cellStyle name="Calculation 16 2 17 2 3" xfId="20662" xr:uid="{00000000-0005-0000-0000-000097500000}"/>
    <cellStyle name="Calculation 16 2 17 2 4" xfId="20663" xr:uid="{00000000-0005-0000-0000-000098500000}"/>
    <cellStyle name="Calculation 16 2 17 2 5" xfId="20664" xr:uid="{00000000-0005-0000-0000-000099500000}"/>
    <cellStyle name="Calculation 16 2 17 2 6" xfId="20665" xr:uid="{00000000-0005-0000-0000-00009A500000}"/>
    <cellStyle name="Calculation 16 2 17 3" xfId="20666" xr:uid="{00000000-0005-0000-0000-00009B500000}"/>
    <cellStyle name="Calculation 16 2 17 3 2" xfId="20667" xr:uid="{00000000-0005-0000-0000-00009C500000}"/>
    <cellStyle name="Calculation 16 2 17 3 3" xfId="20668" xr:uid="{00000000-0005-0000-0000-00009D500000}"/>
    <cellStyle name="Calculation 16 2 17 3 4" xfId="20669" xr:uid="{00000000-0005-0000-0000-00009E500000}"/>
    <cellStyle name="Calculation 16 2 17 3 5" xfId="20670" xr:uid="{00000000-0005-0000-0000-00009F500000}"/>
    <cellStyle name="Calculation 16 2 17 3 6" xfId="20671" xr:uid="{00000000-0005-0000-0000-0000A0500000}"/>
    <cellStyle name="Calculation 16 2 17 4" xfId="20672" xr:uid="{00000000-0005-0000-0000-0000A1500000}"/>
    <cellStyle name="Calculation 16 2 17 4 2" xfId="20673" xr:uid="{00000000-0005-0000-0000-0000A2500000}"/>
    <cellStyle name="Calculation 16 2 17 4 3" xfId="20674" xr:uid="{00000000-0005-0000-0000-0000A3500000}"/>
    <cellStyle name="Calculation 16 2 17 4 4" xfId="20675" xr:uid="{00000000-0005-0000-0000-0000A4500000}"/>
    <cellStyle name="Calculation 16 2 17 4 5" xfId="20676" xr:uid="{00000000-0005-0000-0000-0000A5500000}"/>
    <cellStyle name="Calculation 16 2 17 4 6" xfId="20677" xr:uid="{00000000-0005-0000-0000-0000A6500000}"/>
    <cellStyle name="Calculation 16 2 17 5" xfId="20678" xr:uid="{00000000-0005-0000-0000-0000A7500000}"/>
    <cellStyle name="Calculation 16 2 17 5 2" xfId="20679" xr:uid="{00000000-0005-0000-0000-0000A8500000}"/>
    <cellStyle name="Calculation 16 2 17 5 3" xfId="20680" xr:uid="{00000000-0005-0000-0000-0000A9500000}"/>
    <cellStyle name="Calculation 16 2 17 5 4" xfId="20681" xr:uid="{00000000-0005-0000-0000-0000AA500000}"/>
    <cellStyle name="Calculation 16 2 17 5 5" xfId="20682" xr:uid="{00000000-0005-0000-0000-0000AB500000}"/>
    <cellStyle name="Calculation 16 2 17 5 6" xfId="20683" xr:uid="{00000000-0005-0000-0000-0000AC500000}"/>
    <cellStyle name="Calculation 16 2 17 6" xfId="20684" xr:uid="{00000000-0005-0000-0000-0000AD500000}"/>
    <cellStyle name="Calculation 16 2 17 6 2" xfId="20685" xr:uid="{00000000-0005-0000-0000-0000AE500000}"/>
    <cellStyle name="Calculation 16 2 17 6 3" xfId="20686" xr:uid="{00000000-0005-0000-0000-0000AF500000}"/>
    <cellStyle name="Calculation 16 2 17 6 4" xfId="20687" xr:uid="{00000000-0005-0000-0000-0000B0500000}"/>
    <cellStyle name="Calculation 16 2 17 6 5" xfId="20688" xr:uid="{00000000-0005-0000-0000-0000B1500000}"/>
    <cellStyle name="Calculation 16 2 17 6 6" xfId="20689" xr:uid="{00000000-0005-0000-0000-0000B2500000}"/>
    <cellStyle name="Calculation 16 2 17 7" xfId="20690" xr:uid="{00000000-0005-0000-0000-0000B3500000}"/>
    <cellStyle name="Calculation 16 2 17 7 2" xfId="20691" xr:uid="{00000000-0005-0000-0000-0000B4500000}"/>
    <cellStyle name="Calculation 16 2 17 7 3" xfId="20692" xr:uid="{00000000-0005-0000-0000-0000B5500000}"/>
    <cellStyle name="Calculation 16 2 17 7 4" xfId="20693" xr:uid="{00000000-0005-0000-0000-0000B6500000}"/>
    <cellStyle name="Calculation 16 2 17 7 5" xfId="20694" xr:uid="{00000000-0005-0000-0000-0000B7500000}"/>
    <cellStyle name="Calculation 16 2 17 7 6" xfId="20695" xr:uid="{00000000-0005-0000-0000-0000B8500000}"/>
    <cellStyle name="Calculation 16 2 17 8" xfId="20696" xr:uid="{00000000-0005-0000-0000-0000B9500000}"/>
    <cellStyle name="Calculation 16 2 17 9" xfId="20697" xr:uid="{00000000-0005-0000-0000-0000BA500000}"/>
    <cellStyle name="Calculation 16 2 18" xfId="20698" xr:uid="{00000000-0005-0000-0000-0000BB500000}"/>
    <cellStyle name="Calculation 16 2 18 10" xfId="20699" xr:uid="{00000000-0005-0000-0000-0000BC500000}"/>
    <cellStyle name="Calculation 16 2 18 2" xfId="20700" xr:uid="{00000000-0005-0000-0000-0000BD500000}"/>
    <cellStyle name="Calculation 16 2 18 2 2" xfId="20701" xr:uid="{00000000-0005-0000-0000-0000BE500000}"/>
    <cellStyle name="Calculation 16 2 18 2 3" xfId="20702" xr:uid="{00000000-0005-0000-0000-0000BF500000}"/>
    <cellStyle name="Calculation 16 2 18 2 4" xfId="20703" xr:uid="{00000000-0005-0000-0000-0000C0500000}"/>
    <cellStyle name="Calculation 16 2 18 2 5" xfId="20704" xr:uid="{00000000-0005-0000-0000-0000C1500000}"/>
    <cellStyle name="Calculation 16 2 18 2 6" xfId="20705" xr:uid="{00000000-0005-0000-0000-0000C2500000}"/>
    <cellStyle name="Calculation 16 2 18 3" xfId="20706" xr:uid="{00000000-0005-0000-0000-0000C3500000}"/>
    <cellStyle name="Calculation 16 2 18 3 2" xfId="20707" xr:uid="{00000000-0005-0000-0000-0000C4500000}"/>
    <cellStyle name="Calculation 16 2 18 3 3" xfId="20708" xr:uid="{00000000-0005-0000-0000-0000C5500000}"/>
    <cellStyle name="Calculation 16 2 18 3 4" xfId="20709" xr:uid="{00000000-0005-0000-0000-0000C6500000}"/>
    <cellStyle name="Calculation 16 2 18 3 5" xfId="20710" xr:uid="{00000000-0005-0000-0000-0000C7500000}"/>
    <cellStyle name="Calculation 16 2 18 3 6" xfId="20711" xr:uid="{00000000-0005-0000-0000-0000C8500000}"/>
    <cellStyle name="Calculation 16 2 18 4" xfId="20712" xr:uid="{00000000-0005-0000-0000-0000C9500000}"/>
    <cellStyle name="Calculation 16 2 18 4 2" xfId="20713" xr:uid="{00000000-0005-0000-0000-0000CA500000}"/>
    <cellStyle name="Calculation 16 2 18 4 3" xfId="20714" xr:uid="{00000000-0005-0000-0000-0000CB500000}"/>
    <cellStyle name="Calculation 16 2 18 4 4" xfId="20715" xr:uid="{00000000-0005-0000-0000-0000CC500000}"/>
    <cellStyle name="Calculation 16 2 18 4 5" xfId="20716" xr:uid="{00000000-0005-0000-0000-0000CD500000}"/>
    <cellStyle name="Calculation 16 2 18 4 6" xfId="20717" xr:uid="{00000000-0005-0000-0000-0000CE500000}"/>
    <cellStyle name="Calculation 16 2 18 5" xfId="20718" xr:uid="{00000000-0005-0000-0000-0000CF500000}"/>
    <cellStyle name="Calculation 16 2 18 5 2" xfId="20719" xr:uid="{00000000-0005-0000-0000-0000D0500000}"/>
    <cellStyle name="Calculation 16 2 18 5 3" xfId="20720" xr:uid="{00000000-0005-0000-0000-0000D1500000}"/>
    <cellStyle name="Calculation 16 2 18 5 4" xfId="20721" xr:uid="{00000000-0005-0000-0000-0000D2500000}"/>
    <cellStyle name="Calculation 16 2 18 5 5" xfId="20722" xr:uid="{00000000-0005-0000-0000-0000D3500000}"/>
    <cellStyle name="Calculation 16 2 18 5 6" xfId="20723" xr:uid="{00000000-0005-0000-0000-0000D4500000}"/>
    <cellStyle name="Calculation 16 2 18 6" xfId="20724" xr:uid="{00000000-0005-0000-0000-0000D5500000}"/>
    <cellStyle name="Calculation 16 2 18 6 2" xfId="20725" xr:uid="{00000000-0005-0000-0000-0000D6500000}"/>
    <cellStyle name="Calculation 16 2 18 6 3" xfId="20726" xr:uid="{00000000-0005-0000-0000-0000D7500000}"/>
    <cellStyle name="Calculation 16 2 18 6 4" xfId="20727" xr:uid="{00000000-0005-0000-0000-0000D8500000}"/>
    <cellStyle name="Calculation 16 2 18 6 5" xfId="20728" xr:uid="{00000000-0005-0000-0000-0000D9500000}"/>
    <cellStyle name="Calculation 16 2 18 6 6" xfId="20729" xr:uid="{00000000-0005-0000-0000-0000DA500000}"/>
    <cellStyle name="Calculation 16 2 18 7" xfId="20730" xr:uid="{00000000-0005-0000-0000-0000DB500000}"/>
    <cellStyle name="Calculation 16 2 18 7 2" xfId="20731" xr:uid="{00000000-0005-0000-0000-0000DC500000}"/>
    <cellStyle name="Calculation 16 2 18 7 3" xfId="20732" xr:uid="{00000000-0005-0000-0000-0000DD500000}"/>
    <cellStyle name="Calculation 16 2 18 7 4" xfId="20733" xr:uid="{00000000-0005-0000-0000-0000DE500000}"/>
    <cellStyle name="Calculation 16 2 18 7 5" xfId="20734" xr:uid="{00000000-0005-0000-0000-0000DF500000}"/>
    <cellStyle name="Calculation 16 2 18 7 6" xfId="20735" xr:uid="{00000000-0005-0000-0000-0000E0500000}"/>
    <cellStyle name="Calculation 16 2 18 8" xfId="20736" xr:uid="{00000000-0005-0000-0000-0000E1500000}"/>
    <cellStyle name="Calculation 16 2 18 9" xfId="20737" xr:uid="{00000000-0005-0000-0000-0000E2500000}"/>
    <cellStyle name="Calculation 16 2 19" xfId="20738" xr:uid="{00000000-0005-0000-0000-0000E3500000}"/>
    <cellStyle name="Calculation 16 2 19 10" xfId="20739" xr:uid="{00000000-0005-0000-0000-0000E4500000}"/>
    <cellStyle name="Calculation 16 2 19 2" xfId="20740" xr:uid="{00000000-0005-0000-0000-0000E5500000}"/>
    <cellStyle name="Calculation 16 2 19 2 2" xfId="20741" xr:uid="{00000000-0005-0000-0000-0000E6500000}"/>
    <cellStyle name="Calculation 16 2 19 2 3" xfId="20742" xr:uid="{00000000-0005-0000-0000-0000E7500000}"/>
    <cellStyle name="Calculation 16 2 19 2 4" xfId="20743" xr:uid="{00000000-0005-0000-0000-0000E8500000}"/>
    <cellStyle name="Calculation 16 2 19 2 5" xfId="20744" xr:uid="{00000000-0005-0000-0000-0000E9500000}"/>
    <cellStyle name="Calculation 16 2 19 2 6" xfId="20745" xr:uid="{00000000-0005-0000-0000-0000EA500000}"/>
    <cellStyle name="Calculation 16 2 19 3" xfId="20746" xr:uid="{00000000-0005-0000-0000-0000EB500000}"/>
    <cellStyle name="Calculation 16 2 19 3 2" xfId="20747" xr:uid="{00000000-0005-0000-0000-0000EC500000}"/>
    <cellStyle name="Calculation 16 2 19 3 3" xfId="20748" xr:uid="{00000000-0005-0000-0000-0000ED500000}"/>
    <cellStyle name="Calculation 16 2 19 3 4" xfId="20749" xr:uid="{00000000-0005-0000-0000-0000EE500000}"/>
    <cellStyle name="Calculation 16 2 19 3 5" xfId="20750" xr:uid="{00000000-0005-0000-0000-0000EF500000}"/>
    <cellStyle name="Calculation 16 2 19 3 6" xfId="20751" xr:uid="{00000000-0005-0000-0000-0000F0500000}"/>
    <cellStyle name="Calculation 16 2 19 4" xfId="20752" xr:uid="{00000000-0005-0000-0000-0000F1500000}"/>
    <cellStyle name="Calculation 16 2 19 4 2" xfId="20753" xr:uid="{00000000-0005-0000-0000-0000F2500000}"/>
    <cellStyle name="Calculation 16 2 19 4 3" xfId="20754" xr:uid="{00000000-0005-0000-0000-0000F3500000}"/>
    <cellStyle name="Calculation 16 2 19 4 4" xfId="20755" xr:uid="{00000000-0005-0000-0000-0000F4500000}"/>
    <cellStyle name="Calculation 16 2 19 4 5" xfId="20756" xr:uid="{00000000-0005-0000-0000-0000F5500000}"/>
    <cellStyle name="Calculation 16 2 19 4 6" xfId="20757" xr:uid="{00000000-0005-0000-0000-0000F6500000}"/>
    <cellStyle name="Calculation 16 2 19 5" xfId="20758" xr:uid="{00000000-0005-0000-0000-0000F7500000}"/>
    <cellStyle name="Calculation 16 2 19 5 2" xfId="20759" xr:uid="{00000000-0005-0000-0000-0000F8500000}"/>
    <cellStyle name="Calculation 16 2 19 5 3" xfId="20760" xr:uid="{00000000-0005-0000-0000-0000F9500000}"/>
    <cellStyle name="Calculation 16 2 19 5 4" xfId="20761" xr:uid="{00000000-0005-0000-0000-0000FA500000}"/>
    <cellStyle name="Calculation 16 2 19 5 5" xfId="20762" xr:uid="{00000000-0005-0000-0000-0000FB500000}"/>
    <cellStyle name="Calculation 16 2 19 5 6" xfId="20763" xr:uid="{00000000-0005-0000-0000-0000FC500000}"/>
    <cellStyle name="Calculation 16 2 19 6" xfId="20764" xr:uid="{00000000-0005-0000-0000-0000FD500000}"/>
    <cellStyle name="Calculation 16 2 19 6 2" xfId="20765" xr:uid="{00000000-0005-0000-0000-0000FE500000}"/>
    <cellStyle name="Calculation 16 2 19 6 3" xfId="20766" xr:uid="{00000000-0005-0000-0000-0000FF500000}"/>
    <cellStyle name="Calculation 16 2 19 6 4" xfId="20767" xr:uid="{00000000-0005-0000-0000-000000510000}"/>
    <cellStyle name="Calculation 16 2 19 6 5" xfId="20768" xr:uid="{00000000-0005-0000-0000-000001510000}"/>
    <cellStyle name="Calculation 16 2 19 6 6" xfId="20769" xr:uid="{00000000-0005-0000-0000-000002510000}"/>
    <cellStyle name="Calculation 16 2 19 7" xfId="20770" xr:uid="{00000000-0005-0000-0000-000003510000}"/>
    <cellStyle name="Calculation 16 2 19 7 2" xfId="20771" xr:uid="{00000000-0005-0000-0000-000004510000}"/>
    <cellStyle name="Calculation 16 2 19 7 3" xfId="20772" xr:uid="{00000000-0005-0000-0000-000005510000}"/>
    <cellStyle name="Calculation 16 2 19 7 4" xfId="20773" xr:uid="{00000000-0005-0000-0000-000006510000}"/>
    <cellStyle name="Calculation 16 2 19 7 5" xfId="20774" xr:uid="{00000000-0005-0000-0000-000007510000}"/>
    <cellStyle name="Calculation 16 2 19 7 6" xfId="20775" xr:uid="{00000000-0005-0000-0000-000008510000}"/>
    <cellStyle name="Calculation 16 2 19 8" xfId="20776" xr:uid="{00000000-0005-0000-0000-000009510000}"/>
    <cellStyle name="Calculation 16 2 19 9" xfId="20777" xr:uid="{00000000-0005-0000-0000-00000A510000}"/>
    <cellStyle name="Calculation 16 2 2" xfId="20778" xr:uid="{00000000-0005-0000-0000-00000B510000}"/>
    <cellStyle name="Calculation 16 2 2 10" xfId="20779" xr:uid="{00000000-0005-0000-0000-00000C510000}"/>
    <cellStyle name="Calculation 16 2 2 2" xfId="20780" xr:uid="{00000000-0005-0000-0000-00000D510000}"/>
    <cellStyle name="Calculation 16 2 2 2 2" xfId="20781" xr:uid="{00000000-0005-0000-0000-00000E510000}"/>
    <cellStyle name="Calculation 16 2 2 2 3" xfId="20782" xr:uid="{00000000-0005-0000-0000-00000F510000}"/>
    <cellStyle name="Calculation 16 2 2 2 4" xfId="20783" xr:uid="{00000000-0005-0000-0000-000010510000}"/>
    <cellStyle name="Calculation 16 2 2 2 5" xfId="20784" xr:uid="{00000000-0005-0000-0000-000011510000}"/>
    <cellStyle name="Calculation 16 2 2 2 6" xfId="20785" xr:uid="{00000000-0005-0000-0000-000012510000}"/>
    <cellStyle name="Calculation 16 2 2 3" xfId="20786" xr:uid="{00000000-0005-0000-0000-000013510000}"/>
    <cellStyle name="Calculation 16 2 2 3 2" xfId="20787" xr:uid="{00000000-0005-0000-0000-000014510000}"/>
    <cellStyle name="Calculation 16 2 2 3 3" xfId="20788" xr:uid="{00000000-0005-0000-0000-000015510000}"/>
    <cellStyle name="Calculation 16 2 2 3 4" xfId="20789" xr:uid="{00000000-0005-0000-0000-000016510000}"/>
    <cellStyle name="Calculation 16 2 2 3 5" xfId="20790" xr:uid="{00000000-0005-0000-0000-000017510000}"/>
    <cellStyle name="Calculation 16 2 2 3 6" xfId="20791" xr:uid="{00000000-0005-0000-0000-000018510000}"/>
    <cellStyle name="Calculation 16 2 2 4" xfId="20792" xr:uid="{00000000-0005-0000-0000-000019510000}"/>
    <cellStyle name="Calculation 16 2 2 4 2" xfId="20793" xr:uid="{00000000-0005-0000-0000-00001A510000}"/>
    <cellStyle name="Calculation 16 2 2 4 3" xfId="20794" xr:uid="{00000000-0005-0000-0000-00001B510000}"/>
    <cellStyle name="Calculation 16 2 2 4 4" xfId="20795" xr:uid="{00000000-0005-0000-0000-00001C510000}"/>
    <cellStyle name="Calculation 16 2 2 4 5" xfId="20796" xr:uid="{00000000-0005-0000-0000-00001D510000}"/>
    <cellStyle name="Calculation 16 2 2 4 6" xfId="20797" xr:uid="{00000000-0005-0000-0000-00001E510000}"/>
    <cellStyle name="Calculation 16 2 2 5" xfId="20798" xr:uid="{00000000-0005-0000-0000-00001F510000}"/>
    <cellStyle name="Calculation 16 2 2 5 2" xfId="20799" xr:uid="{00000000-0005-0000-0000-000020510000}"/>
    <cellStyle name="Calculation 16 2 2 5 3" xfId="20800" xr:uid="{00000000-0005-0000-0000-000021510000}"/>
    <cellStyle name="Calculation 16 2 2 5 4" xfId="20801" xr:uid="{00000000-0005-0000-0000-000022510000}"/>
    <cellStyle name="Calculation 16 2 2 5 5" xfId="20802" xr:uid="{00000000-0005-0000-0000-000023510000}"/>
    <cellStyle name="Calculation 16 2 2 5 6" xfId="20803" xr:uid="{00000000-0005-0000-0000-000024510000}"/>
    <cellStyle name="Calculation 16 2 2 6" xfId="20804" xr:uid="{00000000-0005-0000-0000-000025510000}"/>
    <cellStyle name="Calculation 16 2 2 6 2" xfId="20805" xr:uid="{00000000-0005-0000-0000-000026510000}"/>
    <cellStyle name="Calculation 16 2 2 6 3" xfId="20806" xr:uid="{00000000-0005-0000-0000-000027510000}"/>
    <cellStyle name="Calculation 16 2 2 6 4" xfId="20807" xr:uid="{00000000-0005-0000-0000-000028510000}"/>
    <cellStyle name="Calculation 16 2 2 6 5" xfId="20808" xr:uid="{00000000-0005-0000-0000-000029510000}"/>
    <cellStyle name="Calculation 16 2 2 6 6" xfId="20809" xr:uid="{00000000-0005-0000-0000-00002A510000}"/>
    <cellStyle name="Calculation 16 2 2 7" xfId="20810" xr:uid="{00000000-0005-0000-0000-00002B510000}"/>
    <cellStyle name="Calculation 16 2 2 7 2" xfId="20811" xr:uid="{00000000-0005-0000-0000-00002C510000}"/>
    <cellStyle name="Calculation 16 2 2 7 3" xfId="20812" xr:uid="{00000000-0005-0000-0000-00002D510000}"/>
    <cellStyle name="Calculation 16 2 2 7 4" xfId="20813" xr:uid="{00000000-0005-0000-0000-00002E510000}"/>
    <cellStyle name="Calculation 16 2 2 7 5" xfId="20814" xr:uid="{00000000-0005-0000-0000-00002F510000}"/>
    <cellStyle name="Calculation 16 2 2 7 6" xfId="20815" xr:uid="{00000000-0005-0000-0000-000030510000}"/>
    <cellStyle name="Calculation 16 2 2 8" xfId="20816" xr:uid="{00000000-0005-0000-0000-000031510000}"/>
    <cellStyle name="Calculation 16 2 2 9" xfId="20817" xr:uid="{00000000-0005-0000-0000-000032510000}"/>
    <cellStyle name="Calculation 16 2 20" xfId="20818" xr:uid="{00000000-0005-0000-0000-000033510000}"/>
    <cellStyle name="Calculation 16 2 20 10" xfId="20819" xr:uid="{00000000-0005-0000-0000-000034510000}"/>
    <cellStyle name="Calculation 16 2 20 2" xfId="20820" xr:uid="{00000000-0005-0000-0000-000035510000}"/>
    <cellStyle name="Calculation 16 2 20 2 2" xfId="20821" xr:uid="{00000000-0005-0000-0000-000036510000}"/>
    <cellStyle name="Calculation 16 2 20 2 3" xfId="20822" xr:uid="{00000000-0005-0000-0000-000037510000}"/>
    <cellStyle name="Calculation 16 2 20 2 4" xfId="20823" xr:uid="{00000000-0005-0000-0000-000038510000}"/>
    <cellStyle name="Calculation 16 2 20 2 5" xfId="20824" xr:uid="{00000000-0005-0000-0000-000039510000}"/>
    <cellStyle name="Calculation 16 2 20 2 6" xfId="20825" xr:uid="{00000000-0005-0000-0000-00003A510000}"/>
    <cellStyle name="Calculation 16 2 20 3" xfId="20826" xr:uid="{00000000-0005-0000-0000-00003B510000}"/>
    <cellStyle name="Calculation 16 2 20 3 2" xfId="20827" xr:uid="{00000000-0005-0000-0000-00003C510000}"/>
    <cellStyle name="Calculation 16 2 20 3 3" xfId="20828" xr:uid="{00000000-0005-0000-0000-00003D510000}"/>
    <cellStyle name="Calculation 16 2 20 3 4" xfId="20829" xr:uid="{00000000-0005-0000-0000-00003E510000}"/>
    <cellStyle name="Calculation 16 2 20 3 5" xfId="20830" xr:uid="{00000000-0005-0000-0000-00003F510000}"/>
    <cellStyle name="Calculation 16 2 20 3 6" xfId="20831" xr:uid="{00000000-0005-0000-0000-000040510000}"/>
    <cellStyle name="Calculation 16 2 20 4" xfId="20832" xr:uid="{00000000-0005-0000-0000-000041510000}"/>
    <cellStyle name="Calculation 16 2 20 4 2" xfId="20833" xr:uid="{00000000-0005-0000-0000-000042510000}"/>
    <cellStyle name="Calculation 16 2 20 4 3" xfId="20834" xr:uid="{00000000-0005-0000-0000-000043510000}"/>
    <cellStyle name="Calculation 16 2 20 4 4" xfId="20835" xr:uid="{00000000-0005-0000-0000-000044510000}"/>
    <cellStyle name="Calculation 16 2 20 4 5" xfId="20836" xr:uid="{00000000-0005-0000-0000-000045510000}"/>
    <cellStyle name="Calculation 16 2 20 4 6" xfId="20837" xr:uid="{00000000-0005-0000-0000-000046510000}"/>
    <cellStyle name="Calculation 16 2 20 5" xfId="20838" xr:uid="{00000000-0005-0000-0000-000047510000}"/>
    <cellStyle name="Calculation 16 2 20 5 2" xfId="20839" xr:uid="{00000000-0005-0000-0000-000048510000}"/>
    <cellStyle name="Calculation 16 2 20 5 3" xfId="20840" xr:uid="{00000000-0005-0000-0000-000049510000}"/>
    <cellStyle name="Calculation 16 2 20 5 4" xfId="20841" xr:uid="{00000000-0005-0000-0000-00004A510000}"/>
    <cellStyle name="Calculation 16 2 20 5 5" xfId="20842" xr:uid="{00000000-0005-0000-0000-00004B510000}"/>
    <cellStyle name="Calculation 16 2 20 5 6" xfId="20843" xr:uid="{00000000-0005-0000-0000-00004C510000}"/>
    <cellStyle name="Calculation 16 2 20 6" xfId="20844" xr:uid="{00000000-0005-0000-0000-00004D510000}"/>
    <cellStyle name="Calculation 16 2 20 6 2" xfId="20845" xr:uid="{00000000-0005-0000-0000-00004E510000}"/>
    <cellStyle name="Calculation 16 2 20 6 3" xfId="20846" xr:uid="{00000000-0005-0000-0000-00004F510000}"/>
    <cellStyle name="Calculation 16 2 20 6 4" xfId="20847" xr:uid="{00000000-0005-0000-0000-000050510000}"/>
    <cellStyle name="Calculation 16 2 20 6 5" xfId="20848" xr:uid="{00000000-0005-0000-0000-000051510000}"/>
    <cellStyle name="Calculation 16 2 20 6 6" xfId="20849" xr:uid="{00000000-0005-0000-0000-000052510000}"/>
    <cellStyle name="Calculation 16 2 20 7" xfId="20850" xr:uid="{00000000-0005-0000-0000-000053510000}"/>
    <cellStyle name="Calculation 16 2 20 7 2" xfId="20851" xr:uid="{00000000-0005-0000-0000-000054510000}"/>
    <cellStyle name="Calculation 16 2 20 7 3" xfId="20852" xr:uid="{00000000-0005-0000-0000-000055510000}"/>
    <cellStyle name="Calculation 16 2 20 7 4" xfId="20853" xr:uid="{00000000-0005-0000-0000-000056510000}"/>
    <cellStyle name="Calculation 16 2 20 7 5" xfId="20854" xr:uid="{00000000-0005-0000-0000-000057510000}"/>
    <cellStyle name="Calculation 16 2 20 7 6" xfId="20855" xr:uid="{00000000-0005-0000-0000-000058510000}"/>
    <cellStyle name="Calculation 16 2 20 8" xfId="20856" xr:uid="{00000000-0005-0000-0000-000059510000}"/>
    <cellStyle name="Calculation 16 2 20 9" xfId="20857" xr:uid="{00000000-0005-0000-0000-00005A510000}"/>
    <cellStyle name="Calculation 16 2 21" xfId="20858" xr:uid="{00000000-0005-0000-0000-00005B510000}"/>
    <cellStyle name="Calculation 16 2 21 10" xfId="20859" xr:uid="{00000000-0005-0000-0000-00005C510000}"/>
    <cellStyle name="Calculation 16 2 21 2" xfId="20860" xr:uid="{00000000-0005-0000-0000-00005D510000}"/>
    <cellStyle name="Calculation 16 2 21 2 2" xfId="20861" xr:uid="{00000000-0005-0000-0000-00005E510000}"/>
    <cellStyle name="Calculation 16 2 21 2 3" xfId="20862" xr:uid="{00000000-0005-0000-0000-00005F510000}"/>
    <cellStyle name="Calculation 16 2 21 2 4" xfId="20863" xr:uid="{00000000-0005-0000-0000-000060510000}"/>
    <cellStyle name="Calculation 16 2 21 2 5" xfId="20864" xr:uid="{00000000-0005-0000-0000-000061510000}"/>
    <cellStyle name="Calculation 16 2 21 2 6" xfId="20865" xr:uid="{00000000-0005-0000-0000-000062510000}"/>
    <cellStyle name="Calculation 16 2 21 3" xfId="20866" xr:uid="{00000000-0005-0000-0000-000063510000}"/>
    <cellStyle name="Calculation 16 2 21 3 2" xfId="20867" xr:uid="{00000000-0005-0000-0000-000064510000}"/>
    <cellStyle name="Calculation 16 2 21 3 3" xfId="20868" xr:uid="{00000000-0005-0000-0000-000065510000}"/>
    <cellStyle name="Calculation 16 2 21 3 4" xfId="20869" xr:uid="{00000000-0005-0000-0000-000066510000}"/>
    <cellStyle name="Calculation 16 2 21 3 5" xfId="20870" xr:uid="{00000000-0005-0000-0000-000067510000}"/>
    <cellStyle name="Calculation 16 2 21 3 6" xfId="20871" xr:uid="{00000000-0005-0000-0000-000068510000}"/>
    <cellStyle name="Calculation 16 2 21 4" xfId="20872" xr:uid="{00000000-0005-0000-0000-000069510000}"/>
    <cellStyle name="Calculation 16 2 21 4 2" xfId="20873" xr:uid="{00000000-0005-0000-0000-00006A510000}"/>
    <cellStyle name="Calculation 16 2 21 4 3" xfId="20874" xr:uid="{00000000-0005-0000-0000-00006B510000}"/>
    <cellStyle name="Calculation 16 2 21 4 4" xfId="20875" xr:uid="{00000000-0005-0000-0000-00006C510000}"/>
    <cellStyle name="Calculation 16 2 21 4 5" xfId="20876" xr:uid="{00000000-0005-0000-0000-00006D510000}"/>
    <cellStyle name="Calculation 16 2 21 4 6" xfId="20877" xr:uid="{00000000-0005-0000-0000-00006E510000}"/>
    <cellStyle name="Calculation 16 2 21 5" xfId="20878" xr:uid="{00000000-0005-0000-0000-00006F510000}"/>
    <cellStyle name="Calculation 16 2 21 5 2" xfId="20879" xr:uid="{00000000-0005-0000-0000-000070510000}"/>
    <cellStyle name="Calculation 16 2 21 5 3" xfId="20880" xr:uid="{00000000-0005-0000-0000-000071510000}"/>
    <cellStyle name="Calculation 16 2 21 5 4" xfId="20881" xr:uid="{00000000-0005-0000-0000-000072510000}"/>
    <cellStyle name="Calculation 16 2 21 5 5" xfId="20882" xr:uid="{00000000-0005-0000-0000-000073510000}"/>
    <cellStyle name="Calculation 16 2 21 5 6" xfId="20883" xr:uid="{00000000-0005-0000-0000-000074510000}"/>
    <cellStyle name="Calculation 16 2 21 6" xfId="20884" xr:uid="{00000000-0005-0000-0000-000075510000}"/>
    <cellStyle name="Calculation 16 2 21 6 2" xfId="20885" xr:uid="{00000000-0005-0000-0000-000076510000}"/>
    <cellStyle name="Calculation 16 2 21 6 3" xfId="20886" xr:uid="{00000000-0005-0000-0000-000077510000}"/>
    <cellStyle name="Calculation 16 2 21 6 4" xfId="20887" xr:uid="{00000000-0005-0000-0000-000078510000}"/>
    <cellStyle name="Calculation 16 2 21 6 5" xfId="20888" xr:uid="{00000000-0005-0000-0000-000079510000}"/>
    <cellStyle name="Calculation 16 2 21 6 6" xfId="20889" xr:uid="{00000000-0005-0000-0000-00007A510000}"/>
    <cellStyle name="Calculation 16 2 21 7" xfId="20890" xr:uid="{00000000-0005-0000-0000-00007B510000}"/>
    <cellStyle name="Calculation 16 2 21 7 2" xfId="20891" xr:uid="{00000000-0005-0000-0000-00007C510000}"/>
    <cellStyle name="Calculation 16 2 21 7 3" xfId="20892" xr:uid="{00000000-0005-0000-0000-00007D510000}"/>
    <cellStyle name="Calculation 16 2 21 7 4" xfId="20893" xr:uid="{00000000-0005-0000-0000-00007E510000}"/>
    <cellStyle name="Calculation 16 2 21 7 5" xfId="20894" xr:uid="{00000000-0005-0000-0000-00007F510000}"/>
    <cellStyle name="Calculation 16 2 21 7 6" xfId="20895" xr:uid="{00000000-0005-0000-0000-000080510000}"/>
    <cellStyle name="Calculation 16 2 21 8" xfId="20896" xr:uid="{00000000-0005-0000-0000-000081510000}"/>
    <cellStyle name="Calculation 16 2 21 9" xfId="20897" xr:uid="{00000000-0005-0000-0000-000082510000}"/>
    <cellStyle name="Calculation 16 2 22" xfId="20898" xr:uid="{00000000-0005-0000-0000-000083510000}"/>
    <cellStyle name="Calculation 16 2 22 10" xfId="20899" xr:uid="{00000000-0005-0000-0000-000084510000}"/>
    <cellStyle name="Calculation 16 2 22 2" xfId="20900" xr:uid="{00000000-0005-0000-0000-000085510000}"/>
    <cellStyle name="Calculation 16 2 22 2 2" xfId="20901" xr:uid="{00000000-0005-0000-0000-000086510000}"/>
    <cellStyle name="Calculation 16 2 22 2 3" xfId="20902" xr:uid="{00000000-0005-0000-0000-000087510000}"/>
    <cellStyle name="Calculation 16 2 22 2 4" xfId="20903" xr:uid="{00000000-0005-0000-0000-000088510000}"/>
    <cellStyle name="Calculation 16 2 22 2 5" xfId="20904" xr:uid="{00000000-0005-0000-0000-000089510000}"/>
    <cellStyle name="Calculation 16 2 22 2 6" xfId="20905" xr:uid="{00000000-0005-0000-0000-00008A510000}"/>
    <cellStyle name="Calculation 16 2 22 3" xfId="20906" xr:uid="{00000000-0005-0000-0000-00008B510000}"/>
    <cellStyle name="Calculation 16 2 22 3 2" xfId="20907" xr:uid="{00000000-0005-0000-0000-00008C510000}"/>
    <cellStyle name="Calculation 16 2 22 3 3" xfId="20908" xr:uid="{00000000-0005-0000-0000-00008D510000}"/>
    <cellStyle name="Calculation 16 2 22 3 4" xfId="20909" xr:uid="{00000000-0005-0000-0000-00008E510000}"/>
    <cellStyle name="Calculation 16 2 22 3 5" xfId="20910" xr:uid="{00000000-0005-0000-0000-00008F510000}"/>
    <cellStyle name="Calculation 16 2 22 3 6" xfId="20911" xr:uid="{00000000-0005-0000-0000-000090510000}"/>
    <cellStyle name="Calculation 16 2 22 4" xfId="20912" xr:uid="{00000000-0005-0000-0000-000091510000}"/>
    <cellStyle name="Calculation 16 2 22 4 2" xfId="20913" xr:uid="{00000000-0005-0000-0000-000092510000}"/>
    <cellStyle name="Calculation 16 2 22 4 3" xfId="20914" xr:uid="{00000000-0005-0000-0000-000093510000}"/>
    <cellStyle name="Calculation 16 2 22 4 4" xfId="20915" xr:uid="{00000000-0005-0000-0000-000094510000}"/>
    <cellStyle name="Calculation 16 2 22 4 5" xfId="20916" xr:uid="{00000000-0005-0000-0000-000095510000}"/>
    <cellStyle name="Calculation 16 2 22 4 6" xfId="20917" xr:uid="{00000000-0005-0000-0000-000096510000}"/>
    <cellStyle name="Calculation 16 2 22 5" xfId="20918" xr:uid="{00000000-0005-0000-0000-000097510000}"/>
    <cellStyle name="Calculation 16 2 22 5 2" xfId="20919" xr:uid="{00000000-0005-0000-0000-000098510000}"/>
    <cellStyle name="Calculation 16 2 22 5 3" xfId="20920" xr:uid="{00000000-0005-0000-0000-000099510000}"/>
    <cellStyle name="Calculation 16 2 22 5 4" xfId="20921" xr:uid="{00000000-0005-0000-0000-00009A510000}"/>
    <cellStyle name="Calculation 16 2 22 5 5" xfId="20922" xr:uid="{00000000-0005-0000-0000-00009B510000}"/>
    <cellStyle name="Calculation 16 2 22 5 6" xfId="20923" xr:uid="{00000000-0005-0000-0000-00009C510000}"/>
    <cellStyle name="Calculation 16 2 22 6" xfId="20924" xr:uid="{00000000-0005-0000-0000-00009D510000}"/>
    <cellStyle name="Calculation 16 2 22 6 2" xfId="20925" xr:uid="{00000000-0005-0000-0000-00009E510000}"/>
    <cellStyle name="Calculation 16 2 22 6 3" xfId="20926" xr:uid="{00000000-0005-0000-0000-00009F510000}"/>
    <cellStyle name="Calculation 16 2 22 6 4" xfId="20927" xr:uid="{00000000-0005-0000-0000-0000A0510000}"/>
    <cellStyle name="Calculation 16 2 22 6 5" xfId="20928" xr:uid="{00000000-0005-0000-0000-0000A1510000}"/>
    <cellStyle name="Calculation 16 2 22 6 6" xfId="20929" xr:uid="{00000000-0005-0000-0000-0000A2510000}"/>
    <cellStyle name="Calculation 16 2 22 7" xfId="20930" xr:uid="{00000000-0005-0000-0000-0000A3510000}"/>
    <cellStyle name="Calculation 16 2 22 7 2" xfId="20931" xr:uid="{00000000-0005-0000-0000-0000A4510000}"/>
    <cellStyle name="Calculation 16 2 22 7 3" xfId="20932" xr:uid="{00000000-0005-0000-0000-0000A5510000}"/>
    <cellStyle name="Calculation 16 2 22 7 4" xfId="20933" xr:uid="{00000000-0005-0000-0000-0000A6510000}"/>
    <cellStyle name="Calculation 16 2 22 7 5" xfId="20934" xr:uid="{00000000-0005-0000-0000-0000A7510000}"/>
    <cellStyle name="Calculation 16 2 22 7 6" xfId="20935" xr:uid="{00000000-0005-0000-0000-0000A8510000}"/>
    <cellStyle name="Calculation 16 2 22 8" xfId="20936" xr:uid="{00000000-0005-0000-0000-0000A9510000}"/>
    <cellStyle name="Calculation 16 2 22 9" xfId="20937" xr:uid="{00000000-0005-0000-0000-0000AA510000}"/>
    <cellStyle name="Calculation 16 2 23" xfId="20938" xr:uid="{00000000-0005-0000-0000-0000AB510000}"/>
    <cellStyle name="Calculation 16 2 23 10" xfId="20939" xr:uid="{00000000-0005-0000-0000-0000AC510000}"/>
    <cellStyle name="Calculation 16 2 23 2" xfId="20940" xr:uid="{00000000-0005-0000-0000-0000AD510000}"/>
    <cellStyle name="Calculation 16 2 23 2 2" xfId="20941" xr:uid="{00000000-0005-0000-0000-0000AE510000}"/>
    <cellStyle name="Calculation 16 2 23 2 3" xfId="20942" xr:uid="{00000000-0005-0000-0000-0000AF510000}"/>
    <cellStyle name="Calculation 16 2 23 2 4" xfId="20943" xr:uid="{00000000-0005-0000-0000-0000B0510000}"/>
    <cellStyle name="Calculation 16 2 23 2 5" xfId="20944" xr:uid="{00000000-0005-0000-0000-0000B1510000}"/>
    <cellStyle name="Calculation 16 2 23 2 6" xfId="20945" xr:uid="{00000000-0005-0000-0000-0000B2510000}"/>
    <cellStyle name="Calculation 16 2 23 3" xfId="20946" xr:uid="{00000000-0005-0000-0000-0000B3510000}"/>
    <cellStyle name="Calculation 16 2 23 3 2" xfId="20947" xr:uid="{00000000-0005-0000-0000-0000B4510000}"/>
    <cellStyle name="Calculation 16 2 23 3 3" xfId="20948" xr:uid="{00000000-0005-0000-0000-0000B5510000}"/>
    <cellStyle name="Calculation 16 2 23 3 4" xfId="20949" xr:uid="{00000000-0005-0000-0000-0000B6510000}"/>
    <cellStyle name="Calculation 16 2 23 3 5" xfId="20950" xr:uid="{00000000-0005-0000-0000-0000B7510000}"/>
    <cellStyle name="Calculation 16 2 23 3 6" xfId="20951" xr:uid="{00000000-0005-0000-0000-0000B8510000}"/>
    <cellStyle name="Calculation 16 2 23 4" xfId="20952" xr:uid="{00000000-0005-0000-0000-0000B9510000}"/>
    <cellStyle name="Calculation 16 2 23 4 2" xfId="20953" xr:uid="{00000000-0005-0000-0000-0000BA510000}"/>
    <cellStyle name="Calculation 16 2 23 4 3" xfId="20954" xr:uid="{00000000-0005-0000-0000-0000BB510000}"/>
    <cellStyle name="Calculation 16 2 23 4 4" xfId="20955" xr:uid="{00000000-0005-0000-0000-0000BC510000}"/>
    <cellStyle name="Calculation 16 2 23 4 5" xfId="20956" xr:uid="{00000000-0005-0000-0000-0000BD510000}"/>
    <cellStyle name="Calculation 16 2 23 4 6" xfId="20957" xr:uid="{00000000-0005-0000-0000-0000BE510000}"/>
    <cellStyle name="Calculation 16 2 23 5" xfId="20958" xr:uid="{00000000-0005-0000-0000-0000BF510000}"/>
    <cellStyle name="Calculation 16 2 23 5 2" xfId="20959" xr:uid="{00000000-0005-0000-0000-0000C0510000}"/>
    <cellStyle name="Calculation 16 2 23 5 3" xfId="20960" xr:uid="{00000000-0005-0000-0000-0000C1510000}"/>
    <cellStyle name="Calculation 16 2 23 5 4" xfId="20961" xr:uid="{00000000-0005-0000-0000-0000C2510000}"/>
    <cellStyle name="Calculation 16 2 23 5 5" xfId="20962" xr:uid="{00000000-0005-0000-0000-0000C3510000}"/>
    <cellStyle name="Calculation 16 2 23 5 6" xfId="20963" xr:uid="{00000000-0005-0000-0000-0000C4510000}"/>
    <cellStyle name="Calculation 16 2 23 6" xfId="20964" xr:uid="{00000000-0005-0000-0000-0000C5510000}"/>
    <cellStyle name="Calculation 16 2 23 6 2" xfId="20965" xr:uid="{00000000-0005-0000-0000-0000C6510000}"/>
    <cellStyle name="Calculation 16 2 23 6 3" xfId="20966" xr:uid="{00000000-0005-0000-0000-0000C7510000}"/>
    <cellStyle name="Calculation 16 2 23 6 4" xfId="20967" xr:uid="{00000000-0005-0000-0000-0000C8510000}"/>
    <cellStyle name="Calculation 16 2 23 6 5" xfId="20968" xr:uid="{00000000-0005-0000-0000-0000C9510000}"/>
    <cellStyle name="Calculation 16 2 23 6 6" xfId="20969" xr:uid="{00000000-0005-0000-0000-0000CA510000}"/>
    <cellStyle name="Calculation 16 2 23 7" xfId="20970" xr:uid="{00000000-0005-0000-0000-0000CB510000}"/>
    <cellStyle name="Calculation 16 2 23 7 2" xfId="20971" xr:uid="{00000000-0005-0000-0000-0000CC510000}"/>
    <cellStyle name="Calculation 16 2 23 7 3" xfId="20972" xr:uid="{00000000-0005-0000-0000-0000CD510000}"/>
    <cellStyle name="Calculation 16 2 23 7 4" xfId="20973" xr:uid="{00000000-0005-0000-0000-0000CE510000}"/>
    <cellStyle name="Calculation 16 2 23 7 5" xfId="20974" xr:uid="{00000000-0005-0000-0000-0000CF510000}"/>
    <cellStyle name="Calculation 16 2 23 7 6" xfId="20975" xr:uid="{00000000-0005-0000-0000-0000D0510000}"/>
    <cellStyle name="Calculation 16 2 23 8" xfId="20976" xr:uid="{00000000-0005-0000-0000-0000D1510000}"/>
    <cellStyle name="Calculation 16 2 23 9" xfId="20977" xr:uid="{00000000-0005-0000-0000-0000D2510000}"/>
    <cellStyle name="Calculation 16 2 24" xfId="20978" xr:uid="{00000000-0005-0000-0000-0000D3510000}"/>
    <cellStyle name="Calculation 16 2 24 10" xfId="20979" xr:uid="{00000000-0005-0000-0000-0000D4510000}"/>
    <cellStyle name="Calculation 16 2 24 2" xfId="20980" xr:uid="{00000000-0005-0000-0000-0000D5510000}"/>
    <cellStyle name="Calculation 16 2 24 2 2" xfId="20981" xr:uid="{00000000-0005-0000-0000-0000D6510000}"/>
    <cellStyle name="Calculation 16 2 24 2 3" xfId="20982" xr:uid="{00000000-0005-0000-0000-0000D7510000}"/>
    <cellStyle name="Calculation 16 2 24 2 4" xfId="20983" xr:uid="{00000000-0005-0000-0000-0000D8510000}"/>
    <cellStyle name="Calculation 16 2 24 2 5" xfId="20984" xr:uid="{00000000-0005-0000-0000-0000D9510000}"/>
    <cellStyle name="Calculation 16 2 24 2 6" xfId="20985" xr:uid="{00000000-0005-0000-0000-0000DA510000}"/>
    <cellStyle name="Calculation 16 2 24 3" xfId="20986" xr:uid="{00000000-0005-0000-0000-0000DB510000}"/>
    <cellStyle name="Calculation 16 2 24 3 2" xfId="20987" xr:uid="{00000000-0005-0000-0000-0000DC510000}"/>
    <cellStyle name="Calculation 16 2 24 3 3" xfId="20988" xr:uid="{00000000-0005-0000-0000-0000DD510000}"/>
    <cellStyle name="Calculation 16 2 24 3 4" xfId="20989" xr:uid="{00000000-0005-0000-0000-0000DE510000}"/>
    <cellStyle name="Calculation 16 2 24 3 5" xfId="20990" xr:uid="{00000000-0005-0000-0000-0000DF510000}"/>
    <cellStyle name="Calculation 16 2 24 3 6" xfId="20991" xr:uid="{00000000-0005-0000-0000-0000E0510000}"/>
    <cellStyle name="Calculation 16 2 24 4" xfId="20992" xr:uid="{00000000-0005-0000-0000-0000E1510000}"/>
    <cellStyle name="Calculation 16 2 24 4 2" xfId="20993" xr:uid="{00000000-0005-0000-0000-0000E2510000}"/>
    <cellStyle name="Calculation 16 2 24 4 3" xfId="20994" xr:uid="{00000000-0005-0000-0000-0000E3510000}"/>
    <cellStyle name="Calculation 16 2 24 4 4" xfId="20995" xr:uid="{00000000-0005-0000-0000-0000E4510000}"/>
    <cellStyle name="Calculation 16 2 24 4 5" xfId="20996" xr:uid="{00000000-0005-0000-0000-0000E5510000}"/>
    <cellStyle name="Calculation 16 2 24 4 6" xfId="20997" xr:uid="{00000000-0005-0000-0000-0000E6510000}"/>
    <cellStyle name="Calculation 16 2 24 5" xfId="20998" xr:uid="{00000000-0005-0000-0000-0000E7510000}"/>
    <cellStyle name="Calculation 16 2 24 5 2" xfId="20999" xr:uid="{00000000-0005-0000-0000-0000E8510000}"/>
    <cellStyle name="Calculation 16 2 24 5 3" xfId="21000" xr:uid="{00000000-0005-0000-0000-0000E9510000}"/>
    <cellStyle name="Calculation 16 2 24 5 4" xfId="21001" xr:uid="{00000000-0005-0000-0000-0000EA510000}"/>
    <cellStyle name="Calculation 16 2 24 5 5" xfId="21002" xr:uid="{00000000-0005-0000-0000-0000EB510000}"/>
    <cellStyle name="Calculation 16 2 24 5 6" xfId="21003" xr:uid="{00000000-0005-0000-0000-0000EC510000}"/>
    <cellStyle name="Calculation 16 2 24 6" xfId="21004" xr:uid="{00000000-0005-0000-0000-0000ED510000}"/>
    <cellStyle name="Calculation 16 2 24 6 2" xfId="21005" xr:uid="{00000000-0005-0000-0000-0000EE510000}"/>
    <cellStyle name="Calculation 16 2 24 6 3" xfId="21006" xr:uid="{00000000-0005-0000-0000-0000EF510000}"/>
    <cellStyle name="Calculation 16 2 24 6 4" xfId="21007" xr:uid="{00000000-0005-0000-0000-0000F0510000}"/>
    <cellStyle name="Calculation 16 2 24 6 5" xfId="21008" xr:uid="{00000000-0005-0000-0000-0000F1510000}"/>
    <cellStyle name="Calculation 16 2 24 6 6" xfId="21009" xr:uid="{00000000-0005-0000-0000-0000F2510000}"/>
    <cellStyle name="Calculation 16 2 24 7" xfId="21010" xr:uid="{00000000-0005-0000-0000-0000F3510000}"/>
    <cellStyle name="Calculation 16 2 24 7 2" xfId="21011" xr:uid="{00000000-0005-0000-0000-0000F4510000}"/>
    <cellStyle name="Calculation 16 2 24 7 3" xfId="21012" xr:uid="{00000000-0005-0000-0000-0000F5510000}"/>
    <cellStyle name="Calculation 16 2 24 7 4" xfId="21013" xr:uid="{00000000-0005-0000-0000-0000F6510000}"/>
    <cellStyle name="Calculation 16 2 24 7 5" xfId="21014" xr:uid="{00000000-0005-0000-0000-0000F7510000}"/>
    <cellStyle name="Calculation 16 2 24 7 6" xfId="21015" xr:uid="{00000000-0005-0000-0000-0000F8510000}"/>
    <cellStyle name="Calculation 16 2 24 8" xfId="21016" xr:uid="{00000000-0005-0000-0000-0000F9510000}"/>
    <cellStyle name="Calculation 16 2 24 9" xfId="21017" xr:uid="{00000000-0005-0000-0000-0000FA510000}"/>
    <cellStyle name="Calculation 16 2 25" xfId="21018" xr:uid="{00000000-0005-0000-0000-0000FB510000}"/>
    <cellStyle name="Calculation 16 2 25 10" xfId="21019" xr:uid="{00000000-0005-0000-0000-0000FC510000}"/>
    <cellStyle name="Calculation 16 2 25 2" xfId="21020" xr:uid="{00000000-0005-0000-0000-0000FD510000}"/>
    <cellStyle name="Calculation 16 2 25 2 2" xfId="21021" xr:uid="{00000000-0005-0000-0000-0000FE510000}"/>
    <cellStyle name="Calculation 16 2 25 2 3" xfId="21022" xr:uid="{00000000-0005-0000-0000-0000FF510000}"/>
    <cellStyle name="Calculation 16 2 25 2 4" xfId="21023" xr:uid="{00000000-0005-0000-0000-000000520000}"/>
    <cellStyle name="Calculation 16 2 25 2 5" xfId="21024" xr:uid="{00000000-0005-0000-0000-000001520000}"/>
    <cellStyle name="Calculation 16 2 25 2 6" xfId="21025" xr:uid="{00000000-0005-0000-0000-000002520000}"/>
    <cellStyle name="Calculation 16 2 25 3" xfId="21026" xr:uid="{00000000-0005-0000-0000-000003520000}"/>
    <cellStyle name="Calculation 16 2 25 3 2" xfId="21027" xr:uid="{00000000-0005-0000-0000-000004520000}"/>
    <cellStyle name="Calculation 16 2 25 3 3" xfId="21028" xr:uid="{00000000-0005-0000-0000-000005520000}"/>
    <cellStyle name="Calculation 16 2 25 3 4" xfId="21029" xr:uid="{00000000-0005-0000-0000-000006520000}"/>
    <cellStyle name="Calculation 16 2 25 3 5" xfId="21030" xr:uid="{00000000-0005-0000-0000-000007520000}"/>
    <cellStyle name="Calculation 16 2 25 3 6" xfId="21031" xr:uid="{00000000-0005-0000-0000-000008520000}"/>
    <cellStyle name="Calculation 16 2 25 4" xfId="21032" xr:uid="{00000000-0005-0000-0000-000009520000}"/>
    <cellStyle name="Calculation 16 2 25 4 2" xfId="21033" xr:uid="{00000000-0005-0000-0000-00000A520000}"/>
    <cellStyle name="Calculation 16 2 25 4 3" xfId="21034" xr:uid="{00000000-0005-0000-0000-00000B520000}"/>
    <cellStyle name="Calculation 16 2 25 4 4" xfId="21035" xr:uid="{00000000-0005-0000-0000-00000C520000}"/>
    <cellStyle name="Calculation 16 2 25 4 5" xfId="21036" xr:uid="{00000000-0005-0000-0000-00000D520000}"/>
    <cellStyle name="Calculation 16 2 25 4 6" xfId="21037" xr:uid="{00000000-0005-0000-0000-00000E520000}"/>
    <cellStyle name="Calculation 16 2 25 5" xfId="21038" xr:uid="{00000000-0005-0000-0000-00000F520000}"/>
    <cellStyle name="Calculation 16 2 25 5 2" xfId="21039" xr:uid="{00000000-0005-0000-0000-000010520000}"/>
    <cellStyle name="Calculation 16 2 25 5 3" xfId="21040" xr:uid="{00000000-0005-0000-0000-000011520000}"/>
    <cellStyle name="Calculation 16 2 25 5 4" xfId="21041" xr:uid="{00000000-0005-0000-0000-000012520000}"/>
    <cellStyle name="Calculation 16 2 25 5 5" xfId="21042" xr:uid="{00000000-0005-0000-0000-000013520000}"/>
    <cellStyle name="Calculation 16 2 25 5 6" xfId="21043" xr:uid="{00000000-0005-0000-0000-000014520000}"/>
    <cellStyle name="Calculation 16 2 25 6" xfId="21044" xr:uid="{00000000-0005-0000-0000-000015520000}"/>
    <cellStyle name="Calculation 16 2 25 6 2" xfId="21045" xr:uid="{00000000-0005-0000-0000-000016520000}"/>
    <cellStyle name="Calculation 16 2 25 6 3" xfId="21046" xr:uid="{00000000-0005-0000-0000-000017520000}"/>
    <cellStyle name="Calculation 16 2 25 6 4" xfId="21047" xr:uid="{00000000-0005-0000-0000-000018520000}"/>
    <cellStyle name="Calculation 16 2 25 6 5" xfId="21048" xr:uid="{00000000-0005-0000-0000-000019520000}"/>
    <cellStyle name="Calculation 16 2 25 6 6" xfId="21049" xr:uid="{00000000-0005-0000-0000-00001A520000}"/>
    <cellStyle name="Calculation 16 2 25 7" xfId="21050" xr:uid="{00000000-0005-0000-0000-00001B520000}"/>
    <cellStyle name="Calculation 16 2 25 7 2" xfId="21051" xr:uid="{00000000-0005-0000-0000-00001C520000}"/>
    <cellStyle name="Calculation 16 2 25 7 3" xfId="21052" xr:uid="{00000000-0005-0000-0000-00001D520000}"/>
    <cellStyle name="Calculation 16 2 25 7 4" xfId="21053" xr:uid="{00000000-0005-0000-0000-00001E520000}"/>
    <cellStyle name="Calculation 16 2 25 7 5" xfId="21054" xr:uid="{00000000-0005-0000-0000-00001F520000}"/>
    <cellStyle name="Calculation 16 2 25 7 6" xfId="21055" xr:uid="{00000000-0005-0000-0000-000020520000}"/>
    <cellStyle name="Calculation 16 2 25 8" xfId="21056" xr:uid="{00000000-0005-0000-0000-000021520000}"/>
    <cellStyle name="Calculation 16 2 25 9" xfId="21057" xr:uid="{00000000-0005-0000-0000-000022520000}"/>
    <cellStyle name="Calculation 16 2 26" xfId="21058" xr:uid="{00000000-0005-0000-0000-000023520000}"/>
    <cellStyle name="Calculation 16 2 26 10" xfId="21059" xr:uid="{00000000-0005-0000-0000-000024520000}"/>
    <cellStyle name="Calculation 16 2 26 2" xfId="21060" xr:uid="{00000000-0005-0000-0000-000025520000}"/>
    <cellStyle name="Calculation 16 2 26 2 2" xfId="21061" xr:uid="{00000000-0005-0000-0000-000026520000}"/>
    <cellStyle name="Calculation 16 2 26 2 3" xfId="21062" xr:uid="{00000000-0005-0000-0000-000027520000}"/>
    <cellStyle name="Calculation 16 2 26 2 4" xfId="21063" xr:uid="{00000000-0005-0000-0000-000028520000}"/>
    <cellStyle name="Calculation 16 2 26 2 5" xfId="21064" xr:uid="{00000000-0005-0000-0000-000029520000}"/>
    <cellStyle name="Calculation 16 2 26 2 6" xfId="21065" xr:uid="{00000000-0005-0000-0000-00002A520000}"/>
    <cellStyle name="Calculation 16 2 26 3" xfId="21066" xr:uid="{00000000-0005-0000-0000-00002B520000}"/>
    <cellStyle name="Calculation 16 2 26 3 2" xfId="21067" xr:uid="{00000000-0005-0000-0000-00002C520000}"/>
    <cellStyle name="Calculation 16 2 26 3 3" xfId="21068" xr:uid="{00000000-0005-0000-0000-00002D520000}"/>
    <cellStyle name="Calculation 16 2 26 3 4" xfId="21069" xr:uid="{00000000-0005-0000-0000-00002E520000}"/>
    <cellStyle name="Calculation 16 2 26 3 5" xfId="21070" xr:uid="{00000000-0005-0000-0000-00002F520000}"/>
    <cellStyle name="Calculation 16 2 26 3 6" xfId="21071" xr:uid="{00000000-0005-0000-0000-000030520000}"/>
    <cellStyle name="Calculation 16 2 26 4" xfId="21072" xr:uid="{00000000-0005-0000-0000-000031520000}"/>
    <cellStyle name="Calculation 16 2 26 4 2" xfId="21073" xr:uid="{00000000-0005-0000-0000-000032520000}"/>
    <cellStyle name="Calculation 16 2 26 4 3" xfId="21074" xr:uid="{00000000-0005-0000-0000-000033520000}"/>
    <cellStyle name="Calculation 16 2 26 4 4" xfId="21075" xr:uid="{00000000-0005-0000-0000-000034520000}"/>
    <cellStyle name="Calculation 16 2 26 4 5" xfId="21076" xr:uid="{00000000-0005-0000-0000-000035520000}"/>
    <cellStyle name="Calculation 16 2 26 4 6" xfId="21077" xr:uid="{00000000-0005-0000-0000-000036520000}"/>
    <cellStyle name="Calculation 16 2 26 5" xfId="21078" xr:uid="{00000000-0005-0000-0000-000037520000}"/>
    <cellStyle name="Calculation 16 2 26 5 2" xfId="21079" xr:uid="{00000000-0005-0000-0000-000038520000}"/>
    <cellStyle name="Calculation 16 2 26 5 3" xfId="21080" xr:uid="{00000000-0005-0000-0000-000039520000}"/>
    <cellStyle name="Calculation 16 2 26 5 4" xfId="21081" xr:uid="{00000000-0005-0000-0000-00003A520000}"/>
    <cellStyle name="Calculation 16 2 26 5 5" xfId="21082" xr:uid="{00000000-0005-0000-0000-00003B520000}"/>
    <cellStyle name="Calculation 16 2 26 5 6" xfId="21083" xr:uid="{00000000-0005-0000-0000-00003C520000}"/>
    <cellStyle name="Calculation 16 2 26 6" xfId="21084" xr:uid="{00000000-0005-0000-0000-00003D520000}"/>
    <cellStyle name="Calculation 16 2 26 6 2" xfId="21085" xr:uid="{00000000-0005-0000-0000-00003E520000}"/>
    <cellStyle name="Calculation 16 2 26 6 3" xfId="21086" xr:uid="{00000000-0005-0000-0000-00003F520000}"/>
    <cellStyle name="Calculation 16 2 26 6 4" xfId="21087" xr:uid="{00000000-0005-0000-0000-000040520000}"/>
    <cellStyle name="Calculation 16 2 26 6 5" xfId="21088" xr:uid="{00000000-0005-0000-0000-000041520000}"/>
    <cellStyle name="Calculation 16 2 26 6 6" xfId="21089" xr:uid="{00000000-0005-0000-0000-000042520000}"/>
    <cellStyle name="Calculation 16 2 26 7" xfId="21090" xr:uid="{00000000-0005-0000-0000-000043520000}"/>
    <cellStyle name="Calculation 16 2 26 7 2" xfId="21091" xr:uid="{00000000-0005-0000-0000-000044520000}"/>
    <cellStyle name="Calculation 16 2 26 7 3" xfId="21092" xr:uid="{00000000-0005-0000-0000-000045520000}"/>
    <cellStyle name="Calculation 16 2 26 7 4" xfId="21093" xr:uid="{00000000-0005-0000-0000-000046520000}"/>
    <cellStyle name="Calculation 16 2 26 7 5" xfId="21094" xr:uid="{00000000-0005-0000-0000-000047520000}"/>
    <cellStyle name="Calculation 16 2 26 7 6" xfId="21095" xr:uid="{00000000-0005-0000-0000-000048520000}"/>
    <cellStyle name="Calculation 16 2 26 8" xfId="21096" xr:uid="{00000000-0005-0000-0000-000049520000}"/>
    <cellStyle name="Calculation 16 2 26 9" xfId="21097" xr:uid="{00000000-0005-0000-0000-00004A520000}"/>
    <cellStyle name="Calculation 16 2 27" xfId="21098" xr:uid="{00000000-0005-0000-0000-00004B520000}"/>
    <cellStyle name="Calculation 16 2 27 2" xfId="21099" xr:uid="{00000000-0005-0000-0000-00004C520000}"/>
    <cellStyle name="Calculation 16 2 27 3" xfId="21100" xr:uid="{00000000-0005-0000-0000-00004D520000}"/>
    <cellStyle name="Calculation 16 2 27 4" xfId="21101" xr:uid="{00000000-0005-0000-0000-00004E520000}"/>
    <cellStyle name="Calculation 16 2 27 5" xfId="21102" xr:uid="{00000000-0005-0000-0000-00004F520000}"/>
    <cellStyle name="Calculation 16 2 27 6" xfId="21103" xr:uid="{00000000-0005-0000-0000-000050520000}"/>
    <cellStyle name="Calculation 16 2 28" xfId="21104" xr:uid="{00000000-0005-0000-0000-000051520000}"/>
    <cellStyle name="Calculation 16 2 28 2" xfId="21105" xr:uid="{00000000-0005-0000-0000-000052520000}"/>
    <cellStyle name="Calculation 16 2 28 3" xfId="21106" xr:uid="{00000000-0005-0000-0000-000053520000}"/>
    <cellStyle name="Calculation 16 2 28 4" xfId="21107" xr:uid="{00000000-0005-0000-0000-000054520000}"/>
    <cellStyle name="Calculation 16 2 28 5" xfId="21108" xr:uid="{00000000-0005-0000-0000-000055520000}"/>
    <cellStyle name="Calculation 16 2 28 6" xfId="21109" xr:uid="{00000000-0005-0000-0000-000056520000}"/>
    <cellStyle name="Calculation 16 2 29" xfId="21110" xr:uid="{00000000-0005-0000-0000-000057520000}"/>
    <cellStyle name="Calculation 16 2 29 2" xfId="21111" xr:uid="{00000000-0005-0000-0000-000058520000}"/>
    <cellStyle name="Calculation 16 2 29 3" xfId="21112" xr:uid="{00000000-0005-0000-0000-000059520000}"/>
    <cellStyle name="Calculation 16 2 29 4" xfId="21113" xr:uid="{00000000-0005-0000-0000-00005A520000}"/>
    <cellStyle name="Calculation 16 2 29 5" xfId="21114" xr:uid="{00000000-0005-0000-0000-00005B520000}"/>
    <cellStyle name="Calculation 16 2 29 6" xfId="21115" xr:uid="{00000000-0005-0000-0000-00005C520000}"/>
    <cellStyle name="Calculation 16 2 3" xfId="21116" xr:uid="{00000000-0005-0000-0000-00005D520000}"/>
    <cellStyle name="Calculation 16 2 3 10" xfId="21117" xr:uid="{00000000-0005-0000-0000-00005E520000}"/>
    <cellStyle name="Calculation 16 2 3 2" xfId="21118" xr:uid="{00000000-0005-0000-0000-00005F520000}"/>
    <cellStyle name="Calculation 16 2 3 2 2" xfId="21119" xr:uid="{00000000-0005-0000-0000-000060520000}"/>
    <cellStyle name="Calculation 16 2 3 2 3" xfId="21120" xr:uid="{00000000-0005-0000-0000-000061520000}"/>
    <cellStyle name="Calculation 16 2 3 2 4" xfId="21121" xr:uid="{00000000-0005-0000-0000-000062520000}"/>
    <cellStyle name="Calculation 16 2 3 2 5" xfId="21122" xr:uid="{00000000-0005-0000-0000-000063520000}"/>
    <cellStyle name="Calculation 16 2 3 2 6" xfId="21123" xr:uid="{00000000-0005-0000-0000-000064520000}"/>
    <cellStyle name="Calculation 16 2 3 3" xfId="21124" xr:uid="{00000000-0005-0000-0000-000065520000}"/>
    <cellStyle name="Calculation 16 2 3 3 2" xfId="21125" xr:uid="{00000000-0005-0000-0000-000066520000}"/>
    <cellStyle name="Calculation 16 2 3 3 3" xfId="21126" xr:uid="{00000000-0005-0000-0000-000067520000}"/>
    <cellStyle name="Calculation 16 2 3 3 4" xfId="21127" xr:uid="{00000000-0005-0000-0000-000068520000}"/>
    <cellStyle name="Calculation 16 2 3 3 5" xfId="21128" xr:uid="{00000000-0005-0000-0000-000069520000}"/>
    <cellStyle name="Calculation 16 2 3 3 6" xfId="21129" xr:uid="{00000000-0005-0000-0000-00006A520000}"/>
    <cellStyle name="Calculation 16 2 3 4" xfId="21130" xr:uid="{00000000-0005-0000-0000-00006B520000}"/>
    <cellStyle name="Calculation 16 2 3 4 2" xfId="21131" xr:uid="{00000000-0005-0000-0000-00006C520000}"/>
    <cellStyle name="Calculation 16 2 3 4 3" xfId="21132" xr:uid="{00000000-0005-0000-0000-00006D520000}"/>
    <cellStyle name="Calculation 16 2 3 4 4" xfId="21133" xr:uid="{00000000-0005-0000-0000-00006E520000}"/>
    <cellStyle name="Calculation 16 2 3 4 5" xfId="21134" xr:uid="{00000000-0005-0000-0000-00006F520000}"/>
    <cellStyle name="Calculation 16 2 3 4 6" xfId="21135" xr:uid="{00000000-0005-0000-0000-000070520000}"/>
    <cellStyle name="Calculation 16 2 3 5" xfId="21136" xr:uid="{00000000-0005-0000-0000-000071520000}"/>
    <cellStyle name="Calculation 16 2 3 5 2" xfId="21137" xr:uid="{00000000-0005-0000-0000-000072520000}"/>
    <cellStyle name="Calculation 16 2 3 5 3" xfId="21138" xr:uid="{00000000-0005-0000-0000-000073520000}"/>
    <cellStyle name="Calculation 16 2 3 5 4" xfId="21139" xr:uid="{00000000-0005-0000-0000-000074520000}"/>
    <cellStyle name="Calculation 16 2 3 5 5" xfId="21140" xr:uid="{00000000-0005-0000-0000-000075520000}"/>
    <cellStyle name="Calculation 16 2 3 5 6" xfId="21141" xr:uid="{00000000-0005-0000-0000-000076520000}"/>
    <cellStyle name="Calculation 16 2 3 6" xfId="21142" xr:uid="{00000000-0005-0000-0000-000077520000}"/>
    <cellStyle name="Calculation 16 2 3 6 2" xfId="21143" xr:uid="{00000000-0005-0000-0000-000078520000}"/>
    <cellStyle name="Calculation 16 2 3 6 3" xfId="21144" xr:uid="{00000000-0005-0000-0000-000079520000}"/>
    <cellStyle name="Calculation 16 2 3 6 4" xfId="21145" xr:uid="{00000000-0005-0000-0000-00007A520000}"/>
    <cellStyle name="Calculation 16 2 3 6 5" xfId="21146" xr:uid="{00000000-0005-0000-0000-00007B520000}"/>
    <cellStyle name="Calculation 16 2 3 6 6" xfId="21147" xr:uid="{00000000-0005-0000-0000-00007C520000}"/>
    <cellStyle name="Calculation 16 2 3 7" xfId="21148" xr:uid="{00000000-0005-0000-0000-00007D520000}"/>
    <cellStyle name="Calculation 16 2 3 7 2" xfId="21149" xr:uid="{00000000-0005-0000-0000-00007E520000}"/>
    <cellStyle name="Calculation 16 2 3 7 3" xfId="21150" xr:uid="{00000000-0005-0000-0000-00007F520000}"/>
    <cellStyle name="Calculation 16 2 3 7 4" xfId="21151" xr:uid="{00000000-0005-0000-0000-000080520000}"/>
    <cellStyle name="Calculation 16 2 3 7 5" xfId="21152" xr:uid="{00000000-0005-0000-0000-000081520000}"/>
    <cellStyle name="Calculation 16 2 3 7 6" xfId="21153" xr:uid="{00000000-0005-0000-0000-000082520000}"/>
    <cellStyle name="Calculation 16 2 3 8" xfId="21154" xr:uid="{00000000-0005-0000-0000-000083520000}"/>
    <cellStyle name="Calculation 16 2 3 9" xfId="21155" xr:uid="{00000000-0005-0000-0000-000084520000}"/>
    <cellStyle name="Calculation 16 2 30" xfId="21156" xr:uid="{00000000-0005-0000-0000-000085520000}"/>
    <cellStyle name="Calculation 16 2 30 2" xfId="21157" xr:uid="{00000000-0005-0000-0000-000086520000}"/>
    <cellStyle name="Calculation 16 2 30 3" xfId="21158" xr:uid="{00000000-0005-0000-0000-000087520000}"/>
    <cellStyle name="Calculation 16 2 30 4" xfId="21159" xr:uid="{00000000-0005-0000-0000-000088520000}"/>
    <cellStyle name="Calculation 16 2 30 5" xfId="21160" xr:uid="{00000000-0005-0000-0000-000089520000}"/>
    <cellStyle name="Calculation 16 2 30 6" xfId="21161" xr:uid="{00000000-0005-0000-0000-00008A520000}"/>
    <cellStyle name="Calculation 16 2 31" xfId="21162" xr:uid="{00000000-0005-0000-0000-00008B520000}"/>
    <cellStyle name="Calculation 16 2 31 2" xfId="21163" xr:uid="{00000000-0005-0000-0000-00008C520000}"/>
    <cellStyle name="Calculation 16 2 31 3" xfId="21164" xr:uid="{00000000-0005-0000-0000-00008D520000}"/>
    <cellStyle name="Calculation 16 2 31 4" xfId="21165" xr:uid="{00000000-0005-0000-0000-00008E520000}"/>
    <cellStyle name="Calculation 16 2 31 5" xfId="21166" xr:uid="{00000000-0005-0000-0000-00008F520000}"/>
    <cellStyle name="Calculation 16 2 31 6" xfId="21167" xr:uid="{00000000-0005-0000-0000-000090520000}"/>
    <cellStyle name="Calculation 16 2 32" xfId="21168" xr:uid="{00000000-0005-0000-0000-000091520000}"/>
    <cellStyle name="Calculation 16 2 32 2" xfId="21169" xr:uid="{00000000-0005-0000-0000-000092520000}"/>
    <cellStyle name="Calculation 16 2 32 3" xfId="21170" xr:uid="{00000000-0005-0000-0000-000093520000}"/>
    <cellStyle name="Calculation 16 2 32 4" xfId="21171" xr:uid="{00000000-0005-0000-0000-000094520000}"/>
    <cellStyle name="Calculation 16 2 32 5" xfId="21172" xr:uid="{00000000-0005-0000-0000-000095520000}"/>
    <cellStyle name="Calculation 16 2 32 6" xfId="21173" xr:uid="{00000000-0005-0000-0000-000096520000}"/>
    <cellStyle name="Calculation 16 2 33" xfId="21174" xr:uid="{00000000-0005-0000-0000-000097520000}"/>
    <cellStyle name="Calculation 16 2 34" xfId="21175" xr:uid="{00000000-0005-0000-0000-000098520000}"/>
    <cellStyle name="Calculation 16 2 35" xfId="21176" xr:uid="{00000000-0005-0000-0000-000099520000}"/>
    <cellStyle name="Calculation 16 2 4" xfId="21177" xr:uid="{00000000-0005-0000-0000-00009A520000}"/>
    <cellStyle name="Calculation 16 2 4 10" xfId="21178" xr:uid="{00000000-0005-0000-0000-00009B520000}"/>
    <cellStyle name="Calculation 16 2 4 2" xfId="21179" xr:uid="{00000000-0005-0000-0000-00009C520000}"/>
    <cellStyle name="Calculation 16 2 4 2 2" xfId="21180" xr:uid="{00000000-0005-0000-0000-00009D520000}"/>
    <cellStyle name="Calculation 16 2 4 2 3" xfId="21181" xr:uid="{00000000-0005-0000-0000-00009E520000}"/>
    <cellStyle name="Calculation 16 2 4 2 4" xfId="21182" xr:uid="{00000000-0005-0000-0000-00009F520000}"/>
    <cellStyle name="Calculation 16 2 4 2 5" xfId="21183" xr:uid="{00000000-0005-0000-0000-0000A0520000}"/>
    <cellStyle name="Calculation 16 2 4 2 6" xfId="21184" xr:uid="{00000000-0005-0000-0000-0000A1520000}"/>
    <cellStyle name="Calculation 16 2 4 3" xfId="21185" xr:uid="{00000000-0005-0000-0000-0000A2520000}"/>
    <cellStyle name="Calculation 16 2 4 3 2" xfId="21186" xr:uid="{00000000-0005-0000-0000-0000A3520000}"/>
    <cellStyle name="Calculation 16 2 4 3 3" xfId="21187" xr:uid="{00000000-0005-0000-0000-0000A4520000}"/>
    <cellStyle name="Calculation 16 2 4 3 4" xfId="21188" xr:uid="{00000000-0005-0000-0000-0000A5520000}"/>
    <cellStyle name="Calculation 16 2 4 3 5" xfId="21189" xr:uid="{00000000-0005-0000-0000-0000A6520000}"/>
    <cellStyle name="Calculation 16 2 4 3 6" xfId="21190" xr:uid="{00000000-0005-0000-0000-0000A7520000}"/>
    <cellStyle name="Calculation 16 2 4 4" xfId="21191" xr:uid="{00000000-0005-0000-0000-0000A8520000}"/>
    <cellStyle name="Calculation 16 2 4 4 2" xfId="21192" xr:uid="{00000000-0005-0000-0000-0000A9520000}"/>
    <cellStyle name="Calculation 16 2 4 4 3" xfId="21193" xr:uid="{00000000-0005-0000-0000-0000AA520000}"/>
    <cellStyle name="Calculation 16 2 4 4 4" xfId="21194" xr:uid="{00000000-0005-0000-0000-0000AB520000}"/>
    <cellStyle name="Calculation 16 2 4 4 5" xfId="21195" xr:uid="{00000000-0005-0000-0000-0000AC520000}"/>
    <cellStyle name="Calculation 16 2 4 4 6" xfId="21196" xr:uid="{00000000-0005-0000-0000-0000AD520000}"/>
    <cellStyle name="Calculation 16 2 4 5" xfId="21197" xr:uid="{00000000-0005-0000-0000-0000AE520000}"/>
    <cellStyle name="Calculation 16 2 4 5 2" xfId="21198" xr:uid="{00000000-0005-0000-0000-0000AF520000}"/>
    <cellStyle name="Calculation 16 2 4 5 3" xfId="21199" xr:uid="{00000000-0005-0000-0000-0000B0520000}"/>
    <cellStyle name="Calculation 16 2 4 5 4" xfId="21200" xr:uid="{00000000-0005-0000-0000-0000B1520000}"/>
    <cellStyle name="Calculation 16 2 4 5 5" xfId="21201" xr:uid="{00000000-0005-0000-0000-0000B2520000}"/>
    <cellStyle name="Calculation 16 2 4 5 6" xfId="21202" xr:uid="{00000000-0005-0000-0000-0000B3520000}"/>
    <cellStyle name="Calculation 16 2 4 6" xfId="21203" xr:uid="{00000000-0005-0000-0000-0000B4520000}"/>
    <cellStyle name="Calculation 16 2 4 6 2" xfId="21204" xr:uid="{00000000-0005-0000-0000-0000B5520000}"/>
    <cellStyle name="Calculation 16 2 4 6 3" xfId="21205" xr:uid="{00000000-0005-0000-0000-0000B6520000}"/>
    <cellStyle name="Calculation 16 2 4 6 4" xfId="21206" xr:uid="{00000000-0005-0000-0000-0000B7520000}"/>
    <cellStyle name="Calculation 16 2 4 6 5" xfId="21207" xr:uid="{00000000-0005-0000-0000-0000B8520000}"/>
    <cellStyle name="Calculation 16 2 4 6 6" xfId="21208" xr:uid="{00000000-0005-0000-0000-0000B9520000}"/>
    <cellStyle name="Calculation 16 2 4 7" xfId="21209" xr:uid="{00000000-0005-0000-0000-0000BA520000}"/>
    <cellStyle name="Calculation 16 2 4 7 2" xfId="21210" xr:uid="{00000000-0005-0000-0000-0000BB520000}"/>
    <cellStyle name="Calculation 16 2 4 7 3" xfId="21211" xr:uid="{00000000-0005-0000-0000-0000BC520000}"/>
    <cellStyle name="Calculation 16 2 4 7 4" xfId="21212" xr:uid="{00000000-0005-0000-0000-0000BD520000}"/>
    <cellStyle name="Calculation 16 2 4 7 5" xfId="21213" xr:uid="{00000000-0005-0000-0000-0000BE520000}"/>
    <cellStyle name="Calculation 16 2 4 7 6" xfId="21214" xr:uid="{00000000-0005-0000-0000-0000BF520000}"/>
    <cellStyle name="Calculation 16 2 4 8" xfId="21215" xr:uid="{00000000-0005-0000-0000-0000C0520000}"/>
    <cellStyle name="Calculation 16 2 4 9" xfId="21216" xr:uid="{00000000-0005-0000-0000-0000C1520000}"/>
    <cellStyle name="Calculation 16 2 5" xfId="21217" xr:uid="{00000000-0005-0000-0000-0000C2520000}"/>
    <cellStyle name="Calculation 16 2 5 10" xfId="21218" xr:uid="{00000000-0005-0000-0000-0000C3520000}"/>
    <cellStyle name="Calculation 16 2 5 2" xfId="21219" xr:uid="{00000000-0005-0000-0000-0000C4520000}"/>
    <cellStyle name="Calculation 16 2 5 2 2" xfId="21220" xr:uid="{00000000-0005-0000-0000-0000C5520000}"/>
    <cellStyle name="Calculation 16 2 5 2 3" xfId="21221" xr:uid="{00000000-0005-0000-0000-0000C6520000}"/>
    <cellStyle name="Calculation 16 2 5 2 4" xfId="21222" xr:uid="{00000000-0005-0000-0000-0000C7520000}"/>
    <cellStyle name="Calculation 16 2 5 2 5" xfId="21223" xr:uid="{00000000-0005-0000-0000-0000C8520000}"/>
    <cellStyle name="Calculation 16 2 5 2 6" xfId="21224" xr:uid="{00000000-0005-0000-0000-0000C9520000}"/>
    <cellStyle name="Calculation 16 2 5 3" xfId="21225" xr:uid="{00000000-0005-0000-0000-0000CA520000}"/>
    <cellStyle name="Calculation 16 2 5 3 2" xfId="21226" xr:uid="{00000000-0005-0000-0000-0000CB520000}"/>
    <cellStyle name="Calculation 16 2 5 3 3" xfId="21227" xr:uid="{00000000-0005-0000-0000-0000CC520000}"/>
    <cellStyle name="Calculation 16 2 5 3 4" xfId="21228" xr:uid="{00000000-0005-0000-0000-0000CD520000}"/>
    <cellStyle name="Calculation 16 2 5 3 5" xfId="21229" xr:uid="{00000000-0005-0000-0000-0000CE520000}"/>
    <cellStyle name="Calculation 16 2 5 3 6" xfId="21230" xr:uid="{00000000-0005-0000-0000-0000CF520000}"/>
    <cellStyle name="Calculation 16 2 5 4" xfId="21231" xr:uid="{00000000-0005-0000-0000-0000D0520000}"/>
    <cellStyle name="Calculation 16 2 5 4 2" xfId="21232" xr:uid="{00000000-0005-0000-0000-0000D1520000}"/>
    <cellStyle name="Calculation 16 2 5 4 3" xfId="21233" xr:uid="{00000000-0005-0000-0000-0000D2520000}"/>
    <cellStyle name="Calculation 16 2 5 4 4" xfId="21234" xr:uid="{00000000-0005-0000-0000-0000D3520000}"/>
    <cellStyle name="Calculation 16 2 5 4 5" xfId="21235" xr:uid="{00000000-0005-0000-0000-0000D4520000}"/>
    <cellStyle name="Calculation 16 2 5 4 6" xfId="21236" xr:uid="{00000000-0005-0000-0000-0000D5520000}"/>
    <cellStyle name="Calculation 16 2 5 5" xfId="21237" xr:uid="{00000000-0005-0000-0000-0000D6520000}"/>
    <cellStyle name="Calculation 16 2 5 5 2" xfId="21238" xr:uid="{00000000-0005-0000-0000-0000D7520000}"/>
    <cellStyle name="Calculation 16 2 5 5 3" xfId="21239" xr:uid="{00000000-0005-0000-0000-0000D8520000}"/>
    <cellStyle name="Calculation 16 2 5 5 4" xfId="21240" xr:uid="{00000000-0005-0000-0000-0000D9520000}"/>
    <cellStyle name="Calculation 16 2 5 5 5" xfId="21241" xr:uid="{00000000-0005-0000-0000-0000DA520000}"/>
    <cellStyle name="Calculation 16 2 5 5 6" xfId="21242" xr:uid="{00000000-0005-0000-0000-0000DB520000}"/>
    <cellStyle name="Calculation 16 2 5 6" xfId="21243" xr:uid="{00000000-0005-0000-0000-0000DC520000}"/>
    <cellStyle name="Calculation 16 2 5 6 2" xfId="21244" xr:uid="{00000000-0005-0000-0000-0000DD520000}"/>
    <cellStyle name="Calculation 16 2 5 6 3" xfId="21245" xr:uid="{00000000-0005-0000-0000-0000DE520000}"/>
    <cellStyle name="Calculation 16 2 5 6 4" xfId="21246" xr:uid="{00000000-0005-0000-0000-0000DF520000}"/>
    <cellStyle name="Calculation 16 2 5 6 5" xfId="21247" xr:uid="{00000000-0005-0000-0000-0000E0520000}"/>
    <cellStyle name="Calculation 16 2 5 6 6" xfId="21248" xr:uid="{00000000-0005-0000-0000-0000E1520000}"/>
    <cellStyle name="Calculation 16 2 5 7" xfId="21249" xr:uid="{00000000-0005-0000-0000-0000E2520000}"/>
    <cellStyle name="Calculation 16 2 5 7 2" xfId="21250" xr:uid="{00000000-0005-0000-0000-0000E3520000}"/>
    <cellStyle name="Calculation 16 2 5 7 3" xfId="21251" xr:uid="{00000000-0005-0000-0000-0000E4520000}"/>
    <cellStyle name="Calculation 16 2 5 7 4" xfId="21252" xr:uid="{00000000-0005-0000-0000-0000E5520000}"/>
    <cellStyle name="Calculation 16 2 5 7 5" xfId="21253" xr:uid="{00000000-0005-0000-0000-0000E6520000}"/>
    <cellStyle name="Calculation 16 2 5 7 6" xfId="21254" xr:uid="{00000000-0005-0000-0000-0000E7520000}"/>
    <cellStyle name="Calculation 16 2 5 8" xfId="21255" xr:uid="{00000000-0005-0000-0000-0000E8520000}"/>
    <cellStyle name="Calculation 16 2 5 9" xfId="21256" xr:uid="{00000000-0005-0000-0000-0000E9520000}"/>
    <cellStyle name="Calculation 16 2 6" xfId="21257" xr:uid="{00000000-0005-0000-0000-0000EA520000}"/>
    <cellStyle name="Calculation 16 2 6 10" xfId="21258" xr:uid="{00000000-0005-0000-0000-0000EB520000}"/>
    <cellStyle name="Calculation 16 2 6 2" xfId="21259" xr:uid="{00000000-0005-0000-0000-0000EC520000}"/>
    <cellStyle name="Calculation 16 2 6 2 2" xfId="21260" xr:uid="{00000000-0005-0000-0000-0000ED520000}"/>
    <cellStyle name="Calculation 16 2 6 2 3" xfId="21261" xr:uid="{00000000-0005-0000-0000-0000EE520000}"/>
    <cellStyle name="Calculation 16 2 6 2 4" xfId="21262" xr:uid="{00000000-0005-0000-0000-0000EF520000}"/>
    <cellStyle name="Calculation 16 2 6 2 5" xfId="21263" xr:uid="{00000000-0005-0000-0000-0000F0520000}"/>
    <cellStyle name="Calculation 16 2 6 2 6" xfId="21264" xr:uid="{00000000-0005-0000-0000-0000F1520000}"/>
    <cellStyle name="Calculation 16 2 6 3" xfId="21265" xr:uid="{00000000-0005-0000-0000-0000F2520000}"/>
    <cellStyle name="Calculation 16 2 6 3 2" xfId="21266" xr:uid="{00000000-0005-0000-0000-0000F3520000}"/>
    <cellStyle name="Calculation 16 2 6 3 3" xfId="21267" xr:uid="{00000000-0005-0000-0000-0000F4520000}"/>
    <cellStyle name="Calculation 16 2 6 3 4" xfId="21268" xr:uid="{00000000-0005-0000-0000-0000F5520000}"/>
    <cellStyle name="Calculation 16 2 6 3 5" xfId="21269" xr:uid="{00000000-0005-0000-0000-0000F6520000}"/>
    <cellStyle name="Calculation 16 2 6 3 6" xfId="21270" xr:uid="{00000000-0005-0000-0000-0000F7520000}"/>
    <cellStyle name="Calculation 16 2 6 4" xfId="21271" xr:uid="{00000000-0005-0000-0000-0000F8520000}"/>
    <cellStyle name="Calculation 16 2 6 4 2" xfId="21272" xr:uid="{00000000-0005-0000-0000-0000F9520000}"/>
    <cellStyle name="Calculation 16 2 6 4 3" xfId="21273" xr:uid="{00000000-0005-0000-0000-0000FA520000}"/>
    <cellStyle name="Calculation 16 2 6 4 4" xfId="21274" xr:uid="{00000000-0005-0000-0000-0000FB520000}"/>
    <cellStyle name="Calculation 16 2 6 4 5" xfId="21275" xr:uid="{00000000-0005-0000-0000-0000FC520000}"/>
    <cellStyle name="Calculation 16 2 6 4 6" xfId="21276" xr:uid="{00000000-0005-0000-0000-0000FD520000}"/>
    <cellStyle name="Calculation 16 2 6 5" xfId="21277" xr:uid="{00000000-0005-0000-0000-0000FE520000}"/>
    <cellStyle name="Calculation 16 2 6 5 2" xfId="21278" xr:uid="{00000000-0005-0000-0000-0000FF520000}"/>
    <cellStyle name="Calculation 16 2 6 5 3" xfId="21279" xr:uid="{00000000-0005-0000-0000-000000530000}"/>
    <cellStyle name="Calculation 16 2 6 5 4" xfId="21280" xr:uid="{00000000-0005-0000-0000-000001530000}"/>
    <cellStyle name="Calculation 16 2 6 5 5" xfId="21281" xr:uid="{00000000-0005-0000-0000-000002530000}"/>
    <cellStyle name="Calculation 16 2 6 5 6" xfId="21282" xr:uid="{00000000-0005-0000-0000-000003530000}"/>
    <cellStyle name="Calculation 16 2 6 6" xfId="21283" xr:uid="{00000000-0005-0000-0000-000004530000}"/>
    <cellStyle name="Calculation 16 2 6 6 2" xfId="21284" xr:uid="{00000000-0005-0000-0000-000005530000}"/>
    <cellStyle name="Calculation 16 2 6 6 3" xfId="21285" xr:uid="{00000000-0005-0000-0000-000006530000}"/>
    <cellStyle name="Calculation 16 2 6 6 4" xfId="21286" xr:uid="{00000000-0005-0000-0000-000007530000}"/>
    <cellStyle name="Calculation 16 2 6 6 5" xfId="21287" xr:uid="{00000000-0005-0000-0000-000008530000}"/>
    <cellStyle name="Calculation 16 2 6 6 6" xfId="21288" xr:uid="{00000000-0005-0000-0000-000009530000}"/>
    <cellStyle name="Calculation 16 2 6 7" xfId="21289" xr:uid="{00000000-0005-0000-0000-00000A530000}"/>
    <cellStyle name="Calculation 16 2 6 7 2" xfId="21290" xr:uid="{00000000-0005-0000-0000-00000B530000}"/>
    <cellStyle name="Calculation 16 2 6 7 3" xfId="21291" xr:uid="{00000000-0005-0000-0000-00000C530000}"/>
    <cellStyle name="Calculation 16 2 6 7 4" xfId="21292" xr:uid="{00000000-0005-0000-0000-00000D530000}"/>
    <cellStyle name="Calculation 16 2 6 7 5" xfId="21293" xr:uid="{00000000-0005-0000-0000-00000E530000}"/>
    <cellStyle name="Calculation 16 2 6 7 6" xfId="21294" xr:uid="{00000000-0005-0000-0000-00000F530000}"/>
    <cellStyle name="Calculation 16 2 6 8" xfId="21295" xr:uid="{00000000-0005-0000-0000-000010530000}"/>
    <cellStyle name="Calculation 16 2 6 9" xfId="21296" xr:uid="{00000000-0005-0000-0000-000011530000}"/>
    <cellStyle name="Calculation 16 2 7" xfId="21297" xr:uid="{00000000-0005-0000-0000-000012530000}"/>
    <cellStyle name="Calculation 16 2 7 10" xfId="21298" xr:uid="{00000000-0005-0000-0000-000013530000}"/>
    <cellStyle name="Calculation 16 2 7 2" xfId="21299" xr:uid="{00000000-0005-0000-0000-000014530000}"/>
    <cellStyle name="Calculation 16 2 7 2 2" xfId="21300" xr:uid="{00000000-0005-0000-0000-000015530000}"/>
    <cellStyle name="Calculation 16 2 7 2 3" xfId="21301" xr:uid="{00000000-0005-0000-0000-000016530000}"/>
    <cellStyle name="Calculation 16 2 7 2 4" xfId="21302" xr:uid="{00000000-0005-0000-0000-000017530000}"/>
    <cellStyle name="Calculation 16 2 7 2 5" xfId="21303" xr:uid="{00000000-0005-0000-0000-000018530000}"/>
    <cellStyle name="Calculation 16 2 7 2 6" xfId="21304" xr:uid="{00000000-0005-0000-0000-000019530000}"/>
    <cellStyle name="Calculation 16 2 7 3" xfId="21305" xr:uid="{00000000-0005-0000-0000-00001A530000}"/>
    <cellStyle name="Calculation 16 2 7 3 2" xfId="21306" xr:uid="{00000000-0005-0000-0000-00001B530000}"/>
    <cellStyle name="Calculation 16 2 7 3 3" xfId="21307" xr:uid="{00000000-0005-0000-0000-00001C530000}"/>
    <cellStyle name="Calculation 16 2 7 3 4" xfId="21308" xr:uid="{00000000-0005-0000-0000-00001D530000}"/>
    <cellStyle name="Calculation 16 2 7 3 5" xfId="21309" xr:uid="{00000000-0005-0000-0000-00001E530000}"/>
    <cellStyle name="Calculation 16 2 7 3 6" xfId="21310" xr:uid="{00000000-0005-0000-0000-00001F530000}"/>
    <cellStyle name="Calculation 16 2 7 4" xfId="21311" xr:uid="{00000000-0005-0000-0000-000020530000}"/>
    <cellStyle name="Calculation 16 2 7 4 2" xfId="21312" xr:uid="{00000000-0005-0000-0000-000021530000}"/>
    <cellStyle name="Calculation 16 2 7 4 3" xfId="21313" xr:uid="{00000000-0005-0000-0000-000022530000}"/>
    <cellStyle name="Calculation 16 2 7 4 4" xfId="21314" xr:uid="{00000000-0005-0000-0000-000023530000}"/>
    <cellStyle name="Calculation 16 2 7 4 5" xfId="21315" xr:uid="{00000000-0005-0000-0000-000024530000}"/>
    <cellStyle name="Calculation 16 2 7 4 6" xfId="21316" xr:uid="{00000000-0005-0000-0000-000025530000}"/>
    <cellStyle name="Calculation 16 2 7 5" xfId="21317" xr:uid="{00000000-0005-0000-0000-000026530000}"/>
    <cellStyle name="Calculation 16 2 7 5 2" xfId="21318" xr:uid="{00000000-0005-0000-0000-000027530000}"/>
    <cellStyle name="Calculation 16 2 7 5 3" xfId="21319" xr:uid="{00000000-0005-0000-0000-000028530000}"/>
    <cellStyle name="Calculation 16 2 7 5 4" xfId="21320" xr:uid="{00000000-0005-0000-0000-000029530000}"/>
    <cellStyle name="Calculation 16 2 7 5 5" xfId="21321" xr:uid="{00000000-0005-0000-0000-00002A530000}"/>
    <cellStyle name="Calculation 16 2 7 5 6" xfId="21322" xr:uid="{00000000-0005-0000-0000-00002B530000}"/>
    <cellStyle name="Calculation 16 2 7 6" xfId="21323" xr:uid="{00000000-0005-0000-0000-00002C530000}"/>
    <cellStyle name="Calculation 16 2 7 6 2" xfId="21324" xr:uid="{00000000-0005-0000-0000-00002D530000}"/>
    <cellStyle name="Calculation 16 2 7 6 3" xfId="21325" xr:uid="{00000000-0005-0000-0000-00002E530000}"/>
    <cellStyle name="Calculation 16 2 7 6 4" xfId="21326" xr:uid="{00000000-0005-0000-0000-00002F530000}"/>
    <cellStyle name="Calculation 16 2 7 6 5" xfId="21327" xr:uid="{00000000-0005-0000-0000-000030530000}"/>
    <cellStyle name="Calculation 16 2 7 6 6" xfId="21328" xr:uid="{00000000-0005-0000-0000-000031530000}"/>
    <cellStyle name="Calculation 16 2 7 7" xfId="21329" xr:uid="{00000000-0005-0000-0000-000032530000}"/>
    <cellStyle name="Calculation 16 2 7 7 2" xfId="21330" xr:uid="{00000000-0005-0000-0000-000033530000}"/>
    <cellStyle name="Calculation 16 2 7 7 3" xfId="21331" xr:uid="{00000000-0005-0000-0000-000034530000}"/>
    <cellStyle name="Calculation 16 2 7 7 4" xfId="21332" xr:uid="{00000000-0005-0000-0000-000035530000}"/>
    <cellStyle name="Calculation 16 2 7 7 5" xfId="21333" xr:uid="{00000000-0005-0000-0000-000036530000}"/>
    <cellStyle name="Calculation 16 2 7 7 6" xfId="21334" xr:uid="{00000000-0005-0000-0000-000037530000}"/>
    <cellStyle name="Calculation 16 2 7 8" xfId="21335" xr:uid="{00000000-0005-0000-0000-000038530000}"/>
    <cellStyle name="Calculation 16 2 7 9" xfId="21336" xr:uid="{00000000-0005-0000-0000-000039530000}"/>
    <cellStyle name="Calculation 16 2 8" xfId="21337" xr:uid="{00000000-0005-0000-0000-00003A530000}"/>
    <cellStyle name="Calculation 16 2 8 10" xfId="21338" xr:uid="{00000000-0005-0000-0000-00003B530000}"/>
    <cellStyle name="Calculation 16 2 8 2" xfId="21339" xr:uid="{00000000-0005-0000-0000-00003C530000}"/>
    <cellStyle name="Calculation 16 2 8 2 2" xfId="21340" xr:uid="{00000000-0005-0000-0000-00003D530000}"/>
    <cellStyle name="Calculation 16 2 8 2 3" xfId="21341" xr:uid="{00000000-0005-0000-0000-00003E530000}"/>
    <cellStyle name="Calculation 16 2 8 2 4" xfId="21342" xr:uid="{00000000-0005-0000-0000-00003F530000}"/>
    <cellStyle name="Calculation 16 2 8 2 5" xfId="21343" xr:uid="{00000000-0005-0000-0000-000040530000}"/>
    <cellStyle name="Calculation 16 2 8 2 6" xfId="21344" xr:uid="{00000000-0005-0000-0000-000041530000}"/>
    <cellStyle name="Calculation 16 2 8 3" xfId="21345" xr:uid="{00000000-0005-0000-0000-000042530000}"/>
    <cellStyle name="Calculation 16 2 8 3 2" xfId="21346" xr:uid="{00000000-0005-0000-0000-000043530000}"/>
    <cellStyle name="Calculation 16 2 8 3 3" xfId="21347" xr:uid="{00000000-0005-0000-0000-000044530000}"/>
    <cellStyle name="Calculation 16 2 8 3 4" xfId="21348" xr:uid="{00000000-0005-0000-0000-000045530000}"/>
    <cellStyle name="Calculation 16 2 8 3 5" xfId="21349" xr:uid="{00000000-0005-0000-0000-000046530000}"/>
    <cellStyle name="Calculation 16 2 8 3 6" xfId="21350" xr:uid="{00000000-0005-0000-0000-000047530000}"/>
    <cellStyle name="Calculation 16 2 8 4" xfId="21351" xr:uid="{00000000-0005-0000-0000-000048530000}"/>
    <cellStyle name="Calculation 16 2 8 4 2" xfId="21352" xr:uid="{00000000-0005-0000-0000-000049530000}"/>
    <cellStyle name="Calculation 16 2 8 4 3" xfId="21353" xr:uid="{00000000-0005-0000-0000-00004A530000}"/>
    <cellStyle name="Calculation 16 2 8 4 4" xfId="21354" xr:uid="{00000000-0005-0000-0000-00004B530000}"/>
    <cellStyle name="Calculation 16 2 8 4 5" xfId="21355" xr:uid="{00000000-0005-0000-0000-00004C530000}"/>
    <cellStyle name="Calculation 16 2 8 4 6" xfId="21356" xr:uid="{00000000-0005-0000-0000-00004D530000}"/>
    <cellStyle name="Calculation 16 2 8 5" xfId="21357" xr:uid="{00000000-0005-0000-0000-00004E530000}"/>
    <cellStyle name="Calculation 16 2 8 5 2" xfId="21358" xr:uid="{00000000-0005-0000-0000-00004F530000}"/>
    <cellStyle name="Calculation 16 2 8 5 3" xfId="21359" xr:uid="{00000000-0005-0000-0000-000050530000}"/>
    <cellStyle name="Calculation 16 2 8 5 4" xfId="21360" xr:uid="{00000000-0005-0000-0000-000051530000}"/>
    <cellStyle name="Calculation 16 2 8 5 5" xfId="21361" xr:uid="{00000000-0005-0000-0000-000052530000}"/>
    <cellStyle name="Calculation 16 2 8 5 6" xfId="21362" xr:uid="{00000000-0005-0000-0000-000053530000}"/>
    <cellStyle name="Calculation 16 2 8 6" xfId="21363" xr:uid="{00000000-0005-0000-0000-000054530000}"/>
    <cellStyle name="Calculation 16 2 8 6 2" xfId="21364" xr:uid="{00000000-0005-0000-0000-000055530000}"/>
    <cellStyle name="Calculation 16 2 8 6 3" xfId="21365" xr:uid="{00000000-0005-0000-0000-000056530000}"/>
    <cellStyle name="Calculation 16 2 8 6 4" xfId="21366" xr:uid="{00000000-0005-0000-0000-000057530000}"/>
    <cellStyle name="Calculation 16 2 8 6 5" xfId="21367" xr:uid="{00000000-0005-0000-0000-000058530000}"/>
    <cellStyle name="Calculation 16 2 8 6 6" xfId="21368" xr:uid="{00000000-0005-0000-0000-000059530000}"/>
    <cellStyle name="Calculation 16 2 8 7" xfId="21369" xr:uid="{00000000-0005-0000-0000-00005A530000}"/>
    <cellStyle name="Calculation 16 2 8 7 2" xfId="21370" xr:uid="{00000000-0005-0000-0000-00005B530000}"/>
    <cellStyle name="Calculation 16 2 8 7 3" xfId="21371" xr:uid="{00000000-0005-0000-0000-00005C530000}"/>
    <cellStyle name="Calculation 16 2 8 7 4" xfId="21372" xr:uid="{00000000-0005-0000-0000-00005D530000}"/>
    <cellStyle name="Calculation 16 2 8 7 5" xfId="21373" xr:uid="{00000000-0005-0000-0000-00005E530000}"/>
    <cellStyle name="Calculation 16 2 8 7 6" xfId="21374" xr:uid="{00000000-0005-0000-0000-00005F530000}"/>
    <cellStyle name="Calculation 16 2 8 8" xfId="21375" xr:uid="{00000000-0005-0000-0000-000060530000}"/>
    <cellStyle name="Calculation 16 2 8 9" xfId="21376" xr:uid="{00000000-0005-0000-0000-000061530000}"/>
    <cellStyle name="Calculation 16 2 9" xfId="21377" xr:uid="{00000000-0005-0000-0000-000062530000}"/>
    <cellStyle name="Calculation 16 2 9 10" xfId="21378" xr:uid="{00000000-0005-0000-0000-000063530000}"/>
    <cellStyle name="Calculation 16 2 9 2" xfId="21379" xr:uid="{00000000-0005-0000-0000-000064530000}"/>
    <cellStyle name="Calculation 16 2 9 2 2" xfId="21380" xr:uid="{00000000-0005-0000-0000-000065530000}"/>
    <cellStyle name="Calculation 16 2 9 2 3" xfId="21381" xr:uid="{00000000-0005-0000-0000-000066530000}"/>
    <cellStyle name="Calculation 16 2 9 2 4" xfId="21382" xr:uid="{00000000-0005-0000-0000-000067530000}"/>
    <cellStyle name="Calculation 16 2 9 2 5" xfId="21383" xr:uid="{00000000-0005-0000-0000-000068530000}"/>
    <cellStyle name="Calculation 16 2 9 2 6" xfId="21384" xr:uid="{00000000-0005-0000-0000-000069530000}"/>
    <cellStyle name="Calculation 16 2 9 3" xfId="21385" xr:uid="{00000000-0005-0000-0000-00006A530000}"/>
    <cellStyle name="Calculation 16 2 9 3 2" xfId="21386" xr:uid="{00000000-0005-0000-0000-00006B530000}"/>
    <cellStyle name="Calculation 16 2 9 3 3" xfId="21387" xr:uid="{00000000-0005-0000-0000-00006C530000}"/>
    <cellStyle name="Calculation 16 2 9 3 4" xfId="21388" xr:uid="{00000000-0005-0000-0000-00006D530000}"/>
    <cellStyle name="Calculation 16 2 9 3 5" xfId="21389" xr:uid="{00000000-0005-0000-0000-00006E530000}"/>
    <cellStyle name="Calculation 16 2 9 3 6" xfId="21390" xr:uid="{00000000-0005-0000-0000-00006F530000}"/>
    <cellStyle name="Calculation 16 2 9 4" xfId="21391" xr:uid="{00000000-0005-0000-0000-000070530000}"/>
    <cellStyle name="Calculation 16 2 9 4 2" xfId="21392" xr:uid="{00000000-0005-0000-0000-000071530000}"/>
    <cellStyle name="Calculation 16 2 9 4 3" xfId="21393" xr:uid="{00000000-0005-0000-0000-000072530000}"/>
    <cellStyle name="Calculation 16 2 9 4 4" xfId="21394" xr:uid="{00000000-0005-0000-0000-000073530000}"/>
    <cellStyle name="Calculation 16 2 9 4 5" xfId="21395" xr:uid="{00000000-0005-0000-0000-000074530000}"/>
    <cellStyle name="Calculation 16 2 9 4 6" xfId="21396" xr:uid="{00000000-0005-0000-0000-000075530000}"/>
    <cellStyle name="Calculation 16 2 9 5" xfId="21397" xr:uid="{00000000-0005-0000-0000-000076530000}"/>
    <cellStyle name="Calculation 16 2 9 5 2" xfId="21398" xr:uid="{00000000-0005-0000-0000-000077530000}"/>
    <cellStyle name="Calculation 16 2 9 5 3" xfId="21399" xr:uid="{00000000-0005-0000-0000-000078530000}"/>
    <cellStyle name="Calculation 16 2 9 5 4" xfId="21400" xr:uid="{00000000-0005-0000-0000-000079530000}"/>
    <cellStyle name="Calculation 16 2 9 5 5" xfId="21401" xr:uid="{00000000-0005-0000-0000-00007A530000}"/>
    <cellStyle name="Calculation 16 2 9 5 6" xfId="21402" xr:uid="{00000000-0005-0000-0000-00007B530000}"/>
    <cellStyle name="Calculation 16 2 9 6" xfId="21403" xr:uid="{00000000-0005-0000-0000-00007C530000}"/>
    <cellStyle name="Calculation 16 2 9 6 2" xfId="21404" xr:uid="{00000000-0005-0000-0000-00007D530000}"/>
    <cellStyle name="Calculation 16 2 9 6 3" xfId="21405" xr:uid="{00000000-0005-0000-0000-00007E530000}"/>
    <cellStyle name="Calculation 16 2 9 6 4" xfId="21406" xr:uid="{00000000-0005-0000-0000-00007F530000}"/>
    <cellStyle name="Calculation 16 2 9 6 5" xfId="21407" xr:uid="{00000000-0005-0000-0000-000080530000}"/>
    <cellStyle name="Calculation 16 2 9 6 6" xfId="21408" xr:uid="{00000000-0005-0000-0000-000081530000}"/>
    <cellStyle name="Calculation 16 2 9 7" xfId="21409" xr:uid="{00000000-0005-0000-0000-000082530000}"/>
    <cellStyle name="Calculation 16 2 9 7 2" xfId="21410" xr:uid="{00000000-0005-0000-0000-000083530000}"/>
    <cellStyle name="Calculation 16 2 9 7 3" xfId="21411" xr:uid="{00000000-0005-0000-0000-000084530000}"/>
    <cellStyle name="Calculation 16 2 9 7 4" xfId="21412" xr:uid="{00000000-0005-0000-0000-000085530000}"/>
    <cellStyle name="Calculation 16 2 9 7 5" xfId="21413" xr:uid="{00000000-0005-0000-0000-000086530000}"/>
    <cellStyle name="Calculation 16 2 9 7 6" xfId="21414" xr:uid="{00000000-0005-0000-0000-000087530000}"/>
    <cellStyle name="Calculation 16 2 9 8" xfId="21415" xr:uid="{00000000-0005-0000-0000-000088530000}"/>
    <cellStyle name="Calculation 16 2 9 9" xfId="21416" xr:uid="{00000000-0005-0000-0000-000089530000}"/>
    <cellStyle name="Calculation 16 20" xfId="21417" xr:uid="{00000000-0005-0000-0000-00008A530000}"/>
    <cellStyle name="Calculation 16 20 10" xfId="21418" xr:uid="{00000000-0005-0000-0000-00008B530000}"/>
    <cellStyle name="Calculation 16 20 2" xfId="21419" xr:uid="{00000000-0005-0000-0000-00008C530000}"/>
    <cellStyle name="Calculation 16 20 2 2" xfId="21420" xr:uid="{00000000-0005-0000-0000-00008D530000}"/>
    <cellStyle name="Calculation 16 20 2 3" xfId="21421" xr:uid="{00000000-0005-0000-0000-00008E530000}"/>
    <cellStyle name="Calculation 16 20 2 4" xfId="21422" xr:uid="{00000000-0005-0000-0000-00008F530000}"/>
    <cellStyle name="Calculation 16 20 2 5" xfId="21423" xr:uid="{00000000-0005-0000-0000-000090530000}"/>
    <cellStyle name="Calculation 16 20 2 6" xfId="21424" xr:uid="{00000000-0005-0000-0000-000091530000}"/>
    <cellStyle name="Calculation 16 20 3" xfId="21425" xr:uid="{00000000-0005-0000-0000-000092530000}"/>
    <cellStyle name="Calculation 16 20 3 2" xfId="21426" xr:uid="{00000000-0005-0000-0000-000093530000}"/>
    <cellStyle name="Calculation 16 20 3 3" xfId="21427" xr:uid="{00000000-0005-0000-0000-000094530000}"/>
    <cellStyle name="Calculation 16 20 3 4" xfId="21428" xr:uid="{00000000-0005-0000-0000-000095530000}"/>
    <cellStyle name="Calculation 16 20 3 5" xfId="21429" xr:uid="{00000000-0005-0000-0000-000096530000}"/>
    <cellStyle name="Calculation 16 20 3 6" xfId="21430" xr:uid="{00000000-0005-0000-0000-000097530000}"/>
    <cellStyle name="Calculation 16 20 4" xfId="21431" xr:uid="{00000000-0005-0000-0000-000098530000}"/>
    <cellStyle name="Calculation 16 20 4 2" xfId="21432" xr:uid="{00000000-0005-0000-0000-000099530000}"/>
    <cellStyle name="Calculation 16 20 4 3" xfId="21433" xr:uid="{00000000-0005-0000-0000-00009A530000}"/>
    <cellStyle name="Calculation 16 20 4 4" xfId="21434" xr:uid="{00000000-0005-0000-0000-00009B530000}"/>
    <cellStyle name="Calculation 16 20 4 5" xfId="21435" xr:uid="{00000000-0005-0000-0000-00009C530000}"/>
    <cellStyle name="Calculation 16 20 4 6" xfId="21436" xr:uid="{00000000-0005-0000-0000-00009D530000}"/>
    <cellStyle name="Calculation 16 20 5" xfId="21437" xr:uid="{00000000-0005-0000-0000-00009E530000}"/>
    <cellStyle name="Calculation 16 20 5 2" xfId="21438" xr:uid="{00000000-0005-0000-0000-00009F530000}"/>
    <cellStyle name="Calculation 16 20 5 3" xfId="21439" xr:uid="{00000000-0005-0000-0000-0000A0530000}"/>
    <cellStyle name="Calculation 16 20 5 4" xfId="21440" xr:uid="{00000000-0005-0000-0000-0000A1530000}"/>
    <cellStyle name="Calculation 16 20 5 5" xfId="21441" xr:uid="{00000000-0005-0000-0000-0000A2530000}"/>
    <cellStyle name="Calculation 16 20 5 6" xfId="21442" xr:uid="{00000000-0005-0000-0000-0000A3530000}"/>
    <cellStyle name="Calculation 16 20 6" xfId="21443" xr:uid="{00000000-0005-0000-0000-0000A4530000}"/>
    <cellStyle name="Calculation 16 20 6 2" xfId="21444" xr:uid="{00000000-0005-0000-0000-0000A5530000}"/>
    <cellStyle name="Calculation 16 20 6 3" xfId="21445" xr:uid="{00000000-0005-0000-0000-0000A6530000}"/>
    <cellStyle name="Calculation 16 20 6 4" xfId="21446" xr:uid="{00000000-0005-0000-0000-0000A7530000}"/>
    <cellStyle name="Calculation 16 20 6 5" xfId="21447" xr:uid="{00000000-0005-0000-0000-0000A8530000}"/>
    <cellStyle name="Calculation 16 20 6 6" xfId="21448" xr:uid="{00000000-0005-0000-0000-0000A9530000}"/>
    <cellStyle name="Calculation 16 20 7" xfId="21449" xr:uid="{00000000-0005-0000-0000-0000AA530000}"/>
    <cellStyle name="Calculation 16 20 7 2" xfId="21450" xr:uid="{00000000-0005-0000-0000-0000AB530000}"/>
    <cellStyle name="Calculation 16 20 7 3" xfId="21451" xr:uid="{00000000-0005-0000-0000-0000AC530000}"/>
    <cellStyle name="Calculation 16 20 7 4" xfId="21452" xr:uid="{00000000-0005-0000-0000-0000AD530000}"/>
    <cellStyle name="Calculation 16 20 7 5" xfId="21453" xr:uid="{00000000-0005-0000-0000-0000AE530000}"/>
    <cellStyle name="Calculation 16 20 7 6" xfId="21454" xr:uid="{00000000-0005-0000-0000-0000AF530000}"/>
    <cellStyle name="Calculation 16 20 8" xfId="21455" xr:uid="{00000000-0005-0000-0000-0000B0530000}"/>
    <cellStyle name="Calculation 16 20 9" xfId="21456" xr:uid="{00000000-0005-0000-0000-0000B1530000}"/>
    <cellStyle name="Calculation 16 21" xfId="21457" xr:uid="{00000000-0005-0000-0000-0000B2530000}"/>
    <cellStyle name="Calculation 16 21 10" xfId="21458" xr:uid="{00000000-0005-0000-0000-0000B3530000}"/>
    <cellStyle name="Calculation 16 21 2" xfId="21459" xr:uid="{00000000-0005-0000-0000-0000B4530000}"/>
    <cellStyle name="Calculation 16 21 2 2" xfId="21460" xr:uid="{00000000-0005-0000-0000-0000B5530000}"/>
    <cellStyle name="Calculation 16 21 2 3" xfId="21461" xr:uid="{00000000-0005-0000-0000-0000B6530000}"/>
    <cellStyle name="Calculation 16 21 2 4" xfId="21462" xr:uid="{00000000-0005-0000-0000-0000B7530000}"/>
    <cellStyle name="Calculation 16 21 2 5" xfId="21463" xr:uid="{00000000-0005-0000-0000-0000B8530000}"/>
    <cellStyle name="Calculation 16 21 2 6" xfId="21464" xr:uid="{00000000-0005-0000-0000-0000B9530000}"/>
    <cellStyle name="Calculation 16 21 3" xfId="21465" xr:uid="{00000000-0005-0000-0000-0000BA530000}"/>
    <cellStyle name="Calculation 16 21 3 2" xfId="21466" xr:uid="{00000000-0005-0000-0000-0000BB530000}"/>
    <cellStyle name="Calculation 16 21 3 3" xfId="21467" xr:uid="{00000000-0005-0000-0000-0000BC530000}"/>
    <cellStyle name="Calculation 16 21 3 4" xfId="21468" xr:uid="{00000000-0005-0000-0000-0000BD530000}"/>
    <cellStyle name="Calculation 16 21 3 5" xfId="21469" xr:uid="{00000000-0005-0000-0000-0000BE530000}"/>
    <cellStyle name="Calculation 16 21 3 6" xfId="21470" xr:uid="{00000000-0005-0000-0000-0000BF530000}"/>
    <cellStyle name="Calculation 16 21 4" xfId="21471" xr:uid="{00000000-0005-0000-0000-0000C0530000}"/>
    <cellStyle name="Calculation 16 21 4 2" xfId="21472" xr:uid="{00000000-0005-0000-0000-0000C1530000}"/>
    <cellStyle name="Calculation 16 21 4 3" xfId="21473" xr:uid="{00000000-0005-0000-0000-0000C2530000}"/>
    <cellStyle name="Calculation 16 21 4 4" xfId="21474" xr:uid="{00000000-0005-0000-0000-0000C3530000}"/>
    <cellStyle name="Calculation 16 21 4 5" xfId="21475" xr:uid="{00000000-0005-0000-0000-0000C4530000}"/>
    <cellStyle name="Calculation 16 21 4 6" xfId="21476" xr:uid="{00000000-0005-0000-0000-0000C5530000}"/>
    <cellStyle name="Calculation 16 21 5" xfId="21477" xr:uid="{00000000-0005-0000-0000-0000C6530000}"/>
    <cellStyle name="Calculation 16 21 5 2" xfId="21478" xr:uid="{00000000-0005-0000-0000-0000C7530000}"/>
    <cellStyle name="Calculation 16 21 5 3" xfId="21479" xr:uid="{00000000-0005-0000-0000-0000C8530000}"/>
    <cellStyle name="Calculation 16 21 5 4" xfId="21480" xr:uid="{00000000-0005-0000-0000-0000C9530000}"/>
    <cellStyle name="Calculation 16 21 5 5" xfId="21481" xr:uid="{00000000-0005-0000-0000-0000CA530000}"/>
    <cellStyle name="Calculation 16 21 5 6" xfId="21482" xr:uid="{00000000-0005-0000-0000-0000CB530000}"/>
    <cellStyle name="Calculation 16 21 6" xfId="21483" xr:uid="{00000000-0005-0000-0000-0000CC530000}"/>
    <cellStyle name="Calculation 16 21 6 2" xfId="21484" xr:uid="{00000000-0005-0000-0000-0000CD530000}"/>
    <cellStyle name="Calculation 16 21 6 3" xfId="21485" xr:uid="{00000000-0005-0000-0000-0000CE530000}"/>
    <cellStyle name="Calculation 16 21 6 4" xfId="21486" xr:uid="{00000000-0005-0000-0000-0000CF530000}"/>
    <cellStyle name="Calculation 16 21 6 5" xfId="21487" xr:uid="{00000000-0005-0000-0000-0000D0530000}"/>
    <cellStyle name="Calculation 16 21 6 6" xfId="21488" xr:uid="{00000000-0005-0000-0000-0000D1530000}"/>
    <cellStyle name="Calculation 16 21 7" xfId="21489" xr:uid="{00000000-0005-0000-0000-0000D2530000}"/>
    <cellStyle name="Calculation 16 21 7 2" xfId="21490" xr:uid="{00000000-0005-0000-0000-0000D3530000}"/>
    <cellStyle name="Calculation 16 21 7 3" xfId="21491" xr:uid="{00000000-0005-0000-0000-0000D4530000}"/>
    <cellStyle name="Calculation 16 21 7 4" xfId="21492" xr:uid="{00000000-0005-0000-0000-0000D5530000}"/>
    <cellStyle name="Calculation 16 21 7 5" xfId="21493" xr:uid="{00000000-0005-0000-0000-0000D6530000}"/>
    <cellStyle name="Calculation 16 21 7 6" xfId="21494" xr:uid="{00000000-0005-0000-0000-0000D7530000}"/>
    <cellStyle name="Calculation 16 21 8" xfId="21495" xr:uid="{00000000-0005-0000-0000-0000D8530000}"/>
    <cellStyle name="Calculation 16 21 9" xfId="21496" xr:uid="{00000000-0005-0000-0000-0000D9530000}"/>
    <cellStyle name="Calculation 16 22" xfId="21497" xr:uid="{00000000-0005-0000-0000-0000DA530000}"/>
    <cellStyle name="Calculation 16 22 10" xfId="21498" xr:uid="{00000000-0005-0000-0000-0000DB530000}"/>
    <cellStyle name="Calculation 16 22 2" xfId="21499" xr:uid="{00000000-0005-0000-0000-0000DC530000}"/>
    <cellStyle name="Calculation 16 22 2 2" xfId="21500" xr:uid="{00000000-0005-0000-0000-0000DD530000}"/>
    <cellStyle name="Calculation 16 22 2 3" xfId="21501" xr:uid="{00000000-0005-0000-0000-0000DE530000}"/>
    <cellStyle name="Calculation 16 22 2 4" xfId="21502" xr:uid="{00000000-0005-0000-0000-0000DF530000}"/>
    <cellStyle name="Calculation 16 22 2 5" xfId="21503" xr:uid="{00000000-0005-0000-0000-0000E0530000}"/>
    <cellStyle name="Calculation 16 22 2 6" xfId="21504" xr:uid="{00000000-0005-0000-0000-0000E1530000}"/>
    <cellStyle name="Calculation 16 22 3" xfId="21505" xr:uid="{00000000-0005-0000-0000-0000E2530000}"/>
    <cellStyle name="Calculation 16 22 3 2" xfId="21506" xr:uid="{00000000-0005-0000-0000-0000E3530000}"/>
    <cellStyle name="Calculation 16 22 3 3" xfId="21507" xr:uid="{00000000-0005-0000-0000-0000E4530000}"/>
    <cellStyle name="Calculation 16 22 3 4" xfId="21508" xr:uid="{00000000-0005-0000-0000-0000E5530000}"/>
    <cellStyle name="Calculation 16 22 3 5" xfId="21509" xr:uid="{00000000-0005-0000-0000-0000E6530000}"/>
    <cellStyle name="Calculation 16 22 3 6" xfId="21510" xr:uid="{00000000-0005-0000-0000-0000E7530000}"/>
    <cellStyle name="Calculation 16 22 4" xfId="21511" xr:uid="{00000000-0005-0000-0000-0000E8530000}"/>
    <cellStyle name="Calculation 16 22 4 2" xfId="21512" xr:uid="{00000000-0005-0000-0000-0000E9530000}"/>
    <cellStyle name="Calculation 16 22 4 3" xfId="21513" xr:uid="{00000000-0005-0000-0000-0000EA530000}"/>
    <cellStyle name="Calculation 16 22 4 4" xfId="21514" xr:uid="{00000000-0005-0000-0000-0000EB530000}"/>
    <cellStyle name="Calculation 16 22 4 5" xfId="21515" xr:uid="{00000000-0005-0000-0000-0000EC530000}"/>
    <cellStyle name="Calculation 16 22 4 6" xfId="21516" xr:uid="{00000000-0005-0000-0000-0000ED530000}"/>
    <cellStyle name="Calculation 16 22 5" xfId="21517" xr:uid="{00000000-0005-0000-0000-0000EE530000}"/>
    <cellStyle name="Calculation 16 22 5 2" xfId="21518" xr:uid="{00000000-0005-0000-0000-0000EF530000}"/>
    <cellStyle name="Calculation 16 22 5 3" xfId="21519" xr:uid="{00000000-0005-0000-0000-0000F0530000}"/>
    <cellStyle name="Calculation 16 22 5 4" xfId="21520" xr:uid="{00000000-0005-0000-0000-0000F1530000}"/>
    <cellStyle name="Calculation 16 22 5 5" xfId="21521" xr:uid="{00000000-0005-0000-0000-0000F2530000}"/>
    <cellStyle name="Calculation 16 22 5 6" xfId="21522" xr:uid="{00000000-0005-0000-0000-0000F3530000}"/>
    <cellStyle name="Calculation 16 22 6" xfId="21523" xr:uid="{00000000-0005-0000-0000-0000F4530000}"/>
    <cellStyle name="Calculation 16 22 6 2" xfId="21524" xr:uid="{00000000-0005-0000-0000-0000F5530000}"/>
    <cellStyle name="Calculation 16 22 6 3" xfId="21525" xr:uid="{00000000-0005-0000-0000-0000F6530000}"/>
    <cellStyle name="Calculation 16 22 6 4" xfId="21526" xr:uid="{00000000-0005-0000-0000-0000F7530000}"/>
    <cellStyle name="Calculation 16 22 6 5" xfId="21527" xr:uid="{00000000-0005-0000-0000-0000F8530000}"/>
    <cellStyle name="Calculation 16 22 6 6" xfId="21528" xr:uid="{00000000-0005-0000-0000-0000F9530000}"/>
    <cellStyle name="Calculation 16 22 7" xfId="21529" xr:uid="{00000000-0005-0000-0000-0000FA530000}"/>
    <cellStyle name="Calculation 16 22 7 2" xfId="21530" xr:uid="{00000000-0005-0000-0000-0000FB530000}"/>
    <cellStyle name="Calculation 16 22 7 3" xfId="21531" xr:uid="{00000000-0005-0000-0000-0000FC530000}"/>
    <cellStyle name="Calculation 16 22 7 4" xfId="21532" xr:uid="{00000000-0005-0000-0000-0000FD530000}"/>
    <cellStyle name="Calculation 16 22 7 5" xfId="21533" xr:uid="{00000000-0005-0000-0000-0000FE530000}"/>
    <cellStyle name="Calculation 16 22 7 6" xfId="21534" xr:uid="{00000000-0005-0000-0000-0000FF530000}"/>
    <cellStyle name="Calculation 16 22 8" xfId="21535" xr:uid="{00000000-0005-0000-0000-000000540000}"/>
    <cellStyle name="Calculation 16 22 9" xfId="21536" xr:uid="{00000000-0005-0000-0000-000001540000}"/>
    <cellStyle name="Calculation 16 23" xfId="21537" xr:uid="{00000000-0005-0000-0000-000002540000}"/>
    <cellStyle name="Calculation 16 23 10" xfId="21538" xr:uid="{00000000-0005-0000-0000-000003540000}"/>
    <cellStyle name="Calculation 16 23 2" xfId="21539" xr:uid="{00000000-0005-0000-0000-000004540000}"/>
    <cellStyle name="Calculation 16 23 2 2" xfId="21540" xr:uid="{00000000-0005-0000-0000-000005540000}"/>
    <cellStyle name="Calculation 16 23 2 3" xfId="21541" xr:uid="{00000000-0005-0000-0000-000006540000}"/>
    <cellStyle name="Calculation 16 23 2 4" xfId="21542" xr:uid="{00000000-0005-0000-0000-000007540000}"/>
    <cellStyle name="Calculation 16 23 2 5" xfId="21543" xr:uid="{00000000-0005-0000-0000-000008540000}"/>
    <cellStyle name="Calculation 16 23 2 6" xfId="21544" xr:uid="{00000000-0005-0000-0000-000009540000}"/>
    <cellStyle name="Calculation 16 23 3" xfId="21545" xr:uid="{00000000-0005-0000-0000-00000A540000}"/>
    <cellStyle name="Calculation 16 23 3 2" xfId="21546" xr:uid="{00000000-0005-0000-0000-00000B540000}"/>
    <cellStyle name="Calculation 16 23 3 3" xfId="21547" xr:uid="{00000000-0005-0000-0000-00000C540000}"/>
    <cellStyle name="Calculation 16 23 3 4" xfId="21548" xr:uid="{00000000-0005-0000-0000-00000D540000}"/>
    <cellStyle name="Calculation 16 23 3 5" xfId="21549" xr:uid="{00000000-0005-0000-0000-00000E540000}"/>
    <cellStyle name="Calculation 16 23 3 6" xfId="21550" xr:uid="{00000000-0005-0000-0000-00000F540000}"/>
    <cellStyle name="Calculation 16 23 4" xfId="21551" xr:uid="{00000000-0005-0000-0000-000010540000}"/>
    <cellStyle name="Calculation 16 23 4 2" xfId="21552" xr:uid="{00000000-0005-0000-0000-000011540000}"/>
    <cellStyle name="Calculation 16 23 4 3" xfId="21553" xr:uid="{00000000-0005-0000-0000-000012540000}"/>
    <cellStyle name="Calculation 16 23 4 4" xfId="21554" xr:uid="{00000000-0005-0000-0000-000013540000}"/>
    <cellStyle name="Calculation 16 23 4 5" xfId="21555" xr:uid="{00000000-0005-0000-0000-000014540000}"/>
    <cellStyle name="Calculation 16 23 4 6" xfId="21556" xr:uid="{00000000-0005-0000-0000-000015540000}"/>
    <cellStyle name="Calculation 16 23 5" xfId="21557" xr:uid="{00000000-0005-0000-0000-000016540000}"/>
    <cellStyle name="Calculation 16 23 5 2" xfId="21558" xr:uid="{00000000-0005-0000-0000-000017540000}"/>
    <cellStyle name="Calculation 16 23 5 3" xfId="21559" xr:uid="{00000000-0005-0000-0000-000018540000}"/>
    <cellStyle name="Calculation 16 23 5 4" xfId="21560" xr:uid="{00000000-0005-0000-0000-000019540000}"/>
    <cellStyle name="Calculation 16 23 5 5" xfId="21561" xr:uid="{00000000-0005-0000-0000-00001A540000}"/>
    <cellStyle name="Calculation 16 23 5 6" xfId="21562" xr:uid="{00000000-0005-0000-0000-00001B540000}"/>
    <cellStyle name="Calculation 16 23 6" xfId="21563" xr:uid="{00000000-0005-0000-0000-00001C540000}"/>
    <cellStyle name="Calculation 16 23 6 2" xfId="21564" xr:uid="{00000000-0005-0000-0000-00001D540000}"/>
    <cellStyle name="Calculation 16 23 6 3" xfId="21565" xr:uid="{00000000-0005-0000-0000-00001E540000}"/>
    <cellStyle name="Calculation 16 23 6 4" xfId="21566" xr:uid="{00000000-0005-0000-0000-00001F540000}"/>
    <cellStyle name="Calculation 16 23 6 5" xfId="21567" xr:uid="{00000000-0005-0000-0000-000020540000}"/>
    <cellStyle name="Calculation 16 23 6 6" xfId="21568" xr:uid="{00000000-0005-0000-0000-000021540000}"/>
    <cellStyle name="Calculation 16 23 7" xfId="21569" xr:uid="{00000000-0005-0000-0000-000022540000}"/>
    <cellStyle name="Calculation 16 23 7 2" xfId="21570" xr:uid="{00000000-0005-0000-0000-000023540000}"/>
    <cellStyle name="Calculation 16 23 7 3" xfId="21571" xr:uid="{00000000-0005-0000-0000-000024540000}"/>
    <cellStyle name="Calculation 16 23 7 4" xfId="21572" xr:uid="{00000000-0005-0000-0000-000025540000}"/>
    <cellStyle name="Calculation 16 23 7 5" xfId="21573" xr:uid="{00000000-0005-0000-0000-000026540000}"/>
    <cellStyle name="Calculation 16 23 7 6" xfId="21574" xr:uid="{00000000-0005-0000-0000-000027540000}"/>
    <cellStyle name="Calculation 16 23 8" xfId="21575" xr:uid="{00000000-0005-0000-0000-000028540000}"/>
    <cellStyle name="Calculation 16 23 9" xfId="21576" xr:uid="{00000000-0005-0000-0000-000029540000}"/>
    <cellStyle name="Calculation 16 24" xfId="21577" xr:uid="{00000000-0005-0000-0000-00002A540000}"/>
    <cellStyle name="Calculation 16 24 10" xfId="21578" xr:uid="{00000000-0005-0000-0000-00002B540000}"/>
    <cellStyle name="Calculation 16 24 2" xfId="21579" xr:uid="{00000000-0005-0000-0000-00002C540000}"/>
    <cellStyle name="Calculation 16 24 2 2" xfId="21580" xr:uid="{00000000-0005-0000-0000-00002D540000}"/>
    <cellStyle name="Calculation 16 24 2 3" xfId="21581" xr:uid="{00000000-0005-0000-0000-00002E540000}"/>
    <cellStyle name="Calculation 16 24 2 4" xfId="21582" xr:uid="{00000000-0005-0000-0000-00002F540000}"/>
    <cellStyle name="Calculation 16 24 2 5" xfId="21583" xr:uid="{00000000-0005-0000-0000-000030540000}"/>
    <cellStyle name="Calculation 16 24 2 6" xfId="21584" xr:uid="{00000000-0005-0000-0000-000031540000}"/>
    <cellStyle name="Calculation 16 24 3" xfId="21585" xr:uid="{00000000-0005-0000-0000-000032540000}"/>
    <cellStyle name="Calculation 16 24 3 2" xfId="21586" xr:uid="{00000000-0005-0000-0000-000033540000}"/>
    <cellStyle name="Calculation 16 24 3 3" xfId="21587" xr:uid="{00000000-0005-0000-0000-000034540000}"/>
    <cellStyle name="Calculation 16 24 3 4" xfId="21588" xr:uid="{00000000-0005-0000-0000-000035540000}"/>
    <cellStyle name="Calculation 16 24 3 5" xfId="21589" xr:uid="{00000000-0005-0000-0000-000036540000}"/>
    <cellStyle name="Calculation 16 24 3 6" xfId="21590" xr:uid="{00000000-0005-0000-0000-000037540000}"/>
    <cellStyle name="Calculation 16 24 4" xfId="21591" xr:uid="{00000000-0005-0000-0000-000038540000}"/>
    <cellStyle name="Calculation 16 24 4 2" xfId="21592" xr:uid="{00000000-0005-0000-0000-000039540000}"/>
    <cellStyle name="Calculation 16 24 4 3" xfId="21593" xr:uid="{00000000-0005-0000-0000-00003A540000}"/>
    <cellStyle name="Calculation 16 24 4 4" xfId="21594" xr:uid="{00000000-0005-0000-0000-00003B540000}"/>
    <cellStyle name="Calculation 16 24 4 5" xfId="21595" xr:uid="{00000000-0005-0000-0000-00003C540000}"/>
    <cellStyle name="Calculation 16 24 4 6" xfId="21596" xr:uid="{00000000-0005-0000-0000-00003D540000}"/>
    <cellStyle name="Calculation 16 24 5" xfId="21597" xr:uid="{00000000-0005-0000-0000-00003E540000}"/>
    <cellStyle name="Calculation 16 24 5 2" xfId="21598" xr:uid="{00000000-0005-0000-0000-00003F540000}"/>
    <cellStyle name="Calculation 16 24 5 3" xfId="21599" xr:uid="{00000000-0005-0000-0000-000040540000}"/>
    <cellStyle name="Calculation 16 24 5 4" xfId="21600" xr:uid="{00000000-0005-0000-0000-000041540000}"/>
    <cellStyle name="Calculation 16 24 5 5" xfId="21601" xr:uid="{00000000-0005-0000-0000-000042540000}"/>
    <cellStyle name="Calculation 16 24 5 6" xfId="21602" xr:uid="{00000000-0005-0000-0000-000043540000}"/>
    <cellStyle name="Calculation 16 24 6" xfId="21603" xr:uid="{00000000-0005-0000-0000-000044540000}"/>
    <cellStyle name="Calculation 16 24 6 2" xfId="21604" xr:uid="{00000000-0005-0000-0000-000045540000}"/>
    <cellStyle name="Calculation 16 24 6 3" xfId="21605" xr:uid="{00000000-0005-0000-0000-000046540000}"/>
    <cellStyle name="Calculation 16 24 6 4" xfId="21606" xr:uid="{00000000-0005-0000-0000-000047540000}"/>
    <cellStyle name="Calculation 16 24 6 5" xfId="21607" xr:uid="{00000000-0005-0000-0000-000048540000}"/>
    <cellStyle name="Calculation 16 24 6 6" xfId="21608" xr:uid="{00000000-0005-0000-0000-000049540000}"/>
    <cellStyle name="Calculation 16 24 7" xfId="21609" xr:uid="{00000000-0005-0000-0000-00004A540000}"/>
    <cellStyle name="Calculation 16 24 7 2" xfId="21610" xr:uid="{00000000-0005-0000-0000-00004B540000}"/>
    <cellStyle name="Calculation 16 24 7 3" xfId="21611" xr:uid="{00000000-0005-0000-0000-00004C540000}"/>
    <cellStyle name="Calculation 16 24 7 4" xfId="21612" xr:uid="{00000000-0005-0000-0000-00004D540000}"/>
    <cellStyle name="Calculation 16 24 7 5" xfId="21613" xr:uid="{00000000-0005-0000-0000-00004E540000}"/>
    <cellStyle name="Calculation 16 24 7 6" xfId="21614" xr:uid="{00000000-0005-0000-0000-00004F540000}"/>
    <cellStyle name="Calculation 16 24 8" xfId="21615" xr:uid="{00000000-0005-0000-0000-000050540000}"/>
    <cellStyle name="Calculation 16 24 9" xfId="21616" xr:uid="{00000000-0005-0000-0000-000051540000}"/>
    <cellStyle name="Calculation 16 25" xfId="21617" xr:uid="{00000000-0005-0000-0000-000052540000}"/>
    <cellStyle name="Calculation 16 25 10" xfId="21618" xr:uid="{00000000-0005-0000-0000-000053540000}"/>
    <cellStyle name="Calculation 16 25 2" xfId="21619" xr:uid="{00000000-0005-0000-0000-000054540000}"/>
    <cellStyle name="Calculation 16 25 2 2" xfId="21620" xr:uid="{00000000-0005-0000-0000-000055540000}"/>
    <cellStyle name="Calculation 16 25 2 3" xfId="21621" xr:uid="{00000000-0005-0000-0000-000056540000}"/>
    <cellStyle name="Calculation 16 25 2 4" xfId="21622" xr:uid="{00000000-0005-0000-0000-000057540000}"/>
    <cellStyle name="Calculation 16 25 2 5" xfId="21623" xr:uid="{00000000-0005-0000-0000-000058540000}"/>
    <cellStyle name="Calculation 16 25 2 6" xfId="21624" xr:uid="{00000000-0005-0000-0000-000059540000}"/>
    <cellStyle name="Calculation 16 25 3" xfId="21625" xr:uid="{00000000-0005-0000-0000-00005A540000}"/>
    <cellStyle name="Calculation 16 25 3 2" xfId="21626" xr:uid="{00000000-0005-0000-0000-00005B540000}"/>
    <cellStyle name="Calculation 16 25 3 3" xfId="21627" xr:uid="{00000000-0005-0000-0000-00005C540000}"/>
    <cellStyle name="Calculation 16 25 3 4" xfId="21628" xr:uid="{00000000-0005-0000-0000-00005D540000}"/>
    <cellStyle name="Calculation 16 25 3 5" xfId="21629" xr:uid="{00000000-0005-0000-0000-00005E540000}"/>
    <cellStyle name="Calculation 16 25 3 6" xfId="21630" xr:uid="{00000000-0005-0000-0000-00005F540000}"/>
    <cellStyle name="Calculation 16 25 4" xfId="21631" xr:uid="{00000000-0005-0000-0000-000060540000}"/>
    <cellStyle name="Calculation 16 25 4 2" xfId="21632" xr:uid="{00000000-0005-0000-0000-000061540000}"/>
    <cellStyle name="Calculation 16 25 4 3" xfId="21633" xr:uid="{00000000-0005-0000-0000-000062540000}"/>
    <cellStyle name="Calculation 16 25 4 4" xfId="21634" xr:uid="{00000000-0005-0000-0000-000063540000}"/>
    <cellStyle name="Calculation 16 25 4 5" xfId="21635" xr:uid="{00000000-0005-0000-0000-000064540000}"/>
    <cellStyle name="Calculation 16 25 4 6" xfId="21636" xr:uid="{00000000-0005-0000-0000-000065540000}"/>
    <cellStyle name="Calculation 16 25 5" xfId="21637" xr:uid="{00000000-0005-0000-0000-000066540000}"/>
    <cellStyle name="Calculation 16 25 5 2" xfId="21638" xr:uid="{00000000-0005-0000-0000-000067540000}"/>
    <cellStyle name="Calculation 16 25 5 3" xfId="21639" xr:uid="{00000000-0005-0000-0000-000068540000}"/>
    <cellStyle name="Calculation 16 25 5 4" xfId="21640" xr:uid="{00000000-0005-0000-0000-000069540000}"/>
    <cellStyle name="Calculation 16 25 5 5" xfId="21641" xr:uid="{00000000-0005-0000-0000-00006A540000}"/>
    <cellStyle name="Calculation 16 25 5 6" xfId="21642" xr:uid="{00000000-0005-0000-0000-00006B540000}"/>
    <cellStyle name="Calculation 16 25 6" xfId="21643" xr:uid="{00000000-0005-0000-0000-00006C540000}"/>
    <cellStyle name="Calculation 16 25 6 2" xfId="21644" xr:uid="{00000000-0005-0000-0000-00006D540000}"/>
    <cellStyle name="Calculation 16 25 6 3" xfId="21645" xr:uid="{00000000-0005-0000-0000-00006E540000}"/>
    <cellStyle name="Calculation 16 25 6 4" xfId="21646" xr:uid="{00000000-0005-0000-0000-00006F540000}"/>
    <cellStyle name="Calculation 16 25 6 5" xfId="21647" xr:uid="{00000000-0005-0000-0000-000070540000}"/>
    <cellStyle name="Calculation 16 25 6 6" xfId="21648" xr:uid="{00000000-0005-0000-0000-000071540000}"/>
    <cellStyle name="Calculation 16 25 7" xfId="21649" xr:uid="{00000000-0005-0000-0000-000072540000}"/>
    <cellStyle name="Calculation 16 25 7 2" xfId="21650" xr:uid="{00000000-0005-0000-0000-000073540000}"/>
    <cellStyle name="Calculation 16 25 7 3" xfId="21651" xr:uid="{00000000-0005-0000-0000-000074540000}"/>
    <cellStyle name="Calculation 16 25 7 4" xfId="21652" xr:uid="{00000000-0005-0000-0000-000075540000}"/>
    <cellStyle name="Calculation 16 25 7 5" xfId="21653" xr:uid="{00000000-0005-0000-0000-000076540000}"/>
    <cellStyle name="Calculation 16 25 7 6" xfId="21654" xr:uid="{00000000-0005-0000-0000-000077540000}"/>
    <cellStyle name="Calculation 16 25 8" xfId="21655" xr:uid="{00000000-0005-0000-0000-000078540000}"/>
    <cellStyle name="Calculation 16 25 9" xfId="21656" xr:uid="{00000000-0005-0000-0000-000079540000}"/>
    <cellStyle name="Calculation 16 26" xfId="21657" xr:uid="{00000000-0005-0000-0000-00007A540000}"/>
    <cellStyle name="Calculation 16 26 2" xfId="21658" xr:uid="{00000000-0005-0000-0000-00007B540000}"/>
    <cellStyle name="Calculation 16 26 3" xfId="21659" xr:uid="{00000000-0005-0000-0000-00007C540000}"/>
    <cellStyle name="Calculation 16 26 4" xfId="21660" xr:uid="{00000000-0005-0000-0000-00007D540000}"/>
    <cellStyle name="Calculation 16 26 5" xfId="21661" xr:uid="{00000000-0005-0000-0000-00007E540000}"/>
    <cellStyle name="Calculation 16 26 6" xfId="21662" xr:uid="{00000000-0005-0000-0000-00007F540000}"/>
    <cellStyle name="Calculation 16 27" xfId="21663" xr:uid="{00000000-0005-0000-0000-000080540000}"/>
    <cellStyle name="Calculation 16 27 2" xfId="21664" xr:uid="{00000000-0005-0000-0000-000081540000}"/>
    <cellStyle name="Calculation 16 27 3" xfId="21665" xr:uid="{00000000-0005-0000-0000-000082540000}"/>
    <cellStyle name="Calculation 16 27 4" xfId="21666" xr:uid="{00000000-0005-0000-0000-000083540000}"/>
    <cellStyle name="Calculation 16 27 5" xfId="21667" xr:uid="{00000000-0005-0000-0000-000084540000}"/>
    <cellStyle name="Calculation 16 27 6" xfId="21668" xr:uid="{00000000-0005-0000-0000-000085540000}"/>
    <cellStyle name="Calculation 16 28" xfId="21669" xr:uid="{00000000-0005-0000-0000-000086540000}"/>
    <cellStyle name="Calculation 16 28 2" xfId="21670" xr:uid="{00000000-0005-0000-0000-000087540000}"/>
    <cellStyle name="Calculation 16 28 3" xfId="21671" xr:uid="{00000000-0005-0000-0000-000088540000}"/>
    <cellStyle name="Calculation 16 28 4" xfId="21672" xr:uid="{00000000-0005-0000-0000-000089540000}"/>
    <cellStyle name="Calculation 16 28 5" xfId="21673" xr:uid="{00000000-0005-0000-0000-00008A540000}"/>
    <cellStyle name="Calculation 16 28 6" xfId="21674" xr:uid="{00000000-0005-0000-0000-00008B540000}"/>
    <cellStyle name="Calculation 16 29" xfId="21675" xr:uid="{00000000-0005-0000-0000-00008C540000}"/>
    <cellStyle name="Calculation 16 29 2" xfId="21676" xr:uid="{00000000-0005-0000-0000-00008D540000}"/>
    <cellStyle name="Calculation 16 29 3" xfId="21677" xr:uid="{00000000-0005-0000-0000-00008E540000}"/>
    <cellStyle name="Calculation 16 29 4" xfId="21678" xr:uid="{00000000-0005-0000-0000-00008F540000}"/>
    <cellStyle name="Calculation 16 29 5" xfId="21679" xr:uid="{00000000-0005-0000-0000-000090540000}"/>
    <cellStyle name="Calculation 16 29 6" xfId="21680" xr:uid="{00000000-0005-0000-0000-000091540000}"/>
    <cellStyle name="Calculation 16 3" xfId="21681" xr:uid="{00000000-0005-0000-0000-000092540000}"/>
    <cellStyle name="Calculation 16 3 10" xfId="21682" xr:uid="{00000000-0005-0000-0000-000093540000}"/>
    <cellStyle name="Calculation 16 3 10 10" xfId="21683" xr:uid="{00000000-0005-0000-0000-000094540000}"/>
    <cellStyle name="Calculation 16 3 10 2" xfId="21684" xr:uid="{00000000-0005-0000-0000-000095540000}"/>
    <cellStyle name="Calculation 16 3 10 2 2" xfId="21685" xr:uid="{00000000-0005-0000-0000-000096540000}"/>
    <cellStyle name="Calculation 16 3 10 2 3" xfId="21686" xr:uid="{00000000-0005-0000-0000-000097540000}"/>
    <cellStyle name="Calculation 16 3 10 2 4" xfId="21687" xr:uid="{00000000-0005-0000-0000-000098540000}"/>
    <cellStyle name="Calculation 16 3 10 2 5" xfId="21688" xr:uid="{00000000-0005-0000-0000-000099540000}"/>
    <cellStyle name="Calculation 16 3 10 2 6" xfId="21689" xr:uid="{00000000-0005-0000-0000-00009A540000}"/>
    <cellStyle name="Calculation 16 3 10 3" xfId="21690" xr:uid="{00000000-0005-0000-0000-00009B540000}"/>
    <cellStyle name="Calculation 16 3 10 3 2" xfId="21691" xr:uid="{00000000-0005-0000-0000-00009C540000}"/>
    <cellStyle name="Calculation 16 3 10 3 3" xfId="21692" xr:uid="{00000000-0005-0000-0000-00009D540000}"/>
    <cellStyle name="Calculation 16 3 10 3 4" xfId="21693" xr:uid="{00000000-0005-0000-0000-00009E540000}"/>
    <cellStyle name="Calculation 16 3 10 3 5" xfId="21694" xr:uid="{00000000-0005-0000-0000-00009F540000}"/>
    <cellStyle name="Calculation 16 3 10 3 6" xfId="21695" xr:uid="{00000000-0005-0000-0000-0000A0540000}"/>
    <cellStyle name="Calculation 16 3 10 4" xfId="21696" xr:uid="{00000000-0005-0000-0000-0000A1540000}"/>
    <cellStyle name="Calculation 16 3 10 4 2" xfId="21697" xr:uid="{00000000-0005-0000-0000-0000A2540000}"/>
    <cellStyle name="Calculation 16 3 10 4 3" xfId="21698" xr:uid="{00000000-0005-0000-0000-0000A3540000}"/>
    <cellStyle name="Calculation 16 3 10 4 4" xfId="21699" xr:uid="{00000000-0005-0000-0000-0000A4540000}"/>
    <cellStyle name="Calculation 16 3 10 4 5" xfId="21700" xr:uid="{00000000-0005-0000-0000-0000A5540000}"/>
    <cellStyle name="Calculation 16 3 10 4 6" xfId="21701" xr:uid="{00000000-0005-0000-0000-0000A6540000}"/>
    <cellStyle name="Calculation 16 3 10 5" xfId="21702" xr:uid="{00000000-0005-0000-0000-0000A7540000}"/>
    <cellStyle name="Calculation 16 3 10 5 2" xfId="21703" xr:uid="{00000000-0005-0000-0000-0000A8540000}"/>
    <cellStyle name="Calculation 16 3 10 5 3" xfId="21704" xr:uid="{00000000-0005-0000-0000-0000A9540000}"/>
    <cellStyle name="Calculation 16 3 10 5 4" xfId="21705" xr:uid="{00000000-0005-0000-0000-0000AA540000}"/>
    <cellStyle name="Calculation 16 3 10 5 5" xfId="21706" xr:uid="{00000000-0005-0000-0000-0000AB540000}"/>
    <cellStyle name="Calculation 16 3 10 5 6" xfId="21707" xr:uid="{00000000-0005-0000-0000-0000AC540000}"/>
    <cellStyle name="Calculation 16 3 10 6" xfId="21708" xr:uid="{00000000-0005-0000-0000-0000AD540000}"/>
    <cellStyle name="Calculation 16 3 10 6 2" xfId="21709" xr:uid="{00000000-0005-0000-0000-0000AE540000}"/>
    <cellStyle name="Calculation 16 3 10 6 3" xfId="21710" xr:uid="{00000000-0005-0000-0000-0000AF540000}"/>
    <cellStyle name="Calculation 16 3 10 6 4" xfId="21711" xr:uid="{00000000-0005-0000-0000-0000B0540000}"/>
    <cellStyle name="Calculation 16 3 10 6 5" xfId="21712" xr:uid="{00000000-0005-0000-0000-0000B1540000}"/>
    <cellStyle name="Calculation 16 3 10 6 6" xfId="21713" xr:uid="{00000000-0005-0000-0000-0000B2540000}"/>
    <cellStyle name="Calculation 16 3 10 7" xfId="21714" xr:uid="{00000000-0005-0000-0000-0000B3540000}"/>
    <cellStyle name="Calculation 16 3 10 7 2" xfId="21715" xr:uid="{00000000-0005-0000-0000-0000B4540000}"/>
    <cellStyle name="Calculation 16 3 10 7 3" xfId="21716" xr:uid="{00000000-0005-0000-0000-0000B5540000}"/>
    <cellStyle name="Calculation 16 3 10 7 4" xfId="21717" xr:uid="{00000000-0005-0000-0000-0000B6540000}"/>
    <cellStyle name="Calculation 16 3 10 7 5" xfId="21718" xr:uid="{00000000-0005-0000-0000-0000B7540000}"/>
    <cellStyle name="Calculation 16 3 10 7 6" xfId="21719" xr:uid="{00000000-0005-0000-0000-0000B8540000}"/>
    <cellStyle name="Calculation 16 3 10 8" xfId="21720" xr:uid="{00000000-0005-0000-0000-0000B9540000}"/>
    <cellStyle name="Calculation 16 3 10 9" xfId="21721" xr:uid="{00000000-0005-0000-0000-0000BA540000}"/>
    <cellStyle name="Calculation 16 3 11" xfId="21722" xr:uid="{00000000-0005-0000-0000-0000BB540000}"/>
    <cellStyle name="Calculation 16 3 11 10" xfId="21723" xr:uid="{00000000-0005-0000-0000-0000BC540000}"/>
    <cellStyle name="Calculation 16 3 11 2" xfId="21724" xr:uid="{00000000-0005-0000-0000-0000BD540000}"/>
    <cellStyle name="Calculation 16 3 11 2 2" xfId="21725" xr:uid="{00000000-0005-0000-0000-0000BE540000}"/>
    <cellStyle name="Calculation 16 3 11 2 3" xfId="21726" xr:uid="{00000000-0005-0000-0000-0000BF540000}"/>
    <cellStyle name="Calculation 16 3 11 2 4" xfId="21727" xr:uid="{00000000-0005-0000-0000-0000C0540000}"/>
    <cellStyle name="Calculation 16 3 11 2 5" xfId="21728" xr:uid="{00000000-0005-0000-0000-0000C1540000}"/>
    <cellStyle name="Calculation 16 3 11 2 6" xfId="21729" xr:uid="{00000000-0005-0000-0000-0000C2540000}"/>
    <cellStyle name="Calculation 16 3 11 3" xfId="21730" xr:uid="{00000000-0005-0000-0000-0000C3540000}"/>
    <cellStyle name="Calculation 16 3 11 3 2" xfId="21731" xr:uid="{00000000-0005-0000-0000-0000C4540000}"/>
    <cellStyle name="Calculation 16 3 11 3 3" xfId="21732" xr:uid="{00000000-0005-0000-0000-0000C5540000}"/>
    <cellStyle name="Calculation 16 3 11 3 4" xfId="21733" xr:uid="{00000000-0005-0000-0000-0000C6540000}"/>
    <cellStyle name="Calculation 16 3 11 3 5" xfId="21734" xr:uid="{00000000-0005-0000-0000-0000C7540000}"/>
    <cellStyle name="Calculation 16 3 11 3 6" xfId="21735" xr:uid="{00000000-0005-0000-0000-0000C8540000}"/>
    <cellStyle name="Calculation 16 3 11 4" xfId="21736" xr:uid="{00000000-0005-0000-0000-0000C9540000}"/>
    <cellStyle name="Calculation 16 3 11 4 2" xfId="21737" xr:uid="{00000000-0005-0000-0000-0000CA540000}"/>
    <cellStyle name="Calculation 16 3 11 4 3" xfId="21738" xr:uid="{00000000-0005-0000-0000-0000CB540000}"/>
    <cellStyle name="Calculation 16 3 11 4 4" xfId="21739" xr:uid="{00000000-0005-0000-0000-0000CC540000}"/>
    <cellStyle name="Calculation 16 3 11 4 5" xfId="21740" xr:uid="{00000000-0005-0000-0000-0000CD540000}"/>
    <cellStyle name="Calculation 16 3 11 4 6" xfId="21741" xr:uid="{00000000-0005-0000-0000-0000CE540000}"/>
    <cellStyle name="Calculation 16 3 11 5" xfId="21742" xr:uid="{00000000-0005-0000-0000-0000CF540000}"/>
    <cellStyle name="Calculation 16 3 11 5 2" xfId="21743" xr:uid="{00000000-0005-0000-0000-0000D0540000}"/>
    <cellStyle name="Calculation 16 3 11 5 3" xfId="21744" xr:uid="{00000000-0005-0000-0000-0000D1540000}"/>
    <cellStyle name="Calculation 16 3 11 5 4" xfId="21745" xr:uid="{00000000-0005-0000-0000-0000D2540000}"/>
    <cellStyle name="Calculation 16 3 11 5 5" xfId="21746" xr:uid="{00000000-0005-0000-0000-0000D3540000}"/>
    <cellStyle name="Calculation 16 3 11 5 6" xfId="21747" xr:uid="{00000000-0005-0000-0000-0000D4540000}"/>
    <cellStyle name="Calculation 16 3 11 6" xfId="21748" xr:uid="{00000000-0005-0000-0000-0000D5540000}"/>
    <cellStyle name="Calculation 16 3 11 6 2" xfId="21749" xr:uid="{00000000-0005-0000-0000-0000D6540000}"/>
    <cellStyle name="Calculation 16 3 11 6 3" xfId="21750" xr:uid="{00000000-0005-0000-0000-0000D7540000}"/>
    <cellStyle name="Calculation 16 3 11 6 4" xfId="21751" xr:uid="{00000000-0005-0000-0000-0000D8540000}"/>
    <cellStyle name="Calculation 16 3 11 6 5" xfId="21752" xr:uid="{00000000-0005-0000-0000-0000D9540000}"/>
    <cellStyle name="Calculation 16 3 11 6 6" xfId="21753" xr:uid="{00000000-0005-0000-0000-0000DA540000}"/>
    <cellStyle name="Calculation 16 3 11 7" xfId="21754" xr:uid="{00000000-0005-0000-0000-0000DB540000}"/>
    <cellStyle name="Calculation 16 3 11 7 2" xfId="21755" xr:uid="{00000000-0005-0000-0000-0000DC540000}"/>
    <cellStyle name="Calculation 16 3 11 7 3" xfId="21756" xr:uid="{00000000-0005-0000-0000-0000DD540000}"/>
    <cellStyle name="Calculation 16 3 11 7 4" xfId="21757" xr:uid="{00000000-0005-0000-0000-0000DE540000}"/>
    <cellStyle name="Calculation 16 3 11 7 5" xfId="21758" xr:uid="{00000000-0005-0000-0000-0000DF540000}"/>
    <cellStyle name="Calculation 16 3 11 7 6" xfId="21759" xr:uid="{00000000-0005-0000-0000-0000E0540000}"/>
    <cellStyle name="Calculation 16 3 11 8" xfId="21760" xr:uid="{00000000-0005-0000-0000-0000E1540000}"/>
    <cellStyle name="Calculation 16 3 11 9" xfId="21761" xr:uid="{00000000-0005-0000-0000-0000E2540000}"/>
    <cellStyle name="Calculation 16 3 12" xfId="21762" xr:uid="{00000000-0005-0000-0000-0000E3540000}"/>
    <cellStyle name="Calculation 16 3 12 10" xfId="21763" xr:uid="{00000000-0005-0000-0000-0000E4540000}"/>
    <cellStyle name="Calculation 16 3 12 2" xfId="21764" xr:uid="{00000000-0005-0000-0000-0000E5540000}"/>
    <cellStyle name="Calculation 16 3 12 2 2" xfId="21765" xr:uid="{00000000-0005-0000-0000-0000E6540000}"/>
    <cellStyle name="Calculation 16 3 12 2 3" xfId="21766" xr:uid="{00000000-0005-0000-0000-0000E7540000}"/>
    <cellStyle name="Calculation 16 3 12 2 4" xfId="21767" xr:uid="{00000000-0005-0000-0000-0000E8540000}"/>
    <cellStyle name="Calculation 16 3 12 2 5" xfId="21768" xr:uid="{00000000-0005-0000-0000-0000E9540000}"/>
    <cellStyle name="Calculation 16 3 12 2 6" xfId="21769" xr:uid="{00000000-0005-0000-0000-0000EA540000}"/>
    <cellStyle name="Calculation 16 3 12 3" xfId="21770" xr:uid="{00000000-0005-0000-0000-0000EB540000}"/>
    <cellStyle name="Calculation 16 3 12 3 2" xfId="21771" xr:uid="{00000000-0005-0000-0000-0000EC540000}"/>
    <cellStyle name="Calculation 16 3 12 3 3" xfId="21772" xr:uid="{00000000-0005-0000-0000-0000ED540000}"/>
    <cellStyle name="Calculation 16 3 12 3 4" xfId="21773" xr:uid="{00000000-0005-0000-0000-0000EE540000}"/>
    <cellStyle name="Calculation 16 3 12 3 5" xfId="21774" xr:uid="{00000000-0005-0000-0000-0000EF540000}"/>
    <cellStyle name="Calculation 16 3 12 3 6" xfId="21775" xr:uid="{00000000-0005-0000-0000-0000F0540000}"/>
    <cellStyle name="Calculation 16 3 12 4" xfId="21776" xr:uid="{00000000-0005-0000-0000-0000F1540000}"/>
    <cellStyle name="Calculation 16 3 12 4 2" xfId="21777" xr:uid="{00000000-0005-0000-0000-0000F2540000}"/>
    <cellStyle name="Calculation 16 3 12 4 3" xfId="21778" xr:uid="{00000000-0005-0000-0000-0000F3540000}"/>
    <cellStyle name="Calculation 16 3 12 4 4" xfId="21779" xr:uid="{00000000-0005-0000-0000-0000F4540000}"/>
    <cellStyle name="Calculation 16 3 12 4 5" xfId="21780" xr:uid="{00000000-0005-0000-0000-0000F5540000}"/>
    <cellStyle name="Calculation 16 3 12 4 6" xfId="21781" xr:uid="{00000000-0005-0000-0000-0000F6540000}"/>
    <cellStyle name="Calculation 16 3 12 5" xfId="21782" xr:uid="{00000000-0005-0000-0000-0000F7540000}"/>
    <cellStyle name="Calculation 16 3 12 5 2" xfId="21783" xr:uid="{00000000-0005-0000-0000-0000F8540000}"/>
    <cellStyle name="Calculation 16 3 12 5 3" xfId="21784" xr:uid="{00000000-0005-0000-0000-0000F9540000}"/>
    <cellStyle name="Calculation 16 3 12 5 4" xfId="21785" xr:uid="{00000000-0005-0000-0000-0000FA540000}"/>
    <cellStyle name="Calculation 16 3 12 5 5" xfId="21786" xr:uid="{00000000-0005-0000-0000-0000FB540000}"/>
    <cellStyle name="Calculation 16 3 12 5 6" xfId="21787" xr:uid="{00000000-0005-0000-0000-0000FC540000}"/>
    <cellStyle name="Calculation 16 3 12 6" xfId="21788" xr:uid="{00000000-0005-0000-0000-0000FD540000}"/>
    <cellStyle name="Calculation 16 3 12 6 2" xfId="21789" xr:uid="{00000000-0005-0000-0000-0000FE540000}"/>
    <cellStyle name="Calculation 16 3 12 6 3" xfId="21790" xr:uid="{00000000-0005-0000-0000-0000FF540000}"/>
    <cellStyle name="Calculation 16 3 12 6 4" xfId="21791" xr:uid="{00000000-0005-0000-0000-000000550000}"/>
    <cellStyle name="Calculation 16 3 12 6 5" xfId="21792" xr:uid="{00000000-0005-0000-0000-000001550000}"/>
    <cellStyle name="Calculation 16 3 12 6 6" xfId="21793" xr:uid="{00000000-0005-0000-0000-000002550000}"/>
    <cellStyle name="Calculation 16 3 12 7" xfId="21794" xr:uid="{00000000-0005-0000-0000-000003550000}"/>
    <cellStyle name="Calculation 16 3 12 7 2" xfId="21795" xr:uid="{00000000-0005-0000-0000-000004550000}"/>
    <cellStyle name="Calculation 16 3 12 7 3" xfId="21796" xr:uid="{00000000-0005-0000-0000-000005550000}"/>
    <cellStyle name="Calculation 16 3 12 7 4" xfId="21797" xr:uid="{00000000-0005-0000-0000-000006550000}"/>
    <cellStyle name="Calculation 16 3 12 7 5" xfId="21798" xr:uid="{00000000-0005-0000-0000-000007550000}"/>
    <cellStyle name="Calculation 16 3 12 7 6" xfId="21799" xr:uid="{00000000-0005-0000-0000-000008550000}"/>
    <cellStyle name="Calculation 16 3 12 8" xfId="21800" xr:uid="{00000000-0005-0000-0000-000009550000}"/>
    <cellStyle name="Calculation 16 3 12 9" xfId="21801" xr:uid="{00000000-0005-0000-0000-00000A550000}"/>
    <cellStyle name="Calculation 16 3 13" xfId="21802" xr:uid="{00000000-0005-0000-0000-00000B550000}"/>
    <cellStyle name="Calculation 16 3 13 10" xfId="21803" xr:uid="{00000000-0005-0000-0000-00000C550000}"/>
    <cellStyle name="Calculation 16 3 13 2" xfId="21804" xr:uid="{00000000-0005-0000-0000-00000D550000}"/>
    <cellStyle name="Calculation 16 3 13 2 2" xfId="21805" xr:uid="{00000000-0005-0000-0000-00000E550000}"/>
    <cellStyle name="Calculation 16 3 13 2 3" xfId="21806" xr:uid="{00000000-0005-0000-0000-00000F550000}"/>
    <cellStyle name="Calculation 16 3 13 2 4" xfId="21807" xr:uid="{00000000-0005-0000-0000-000010550000}"/>
    <cellStyle name="Calculation 16 3 13 2 5" xfId="21808" xr:uid="{00000000-0005-0000-0000-000011550000}"/>
    <cellStyle name="Calculation 16 3 13 2 6" xfId="21809" xr:uid="{00000000-0005-0000-0000-000012550000}"/>
    <cellStyle name="Calculation 16 3 13 3" xfId="21810" xr:uid="{00000000-0005-0000-0000-000013550000}"/>
    <cellStyle name="Calculation 16 3 13 3 2" xfId="21811" xr:uid="{00000000-0005-0000-0000-000014550000}"/>
    <cellStyle name="Calculation 16 3 13 3 3" xfId="21812" xr:uid="{00000000-0005-0000-0000-000015550000}"/>
    <cellStyle name="Calculation 16 3 13 3 4" xfId="21813" xr:uid="{00000000-0005-0000-0000-000016550000}"/>
    <cellStyle name="Calculation 16 3 13 3 5" xfId="21814" xr:uid="{00000000-0005-0000-0000-000017550000}"/>
    <cellStyle name="Calculation 16 3 13 3 6" xfId="21815" xr:uid="{00000000-0005-0000-0000-000018550000}"/>
    <cellStyle name="Calculation 16 3 13 4" xfId="21816" xr:uid="{00000000-0005-0000-0000-000019550000}"/>
    <cellStyle name="Calculation 16 3 13 4 2" xfId="21817" xr:uid="{00000000-0005-0000-0000-00001A550000}"/>
    <cellStyle name="Calculation 16 3 13 4 3" xfId="21818" xr:uid="{00000000-0005-0000-0000-00001B550000}"/>
    <cellStyle name="Calculation 16 3 13 4 4" xfId="21819" xr:uid="{00000000-0005-0000-0000-00001C550000}"/>
    <cellStyle name="Calculation 16 3 13 4 5" xfId="21820" xr:uid="{00000000-0005-0000-0000-00001D550000}"/>
    <cellStyle name="Calculation 16 3 13 4 6" xfId="21821" xr:uid="{00000000-0005-0000-0000-00001E550000}"/>
    <cellStyle name="Calculation 16 3 13 5" xfId="21822" xr:uid="{00000000-0005-0000-0000-00001F550000}"/>
    <cellStyle name="Calculation 16 3 13 5 2" xfId="21823" xr:uid="{00000000-0005-0000-0000-000020550000}"/>
    <cellStyle name="Calculation 16 3 13 5 3" xfId="21824" xr:uid="{00000000-0005-0000-0000-000021550000}"/>
    <cellStyle name="Calculation 16 3 13 5 4" xfId="21825" xr:uid="{00000000-0005-0000-0000-000022550000}"/>
    <cellStyle name="Calculation 16 3 13 5 5" xfId="21826" xr:uid="{00000000-0005-0000-0000-000023550000}"/>
    <cellStyle name="Calculation 16 3 13 5 6" xfId="21827" xr:uid="{00000000-0005-0000-0000-000024550000}"/>
    <cellStyle name="Calculation 16 3 13 6" xfId="21828" xr:uid="{00000000-0005-0000-0000-000025550000}"/>
    <cellStyle name="Calculation 16 3 13 6 2" xfId="21829" xr:uid="{00000000-0005-0000-0000-000026550000}"/>
    <cellStyle name="Calculation 16 3 13 6 3" xfId="21830" xr:uid="{00000000-0005-0000-0000-000027550000}"/>
    <cellStyle name="Calculation 16 3 13 6 4" xfId="21831" xr:uid="{00000000-0005-0000-0000-000028550000}"/>
    <cellStyle name="Calculation 16 3 13 6 5" xfId="21832" xr:uid="{00000000-0005-0000-0000-000029550000}"/>
    <cellStyle name="Calculation 16 3 13 6 6" xfId="21833" xr:uid="{00000000-0005-0000-0000-00002A550000}"/>
    <cellStyle name="Calculation 16 3 13 7" xfId="21834" xr:uid="{00000000-0005-0000-0000-00002B550000}"/>
    <cellStyle name="Calculation 16 3 13 7 2" xfId="21835" xr:uid="{00000000-0005-0000-0000-00002C550000}"/>
    <cellStyle name="Calculation 16 3 13 7 3" xfId="21836" xr:uid="{00000000-0005-0000-0000-00002D550000}"/>
    <cellStyle name="Calculation 16 3 13 7 4" xfId="21837" xr:uid="{00000000-0005-0000-0000-00002E550000}"/>
    <cellStyle name="Calculation 16 3 13 7 5" xfId="21838" xr:uid="{00000000-0005-0000-0000-00002F550000}"/>
    <cellStyle name="Calculation 16 3 13 7 6" xfId="21839" xr:uid="{00000000-0005-0000-0000-000030550000}"/>
    <cellStyle name="Calculation 16 3 13 8" xfId="21840" xr:uid="{00000000-0005-0000-0000-000031550000}"/>
    <cellStyle name="Calculation 16 3 13 9" xfId="21841" xr:uid="{00000000-0005-0000-0000-000032550000}"/>
    <cellStyle name="Calculation 16 3 14" xfId="21842" xr:uid="{00000000-0005-0000-0000-000033550000}"/>
    <cellStyle name="Calculation 16 3 14 10" xfId="21843" xr:uid="{00000000-0005-0000-0000-000034550000}"/>
    <cellStyle name="Calculation 16 3 14 2" xfId="21844" xr:uid="{00000000-0005-0000-0000-000035550000}"/>
    <cellStyle name="Calculation 16 3 14 2 2" xfId="21845" xr:uid="{00000000-0005-0000-0000-000036550000}"/>
    <cellStyle name="Calculation 16 3 14 2 3" xfId="21846" xr:uid="{00000000-0005-0000-0000-000037550000}"/>
    <cellStyle name="Calculation 16 3 14 2 4" xfId="21847" xr:uid="{00000000-0005-0000-0000-000038550000}"/>
    <cellStyle name="Calculation 16 3 14 2 5" xfId="21848" xr:uid="{00000000-0005-0000-0000-000039550000}"/>
    <cellStyle name="Calculation 16 3 14 2 6" xfId="21849" xr:uid="{00000000-0005-0000-0000-00003A550000}"/>
    <cellStyle name="Calculation 16 3 14 3" xfId="21850" xr:uid="{00000000-0005-0000-0000-00003B550000}"/>
    <cellStyle name="Calculation 16 3 14 3 2" xfId="21851" xr:uid="{00000000-0005-0000-0000-00003C550000}"/>
    <cellStyle name="Calculation 16 3 14 3 3" xfId="21852" xr:uid="{00000000-0005-0000-0000-00003D550000}"/>
    <cellStyle name="Calculation 16 3 14 3 4" xfId="21853" xr:uid="{00000000-0005-0000-0000-00003E550000}"/>
    <cellStyle name="Calculation 16 3 14 3 5" xfId="21854" xr:uid="{00000000-0005-0000-0000-00003F550000}"/>
    <cellStyle name="Calculation 16 3 14 3 6" xfId="21855" xr:uid="{00000000-0005-0000-0000-000040550000}"/>
    <cellStyle name="Calculation 16 3 14 4" xfId="21856" xr:uid="{00000000-0005-0000-0000-000041550000}"/>
    <cellStyle name="Calculation 16 3 14 4 2" xfId="21857" xr:uid="{00000000-0005-0000-0000-000042550000}"/>
    <cellStyle name="Calculation 16 3 14 4 3" xfId="21858" xr:uid="{00000000-0005-0000-0000-000043550000}"/>
    <cellStyle name="Calculation 16 3 14 4 4" xfId="21859" xr:uid="{00000000-0005-0000-0000-000044550000}"/>
    <cellStyle name="Calculation 16 3 14 4 5" xfId="21860" xr:uid="{00000000-0005-0000-0000-000045550000}"/>
    <cellStyle name="Calculation 16 3 14 4 6" xfId="21861" xr:uid="{00000000-0005-0000-0000-000046550000}"/>
    <cellStyle name="Calculation 16 3 14 5" xfId="21862" xr:uid="{00000000-0005-0000-0000-000047550000}"/>
    <cellStyle name="Calculation 16 3 14 5 2" xfId="21863" xr:uid="{00000000-0005-0000-0000-000048550000}"/>
    <cellStyle name="Calculation 16 3 14 5 3" xfId="21864" xr:uid="{00000000-0005-0000-0000-000049550000}"/>
    <cellStyle name="Calculation 16 3 14 5 4" xfId="21865" xr:uid="{00000000-0005-0000-0000-00004A550000}"/>
    <cellStyle name="Calculation 16 3 14 5 5" xfId="21866" xr:uid="{00000000-0005-0000-0000-00004B550000}"/>
    <cellStyle name="Calculation 16 3 14 5 6" xfId="21867" xr:uid="{00000000-0005-0000-0000-00004C550000}"/>
    <cellStyle name="Calculation 16 3 14 6" xfId="21868" xr:uid="{00000000-0005-0000-0000-00004D550000}"/>
    <cellStyle name="Calculation 16 3 14 6 2" xfId="21869" xr:uid="{00000000-0005-0000-0000-00004E550000}"/>
    <cellStyle name="Calculation 16 3 14 6 3" xfId="21870" xr:uid="{00000000-0005-0000-0000-00004F550000}"/>
    <cellStyle name="Calculation 16 3 14 6 4" xfId="21871" xr:uid="{00000000-0005-0000-0000-000050550000}"/>
    <cellStyle name="Calculation 16 3 14 6 5" xfId="21872" xr:uid="{00000000-0005-0000-0000-000051550000}"/>
    <cellStyle name="Calculation 16 3 14 6 6" xfId="21873" xr:uid="{00000000-0005-0000-0000-000052550000}"/>
    <cellStyle name="Calculation 16 3 14 7" xfId="21874" xr:uid="{00000000-0005-0000-0000-000053550000}"/>
    <cellStyle name="Calculation 16 3 14 7 2" xfId="21875" xr:uid="{00000000-0005-0000-0000-000054550000}"/>
    <cellStyle name="Calculation 16 3 14 7 3" xfId="21876" xr:uid="{00000000-0005-0000-0000-000055550000}"/>
    <cellStyle name="Calculation 16 3 14 7 4" xfId="21877" xr:uid="{00000000-0005-0000-0000-000056550000}"/>
    <cellStyle name="Calculation 16 3 14 7 5" xfId="21878" xr:uid="{00000000-0005-0000-0000-000057550000}"/>
    <cellStyle name="Calculation 16 3 14 7 6" xfId="21879" xr:uid="{00000000-0005-0000-0000-000058550000}"/>
    <cellStyle name="Calculation 16 3 14 8" xfId="21880" xr:uid="{00000000-0005-0000-0000-000059550000}"/>
    <cellStyle name="Calculation 16 3 14 9" xfId="21881" xr:uid="{00000000-0005-0000-0000-00005A550000}"/>
    <cellStyle name="Calculation 16 3 15" xfId="21882" xr:uid="{00000000-0005-0000-0000-00005B550000}"/>
    <cellStyle name="Calculation 16 3 15 10" xfId="21883" xr:uid="{00000000-0005-0000-0000-00005C550000}"/>
    <cellStyle name="Calculation 16 3 15 2" xfId="21884" xr:uid="{00000000-0005-0000-0000-00005D550000}"/>
    <cellStyle name="Calculation 16 3 15 2 2" xfId="21885" xr:uid="{00000000-0005-0000-0000-00005E550000}"/>
    <cellStyle name="Calculation 16 3 15 2 3" xfId="21886" xr:uid="{00000000-0005-0000-0000-00005F550000}"/>
    <cellStyle name="Calculation 16 3 15 2 4" xfId="21887" xr:uid="{00000000-0005-0000-0000-000060550000}"/>
    <cellStyle name="Calculation 16 3 15 2 5" xfId="21888" xr:uid="{00000000-0005-0000-0000-000061550000}"/>
    <cellStyle name="Calculation 16 3 15 2 6" xfId="21889" xr:uid="{00000000-0005-0000-0000-000062550000}"/>
    <cellStyle name="Calculation 16 3 15 3" xfId="21890" xr:uid="{00000000-0005-0000-0000-000063550000}"/>
    <cellStyle name="Calculation 16 3 15 3 2" xfId="21891" xr:uid="{00000000-0005-0000-0000-000064550000}"/>
    <cellStyle name="Calculation 16 3 15 3 3" xfId="21892" xr:uid="{00000000-0005-0000-0000-000065550000}"/>
    <cellStyle name="Calculation 16 3 15 3 4" xfId="21893" xr:uid="{00000000-0005-0000-0000-000066550000}"/>
    <cellStyle name="Calculation 16 3 15 3 5" xfId="21894" xr:uid="{00000000-0005-0000-0000-000067550000}"/>
    <cellStyle name="Calculation 16 3 15 3 6" xfId="21895" xr:uid="{00000000-0005-0000-0000-000068550000}"/>
    <cellStyle name="Calculation 16 3 15 4" xfId="21896" xr:uid="{00000000-0005-0000-0000-000069550000}"/>
    <cellStyle name="Calculation 16 3 15 4 2" xfId="21897" xr:uid="{00000000-0005-0000-0000-00006A550000}"/>
    <cellStyle name="Calculation 16 3 15 4 3" xfId="21898" xr:uid="{00000000-0005-0000-0000-00006B550000}"/>
    <cellStyle name="Calculation 16 3 15 4 4" xfId="21899" xr:uid="{00000000-0005-0000-0000-00006C550000}"/>
    <cellStyle name="Calculation 16 3 15 4 5" xfId="21900" xr:uid="{00000000-0005-0000-0000-00006D550000}"/>
    <cellStyle name="Calculation 16 3 15 4 6" xfId="21901" xr:uid="{00000000-0005-0000-0000-00006E550000}"/>
    <cellStyle name="Calculation 16 3 15 5" xfId="21902" xr:uid="{00000000-0005-0000-0000-00006F550000}"/>
    <cellStyle name="Calculation 16 3 15 5 2" xfId="21903" xr:uid="{00000000-0005-0000-0000-000070550000}"/>
    <cellStyle name="Calculation 16 3 15 5 3" xfId="21904" xr:uid="{00000000-0005-0000-0000-000071550000}"/>
    <cellStyle name="Calculation 16 3 15 5 4" xfId="21905" xr:uid="{00000000-0005-0000-0000-000072550000}"/>
    <cellStyle name="Calculation 16 3 15 5 5" xfId="21906" xr:uid="{00000000-0005-0000-0000-000073550000}"/>
    <cellStyle name="Calculation 16 3 15 5 6" xfId="21907" xr:uid="{00000000-0005-0000-0000-000074550000}"/>
    <cellStyle name="Calculation 16 3 15 6" xfId="21908" xr:uid="{00000000-0005-0000-0000-000075550000}"/>
    <cellStyle name="Calculation 16 3 15 6 2" xfId="21909" xr:uid="{00000000-0005-0000-0000-000076550000}"/>
    <cellStyle name="Calculation 16 3 15 6 3" xfId="21910" xr:uid="{00000000-0005-0000-0000-000077550000}"/>
    <cellStyle name="Calculation 16 3 15 6 4" xfId="21911" xr:uid="{00000000-0005-0000-0000-000078550000}"/>
    <cellStyle name="Calculation 16 3 15 6 5" xfId="21912" xr:uid="{00000000-0005-0000-0000-000079550000}"/>
    <cellStyle name="Calculation 16 3 15 6 6" xfId="21913" xr:uid="{00000000-0005-0000-0000-00007A550000}"/>
    <cellStyle name="Calculation 16 3 15 7" xfId="21914" xr:uid="{00000000-0005-0000-0000-00007B550000}"/>
    <cellStyle name="Calculation 16 3 15 7 2" xfId="21915" xr:uid="{00000000-0005-0000-0000-00007C550000}"/>
    <cellStyle name="Calculation 16 3 15 7 3" xfId="21916" xr:uid="{00000000-0005-0000-0000-00007D550000}"/>
    <cellStyle name="Calculation 16 3 15 7 4" xfId="21917" xr:uid="{00000000-0005-0000-0000-00007E550000}"/>
    <cellStyle name="Calculation 16 3 15 7 5" xfId="21918" xr:uid="{00000000-0005-0000-0000-00007F550000}"/>
    <cellStyle name="Calculation 16 3 15 7 6" xfId="21919" xr:uid="{00000000-0005-0000-0000-000080550000}"/>
    <cellStyle name="Calculation 16 3 15 8" xfId="21920" xr:uid="{00000000-0005-0000-0000-000081550000}"/>
    <cellStyle name="Calculation 16 3 15 9" xfId="21921" xr:uid="{00000000-0005-0000-0000-000082550000}"/>
    <cellStyle name="Calculation 16 3 16" xfId="21922" xr:uid="{00000000-0005-0000-0000-000083550000}"/>
    <cellStyle name="Calculation 16 3 16 10" xfId="21923" xr:uid="{00000000-0005-0000-0000-000084550000}"/>
    <cellStyle name="Calculation 16 3 16 2" xfId="21924" xr:uid="{00000000-0005-0000-0000-000085550000}"/>
    <cellStyle name="Calculation 16 3 16 2 2" xfId="21925" xr:uid="{00000000-0005-0000-0000-000086550000}"/>
    <cellStyle name="Calculation 16 3 16 2 3" xfId="21926" xr:uid="{00000000-0005-0000-0000-000087550000}"/>
    <cellStyle name="Calculation 16 3 16 2 4" xfId="21927" xr:uid="{00000000-0005-0000-0000-000088550000}"/>
    <cellStyle name="Calculation 16 3 16 2 5" xfId="21928" xr:uid="{00000000-0005-0000-0000-000089550000}"/>
    <cellStyle name="Calculation 16 3 16 2 6" xfId="21929" xr:uid="{00000000-0005-0000-0000-00008A550000}"/>
    <cellStyle name="Calculation 16 3 16 3" xfId="21930" xr:uid="{00000000-0005-0000-0000-00008B550000}"/>
    <cellStyle name="Calculation 16 3 16 3 2" xfId="21931" xr:uid="{00000000-0005-0000-0000-00008C550000}"/>
    <cellStyle name="Calculation 16 3 16 3 3" xfId="21932" xr:uid="{00000000-0005-0000-0000-00008D550000}"/>
    <cellStyle name="Calculation 16 3 16 3 4" xfId="21933" xr:uid="{00000000-0005-0000-0000-00008E550000}"/>
    <cellStyle name="Calculation 16 3 16 3 5" xfId="21934" xr:uid="{00000000-0005-0000-0000-00008F550000}"/>
    <cellStyle name="Calculation 16 3 16 3 6" xfId="21935" xr:uid="{00000000-0005-0000-0000-000090550000}"/>
    <cellStyle name="Calculation 16 3 16 4" xfId="21936" xr:uid="{00000000-0005-0000-0000-000091550000}"/>
    <cellStyle name="Calculation 16 3 16 4 2" xfId="21937" xr:uid="{00000000-0005-0000-0000-000092550000}"/>
    <cellStyle name="Calculation 16 3 16 4 3" xfId="21938" xr:uid="{00000000-0005-0000-0000-000093550000}"/>
    <cellStyle name="Calculation 16 3 16 4 4" xfId="21939" xr:uid="{00000000-0005-0000-0000-000094550000}"/>
    <cellStyle name="Calculation 16 3 16 4 5" xfId="21940" xr:uid="{00000000-0005-0000-0000-000095550000}"/>
    <cellStyle name="Calculation 16 3 16 4 6" xfId="21941" xr:uid="{00000000-0005-0000-0000-000096550000}"/>
    <cellStyle name="Calculation 16 3 16 5" xfId="21942" xr:uid="{00000000-0005-0000-0000-000097550000}"/>
    <cellStyle name="Calculation 16 3 16 5 2" xfId="21943" xr:uid="{00000000-0005-0000-0000-000098550000}"/>
    <cellStyle name="Calculation 16 3 16 5 3" xfId="21944" xr:uid="{00000000-0005-0000-0000-000099550000}"/>
    <cellStyle name="Calculation 16 3 16 5 4" xfId="21945" xr:uid="{00000000-0005-0000-0000-00009A550000}"/>
    <cellStyle name="Calculation 16 3 16 5 5" xfId="21946" xr:uid="{00000000-0005-0000-0000-00009B550000}"/>
    <cellStyle name="Calculation 16 3 16 5 6" xfId="21947" xr:uid="{00000000-0005-0000-0000-00009C550000}"/>
    <cellStyle name="Calculation 16 3 16 6" xfId="21948" xr:uid="{00000000-0005-0000-0000-00009D550000}"/>
    <cellStyle name="Calculation 16 3 16 6 2" xfId="21949" xr:uid="{00000000-0005-0000-0000-00009E550000}"/>
    <cellStyle name="Calculation 16 3 16 6 3" xfId="21950" xr:uid="{00000000-0005-0000-0000-00009F550000}"/>
    <cellStyle name="Calculation 16 3 16 6 4" xfId="21951" xr:uid="{00000000-0005-0000-0000-0000A0550000}"/>
    <cellStyle name="Calculation 16 3 16 6 5" xfId="21952" xr:uid="{00000000-0005-0000-0000-0000A1550000}"/>
    <cellStyle name="Calculation 16 3 16 6 6" xfId="21953" xr:uid="{00000000-0005-0000-0000-0000A2550000}"/>
    <cellStyle name="Calculation 16 3 16 7" xfId="21954" xr:uid="{00000000-0005-0000-0000-0000A3550000}"/>
    <cellStyle name="Calculation 16 3 16 7 2" xfId="21955" xr:uid="{00000000-0005-0000-0000-0000A4550000}"/>
    <cellStyle name="Calculation 16 3 16 7 3" xfId="21956" xr:uid="{00000000-0005-0000-0000-0000A5550000}"/>
    <cellStyle name="Calculation 16 3 16 7 4" xfId="21957" xr:uid="{00000000-0005-0000-0000-0000A6550000}"/>
    <cellStyle name="Calculation 16 3 16 7 5" xfId="21958" xr:uid="{00000000-0005-0000-0000-0000A7550000}"/>
    <cellStyle name="Calculation 16 3 16 7 6" xfId="21959" xr:uid="{00000000-0005-0000-0000-0000A8550000}"/>
    <cellStyle name="Calculation 16 3 16 8" xfId="21960" xr:uid="{00000000-0005-0000-0000-0000A9550000}"/>
    <cellStyle name="Calculation 16 3 16 9" xfId="21961" xr:uid="{00000000-0005-0000-0000-0000AA550000}"/>
    <cellStyle name="Calculation 16 3 17" xfId="21962" xr:uid="{00000000-0005-0000-0000-0000AB550000}"/>
    <cellStyle name="Calculation 16 3 17 10" xfId="21963" xr:uid="{00000000-0005-0000-0000-0000AC550000}"/>
    <cellStyle name="Calculation 16 3 17 2" xfId="21964" xr:uid="{00000000-0005-0000-0000-0000AD550000}"/>
    <cellStyle name="Calculation 16 3 17 2 2" xfId="21965" xr:uid="{00000000-0005-0000-0000-0000AE550000}"/>
    <cellStyle name="Calculation 16 3 17 2 3" xfId="21966" xr:uid="{00000000-0005-0000-0000-0000AF550000}"/>
    <cellStyle name="Calculation 16 3 17 2 4" xfId="21967" xr:uid="{00000000-0005-0000-0000-0000B0550000}"/>
    <cellStyle name="Calculation 16 3 17 2 5" xfId="21968" xr:uid="{00000000-0005-0000-0000-0000B1550000}"/>
    <cellStyle name="Calculation 16 3 17 2 6" xfId="21969" xr:uid="{00000000-0005-0000-0000-0000B2550000}"/>
    <cellStyle name="Calculation 16 3 17 3" xfId="21970" xr:uid="{00000000-0005-0000-0000-0000B3550000}"/>
    <cellStyle name="Calculation 16 3 17 3 2" xfId="21971" xr:uid="{00000000-0005-0000-0000-0000B4550000}"/>
    <cellStyle name="Calculation 16 3 17 3 3" xfId="21972" xr:uid="{00000000-0005-0000-0000-0000B5550000}"/>
    <cellStyle name="Calculation 16 3 17 3 4" xfId="21973" xr:uid="{00000000-0005-0000-0000-0000B6550000}"/>
    <cellStyle name="Calculation 16 3 17 3 5" xfId="21974" xr:uid="{00000000-0005-0000-0000-0000B7550000}"/>
    <cellStyle name="Calculation 16 3 17 3 6" xfId="21975" xr:uid="{00000000-0005-0000-0000-0000B8550000}"/>
    <cellStyle name="Calculation 16 3 17 4" xfId="21976" xr:uid="{00000000-0005-0000-0000-0000B9550000}"/>
    <cellStyle name="Calculation 16 3 17 4 2" xfId="21977" xr:uid="{00000000-0005-0000-0000-0000BA550000}"/>
    <cellStyle name="Calculation 16 3 17 4 3" xfId="21978" xr:uid="{00000000-0005-0000-0000-0000BB550000}"/>
    <cellStyle name="Calculation 16 3 17 4 4" xfId="21979" xr:uid="{00000000-0005-0000-0000-0000BC550000}"/>
    <cellStyle name="Calculation 16 3 17 4 5" xfId="21980" xr:uid="{00000000-0005-0000-0000-0000BD550000}"/>
    <cellStyle name="Calculation 16 3 17 4 6" xfId="21981" xr:uid="{00000000-0005-0000-0000-0000BE550000}"/>
    <cellStyle name="Calculation 16 3 17 5" xfId="21982" xr:uid="{00000000-0005-0000-0000-0000BF550000}"/>
    <cellStyle name="Calculation 16 3 17 5 2" xfId="21983" xr:uid="{00000000-0005-0000-0000-0000C0550000}"/>
    <cellStyle name="Calculation 16 3 17 5 3" xfId="21984" xr:uid="{00000000-0005-0000-0000-0000C1550000}"/>
    <cellStyle name="Calculation 16 3 17 5 4" xfId="21985" xr:uid="{00000000-0005-0000-0000-0000C2550000}"/>
    <cellStyle name="Calculation 16 3 17 5 5" xfId="21986" xr:uid="{00000000-0005-0000-0000-0000C3550000}"/>
    <cellStyle name="Calculation 16 3 17 5 6" xfId="21987" xr:uid="{00000000-0005-0000-0000-0000C4550000}"/>
    <cellStyle name="Calculation 16 3 17 6" xfId="21988" xr:uid="{00000000-0005-0000-0000-0000C5550000}"/>
    <cellStyle name="Calculation 16 3 17 6 2" xfId="21989" xr:uid="{00000000-0005-0000-0000-0000C6550000}"/>
    <cellStyle name="Calculation 16 3 17 6 3" xfId="21990" xr:uid="{00000000-0005-0000-0000-0000C7550000}"/>
    <cellStyle name="Calculation 16 3 17 6 4" xfId="21991" xr:uid="{00000000-0005-0000-0000-0000C8550000}"/>
    <cellStyle name="Calculation 16 3 17 6 5" xfId="21992" xr:uid="{00000000-0005-0000-0000-0000C9550000}"/>
    <cellStyle name="Calculation 16 3 17 6 6" xfId="21993" xr:uid="{00000000-0005-0000-0000-0000CA550000}"/>
    <cellStyle name="Calculation 16 3 17 7" xfId="21994" xr:uid="{00000000-0005-0000-0000-0000CB550000}"/>
    <cellStyle name="Calculation 16 3 17 7 2" xfId="21995" xr:uid="{00000000-0005-0000-0000-0000CC550000}"/>
    <cellStyle name="Calculation 16 3 17 7 3" xfId="21996" xr:uid="{00000000-0005-0000-0000-0000CD550000}"/>
    <cellStyle name="Calculation 16 3 17 7 4" xfId="21997" xr:uid="{00000000-0005-0000-0000-0000CE550000}"/>
    <cellStyle name="Calculation 16 3 17 7 5" xfId="21998" xr:uid="{00000000-0005-0000-0000-0000CF550000}"/>
    <cellStyle name="Calculation 16 3 17 7 6" xfId="21999" xr:uid="{00000000-0005-0000-0000-0000D0550000}"/>
    <cellStyle name="Calculation 16 3 17 8" xfId="22000" xr:uid="{00000000-0005-0000-0000-0000D1550000}"/>
    <cellStyle name="Calculation 16 3 17 9" xfId="22001" xr:uid="{00000000-0005-0000-0000-0000D2550000}"/>
    <cellStyle name="Calculation 16 3 18" xfId="22002" xr:uid="{00000000-0005-0000-0000-0000D3550000}"/>
    <cellStyle name="Calculation 16 3 18 10" xfId="22003" xr:uid="{00000000-0005-0000-0000-0000D4550000}"/>
    <cellStyle name="Calculation 16 3 18 2" xfId="22004" xr:uid="{00000000-0005-0000-0000-0000D5550000}"/>
    <cellStyle name="Calculation 16 3 18 2 2" xfId="22005" xr:uid="{00000000-0005-0000-0000-0000D6550000}"/>
    <cellStyle name="Calculation 16 3 18 2 3" xfId="22006" xr:uid="{00000000-0005-0000-0000-0000D7550000}"/>
    <cellStyle name="Calculation 16 3 18 2 4" xfId="22007" xr:uid="{00000000-0005-0000-0000-0000D8550000}"/>
    <cellStyle name="Calculation 16 3 18 2 5" xfId="22008" xr:uid="{00000000-0005-0000-0000-0000D9550000}"/>
    <cellStyle name="Calculation 16 3 18 2 6" xfId="22009" xr:uid="{00000000-0005-0000-0000-0000DA550000}"/>
    <cellStyle name="Calculation 16 3 18 3" xfId="22010" xr:uid="{00000000-0005-0000-0000-0000DB550000}"/>
    <cellStyle name="Calculation 16 3 18 3 2" xfId="22011" xr:uid="{00000000-0005-0000-0000-0000DC550000}"/>
    <cellStyle name="Calculation 16 3 18 3 3" xfId="22012" xr:uid="{00000000-0005-0000-0000-0000DD550000}"/>
    <cellStyle name="Calculation 16 3 18 3 4" xfId="22013" xr:uid="{00000000-0005-0000-0000-0000DE550000}"/>
    <cellStyle name="Calculation 16 3 18 3 5" xfId="22014" xr:uid="{00000000-0005-0000-0000-0000DF550000}"/>
    <cellStyle name="Calculation 16 3 18 3 6" xfId="22015" xr:uid="{00000000-0005-0000-0000-0000E0550000}"/>
    <cellStyle name="Calculation 16 3 18 4" xfId="22016" xr:uid="{00000000-0005-0000-0000-0000E1550000}"/>
    <cellStyle name="Calculation 16 3 18 4 2" xfId="22017" xr:uid="{00000000-0005-0000-0000-0000E2550000}"/>
    <cellStyle name="Calculation 16 3 18 4 3" xfId="22018" xr:uid="{00000000-0005-0000-0000-0000E3550000}"/>
    <cellStyle name="Calculation 16 3 18 4 4" xfId="22019" xr:uid="{00000000-0005-0000-0000-0000E4550000}"/>
    <cellStyle name="Calculation 16 3 18 4 5" xfId="22020" xr:uid="{00000000-0005-0000-0000-0000E5550000}"/>
    <cellStyle name="Calculation 16 3 18 4 6" xfId="22021" xr:uid="{00000000-0005-0000-0000-0000E6550000}"/>
    <cellStyle name="Calculation 16 3 18 5" xfId="22022" xr:uid="{00000000-0005-0000-0000-0000E7550000}"/>
    <cellStyle name="Calculation 16 3 18 5 2" xfId="22023" xr:uid="{00000000-0005-0000-0000-0000E8550000}"/>
    <cellStyle name="Calculation 16 3 18 5 3" xfId="22024" xr:uid="{00000000-0005-0000-0000-0000E9550000}"/>
    <cellStyle name="Calculation 16 3 18 5 4" xfId="22025" xr:uid="{00000000-0005-0000-0000-0000EA550000}"/>
    <cellStyle name="Calculation 16 3 18 5 5" xfId="22026" xr:uid="{00000000-0005-0000-0000-0000EB550000}"/>
    <cellStyle name="Calculation 16 3 18 5 6" xfId="22027" xr:uid="{00000000-0005-0000-0000-0000EC550000}"/>
    <cellStyle name="Calculation 16 3 18 6" xfId="22028" xr:uid="{00000000-0005-0000-0000-0000ED550000}"/>
    <cellStyle name="Calculation 16 3 18 6 2" xfId="22029" xr:uid="{00000000-0005-0000-0000-0000EE550000}"/>
    <cellStyle name="Calculation 16 3 18 6 3" xfId="22030" xr:uid="{00000000-0005-0000-0000-0000EF550000}"/>
    <cellStyle name="Calculation 16 3 18 6 4" xfId="22031" xr:uid="{00000000-0005-0000-0000-0000F0550000}"/>
    <cellStyle name="Calculation 16 3 18 6 5" xfId="22032" xr:uid="{00000000-0005-0000-0000-0000F1550000}"/>
    <cellStyle name="Calculation 16 3 18 6 6" xfId="22033" xr:uid="{00000000-0005-0000-0000-0000F2550000}"/>
    <cellStyle name="Calculation 16 3 18 7" xfId="22034" xr:uid="{00000000-0005-0000-0000-0000F3550000}"/>
    <cellStyle name="Calculation 16 3 18 7 2" xfId="22035" xr:uid="{00000000-0005-0000-0000-0000F4550000}"/>
    <cellStyle name="Calculation 16 3 18 7 3" xfId="22036" xr:uid="{00000000-0005-0000-0000-0000F5550000}"/>
    <cellStyle name="Calculation 16 3 18 7 4" xfId="22037" xr:uid="{00000000-0005-0000-0000-0000F6550000}"/>
    <cellStyle name="Calculation 16 3 18 7 5" xfId="22038" xr:uid="{00000000-0005-0000-0000-0000F7550000}"/>
    <cellStyle name="Calculation 16 3 18 7 6" xfId="22039" xr:uid="{00000000-0005-0000-0000-0000F8550000}"/>
    <cellStyle name="Calculation 16 3 18 8" xfId="22040" xr:uid="{00000000-0005-0000-0000-0000F9550000}"/>
    <cellStyle name="Calculation 16 3 18 9" xfId="22041" xr:uid="{00000000-0005-0000-0000-0000FA550000}"/>
    <cellStyle name="Calculation 16 3 19" xfId="22042" xr:uid="{00000000-0005-0000-0000-0000FB550000}"/>
    <cellStyle name="Calculation 16 3 19 10" xfId="22043" xr:uid="{00000000-0005-0000-0000-0000FC550000}"/>
    <cellStyle name="Calculation 16 3 19 2" xfId="22044" xr:uid="{00000000-0005-0000-0000-0000FD550000}"/>
    <cellStyle name="Calculation 16 3 19 2 2" xfId="22045" xr:uid="{00000000-0005-0000-0000-0000FE550000}"/>
    <cellStyle name="Calculation 16 3 19 2 3" xfId="22046" xr:uid="{00000000-0005-0000-0000-0000FF550000}"/>
    <cellStyle name="Calculation 16 3 19 2 4" xfId="22047" xr:uid="{00000000-0005-0000-0000-000000560000}"/>
    <cellStyle name="Calculation 16 3 19 2 5" xfId="22048" xr:uid="{00000000-0005-0000-0000-000001560000}"/>
    <cellStyle name="Calculation 16 3 19 2 6" xfId="22049" xr:uid="{00000000-0005-0000-0000-000002560000}"/>
    <cellStyle name="Calculation 16 3 19 3" xfId="22050" xr:uid="{00000000-0005-0000-0000-000003560000}"/>
    <cellStyle name="Calculation 16 3 19 3 2" xfId="22051" xr:uid="{00000000-0005-0000-0000-000004560000}"/>
    <cellStyle name="Calculation 16 3 19 3 3" xfId="22052" xr:uid="{00000000-0005-0000-0000-000005560000}"/>
    <cellStyle name="Calculation 16 3 19 3 4" xfId="22053" xr:uid="{00000000-0005-0000-0000-000006560000}"/>
    <cellStyle name="Calculation 16 3 19 3 5" xfId="22054" xr:uid="{00000000-0005-0000-0000-000007560000}"/>
    <cellStyle name="Calculation 16 3 19 3 6" xfId="22055" xr:uid="{00000000-0005-0000-0000-000008560000}"/>
    <cellStyle name="Calculation 16 3 19 4" xfId="22056" xr:uid="{00000000-0005-0000-0000-000009560000}"/>
    <cellStyle name="Calculation 16 3 19 4 2" xfId="22057" xr:uid="{00000000-0005-0000-0000-00000A560000}"/>
    <cellStyle name="Calculation 16 3 19 4 3" xfId="22058" xr:uid="{00000000-0005-0000-0000-00000B560000}"/>
    <cellStyle name="Calculation 16 3 19 4 4" xfId="22059" xr:uid="{00000000-0005-0000-0000-00000C560000}"/>
    <cellStyle name="Calculation 16 3 19 4 5" xfId="22060" xr:uid="{00000000-0005-0000-0000-00000D560000}"/>
    <cellStyle name="Calculation 16 3 19 4 6" xfId="22061" xr:uid="{00000000-0005-0000-0000-00000E560000}"/>
    <cellStyle name="Calculation 16 3 19 5" xfId="22062" xr:uid="{00000000-0005-0000-0000-00000F560000}"/>
    <cellStyle name="Calculation 16 3 19 5 2" xfId="22063" xr:uid="{00000000-0005-0000-0000-000010560000}"/>
    <cellStyle name="Calculation 16 3 19 5 3" xfId="22064" xr:uid="{00000000-0005-0000-0000-000011560000}"/>
    <cellStyle name="Calculation 16 3 19 5 4" xfId="22065" xr:uid="{00000000-0005-0000-0000-000012560000}"/>
    <cellStyle name="Calculation 16 3 19 5 5" xfId="22066" xr:uid="{00000000-0005-0000-0000-000013560000}"/>
    <cellStyle name="Calculation 16 3 19 5 6" xfId="22067" xr:uid="{00000000-0005-0000-0000-000014560000}"/>
    <cellStyle name="Calculation 16 3 19 6" xfId="22068" xr:uid="{00000000-0005-0000-0000-000015560000}"/>
    <cellStyle name="Calculation 16 3 19 6 2" xfId="22069" xr:uid="{00000000-0005-0000-0000-000016560000}"/>
    <cellStyle name="Calculation 16 3 19 6 3" xfId="22070" xr:uid="{00000000-0005-0000-0000-000017560000}"/>
    <cellStyle name="Calculation 16 3 19 6 4" xfId="22071" xr:uid="{00000000-0005-0000-0000-000018560000}"/>
    <cellStyle name="Calculation 16 3 19 6 5" xfId="22072" xr:uid="{00000000-0005-0000-0000-000019560000}"/>
    <cellStyle name="Calculation 16 3 19 6 6" xfId="22073" xr:uid="{00000000-0005-0000-0000-00001A560000}"/>
    <cellStyle name="Calculation 16 3 19 7" xfId="22074" xr:uid="{00000000-0005-0000-0000-00001B560000}"/>
    <cellStyle name="Calculation 16 3 19 7 2" xfId="22075" xr:uid="{00000000-0005-0000-0000-00001C560000}"/>
    <cellStyle name="Calculation 16 3 19 7 3" xfId="22076" xr:uid="{00000000-0005-0000-0000-00001D560000}"/>
    <cellStyle name="Calculation 16 3 19 7 4" xfId="22077" xr:uid="{00000000-0005-0000-0000-00001E560000}"/>
    <cellStyle name="Calculation 16 3 19 7 5" xfId="22078" xr:uid="{00000000-0005-0000-0000-00001F560000}"/>
    <cellStyle name="Calculation 16 3 19 7 6" xfId="22079" xr:uid="{00000000-0005-0000-0000-000020560000}"/>
    <cellStyle name="Calculation 16 3 19 8" xfId="22080" xr:uid="{00000000-0005-0000-0000-000021560000}"/>
    <cellStyle name="Calculation 16 3 19 9" xfId="22081" xr:uid="{00000000-0005-0000-0000-000022560000}"/>
    <cellStyle name="Calculation 16 3 2" xfId="22082" xr:uid="{00000000-0005-0000-0000-000023560000}"/>
    <cellStyle name="Calculation 16 3 2 10" xfId="22083" xr:uid="{00000000-0005-0000-0000-000024560000}"/>
    <cellStyle name="Calculation 16 3 2 2" xfId="22084" xr:uid="{00000000-0005-0000-0000-000025560000}"/>
    <cellStyle name="Calculation 16 3 2 2 2" xfId="22085" xr:uid="{00000000-0005-0000-0000-000026560000}"/>
    <cellStyle name="Calculation 16 3 2 2 3" xfId="22086" xr:uid="{00000000-0005-0000-0000-000027560000}"/>
    <cellStyle name="Calculation 16 3 2 2 4" xfId="22087" xr:uid="{00000000-0005-0000-0000-000028560000}"/>
    <cellStyle name="Calculation 16 3 2 2 5" xfId="22088" xr:uid="{00000000-0005-0000-0000-000029560000}"/>
    <cellStyle name="Calculation 16 3 2 2 6" xfId="22089" xr:uid="{00000000-0005-0000-0000-00002A560000}"/>
    <cellStyle name="Calculation 16 3 2 3" xfId="22090" xr:uid="{00000000-0005-0000-0000-00002B560000}"/>
    <cellStyle name="Calculation 16 3 2 3 2" xfId="22091" xr:uid="{00000000-0005-0000-0000-00002C560000}"/>
    <cellStyle name="Calculation 16 3 2 3 3" xfId="22092" xr:uid="{00000000-0005-0000-0000-00002D560000}"/>
    <cellStyle name="Calculation 16 3 2 3 4" xfId="22093" xr:uid="{00000000-0005-0000-0000-00002E560000}"/>
    <cellStyle name="Calculation 16 3 2 3 5" xfId="22094" xr:uid="{00000000-0005-0000-0000-00002F560000}"/>
    <cellStyle name="Calculation 16 3 2 3 6" xfId="22095" xr:uid="{00000000-0005-0000-0000-000030560000}"/>
    <cellStyle name="Calculation 16 3 2 4" xfId="22096" xr:uid="{00000000-0005-0000-0000-000031560000}"/>
    <cellStyle name="Calculation 16 3 2 4 2" xfId="22097" xr:uid="{00000000-0005-0000-0000-000032560000}"/>
    <cellStyle name="Calculation 16 3 2 4 3" xfId="22098" xr:uid="{00000000-0005-0000-0000-000033560000}"/>
    <cellStyle name="Calculation 16 3 2 4 4" xfId="22099" xr:uid="{00000000-0005-0000-0000-000034560000}"/>
    <cellStyle name="Calculation 16 3 2 4 5" xfId="22100" xr:uid="{00000000-0005-0000-0000-000035560000}"/>
    <cellStyle name="Calculation 16 3 2 4 6" xfId="22101" xr:uid="{00000000-0005-0000-0000-000036560000}"/>
    <cellStyle name="Calculation 16 3 2 5" xfId="22102" xr:uid="{00000000-0005-0000-0000-000037560000}"/>
    <cellStyle name="Calculation 16 3 2 5 2" xfId="22103" xr:uid="{00000000-0005-0000-0000-000038560000}"/>
    <cellStyle name="Calculation 16 3 2 5 3" xfId="22104" xr:uid="{00000000-0005-0000-0000-000039560000}"/>
    <cellStyle name="Calculation 16 3 2 5 4" xfId="22105" xr:uid="{00000000-0005-0000-0000-00003A560000}"/>
    <cellStyle name="Calculation 16 3 2 5 5" xfId="22106" xr:uid="{00000000-0005-0000-0000-00003B560000}"/>
    <cellStyle name="Calculation 16 3 2 5 6" xfId="22107" xr:uid="{00000000-0005-0000-0000-00003C560000}"/>
    <cellStyle name="Calculation 16 3 2 6" xfId="22108" xr:uid="{00000000-0005-0000-0000-00003D560000}"/>
    <cellStyle name="Calculation 16 3 2 6 2" xfId="22109" xr:uid="{00000000-0005-0000-0000-00003E560000}"/>
    <cellStyle name="Calculation 16 3 2 6 3" xfId="22110" xr:uid="{00000000-0005-0000-0000-00003F560000}"/>
    <cellStyle name="Calculation 16 3 2 6 4" xfId="22111" xr:uid="{00000000-0005-0000-0000-000040560000}"/>
    <cellStyle name="Calculation 16 3 2 6 5" xfId="22112" xr:uid="{00000000-0005-0000-0000-000041560000}"/>
    <cellStyle name="Calculation 16 3 2 6 6" xfId="22113" xr:uid="{00000000-0005-0000-0000-000042560000}"/>
    <cellStyle name="Calculation 16 3 2 7" xfId="22114" xr:uid="{00000000-0005-0000-0000-000043560000}"/>
    <cellStyle name="Calculation 16 3 2 7 2" xfId="22115" xr:uid="{00000000-0005-0000-0000-000044560000}"/>
    <cellStyle name="Calculation 16 3 2 7 3" xfId="22116" xr:uid="{00000000-0005-0000-0000-000045560000}"/>
    <cellStyle name="Calculation 16 3 2 7 4" xfId="22117" xr:uid="{00000000-0005-0000-0000-000046560000}"/>
    <cellStyle name="Calculation 16 3 2 7 5" xfId="22118" xr:uid="{00000000-0005-0000-0000-000047560000}"/>
    <cellStyle name="Calculation 16 3 2 7 6" xfId="22119" xr:uid="{00000000-0005-0000-0000-000048560000}"/>
    <cellStyle name="Calculation 16 3 2 8" xfId="22120" xr:uid="{00000000-0005-0000-0000-000049560000}"/>
    <cellStyle name="Calculation 16 3 2 9" xfId="22121" xr:uid="{00000000-0005-0000-0000-00004A560000}"/>
    <cellStyle name="Calculation 16 3 20" xfId="22122" xr:uid="{00000000-0005-0000-0000-00004B560000}"/>
    <cellStyle name="Calculation 16 3 20 10" xfId="22123" xr:uid="{00000000-0005-0000-0000-00004C560000}"/>
    <cellStyle name="Calculation 16 3 20 2" xfId="22124" xr:uid="{00000000-0005-0000-0000-00004D560000}"/>
    <cellStyle name="Calculation 16 3 20 2 2" xfId="22125" xr:uid="{00000000-0005-0000-0000-00004E560000}"/>
    <cellStyle name="Calculation 16 3 20 2 3" xfId="22126" xr:uid="{00000000-0005-0000-0000-00004F560000}"/>
    <cellStyle name="Calculation 16 3 20 2 4" xfId="22127" xr:uid="{00000000-0005-0000-0000-000050560000}"/>
    <cellStyle name="Calculation 16 3 20 2 5" xfId="22128" xr:uid="{00000000-0005-0000-0000-000051560000}"/>
    <cellStyle name="Calculation 16 3 20 2 6" xfId="22129" xr:uid="{00000000-0005-0000-0000-000052560000}"/>
    <cellStyle name="Calculation 16 3 20 3" xfId="22130" xr:uid="{00000000-0005-0000-0000-000053560000}"/>
    <cellStyle name="Calculation 16 3 20 3 2" xfId="22131" xr:uid="{00000000-0005-0000-0000-000054560000}"/>
    <cellStyle name="Calculation 16 3 20 3 3" xfId="22132" xr:uid="{00000000-0005-0000-0000-000055560000}"/>
    <cellStyle name="Calculation 16 3 20 3 4" xfId="22133" xr:uid="{00000000-0005-0000-0000-000056560000}"/>
    <cellStyle name="Calculation 16 3 20 3 5" xfId="22134" xr:uid="{00000000-0005-0000-0000-000057560000}"/>
    <cellStyle name="Calculation 16 3 20 3 6" xfId="22135" xr:uid="{00000000-0005-0000-0000-000058560000}"/>
    <cellStyle name="Calculation 16 3 20 4" xfId="22136" xr:uid="{00000000-0005-0000-0000-000059560000}"/>
    <cellStyle name="Calculation 16 3 20 4 2" xfId="22137" xr:uid="{00000000-0005-0000-0000-00005A560000}"/>
    <cellStyle name="Calculation 16 3 20 4 3" xfId="22138" xr:uid="{00000000-0005-0000-0000-00005B560000}"/>
    <cellStyle name="Calculation 16 3 20 4 4" xfId="22139" xr:uid="{00000000-0005-0000-0000-00005C560000}"/>
    <cellStyle name="Calculation 16 3 20 4 5" xfId="22140" xr:uid="{00000000-0005-0000-0000-00005D560000}"/>
    <cellStyle name="Calculation 16 3 20 4 6" xfId="22141" xr:uid="{00000000-0005-0000-0000-00005E560000}"/>
    <cellStyle name="Calculation 16 3 20 5" xfId="22142" xr:uid="{00000000-0005-0000-0000-00005F560000}"/>
    <cellStyle name="Calculation 16 3 20 5 2" xfId="22143" xr:uid="{00000000-0005-0000-0000-000060560000}"/>
    <cellStyle name="Calculation 16 3 20 5 3" xfId="22144" xr:uid="{00000000-0005-0000-0000-000061560000}"/>
    <cellStyle name="Calculation 16 3 20 5 4" xfId="22145" xr:uid="{00000000-0005-0000-0000-000062560000}"/>
    <cellStyle name="Calculation 16 3 20 5 5" xfId="22146" xr:uid="{00000000-0005-0000-0000-000063560000}"/>
    <cellStyle name="Calculation 16 3 20 5 6" xfId="22147" xr:uid="{00000000-0005-0000-0000-000064560000}"/>
    <cellStyle name="Calculation 16 3 20 6" xfId="22148" xr:uid="{00000000-0005-0000-0000-000065560000}"/>
    <cellStyle name="Calculation 16 3 20 6 2" xfId="22149" xr:uid="{00000000-0005-0000-0000-000066560000}"/>
    <cellStyle name="Calculation 16 3 20 6 3" xfId="22150" xr:uid="{00000000-0005-0000-0000-000067560000}"/>
    <cellStyle name="Calculation 16 3 20 6 4" xfId="22151" xr:uid="{00000000-0005-0000-0000-000068560000}"/>
    <cellStyle name="Calculation 16 3 20 6 5" xfId="22152" xr:uid="{00000000-0005-0000-0000-000069560000}"/>
    <cellStyle name="Calculation 16 3 20 6 6" xfId="22153" xr:uid="{00000000-0005-0000-0000-00006A560000}"/>
    <cellStyle name="Calculation 16 3 20 7" xfId="22154" xr:uid="{00000000-0005-0000-0000-00006B560000}"/>
    <cellStyle name="Calculation 16 3 20 7 2" xfId="22155" xr:uid="{00000000-0005-0000-0000-00006C560000}"/>
    <cellStyle name="Calculation 16 3 20 7 3" xfId="22156" xr:uid="{00000000-0005-0000-0000-00006D560000}"/>
    <cellStyle name="Calculation 16 3 20 7 4" xfId="22157" xr:uid="{00000000-0005-0000-0000-00006E560000}"/>
    <cellStyle name="Calculation 16 3 20 7 5" xfId="22158" xr:uid="{00000000-0005-0000-0000-00006F560000}"/>
    <cellStyle name="Calculation 16 3 20 7 6" xfId="22159" xr:uid="{00000000-0005-0000-0000-000070560000}"/>
    <cellStyle name="Calculation 16 3 20 8" xfId="22160" xr:uid="{00000000-0005-0000-0000-000071560000}"/>
    <cellStyle name="Calculation 16 3 20 9" xfId="22161" xr:uid="{00000000-0005-0000-0000-000072560000}"/>
    <cellStyle name="Calculation 16 3 21" xfId="22162" xr:uid="{00000000-0005-0000-0000-000073560000}"/>
    <cellStyle name="Calculation 16 3 21 10" xfId="22163" xr:uid="{00000000-0005-0000-0000-000074560000}"/>
    <cellStyle name="Calculation 16 3 21 2" xfId="22164" xr:uid="{00000000-0005-0000-0000-000075560000}"/>
    <cellStyle name="Calculation 16 3 21 2 2" xfId="22165" xr:uid="{00000000-0005-0000-0000-000076560000}"/>
    <cellStyle name="Calculation 16 3 21 2 3" xfId="22166" xr:uid="{00000000-0005-0000-0000-000077560000}"/>
    <cellStyle name="Calculation 16 3 21 2 4" xfId="22167" xr:uid="{00000000-0005-0000-0000-000078560000}"/>
    <cellStyle name="Calculation 16 3 21 2 5" xfId="22168" xr:uid="{00000000-0005-0000-0000-000079560000}"/>
    <cellStyle name="Calculation 16 3 21 2 6" xfId="22169" xr:uid="{00000000-0005-0000-0000-00007A560000}"/>
    <cellStyle name="Calculation 16 3 21 3" xfId="22170" xr:uid="{00000000-0005-0000-0000-00007B560000}"/>
    <cellStyle name="Calculation 16 3 21 3 2" xfId="22171" xr:uid="{00000000-0005-0000-0000-00007C560000}"/>
    <cellStyle name="Calculation 16 3 21 3 3" xfId="22172" xr:uid="{00000000-0005-0000-0000-00007D560000}"/>
    <cellStyle name="Calculation 16 3 21 3 4" xfId="22173" xr:uid="{00000000-0005-0000-0000-00007E560000}"/>
    <cellStyle name="Calculation 16 3 21 3 5" xfId="22174" xr:uid="{00000000-0005-0000-0000-00007F560000}"/>
    <cellStyle name="Calculation 16 3 21 3 6" xfId="22175" xr:uid="{00000000-0005-0000-0000-000080560000}"/>
    <cellStyle name="Calculation 16 3 21 4" xfId="22176" xr:uid="{00000000-0005-0000-0000-000081560000}"/>
    <cellStyle name="Calculation 16 3 21 4 2" xfId="22177" xr:uid="{00000000-0005-0000-0000-000082560000}"/>
    <cellStyle name="Calculation 16 3 21 4 3" xfId="22178" xr:uid="{00000000-0005-0000-0000-000083560000}"/>
    <cellStyle name="Calculation 16 3 21 4 4" xfId="22179" xr:uid="{00000000-0005-0000-0000-000084560000}"/>
    <cellStyle name="Calculation 16 3 21 4 5" xfId="22180" xr:uid="{00000000-0005-0000-0000-000085560000}"/>
    <cellStyle name="Calculation 16 3 21 4 6" xfId="22181" xr:uid="{00000000-0005-0000-0000-000086560000}"/>
    <cellStyle name="Calculation 16 3 21 5" xfId="22182" xr:uid="{00000000-0005-0000-0000-000087560000}"/>
    <cellStyle name="Calculation 16 3 21 5 2" xfId="22183" xr:uid="{00000000-0005-0000-0000-000088560000}"/>
    <cellStyle name="Calculation 16 3 21 5 3" xfId="22184" xr:uid="{00000000-0005-0000-0000-000089560000}"/>
    <cellStyle name="Calculation 16 3 21 5 4" xfId="22185" xr:uid="{00000000-0005-0000-0000-00008A560000}"/>
    <cellStyle name="Calculation 16 3 21 5 5" xfId="22186" xr:uid="{00000000-0005-0000-0000-00008B560000}"/>
    <cellStyle name="Calculation 16 3 21 5 6" xfId="22187" xr:uid="{00000000-0005-0000-0000-00008C560000}"/>
    <cellStyle name="Calculation 16 3 21 6" xfId="22188" xr:uid="{00000000-0005-0000-0000-00008D560000}"/>
    <cellStyle name="Calculation 16 3 21 6 2" xfId="22189" xr:uid="{00000000-0005-0000-0000-00008E560000}"/>
    <cellStyle name="Calculation 16 3 21 6 3" xfId="22190" xr:uid="{00000000-0005-0000-0000-00008F560000}"/>
    <cellStyle name="Calculation 16 3 21 6 4" xfId="22191" xr:uid="{00000000-0005-0000-0000-000090560000}"/>
    <cellStyle name="Calculation 16 3 21 6 5" xfId="22192" xr:uid="{00000000-0005-0000-0000-000091560000}"/>
    <cellStyle name="Calculation 16 3 21 6 6" xfId="22193" xr:uid="{00000000-0005-0000-0000-000092560000}"/>
    <cellStyle name="Calculation 16 3 21 7" xfId="22194" xr:uid="{00000000-0005-0000-0000-000093560000}"/>
    <cellStyle name="Calculation 16 3 21 7 2" xfId="22195" xr:uid="{00000000-0005-0000-0000-000094560000}"/>
    <cellStyle name="Calculation 16 3 21 7 3" xfId="22196" xr:uid="{00000000-0005-0000-0000-000095560000}"/>
    <cellStyle name="Calculation 16 3 21 7 4" xfId="22197" xr:uid="{00000000-0005-0000-0000-000096560000}"/>
    <cellStyle name="Calculation 16 3 21 7 5" xfId="22198" xr:uid="{00000000-0005-0000-0000-000097560000}"/>
    <cellStyle name="Calculation 16 3 21 7 6" xfId="22199" xr:uid="{00000000-0005-0000-0000-000098560000}"/>
    <cellStyle name="Calculation 16 3 21 8" xfId="22200" xr:uid="{00000000-0005-0000-0000-000099560000}"/>
    <cellStyle name="Calculation 16 3 21 9" xfId="22201" xr:uid="{00000000-0005-0000-0000-00009A560000}"/>
    <cellStyle name="Calculation 16 3 22" xfId="22202" xr:uid="{00000000-0005-0000-0000-00009B560000}"/>
    <cellStyle name="Calculation 16 3 22 10" xfId="22203" xr:uid="{00000000-0005-0000-0000-00009C560000}"/>
    <cellStyle name="Calculation 16 3 22 2" xfId="22204" xr:uid="{00000000-0005-0000-0000-00009D560000}"/>
    <cellStyle name="Calculation 16 3 22 2 2" xfId="22205" xr:uid="{00000000-0005-0000-0000-00009E560000}"/>
    <cellStyle name="Calculation 16 3 22 2 3" xfId="22206" xr:uid="{00000000-0005-0000-0000-00009F560000}"/>
    <cellStyle name="Calculation 16 3 22 2 4" xfId="22207" xr:uid="{00000000-0005-0000-0000-0000A0560000}"/>
    <cellStyle name="Calculation 16 3 22 2 5" xfId="22208" xr:uid="{00000000-0005-0000-0000-0000A1560000}"/>
    <cellStyle name="Calculation 16 3 22 2 6" xfId="22209" xr:uid="{00000000-0005-0000-0000-0000A2560000}"/>
    <cellStyle name="Calculation 16 3 22 3" xfId="22210" xr:uid="{00000000-0005-0000-0000-0000A3560000}"/>
    <cellStyle name="Calculation 16 3 22 3 2" xfId="22211" xr:uid="{00000000-0005-0000-0000-0000A4560000}"/>
    <cellStyle name="Calculation 16 3 22 3 3" xfId="22212" xr:uid="{00000000-0005-0000-0000-0000A5560000}"/>
    <cellStyle name="Calculation 16 3 22 3 4" xfId="22213" xr:uid="{00000000-0005-0000-0000-0000A6560000}"/>
    <cellStyle name="Calculation 16 3 22 3 5" xfId="22214" xr:uid="{00000000-0005-0000-0000-0000A7560000}"/>
    <cellStyle name="Calculation 16 3 22 3 6" xfId="22215" xr:uid="{00000000-0005-0000-0000-0000A8560000}"/>
    <cellStyle name="Calculation 16 3 22 4" xfId="22216" xr:uid="{00000000-0005-0000-0000-0000A9560000}"/>
    <cellStyle name="Calculation 16 3 22 4 2" xfId="22217" xr:uid="{00000000-0005-0000-0000-0000AA560000}"/>
    <cellStyle name="Calculation 16 3 22 4 3" xfId="22218" xr:uid="{00000000-0005-0000-0000-0000AB560000}"/>
    <cellStyle name="Calculation 16 3 22 4 4" xfId="22219" xr:uid="{00000000-0005-0000-0000-0000AC560000}"/>
    <cellStyle name="Calculation 16 3 22 4 5" xfId="22220" xr:uid="{00000000-0005-0000-0000-0000AD560000}"/>
    <cellStyle name="Calculation 16 3 22 4 6" xfId="22221" xr:uid="{00000000-0005-0000-0000-0000AE560000}"/>
    <cellStyle name="Calculation 16 3 22 5" xfId="22222" xr:uid="{00000000-0005-0000-0000-0000AF560000}"/>
    <cellStyle name="Calculation 16 3 22 5 2" xfId="22223" xr:uid="{00000000-0005-0000-0000-0000B0560000}"/>
    <cellStyle name="Calculation 16 3 22 5 3" xfId="22224" xr:uid="{00000000-0005-0000-0000-0000B1560000}"/>
    <cellStyle name="Calculation 16 3 22 5 4" xfId="22225" xr:uid="{00000000-0005-0000-0000-0000B2560000}"/>
    <cellStyle name="Calculation 16 3 22 5 5" xfId="22226" xr:uid="{00000000-0005-0000-0000-0000B3560000}"/>
    <cellStyle name="Calculation 16 3 22 5 6" xfId="22227" xr:uid="{00000000-0005-0000-0000-0000B4560000}"/>
    <cellStyle name="Calculation 16 3 22 6" xfId="22228" xr:uid="{00000000-0005-0000-0000-0000B5560000}"/>
    <cellStyle name="Calculation 16 3 22 6 2" xfId="22229" xr:uid="{00000000-0005-0000-0000-0000B6560000}"/>
    <cellStyle name="Calculation 16 3 22 6 3" xfId="22230" xr:uid="{00000000-0005-0000-0000-0000B7560000}"/>
    <cellStyle name="Calculation 16 3 22 6 4" xfId="22231" xr:uid="{00000000-0005-0000-0000-0000B8560000}"/>
    <cellStyle name="Calculation 16 3 22 6 5" xfId="22232" xr:uid="{00000000-0005-0000-0000-0000B9560000}"/>
    <cellStyle name="Calculation 16 3 22 6 6" xfId="22233" xr:uid="{00000000-0005-0000-0000-0000BA560000}"/>
    <cellStyle name="Calculation 16 3 22 7" xfId="22234" xr:uid="{00000000-0005-0000-0000-0000BB560000}"/>
    <cellStyle name="Calculation 16 3 22 7 2" xfId="22235" xr:uid="{00000000-0005-0000-0000-0000BC560000}"/>
    <cellStyle name="Calculation 16 3 22 7 3" xfId="22236" xr:uid="{00000000-0005-0000-0000-0000BD560000}"/>
    <cellStyle name="Calculation 16 3 22 7 4" xfId="22237" xr:uid="{00000000-0005-0000-0000-0000BE560000}"/>
    <cellStyle name="Calculation 16 3 22 7 5" xfId="22238" xr:uid="{00000000-0005-0000-0000-0000BF560000}"/>
    <cellStyle name="Calculation 16 3 22 7 6" xfId="22239" xr:uid="{00000000-0005-0000-0000-0000C0560000}"/>
    <cellStyle name="Calculation 16 3 22 8" xfId="22240" xr:uid="{00000000-0005-0000-0000-0000C1560000}"/>
    <cellStyle name="Calculation 16 3 22 9" xfId="22241" xr:uid="{00000000-0005-0000-0000-0000C2560000}"/>
    <cellStyle name="Calculation 16 3 23" xfId="22242" xr:uid="{00000000-0005-0000-0000-0000C3560000}"/>
    <cellStyle name="Calculation 16 3 23 10" xfId="22243" xr:uid="{00000000-0005-0000-0000-0000C4560000}"/>
    <cellStyle name="Calculation 16 3 23 2" xfId="22244" xr:uid="{00000000-0005-0000-0000-0000C5560000}"/>
    <cellStyle name="Calculation 16 3 23 2 2" xfId="22245" xr:uid="{00000000-0005-0000-0000-0000C6560000}"/>
    <cellStyle name="Calculation 16 3 23 2 3" xfId="22246" xr:uid="{00000000-0005-0000-0000-0000C7560000}"/>
    <cellStyle name="Calculation 16 3 23 2 4" xfId="22247" xr:uid="{00000000-0005-0000-0000-0000C8560000}"/>
    <cellStyle name="Calculation 16 3 23 2 5" xfId="22248" xr:uid="{00000000-0005-0000-0000-0000C9560000}"/>
    <cellStyle name="Calculation 16 3 23 2 6" xfId="22249" xr:uid="{00000000-0005-0000-0000-0000CA560000}"/>
    <cellStyle name="Calculation 16 3 23 3" xfId="22250" xr:uid="{00000000-0005-0000-0000-0000CB560000}"/>
    <cellStyle name="Calculation 16 3 23 3 2" xfId="22251" xr:uid="{00000000-0005-0000-0000-0000CC560000}"/>
    <cellStyle name="Calculation 16 3 23 3 3" xfId="22252" xr:uid="{00000000-0005-0000-0000-0000CD560000}"/>
    <cellStyle name="Calculation 16 3 23 3 4" xfId="22253" xr:uid="{00000000-0005-0000-0000-0000CE560000}"/>
    <cellStyle name="Calculation 16 3 23 3 5" xfId="22254" xr:uid="{00000000-0005-0000-0000-0000CF560000}"/>
    <cellStyle name="Calculation 16 3 23 3 6" xfId="22255" xr:uid="{00000000-0005-0000-0000-0000D0560000}"/>
    <cellStyle name="Calculation 16 3 23 4" xfId="22256" xr:uid="{00000000-0005-0000-0000-0000D1560000}"/>
    <cellStyle name="Calculation 16 3 23 4 2" xfId="22257" xr:uid="{00000000-0005-0000-0000-0000D2560000}"/>
    <cellStyle name="Calculation 16 3 23 4 3" xfId="22258" xr:uid="{00000000-0005-0000-0000-0000D3560000}"/>
    <cellStyle name="Calculation 16 3 23 4 4" xfId="22259" xr:uid="{00000000-0005-0000-0000-0000D4560000}"/>
    <cellStyle name="Calculation 16 3 23 4 5" xfId="22260" xr:uid="{00000000-0005-0000-0000-0000D5560000}"/>
    <cellStyle name="Calculation 16 3 23 4 6" xfId="22261" xr:uid="{00000000-0005-0000-0000-0000D6560000}"/>
    <cellStyle name="Calculation 16 3 23 5" xfId="22262" xr:uid="{00000000-0005-0000-0000-0000D7560000}"/>
    <cellStyle name="Calculation 16 3 23 5 2" xfId="22263" xr:uid="{00000000-0005-0000-0000-0000D8560000}"/>
    <cellStyle name="Calculation 16 3 23 5 3" xfId="22264" xr:uid="{00000000-0005-0000-0000-0000D9560000}"/>
    <cellStyle name="Calculation 16 3 23 5 4" xfId="22265" xr:uid="{00000000-0005-0000-0000-0000DA560000}"/>
    <cellStyle name="Calculation 16 3 23 5 5" xfId="22266" xr:uid="{00000000-0005-0000-0000-0000DB560000}"/>
    <cellStyle name="Calculation 16 3 23 5 6" xfId="22267" xr:uid="{00000000-0005-0000-0000-0000DC560000}"/>
    <cellStyle name="Calculation 16 3 23 6" xfId="22268" xr:uid="{00000000-0005-0000-0000-0000DD560000}"/>
    <cellStyle name="Calculation 16 3 23 6 2" xfId="22269" xr:uid="{00000000-0005-0000-0000-0000DE560000}"/>
    <cellStyle name="Calculation 16 3 23 6 3" xfId="22270" xr:uid="{00000000-0005-0000-0000-0000DF560000}"/>
    <cellStyle name="Calculation 16 3 23 6 4" xfId="22271" xr:uid="{00000000-0005-0000-0000-0000E0560000}"/>
    <cellStyle name="Calculation 16 3 23 6 5" xfId="22272" xr:uid="{00000000-0005-0000-0000-0000E1560000}"/>
    <cellStyle name="Calculation 16 3 23 6 6" xfId="22273" xr:uid="{00000000-0005-0000-0000-0000E2560000}"/>
    <cellStyle name="Calculation 16 3 23 7" xfId="22274" xr:uid="{00000000-0005-0000-0000-0000E3560000}"/>
    <cellStyle name="Calculation 16 3 23 7 2" xfId="22275" xr:uid="{00000000-0005-0000-0000-0000E4560000}"/>
    <cellStyle name="Calculation 16 3 23 7 3" xfId="22276" xr:uid="{00000000-0005-0000-0000-0000E5560000}"/>
    <cellStyle name="Calculation 16 3 23 7 4" xfId="22277" xr:uid="{00000000-0005-0000-0000-0000E6560000}"/>
    <cellStyle name="Calculation 16 3 23 7 5" xfId="22278" xr:uid="{00000000-0005-0000-0000-0000E7560000}"/>
    <cellStyle name="Calculation 16 3 23 7 6" xfId="22279" xr:uid="{00000000-0005-0000-0000-0000E8560000}"/>
    <cellStyle name="Calculation 16 3 23 8" xfId="22280" xr:uid="{00000000-0005-0000-0000-0000E9560000}"/>
    <cellStyle name="Calculation 16 3 23 9" xfId="22281" xr:uid="{00000000-0005-0000-0000-0000EA560000}"/>
    <cellStyle name="Calculation 16 3 24" xfId="22282" xr:uid="{00000000-0005-0000-0000-0000EB560000}"/>
    <cellStyle name="Calculation 16 3 24 10" xfId="22283" xr:uid="{00000000-0005-0000-0000-0000EC560000}"/>
    <cellStyle name="Calculation 16 3 24 2" xfId="22284" xr:uid="{00000000-0005-0000-0000-0000ED560000}"/>
    <cellStyle name="Calculation 16 3 24 2 2" xfId="22285" xr:uid="{00000000-0005-0000-0000-0000EE560000}"/>
    <cellStyle name="Calculation 16 3 24 2 3" xfId="22286" xr:uid="{00000000-0005-0000-0000-0000EF560000}"/>
    <cellStyle name="Calculation 16 3 24 2 4" xfId="22287" xr:uid="{00000000-0005-0000-0000-0000F0560000}"/>
    <cellStyle name="Calculation 16 3 24 2 5" xfId="22288" xr:uid="{00000000-0005-0000-0000-0000F1560000}"/>
    <cellStyle name="Calculation 16 3 24 2 6" xfId="22289" xr:uid="{00000000-0005-0000-0000-0000F2560000}"/>
    <cellStyle name="Calculation 16 3 24 3" xfId="22290" xr:uid="{00000000-0005-0000-0000-0000F3560000}"/>
    <cellStyle name="Calculation 16 3 24 3 2" xfId="22291" xr:uid="{00000000-0005-0000-0000-0000F4560000}"/>
    <cellStyle name="Calculation 16 3 24 3 3" xfId="22292" xr:uid="{00000000-0005-0000-0000-0000F5560000}"/>
    <cellStyle name="Calculation 16 3 24 3 4" xfId="22293" xr:uid="{00000000-0005-0000-0000-0000F6560000}"/>
    <cellStyle name="Calculation 16 3 24 3 5" xfId="22294" xr:uid="{00000000-0005-0000-0000-0000F7560000}"/>
    <cellStyle name="Calculation 16 3 24 3 6" xfId="22295" xr:uid="{00000000-0005-0000-0000-0000F8560000}"/>
    <cellStyle name="Calculation 16 3 24 4" xfId="22296" xr:uid="{00000000-0005-0000-0000-0000F9560000}"/>
    <cellStyle name="Calculation 16 3 24 4 2" xfId="22297" xr:uid="{00000000-0005-0000-0000-0000FA560000}"/>
    <cellStyle name="Calculation 16 3 24 4 3" xfId="22298" xr:uid="{00000000-0005-0000-0000-0000FB560000}"/>
    <cellStyle name="Calculation 16 3 24 4 4" xfId="22299" xr:uid="{00000000-0005-0000-0000-0000FC560000}"/>
    <cellStyle name="Calculation 16 3 24 4 5" xfId="22300" xr:uid="{00000000-0005-0000-0000-0000FD560000}"/>
    <cellStyle name="Calculation 16 3 24 4 6" xfId="22301" xr:uid="{00000000-0005-0000-0000-0000FE560000}"/>
    <cellStyle name="Calculation 16 3 24 5" xfId="22302" xr:uid="{00000000-0005-0000-0000-0000FF560000}"/>
    <cellStyle name="Calculation 16 3 24 5 2" xfId="22303" xr:uid="{00000000-0005-0000-0000-000000570000}"/>
    <cellStyle name="Calculation 16 3 24 5 3" xfId="22304" xr:uid="{00000000-0005-0000-0000-000001570000}"/>
    <cellStyle name="Calculation 16 3 24 5 4" xfId="22305" xr:uid="{00000000-0005-0000-0000-000002570000}"/>
    <cellStyle name="Calculation 16 3 24 5 5" xfId="22306" xr:uid="{00000000-0005-0000-0000-000003570000}"/>
    <cellStyle name="Calculation 16 3 24 5 6" xfId="22307" xr:uid="{00000000-0005-0000-0000-000004570000}"/>
    <cellStyle name="Calculation 16 3 24 6" xfId="22308" xr:uid="{00000000-0005-0000-0000-000005570000}"/>
    <cellStyle name="Calculation 16 3 24 6 2" xfId="22309" xr:uid="{00000000-0005-0000-0000-000006570000}"/>
    <cellStyle name="Calculation 16 3 24 6 3" xfId="22310" xr:uid="{00000000-0005-0000-0000-000007570000}"/>
    <cellStyle name="Calculation 16 3 24 6 4" xfId="22311" xr:uid="{00000000-0005-0000-0000-000008570000}"/>
    <cellStyle name="Calculation 16 3 24 6 5" xfId="22312" xr:uid="{00000000-0005-0000-0000-000009570000}"/>
    <cellStyle name="Calculation 16 3 24 6 6" xfId="22313" xr:uid="{00000000-0005-0000-0000-00000A570000}"/>
    <cellStyle name="Calculation 16 3 24 7" xfId="22314" xr:uid="{00000000-0005-0000-0000-00000B570000}"/>
    <cellStyle name="Calculation 16 3 24 7 2" xfId="22315" xr:uid="{00000000-0005-0000-0000-00000C570000}"/>
    <cellStyle name="Calculation 16 3 24 7 3" xfId="22316" xr:uid="{00000000-0005-0000-0000-00000D570000}"/>
    <cellStyle name="Calculation 16 3 24 7 4" xfId="22317" xr:uid="{00000000-0005-0000-0000-00000E570000}"/>
    <cellStyle name="Calculation 16 3 24 7 5" xfId="22318" xr:uid="{00000000-0005-0000-0000-00000F570000}"/>
    <cellStyle name="Calculation 16 3 24 7 6" xfId="22319" xr:uid="{00000000-0005-0000-0000-000010570000}"/>
    <cellStyle name="Calculation 16 3 24 8" xfId="22320" xr:uid="{00000000-0005-0000-0000-000011570000}"/>
    <cellStyle name="Calculation 16 3 24 9" xfId="22321" xr:uid="{00000000-0005-0000-0000-000012570000}"/>
    <cellStyle name="Calculation 16 3 25" xfId="22322" xr:uid="{00000000-0005-0000-0000-000013570000}"/>
    <cellStyle name="Calculation 16 3 25 10" xfId="22323" xr:uid="{00000000-0005-0000-0000-000014570000}"/>
    <cellStyle name="Calculation 16 3 25 2" xfId="22324" xr:uid="{00000000-0005-0000-0000-000015570000}"/>
    <cellStyle name="Calculation 16 3 25 2 2" xfId="22325" xr:uid="{00000000-0005-0000-0000-000016570000}"/>
    <cellStyle name="Calculation 16 3 25 2 3" xfId="22326" xr:uid="{00000000-0005-0000-0000-000017570000}"/>
    <cellStyle name="Calculation 16 3 25 2 4" xfId="22327" xr:uid="{00000000-0005-0000-0000-000018570000}"/>
    <cellStyle name="Calculation 16 3 25 2 5" xfId="22328" xr:uid="{00000000-0005-0000-0000-000019570000}"/>
    <cellStyle name="Calculation 16 3 25 2 6" xfId="22329" xr:uid="{00000000-0005-0000-0000-00001A570000}"/>
    <cellStyle name="Calculation 16 3 25 3" xfId="22330" xr:uid="{00000000-0005-0000-0000-00001B570000}"/>
    <cellStyle name="Calculation 16 3 25 3 2" xfId="22331" xr:uid="{00000000-0005-0000-0000-00001C570000}"/>
    <cellStyle name="Calculation 16 3 25 3 3" xfId="22332" xr:uid="{00000000-0005-0000-0000-00001D570000}"/>
    <cellStyle name="Calculation 16 3 25 3 4" xfId="22333" xr:uid="{00000000-0005-0000-0000-00001E570000}"/>
    <cellStyle name="Calculation 16 3 25 3 5" xfId="22334" xr:uid="{00000000-0005-0000-0000-00001F570000}"/>
    <cellStyle name="Calculation 16 3 25 3 6" xfId="22335" xr:uid="{00000000-0005-0000-0000-000020570000}"/>
    <cellStyle name="Calculation 16 3 25 4" xfId="22336" xr:uid="{00000000-0005-0000-0000-000021570000}"/>
    <cellStyle name="Calculation 16 3 25 4 2" xfId="22337" xr:uid="{00000000-0005-0000-0000-000022570000}"/>
    <cellStyle name="Calculation 16 3 25 4 3" xfId="22338" xr:uid="{00000000-0005-0000-0000-000023570000}"/>
    <cellStyle name="Calculation 16 3 25 4 4" xfId="22339" xr:uid="{00000000-0005-0000-0000-000024570000}"/>
    <cellStyle name="Calculation 16 3 25 4 5" xfId="22340" xr:uid="{00000000-0005-0000-0000-000025570000}"/>
    <cellStyle name="Calculation 16 3 25 4 6" xfId="22341" xr:uid="{00000000-0005-0000-0000-000026570000}"/>
    <cellStyle name="Calculation 16 3 25 5" xfId="22342" xr:uid="{00000000-0005-0000-0000-000027570000}"/>
    <cellStyle name="Calculation 16 3 25 5 2" xfId="22343" xr:uid="{00000000-0005-0000-0000-000028570000}"/>
    <cellStyle name="Calculation 16 3 25 5 3" xfId="22344" xr:uid="{00000000-0005-0000-0000-000029570000}"/>
    <cellStyle name="Calculation 16 3 25 5 4" xfId="22345" xr:uid="{00000000-0005-0000-0000-00002A570000}"/>
    <cellStyle name="Calculation 16 3 25 5 5" xfId="22346" xr:uid="{00000000-0005-0000-0000-00002B570000}"/>
    <cellStyle name="Calculation 16 3 25 5 6" xfId="22347" xr:uid="{00000000-0005-0000-0000-00002C570000}"/>
    <cellStyle name="Calculation 16 3 25 6" xfId="22348" xr:uid="{00000000-0005-0000-0000-00002D570000}"/>
    <cellStyle name="Calculation 16 3 25 6 2" xfId="22349" xr:uid="{00000000-0005-0000-0000-00002E570000}"/>
    <cellStyle name="Calculation 16 3 25 6 3" xfId="22350" xr:uid="{00000000-0005-0000-0000-00002F570000}"/>
    <cellStyle name="Calculation 16 3 25 6 4" xfId="22351" xr:uid="{00000000-0005-0000-0000-000030570000}"/>
    <cellStyle name="Calculation 16 3 25 6 5" xfId="22352" xr:uid="{00000000-0005-0000-0000-000031570000}"/>
    <cellStyle name="Calculation 16 3 25 6 6" xfId="22353" xr:uid="{00000000-0005-0000-0000-000032570000}"/>
    <cellStyle name="Calculation 16 3 25 7" xfId="22354" xr:uid="{00000000-0005-0000-0000-000033570000}"/>
    <cellStyle name="Calculation 16 3 25 7 2" xfId="22355" xr:uid="{00000000-0005-0000-0000-000034570000}"/>
    <cellStyle name="Calculation 16 3 25 7 3" xfId="22356" xr:uid="{00000000-0005-0000-0000-000035570000}"/>
    <cellStyle name="Calculation 16 3 25 7 4" xfId="22357" xr:uid="{00000000-0005-0000-0000-000036570000}"/>
    <cellStyle name="Calculation 16 3 25 7 5" xfId="22358" xr:uid="{00000000-0005-0000-0000-000037570000}"/>
    <cellStyle name="Calculation 16 3 25 7 6" xfId="22359" xr:uid="{00000000-0005-0000-0000-000038570000}"/>
    <cellStyle name="Calculation 16 3 25 8" xfId="22360" xr:uid="{00000000-0005-0000-0000-000039570000}"/>
    <cellStyle name="Calculation 16 3 25 9" xfId="22361" xr:uid="{00000000-0005-0000-0000-00003A570000}"/>
    <cellStyle name="Calculation 16 3 26" xfId="22362" xr:uid="{00000000-0005-0000-0000-00003B570000}"/>
    <cellStyle name="Calculation 16 3 26 10" xfId="22363" xr:uid="{00000000-0005-0000-0000-00003C570000}"/>
    <cellStyle name="Calculation 16 3 26 2" xfId="22364" xr:uid="{00000000-0005-0000-0000-00003D570000}"/>
    <cellStyle name="Calculation 16 3 26 2 2" xfId="22365" xr:uid="{00000000-0005-0000-0000-00003E570000}"/>
    <cellStyle name="Calculation 16 3 26 2 3" xfId="22366" xr:uid="{00000000-0005-0000-0000-00003F570000}"/>
    <cellStyle name="Calculation 16 3 26 2 4" xfId="22367" xr:uid="{00000000-0005-0000-0000-000040570000}"/>
    <cellStyle name="Calculation 16 3 26 2 5" xfId="22368" xr:uid="{00000000-0005-0000-0000-000041570000}"/>
    <cellStyle name="Calculation 16 3 26 2 6" xfId="22369" xr:uid="{00000000-0005-0000-0000-000042570000}"/>
    <cellStyle name="Calculation 16 3 26 3" xfId="22370" xr:uid="{00000000-0005-0000-0000-000043570000}"/>
    <cellStyle name="Calculation 16 3 26 3 2" xfId="22371" xr:uid="{00000000-0005-0000-0000-000044570000}"/>
    <cellStyle name="Calculation 16 3 26 3 3" xfId="22372" xr:uid="{00000000-0005-0000-0000-000045570000}"/>
    <cellStyle name="Calculation 16 3 26 3 4" xfId="22373" xr:uid="{00000000-0005-0000-0000-000046570000}"/>
    <cellStyle name="Calculation 16 3 26 3 5" xfId="22374" xr:uid="{00000000-0005-0000-0000-000047570000}"/>
    <cellStyle name="Calculation 16 3 26 3 6" xfId="22375" xr:uid="{00000000-0005-0000-0000-000048570000}"/>
    <cellStyle name="Calculation 16 3 26 4" xfId="22376" xr:uid="{00000000-0005-0000-0000-000049570000}"/>
    <cellStyle name="Calculation 16 3 26 4 2" xfId="22377" xr:uid="{00000000-0005-0000-0000-00004A570000}"/>
    <cellStyle name="Calculation 16 3 26 4 3" xfId="22378" xr:uid="{00000000-0005-0000-0000-00004B570000}"/>
    <cellStyle name="Calculation 16 3 26 4 4" xfId="22379" xr:uid="{00000000-0005-0000-0000-00004C570000}"/>
    <cellStyle name="Calculation 16 3 26 4 5" xfId="22380" xr:uid="{00000000-0005-0000-0000-00004D570000}"/>
    <cellStyle name="Calculation 16 3 26 4 6" xfId="22381" xr:uid="{00000000-0005-0000-0000-00004E570000}"/>
    <cellStyle name="Calculation 16 3 26 5" xfId="22382" xr:uid="{00000000-0005-0000-0000-00004F570000}"/>
    <cellStyle name="Calculation 16 3 26 5 2" xfId="22383" xr:uid="{00000000-0005-0000-0000-000050570000}"/>
    <cellStyle name="Calculation 16 3 26 5 3" xfId="22384" xr:uid="{00000000-0005-0000-0000-000051570000}"/>
    <cellStyle name="Calculation 16 3 26 5 4" xfId="22385" xr:uid="{00000000-0005-0000-0000-000052570000}"/>
    <cellStyle name="Calculation 16 3 26 5 5" xfId="22386" xr:uid="{00000000-0005-0000-0000-000053570000}"/>
    <cellStyle name="Calculation 16 3 26 5 6" xfId="22387" xr:uid="{00000000-0005-0000-0000-000054570000}"/>
    <cellStyle name="Calculation 16 3 26 6" xfId="22388" xr:uid="{00000000-0005-0000-0000-000055570000}"/>
    <cellStyle name="Calculation 16 3 26 6 2" xfId="22389" xr:uid="{00000000-0005-0000-0000-000056570000}"/>
    <cellStyle name="Calculation 16 3 26 6 3" xfId="22390" xr:uid="{00000000-0005-0000-0000-000057570000}"/>
    <cellStyle name="Calculation 16 3 26 6 4" xfId="22391" xr:uid="{00000000-0005-0000-0000-000058570000}"/>
    <cellStyle name="Calculation 16 3 26 6 5" xfId="22392" xr:uid="{00000000-0005-0000-0000-000059570000}"/>
    <cellStyle name="Calculation 16 3 26 6 6" xfId="22393" xr:uid="{00000000-0005-0000-0000-00005A570000}"/>
    <cellStyle name="Calculation 16 3 26 7" xfId="22394" xr:uid="{00000000-0005-0000-0000-00005B570000}"/>
    <cellStyle name="Calculation 16 3 26 7 2" xfId="22395" xr:uid="{00000000-0005-0000-0000-00005C570000}"/>
    <cellStyle name="Calculation 16 3 26 7 3" xfId="22396" xr:uid="{00000000-0005-0000-0000-00005D570000}"/>
    <cellStyle name="Calculation 16 3 26 7 4" xfId="22397" xr:uid="{00000000-0005-0000-0000-00005E570000}"/>
    <cellStyle name="Calculation 16 3 26 7 5" xfId="22398" xr:uid="{00000000-0005-0000-0000-00005F570000}"/>
    <cellStyle name="Calculation 16 3 26 7 6" xfId="22399" xr:uid="{00000000-0005-0000-0000-000060570000}"/>
    <cellStyle name="Calculation 16 3 26 8" xfId="22400" xr:uid="{00000000-0005-0000-0000-000061570000}"/>
    <cellStyle name="Calculation 16 3 26 9" xfId="22401" xr:uid="{00000000-0005-0000-0000-000062570000}"/>
    <cellStyle name="Calculation 16 3 27" xfId="22402" xr:uid="{00000000-0005-0000-0000-000063570000}"/>
    <cellStyle name="Calculation 16 3 27 2" xfId="22403" xr:uid="{00000000-0005-0000-0000-000064570000}"/>
    <cellStyle name="Calculation 16 3 27 3" xfId="22404" xr:uid="{00000000-0005-0000-0000-000065570000}"/>
    <cellStyle name="Calculation 16 3 27 4" xfId="22405" xr:uid="{00000000-0005-0000-0000-000066570000}"/>
    <cellStyle name="Calculation 16 3 27 5" xfId="22406" xr:uid="{00000000-0005-0000-0000-000067570000}"/>
    <cellStyle name="Calculation 16 3 27 6" xfId="22407" xr:uid="{00000000-0005-0000-0000-000068570000}"/>
    <cellStyle name="Calculation 16 3 28" xfId="22408" xr:uid="{00000000-0005-0000-0000-000069570000}"/>
    <cellStyle name="Calculation 16 3 28 2" xfId="22409" xr:uid="{00000000-0005-0000-0000-00006A570000}"/>
    <cellStyle name="Calculation 16 3 28 3" xfId="22410" xr:uid="{00000000-0005-0000-0000-00006B570000}"/>
    <cellStyle name="Calculation 16 3 28 4" xfId="22411" xr:uid="{00000000-0005-0000-0000-00006C570000}"/>
    <cellStyle name="Calculation 16 3 28 5" xfId="22412" xr:uid="{00000000-0005-0000-0000-00006D570000}"/>
    <cellStyle name="Calculation 16 3 28 6" xfId="22413" xr:uid="{00000000-0005-0000-0000-00006E570000}"/>
    <cellStyle name="Calculation 16 3 29" xfId="22414" xr:uid="{00000000-0005-0000-0000-00006F570000}"/>
    <cellStyle name="Calculation 16 3 29 2" xfId="22415" xr:uid="{00000000-0005-0000-0000-000070570000}"/>
    <cellStyle name="Calculation 16 3 29 3" xfId="22416" xr:uid="{00000000-0005-0000-0000-000071570000}"/>
    <cellStyle name="Calculation 16 3 29 4" xfId="22417" xr:uid="{00000000-0005-0000-0000-000072570000}"/>
    <cellStyle name="Calculation 16 3 29 5" xfId="22418" xr:uid="{00000000-0005-0000-0000-000073570000}"/>
    <cellStyle name="Calculation 16 3 29 6" xfId="22419" xr:uid="{00000000-0005-0000-0000-000074570000}"/>
    <cellStyle name="Calculation 16 3 3" xfId="22420" xr:uid="{00000000-0005-0000-0000-000075570000}"/>
    <cellStyle name="Calculation 16 3 3 10" xfId="22421" xr:uid="{00000000-0005-0000-0000-000076570000}"/>
    <cellStyle name="Calculation 16 3 3 2" xfId="22422" xr:uid="{00000000-0005-0000-0000-000077570000}"/>
    <cellStyle name="Calculation 16 3 3 2 2" xfId="22423" xr:uid="{00000000-0005-0000-0000-000078570000}"/>
    <cellStyle name="Calculation 16 3 3 2 3" xfId="22424" xr:uid="{00000000-0005-0000-0000-000079570000}"/>
    <cellStyle name="Calculation 16 3 3 2 4" xfId="22425" xr:uid="{00000000-0005-0000-0000-00007A570000}"/>
    <cellStyle name="Calculation 16 3 3 2 5" xfId="22426" xr:uid="{00000000-0005-0000-0000-00007B570000}"/>
    <cellStyle name="Calculation 16 3 3 2 6" xfId="22427" xr:uid="{00000000-0005-0000-0000-00007C570000}"/>
    <cellStyle name="Calculation 16 3 3 3" xfId="22428" xr:uid="{00000000-0005-0000-0000-00007D570000}"/>
    <cellStyle name="Calculation 16 3 3 3 2" xfId="22429" xr:uid="{00000000-0005-0000-0000-00007E570000}"/>
    <cellStyle name="Calculation 16 3 3 3 3" xfId="22430" xr:uid="{00000000-0005-0000-0000-00007F570000}"/>
    <cellStyle name="Calculation 16 3 3 3 4" xfId="22431" xr:uid="{00000000-0005-0000-0000-000080570000}"/>
    <cellStyle name="Calculation 16 3 3 3 5" xfId="22432" xr:uid="{00000000-0005-0000-0000-000081570000}"/>
    <cellStyle name="Calculation 16 3 3 3 6" xfId="22433" xr:uid="{00000000-0005-0000-0000-000082570000}"/>
    <cellStyle name="Calculation 16 3 3 4" xfId="22434" xr:uid="{00000000-0005-0000-0000-000083570000}"/>
    <cellStyle name="Calculation 16 3 3 4 2" xfId="22435" xr:uid="{00000000-0005-0000-0000-000084570000}"/>
    <cellStyle name="Calculation 16 3 3 4 3" xfId="22436" xr:uid="{00000000-0005-0000-0000-000085570000}"/>
    <cellStyle name="Calculation 16 3 3 4 4" xfId="22437" xr:uid="{00000000-0005-0000-0000-000086570000}"/>
    <cellStyle name="Calculation 16 3 3 4 5" xfId="22438" xr:uid="{00000000-0005-0000-0000-000087570000}"/>
    <cellStyle name="Calculation 16 3 3 4 6" xfId="22439" xr:uid="{00000000-0005-0000-0000-000088570000}"/>
    <cellStyle name="Calculation 16 3 3 5" xfId="22440" xr:uid="{00000000-0005-0000-0000-000089570000}"/>
    <cellStyle name="Calculation 16 3 3 5 2" xfId="22441" xr:uid="{00000000-0005-0000-0000-00008A570000}"/>
    <cellStyle name="Calculation 16 3 3 5 3" xfId="22442" xr:uid="{00000000-0005-0000-0000-00008B570000}"/>
    <cellStyle name="Calculation 16 3 3 5 4" xfId="22443" xr:uid="{00000000-0005-0000-0000-00008C570000}"/>
    <cellStyle name="Calculation 16 3 3 5 5" xfId="22444" xr:uid="{00000000-0005-0000-0000-00008D570000}"/>
    <cellStyle name="Calculation 16 3 3 5 6" xfId="22445" xr:uid="{00000000-0005-0000-0000-00008E570000}"/>
    <cellStyle name="Calculation 16 3 3 6" xfId="22446" xr:uid="{00000000-0005-0000-0000-00008F570000}"/>
    <cellStyle name="Calculation 16 3 3 6 2" xfId="22447" xr:uid="{00000000-0005-0000-0000-000090570000}"/>
    <cellStyle name="Calculation 16 3 3 6 3" xfId="22448" xr:uid="{00000000-0005-0000-0000-000091570000}"/>
    <cellStyle name="Calculation 16 3 3 6 4" xfId="22449" xr:uid="{00000000-0005-0000-0000-000092570000}"/>
    <cellStyle name="Calculation 16 3 3 6 5" xfId="22450" xr:uid="{00000000-0005-0000-0000-000093570000}"/>
    <cellStyle name="Calculation 16 3 3 6 6" xfId="22451" xr:uid="{00000000-0005-0000-0000-000094570000}"/>
    <cellStyle name="Calculation 16 3 3 7" xfId="22452" xr:uid="{00000000-0005-0000-0000-000095570000}"/>
    <cellStyle name="Calculation 16 3 3 7 2" xfId="22453" xr:uid="{00000000-0005-0000-0000-000096570000}"/>
    <cellStyle name="Calculation 16 3 3 7 3" xfId="22454" xr:uid="{00000000-0005-0000-0000-000097570000}"/>
    <cellStyle name="Calculation 16 3 3 7 4" xfId="22455" xr:uid="{00000000-0005-0000-0000-000098570000}"/>
    <cellStyle name="Calculation 16 3 3 7 5" xfId="22456" xr:uid="{00000000-0005-0000-0000-000099570000}"/>
    <cellStyle name="Calculation 16 3 3 7 6" xfId="22457" xr:uid="{00000000-0005-0000-0000-00009A570000}"/>
    <cellStyle name="Calculation 16 3 3 8" xfId="22458" xr:uid="{00000000-0005-0000-0000-00009B570000}"/>
    <cellStyle name="Calculation 16 3 3 9" xfId="22459" xr:uid="{00000000-0005-0000-0000-00009C570000}"/>
    <cellStyle name="Calculation 16 3 30" xfId="22460" xr:uid="{00000000-0005-0000-0000-00009D570000}"/>
    <cellStyle name="Calculation 16 3 30 2" xfId="22461" xr:uid="{00000000-0005-0000-0000-00009E570000}"/>
    <cellStyle name="Calculation 16 3 30 3" xfId="22462" xr:uid="{00000000-0005-0000-0000-00009F570000}"/>
    <cellStyle name="Calculation 16 3 30 4" xfId="22463" xr:uid="{00000000-0005-0000-0000-0000A0570000}"/>
    <cellStyle name="Calculation 16 3 30 5" xfId="22464" xr:uid="{00000000-0005-0000-0000-0000A1570000}"/>
    <cellStyle name="Calculation 16 3 30 6" xfId="22465" xr:uid="{00000000-0005-0000-0000-0000A2570000}"/>
    <cellStyle name="Calculation 16 3 31" xfId="22466" xr:uid="{00000000-0005-0000-0000-0000A3570000}"/>
    <cellStyle name="Calculation 16 3 31 2" xfId="22467" xr:uid="{00000000-0005-0000-0000-0000A4570000}"/>
    <cellStyle name="Calculation 16 3 31 3" xfId="22468" xr:uid="{00000000-0005-0000-0000-0000A5570000}"/>
    <cellStyle name="Calculation 16 3 31 4" xfId="22469" xr:uid="{00000000-0005-0000-0000-0000A6570000}"/>
    <cellStyle name="Calculation 16 3 31 5" xfId="22470" xr:uid="{00000000-0005-0000-0000-0000A7570000}"/>
    <cellStyle name="Calculation 16 3 31 6" xfId="22471" xr:uid="{00000000-0005-0000-0000-0000A8570000}"/>
    <cellStyle name="Calculation 16 3 32" xfId="22472" xr:uid="{00000000-0005-0000-0000-0000A9570000}"/>
    <cellStyle name="Calculation 16 3 32 2" xfId="22473" xr:uid="{00000000-0005-0000-0000-0000AA570000}"/>
    <cellStyle name="Calculation 16 3 32 3" xfId="22474" xr:uid="{00000000-0005-0000-0000-0000AB570000}"/>
    <cellStyle name="Calculation 16 3 32 4" xfId="22475" xr:uid="{00000000-0005-0000-0000-0000AC570000}"/>
    <cellStyle name="Calculation 16 3 32 5" xfId="22476" xr:uid="{00000000-0005-0000-0000-0000AD570000}"/>
    <cellStyle name="Calculation 16 3 32 6" xfId="22477" xr:uid="{00000000-0005-0000-0000-0000AE570000}"/>
    <cellStyle name="Calculation 16 3 33" xfId="22478" xr:uid="{00000000-0005-0000-0000-0000AF570000}"/>
    <cellStyle name="Calculation 16 3 34" xfId="22479" xr:uid="{00000000-0005-0000-0000-0000B0570000}"/>
    <cellStyle name="Calculation 16 3 35" xfId="22480" xr:uid="{00000000-0005-0000-0000-0000B1570000}"/>
    <cellStyle name="Calculation 16 3 4" xfId="22481" xr:uid="{00000000-0005-0000-0000-0000B2570000}"/>
    <cellStyle name="Calculation 16 3 4 10" xfId="22482" xr:uid="{00000000-0005-0000-0000-0000B3570000}"/>
    <cellStyle name="Calculation 16 3 4 2" xfId="22483" xr:uid="{00000000-0005-0000-0000-0000B4570000}"/>
    <cellStyle name="Calculation 16 3 4 2 2" xfId="22484" xr:uid="{00000000-0005-0000-0000-0000B5570000}"/>
    <cellStyle name="Calculation 16 3 4 2 3" xfId="22485" xr:uid="{00000000-0005-0000-0000-0000B6570000}"/>
    <cellStyle name="Calculation 16 3 4 2 4" xfId="22486" xr:uid="{00000000-0005-0000-0000-0000B7570000}"/>
    <cellStyle name="Calculation 16 3 4 2 5" xfId="22487" xr:uid="{00000000-0005-0000-0000-0000B8570000}"/>
    <cellStyle name="Calculation 16 3 4 2 6" xfId="22488" xr:uid="{00000000-0005-0000-0000-0000B9570000}"/>
    <cellStyle name="Calculation 16 3 4 3" xfId="22489" xr:uid="{00000000-0005-0000-0000-0000BA570000}"/>
    <cellStyle name="Calculation 16 3 4 3 2" xfId="22490" xr:uid="{00000000-0005-0000-0000-0000BB570000}"/>
    <cellStyle name="Calculation 16 3 4 3 3" xfId="22491" xr:uid="{00000000-0005-0000-0000-0000BC570000}"/>
    <cellStyle name="Calculation 16 3 4 3 4" xfId="22492" xr:uid="{00000000-0005-0000-0000-0000BD570000}"/>
    <cellStyle name="Calculation 16 3 4 3 5" xfId="22493" xr:uid="{00000000-0005-0000-0000-0000BE570000}"/>
    <cellStyle name="Calculation 16 3 4 3 6" xfId="22494" xr:uid="{00000000-0005-0000-0000-0000BF570000}"/>
    <cellStyle name="Calculation 16 3 4 4" xfId="22495" xr:uid="{00000000-0005-0000-0000-0000C0570000}"/>
    <cellStyle name="Calculation 16 3 4 4 2" xfId="22496" xr:uid="{00000000-0005-0000-0000-0000C1570000}"/>
    <cellStyle name="Calculation 16 3 4 4 3" xfId="22497" xr:uid="{00000000-0005-0000-0000-0000C2570000}"/>
    <cellStyle name="Calculation 16 3 4 4 4" xfId="22498" xr:uid="{00000000-0005-0000-0000-0000C3570000}"/>
    <cellStyle name="Calculation 16 3 4 4 5" xfId="22499" xr:uid="{00000000-0005-0000-0000-0000C4570000}"/>
    <cellStyle name="Calculation 16 3 4 4 6" xfId="22500" xr:uid="{00000000-0005-0000-0000-0000C5570000}"/>
    <cellStyle name="Calculation 16 3 4 5" xfId="22501" xr:uid="{00000000-0005-0000-0000-0000C6570000}"/>
    <cellStyle name="Calculation 16 3 4 5 2" xfId="22502" xr:uid="{00000000-0005-0000-0000-0000C7570000}"/>
    <cellStyle name="Calculation 16 3 4 5 3" xfId="22503" xr:uid="{00000000-0005-0000-0000-0000C8570000}"/>
    <cellStyle name="Calculation 16 3 4 5 4" xfId="22504" xr:uid="{00000000-0005-0000-0000-0000C9570000}"/>
    <cellStyle name="Calculation 16 3 4 5 5" xfId="22505" xr:uid="{00000000-0005-0000-0000-0000CA570000}"/>
    <cellStyle name="Calculation 16 3 4 5 6" xfId="22506" xr:uid="{00000000-0005-0000-0000-0000CB570000}"/>
    <cellStyle name="Calculation 16 3 4 6" xfId="22507" xr:uid="{00000000-0005-0000-0000-0000CC570000}"/>
    <cellStyle name="Calculation 16 3 4 6 2" xfId="22508" xr:uid="{00000000-0005-0000-0000-0000CD570000}"/>
    <cellStyle name="Calculation 16 3 4 6 3" xfId="22509" xr:uid="{00000000-0005-0000-0000-0000CE570000}"/>
    <cellStyle name="Calculation 16 3 4 6 4" xfId="22510" xr:uid="{00000000-0005-0000-0000-0000CF570000}"/>
    <cellStyle name="Calculation 16 3 4 6 5" xfId="22511" xr:uid="{00000000-0005-0000-0000-0000D0570000}"/>
    <cellStyle name="Calculation 16 3 4 6 6" xfId="22512" xr:uid="{00000000-0005-0000-0000-0000D1570000}"/>
    <cellStyle name="Calculation 16 3 4 7" xfId="22513" xr:uid="{00000000-0005-0000-0000-0000D2570000}"/>
    <cellStyle name="Calculation 16 3 4 7 2" xfId="22514" xr:uid="{00000000-0005-0000-0000-0000D3570000}"/>
    <cellStyle name="Calculation 16 3 4 7 3" xfId="22515" xr:uid="{00000000-0005-0000-0000-0000D4570000}"/>
    <cellStyle name="Calculation 16 3 4 7 4" xfId="22516" xr:uid="{00000000-0005-0000-0000-0000D5570000}"/>
    <cellStyle name="Calculation 16 3 4 7 5" xfId="22517" xr:uid="{00000000-0005-0000-0000-0000D6570000}"/>
    <cellStyle name="Calculation 16 3 4 7 6" xfId="22518" xr:uid="{00000000-0005-0000-0000-0000D7570000}"/>
    <cellStyle name="Calculation 16 3 4 8" xfId="22519" xr:uid="{00000000-0005-0000-0000-0000D8570000}"/>
    <cellStyle name="Calculation 16 3 4 9" xfId="22520" xr:uid="{00000000-0005-0000-0000-0000D9570000}"/>
    <cellStyle name="Calculation 16 3 5" xfId="22521" xr:uid="{00000000-0005-0000-0000-0000DA570000}"/>
    <cellStyle name="Calculation 16 3 5 10" xfId="22522" xr:uid="{00000000-0005-0000-0000-0000DB570000}"/>
    <cellStyle name="Calculation 16 3 5 2" xfId="22523" xr:uid="{00000000-0005-0000-0000-0000DC570000}"/>
    <cellStyle name="Calculation 16 3 5 2 2" xfId="22524" xr:uid="{00000000-0005-0000-0000-0000DD570000}"/>
    <cellStyle name="Calculation 16 3 5 2 3" xfId="22525" xr:uid="{00000000-0005-0000-0000-0000DE570000}"/>
    <cellStyle name="Calculation 16 3 5 2 4" xfId="22526" xr:uid="{00000000-0005-0000-0000-0000DF570000}"/>
    <cellStyle name="Calculation 16 3 5 2 5" xfId="22527" xr:uid="{00000000-0005-0000-0000-0000E0570000}"/>
    <cellStyle name="Calculation 16 3 5 2 6" xfId="22528" xr:uid="{00000000-0005-0000-0000-0000E1570000}"/>
    <cellStyle name="Calculation 16 3 5 3" xfId="22529" xr:uid="{00000000-0005-0000-0000-0000E2570000}"/>
    <cellStyle name="Calculation 16 3 5 3 2" xfId="22530" xr:uid="{00000000-0005-0000-0000-0000E3570000}"/>
    <cellStyle name="Calculation 16 3 5 3 3" xfId="22531" xr:uid="{00000000-0005-0000-0000-0000E4570000}"/>
    <cellStyle name="Calculation 16 3 5 3 4" xfId="22532" xr:uid="{00000000-0005-0000-0000-0000E5570000}"/>
    <cellStyle name="Calculation 16 3 5 3 5" xfId="22533" xr:uid="{00000000-0005-0000-0000-0000E6570000}"/>
    <cellStyle name="Calculation 16 3 5 3 6" xfId="22534" xr:uid="{00000000-0005-0000-0000-0000E7570000}"/>
    <cellStyle name="Calculation 16 3 5 4" xfId="22535" xr:uid="{00000000-0005-0000-0000-0000E8570000}"/>
    <cellStyle name="Calculation 16 3 5 4 2" xfId="22536" xr:uid="{00000000-0005-0000-0000-0000E9570000}"/>
    <cellStyle name="Calculation 16 3 5 4 3" xfId="22537" xr:uid="{00000000-0005-0000-0000-0000EA570000}"/>
    <cellStyle name="Calculation 16 3 5 4 4" xfId="22538" xr:uid="{00000000-0005-0000-0000-0000EB570000}"/>
    <cellStyle name="Calculation 16 3 5 4 5" xfId="22539" xr:uid="{00000000-0005-0000-0000-0000EC570000}"/>
    <cellStyle name="Calculation 16 3 5 4 6" xfId="22540" xr:uid="{00000000-0005-0000-0000-0000ED570000}"/>
    <cellStyle name="Calculation 16 3 5 5" xfId="22541" xr:uid="{00000000-0005-0000-0000-0000EE570000}"/>
    <cellStyle name="Calculation 16 3 5 5 2" xfId="22542" xr:uid="{00000000-0005-0000-0000-0000EF570000}"/>
    <cellStyle name="Calculation 16 3 5 5 3" xfId="22543" xr:uid="{00000000-0005-0000-0000-0000F0570000}"/>
    <cellStyle name="Calculation 16 3 5 5 4" xfId="22544" xr:uid="{00000000-0005-0000-0000-0000F1570000}"/>
    <cellStyle name="Calculation 16 3 5 5 5" xfId="22545" xr:uid="{00000000-0005-0000-0000-0000F2570000}"/>
    <cellStyle name="Calculation 16 3 5 5 6" xfId="22546" xr:uid="{00000000-0005-0000-0000-0000F3570000}"/>
    <cellStyle name="Calculation 16 3 5 6" xfId="22547" xr:uid="{00000000-0005-0000-0000-0000F4570000}"/>
    <cellStyle name="Calculation 16 3 5 6 2" xfId="22548" xr:uid="{00000000-0005-0000-0000-0000F5570000}"/>
    <cellStyle name="Calculation 16 3 5 6 3" xfId="22549" xr:uid="{00000000-0005-0000-0000-0000F6570000}"/>
    <cellStyle name="Calculation 16 3 5 6 4" xfId="22550" xr:uid="{00000000-0005-0000-0000-0000F7570000}"/>
    <cellStyle name="Calculation 16 3 5 6 5" xfId="22551" xr:uid="{00000000-0005-0000-0000-0000F8570000}"/>
    <cellStyle name="Calculation 16 3 5 6 6" xfId="22552" xr:uid="{00000000-0005-0000-0000-0000F9570000}"/>
    <cellStyle name="Calculation 16 3 5 7" xfId="22553" xr:uid="{00000000-0005-0000-0000-0000FA570000}"/>
    <cellStyle name="Calculation 16 3 5 7 2" xfId="22554" xr:uid="{00000000-0005-0000-0000-0000FB570000}"/>
    <cellStyle name="Calculation 16 3 5 7 3" xfId="22555" xr:uid="{00000000-0005-0000-0000-0000FC570000}"/>
    <cellStyle name="Calculation 16 3 5 7 4" xfId="22556" xr:uid="{00000000-0005-0000-0000-0000FD570000}"/>
    <cellStyle name="Calculation 16 3 5 7 5" xfId="22557" xr:uid="{00000000-0005-0000-0000-0000FE570000}"/>
    <cellStyle name="Calculation 16 3 5 7 6" xfId="22558" xr:uid="{00000000-0005-0000-0000-0000FF570000}"/>
    <cellStyle name="Calculation 16 3 5 8" xfId="22559" xr:uid="{00000000-0005-0000-0000-000000580000}"/>
    <cellStyle name="Calculation 16 3 5 9" xfId="22560" xr:uid="{00000000-0005-0000-0000-000001580000}"/>
    <cellStyle name="Calculation 16 3 6" xfId="22561" xr:uid="{00000000-0005-0000-0000-000002580000}"/>
    <cellStyle name="Calculation 16 3 6 10" xfId="22562" xr:uid="{00000000-0005-0000-0000-000003580000}"/>
    <cellStyle name="Calculation 16 3 6 2" xfId="22563" xr:uid="{00000000-0005-0000-0000-000004580000}"/>
    <cellStyle name="Calculation 16 3 6 2 2" xfId="22564" xr:uid="{00000000-0005-0000-0000-000005580000}"/>
    <cellStyle name="Calculation 16 3 6 2 3" xfId="22565" xr:uid="{00000000-0005-0000-0000-000006580000}"/>
    <cellStyle name="Calculation 16 3 6 2 4" xfId="22566" xr:uid="{00000000-0005-0000-0000-000007580000}"/>
    <cellStyle name="Calculation 16 3 6 2 5" xfId="22567" xr:uid="{00000000-0005-0000-0000-000008580000}"/>
    <cellStyle name="Calculation 16 3 6 2 6" xfId="22568" xr:uid="{00000000-0005-0000-0000-000009580000}"/>
    <cellStyle name="Calculation 16 3 6 3" xfId="22569" xr:uid="{00000000-0005-0000-0000-00000A580000}"/>
    <cellStyle name="Calculation 16 3 6 3 2" xfId="22570" xr:uid="{00000000-0005-0000-0000-00000B580000}"/>
    <cellStyle name="Calculation 16 3 6 3 3" xfId="22571" xr:uid="{00000000-0005-0000-0000-00000C580000}"/>
    <cellStyle name="Calculation 16 3 6 3 4" xfId="22572" xr:uid="{00000000-0005-0000-0000-00000D580000}"/>
    <cellStyle name="Calculation 16 3 6 3 5" xfId="22573" xr:uid="{00000000-0005-0000-0000-00000E580000}"/>
    <cellStyle name="Calculation 16 3 6 3 6" xfId="22574" xr:uid="{00000000-0005-0000-0000-00000F580000}"/>
    <cellStyle name="Calculation 16 3 6 4" xfId="22575" xr:uid="{00000000-0005-0000-0000-000010580000}"/>
    <cellStyle name="Calculation 16 3 6 4 2" xfId="22576" xr:uid="{00000000-0005-0000-0000-000011580000}"/>
    <cellStyle name="Calculation 16 3 6 4 3" xfId="22577" xr:uid="{00000000-0005-0000-0000-000012580000}"/>
    <cellStyle name="Calculation 16 3 6 4 4" xfId="22578" xr:uid="{00000000-0005-0000-0000-000013580000}"/>
    <cellStyle name="Calculation 16 3 6 4 5" xfId="22579" xr:uid="{00000000-0005-0000-0000-000014580000}"/>
    <cellStyle name="Calculation 16 3 6 4 6" xfId="22580" xr:uid="{00000000-0005-0000-0000-000015580000}"/>
    <cellStyle name="Calculation 16 3 6 5" xfId="22581" xr:uid="{00000000-0005-0000-0000-000016580000}"/>
    <cellStyle name="Calculation 16 3 6 5 2" xfId="22582" xr:uid="{00000000-0005-0000-0000-000017580000}"/>
    <cellStyle name="Calculation 16 3 6 5 3" xfId="22583" xr:uid="{00000000-0005-0000-0000-000018580000}"/>
    <cellStyle name="Calculation 16 3 6 5 4" xfId="22584" xr:uid="{00000000-0005-0000-0000-000019580000}"/>
    <cellStyle name="Calculation 16 3 6 5 5" xfId="22585" xr:uid="{00000000-0005-0000-0000-00001A580000}"/>
    <cellStyle name="Calculation 16 3 6 5 6" xfId="22586" xr:uid="{00000000-0005-0000-0000-00001B580000}"/>
    <cellStyle name="Calculation 16 3 6 6" xfId="22587" xr:uid="{00000000-0005-0000-0000-00001C580000}"/>
    <cellStyle name="Calculation 16 3 6 6 2" xfId="22588" xr:uid="{00000000-0005-0000-0000-00001D580000}"/>
    <cellStyle name="Calculation 16 3 6 6 3" xfId="22589" xr:uid="{00000000-0005-0000-0000-00001E580000}"/>
    <cellStyle name="Calculation 16 3 6 6 4" xfId="22590" xr:uid="{00000000-0005-0000-0000-00001F580000}"/>
    <cellStyle name="Calculation 16 3 6 6 5" xfId="22591" xr:uid="{00000000-0005-0000-0000-000020580000}"/>
    <cellStyle name="Calculation 16 3 6 6 6" xfId="22592" xr:uid="{00000000-0005-0000-0000-000021580000}"/>
    <cellStyle name="Calculation 16 3 6 7" xfId="22593" xr:uid="{00000000-0005-0000-0000-000022580000}"/>
    <cellStyle name="Calculation 16 3 6 7 2" xfId="22594" xr:uid="{00000000-0005-0000-0000-000023580000}"/>
    <cellStyle name="Calculation 16 3 6 7 3" xfId="22595" xr:uid="{00000000-0005-0000-0000-000024580000}"/>
    <cellStyle name="Calculation 16 3 6 7 4" xfId="22596" xr:uid="{00000000-0005-0000-0000-000025580000}"/>
    <cellStyle name="Calculation 16 3 6 7 5" xfId="22597" xr:uid="{00000000-0005-0000-0000-000026580000}"/>
    <cellStyle name="Calculation 16 3 6 7 6" xfId="22598" xr:uid="{00000000-0005-0000-0000-000027580000}"/>
    <cellStyle name="Calculation 16 3 6 8" xfId="22599" xr:uid="{00000000-0005-0000-0000-000028580000}"/>
    <cellStyle name="Calculation 16 3 6 9" xfId="22600" xr:uid="{00000000-0005-0000-0000-000029580000}"/>
    <cellStyle name="Calculation 16 3 7" xfId="22601" xr:uid="{00000000-0005-0000-0000-00002A580000}"/>
    <cellStyle name="Calculation 16 3 7 10" xfId="22602" xr:uid="{00000000-0005-0000-0000-00002B580000}"/>
    <cellStyle name="Calculation 16 3 7 2" xfId="22603" xr:uid="{00000000-0005-0000-0000-00002C580000}"/>
    <cellStyle name="Calculation 16 3 7 2 2" xfId="22604" xr:uid="{00000000-0005-0000-0000-00002D580000}"/>
    <cellStyle name="Calculation 16 3 7 2 3" xfId="22605" xr:uid="{00000000-0005-0000-0000-00002E580000}"/>
    <cellStyle name="Calculation 16 3 7 2 4" xfId="22606" xr:uid="{00000000-0005-0000-0000-00002F580000}"/>
    <cellStyle name="Calculation 16 3 7 2 5" xfId="22607" xr:uid="{00000000-0005-0000-0000-000030580000}"/>
    <cellStyle name="Calculation 16 3 7 2 6" xfId="22608" xr:uid="{00000000-0005-0000-0000-000031580000}"/>
    <cellStyle name="Calculation 16 3 7 3" xfId="22609" xr:uid="{00000000-0005-0000-0000-000032580000}"/>
    <cellStyle name="Calculation 16 3 7 3 2" xfId="22610" xr:uid="{00000000-0005-0000-0000-000033580000}"/>
    <cellStyle name="Calculation 16 3 7 3 3" xfId="22611" xr:uid="{00000000-0005-0000-0000-000034580000}"/>
    <cellStyle name="Calculation 16 3 7 3 4" xfId="22612" xr:uid="{00000000-0005-0000-0000-000035580000}"/>
    <cellStyle name="Calculation 16 3 7 3 5" xfId="22613" xr:uid="{00000000-0005-0000-0000-000036580000}"/>
    <cellStyle name="Calculation 16 3 7 3 6" xfId="22614" xr:uid="{00000000-0005-0000-0000-000037580000}"/>
    <cellStyle name="Calculation 16 3 7 4" xfId="22615" xr:uid="{00000000-0005-0000-0000-000038580000}"/>
    <cellStyle name="Calculation 16 3 7 4 2" xfId="22616" xr:uid="{00000000-0005-0000-0000-000039580000}"/>
    <cellStyle name="Calculation 16 3 7 4 3" xfId="22617" xr:uid="{00000000-0005-0000-0000-00003A580000}"/>
    <cellStyle name="Calculation 16 3 7 4 4" xfId="22618" xr:uid="{00000000-0005-0000-0000-00003B580000}"/>
    <cellStyle name="Calculation 16 3 7 4 5" xfId="22619" xr:uid="{00000000-0005-0000-0000-00003C580000}"/>
    <cellStyle name="Calculation 16 3 7 4 6" xfId="22620" xr:uid="{00000000-0005-0000-0000-00003D580000}"/>
    <cellStyle name="Calculation 16 3 7 5" xfId="22621" xr:uid="{00000000-0005-0000-0000-00003E580000}"/>
    <cellStyle name="Calculation 16 3 7 5 2" xfId="22622" xr:uid="{00000000-0005-0000-0000-00003F580000}"/>
    <cellStyle name="Calculation 16 3 7 5 3" xfId="22623" xr:uid="{00000000-0005-0000-0000-000040580000}"/>
    <cellStyle name="Calculation 16 3 7 5 4" xfId="22624" xr:uid="{00000000-0005-0000-0000-000041580000}"/>
    <cellStyle name="Calculation 16 3 7 5 5" xfId="22625" xr:uid="{00000000-0005-0000-0000-000042580000}"/>
    <cellStyle name="Calculation 16 3 7 5 6" xfId="22626" xr:uid="{00000000-0005-0000-0000-000043580000}"/>
    <cellStyle name="Calculation 16 3 7 6" xfId="22627" xr:uid="{00000000-0005-0000-0000-000044580000}"/>
    <cellStyle name="Calculation 16 3 7 6 2" xfId="22628" xr:uid="{00000000-0005-0000-0000-000045580000}"/>
    <cellStyle name="Calculation 16 3 7 6 3" xfId="22629" xr:uid="{00000000-0005-0000-0000-000046580000}"/>
    <cellStyle name="Calculation 16 3 7 6 4" xfId="22630" xr:uid="{00000000-0005-0000-0000-000047580000}"/>
    <cellStyle name="Calculation 16 3 7 6 5" xfId="22631" xr:uid="{00000000-0005-0000-0000-000048580000}"/>
    <cellStyle name="Calculation 16 3 7 6 6" xfId="22632" xr:uid="{00000000-0005-0000-0000-000049580000}"/>
    <cellStyle name="Calculation 16 3 7 7" xfId="22633" xr:uid="{00000000-0005-0000-0000-00004A580000}"/>
    <cellStyle name="Calculation 16 3 7 7 2" xfId="22634" xr:uid="{00000000-0005-0000-0000-00004B580000}"/>
    <cellStyle name="Calculation 16 3 7 7 3" xfId="22635" xr:uid="{00000000-0005-0000-0000-00004C580000}"/>
    <cellStyle name="Calculation 16 3 7 7 4" xfId="22636" xr:uid="{00000000-0005-0000-0000-00004D580000}"/>
    <cellStyle name="Calculation 16 3 7 7 5" xfId="22637" xr:uid="{00000000-0005-0000-0000-00004E580000}"/>
    <cellStyle name="Calculation 16 3 7 7 6" xfId="22638" xr:uid="{00000000-0005-0000-0000-00004F580000}"/>
    <cellStyle name="Calculation 16 3 7 8" xfId="22639" xr:uid="{00000000-0005-0000-0000-000050580000}"/>
    <cellStyle name="Calculation 16 3 7 9" xfId="22640" xr:uid="{00000000-0005-0000-0000-000051580000}"/>
    <cellStyle name="Calculation 16 3 8" xfId="22641" xr:uid="{00000000-0005-0000-0000-000052580000}"/>
    <cellStyle name="Calculation 16 3 8 10" xfId="22642" xr:uid="{00000000-0005-0000-0000-000053580000}"/>
    <cellStyle name="Calculation 16 3 8 2" xfId="22643" xr:uid="{00000000-0005-0000-0000-000054580000}"/>
    <cellStyle name="Calculation 16 3 8 2 2" xfId="22644" xr:uid="{00000000-0005-0000-0000-000055580000}"/>
    <cellStyle name="Calculation 16 3 8 2 3" xfId="22645" xr:uid="{00000000-0005-0000-0000-000056580000}"/>
    <cellStyle name="Calculation 16 3 8 2 4" xfId="22646" xr:uid="{00000000-0005-0000-0000-000057580000}"/>
    <cellStyle name="Calculation 16 3 8 2 5" xfId="22647" xr:uid="{00000000-0005-0000-0000-000058580000}"/>
    <cellStyle name="Calculation 16 3 8 2 6" xfId="22648" xr:uid="{00000000-0005-0000-0000-000059580000}"/>
    <cellStyle name="Calculation 16 3 8 3" xfId="22649" xr:uid="{00000000-0005-0000-0000-00005A580000}"/>
    <cellStyle name="Calculation 16 3 8 3 2" xfId="22650" xr:uid="{00000000-0005-0000-0000-00005B580000}"/>
    <cellStyle name="Calculation 16 3 8 3 3" xfId="22651" xr:uid="{00000000-0005-0000-0000-00005C580000}"/>
    <cellStyle name="Calculation 16 3 8 3 4" xfId="22652" xr:uid="{00000000-0005-0000-0000-00005D580000}"/>
    <cellStyle name="Calculation 16 3 8 3 5" xfId="22653" xr:uid="{00000000-0005-0000-0000-00005E580000}"/>
    <cellStyle name="Calculation 16 3 8 3 6" xfId="22654" xr:uid="{00000000-0005-0000-0000-00005F580000}"/>
    <cellStyle name="Calculation 16 3 8 4" xfId="22655" xr:uid="{00000000-0005-0000-0000-000060580000}"/>
    <cellStyle name="Calculation 16 3 8 4 2" xfId="22656" xr:uid="{00000000-0005-0000-0000-000061580000}"/>
    <cellStyle name="Calculation 16 3 8 4 3" xfId="22657" xr:uid="{00000000-0005-0000-0000-000062580000}"/>
    <cellStyle name="Calculation 16 3 8 4 4" xfId="22658" xr:uid="{00000000-0005-0000-0000-000063580000}"/>
    <cellStyle name="Calculation 16 3 8 4 5" xfId="22659" xr:uid="{00000000-0005-0000-0000-000064580000}"/>
    <cellStyle name="Calculation 16 3 8 4 6" xfId="22660" xr:uid="{00000000-0005-0000-0000-000065580000}"/>
    <cellStyle name="Calculation 16 3 8 5" xfId="22661" xr:uid="{00000000-0005-0000-0000-000066580000}"/>
    <cellStyle name="Calculation 16 3 8 5 2" xfId="22662" xr:uid="{00000000-0005-0000-0000-000067580000}"/>
    <cellStyle name="Calculation 16 3 8 5 3" xfId="22663" xr:uid="{00000000-0005-0000-0000-000068580000}"/>
    <cellStyle name="Calculation 16 3 8 5 4" xfId="22664" xr:uid="{00000000-0005-0000-0000-000069580000}"/>
    <cellStyle name="Calculation 16 3 8 5 5" xfId="22665" xr:uid="{00000000-0005-0000-0000-00006A580000}"/>
    <cellStyle name="Calculation 16 3 8 5 6" xfId="22666" xr:uid="{00000000-0005-0000-0000-00006B580000}"/>
    <cellStyle name="Calculation 16 3 8 6" xfId="22667" xr:uid="{00000000-0005-0000-0000-00006C580000}"/>
    <cellStyle name="Calculation 16 3 8 6 2" xfId="22668" xr:uid="{00000000-0005-0000-0000-00006D580000}"/>
    <cellStyle name="Calculation 16 3 8 6 3" xfId="22669" xr:uid="{00000000-0005-0000-0000-00006E580000}"/>
    <cellStyle name="Calculation 16 3 8 6 4" xfId="22670" xr:uid="{00000000-0005-0000-0000-00006F580000}"/>
    <cellStyle name="Calculation 16 3 8 6 5" xfId="22671" xr:uid="{00000000-0005-0000-0000-000070580000}"/>
    <cellStyle name="Calculation 16 3 8 6 6" xfId="22672" xr:uid="{00000000-0005-0000-0000-000071580000}"/>
    <cellStyle name="Calculation 16 3 8 7" xfId="22673" xr:uid="{00000000-0005-0000-0000-000072580000}"/>
    <cellStyle name="Calculation 16 3 8 7 2" xfId="22674" xr:uid="{00000000-0005-0000-0000-000073580000}"/>
    <cellStyle name="Calculation 16 3 8 7 3" xfId="22675" xr:uid="{00000000-0005-0000-0000-000074580000}"/>
    <cellStyle name="Calculation 16 3 8 7 4" xfId="22676" xr:uid="{00000000-0005-0000-0000-000075580000}"/>
    <cellStyle name="Calculation 16 3 8 7 5" xfId="22677" xr:uid="{00000000-0005-0000-0000-000076580000}"/>
    <cellStyle name="Calculation 16 3 8 7 6" xfId="22678" xr:uid="{00000000-0005-0000-0000-000077580000}"/>
    <cellStyle name="Calculation 16 3 8 8" xfId="22679" xr:uid="{00000000-0005-0000-0000-000078580000}"/>
    <cellStyle name="Calculation 16 3 8 9" xfId="22680" xr:uid="{00000000-0005-0000-0000-000079580000}"/>
    <cellStyle name="Calculation 16 3 9" xfId="22681" xr:uid="{00000000-0005-0000-0000-00007A580000}"/>
    <cellStyle name="Calculation 16 3 9 10" xfId="22682" xr:uid="{00000000-0005-0000-0000-00007B580000}"/>
    <cellStyle name="Calculation 16 3 9 2" xfId="22683" xr:uid="{00000000-0005-0000-0000-00007C580000}"/>
    <cellStyle name="Calculation 16 3 9 2 2" xfId="22684" xr:uid="{00000000-0005-0000-0000-00007D580000}"/>
    <cellStyle name="Calculation 16 3 9 2 3" xfId="22685" xr:uid="{00000000-0005-0000-0000-00007E580000}"/>
    <cellStyle name="Calculation 16 3 9 2 4" xfId="22686" xr:uid="{00000000-0005-0000-0000-00007F580000}"/>
    <cellStyle name="Calculation 16 3 9 2 5" xfId="22687" xr:uid="{00000000-0005-0000-0000-000080580000}"/>
    <cellStyle name="Calculation 16 3 9 2 6" xfId="22688" xr:uid="{00000000-0005-0000-0000-000081580000}"/>
    <cellStyle name="Calculation 16 3 9 3" xfId="22689" xr:uid="{00000000-0005-0000-0000-000082580000}"/>
    <cellStyle name="Calculation 16 3 9 3 2" xfId="22690" xr:uid="{00000000-0005-0000-0000-000083580000}"/>
    <cellStyle name="Calculation 16 3 9 3 3" xfId="22691" xr:uid="{00000000-0005-0000-0000-000084580000}"/>
    <cellStyle name="Calculation 16 3 9 3 4" xfId="22692" xr:uid="{00000000-0005-0000-0000-000085580000}"/>
    <cellStyle name="Calculation 16 3 9 3 5" xfId="22693" xr:uid="{00000000-0005-0000-0000-000086580000}"/>
    <cellStyle name="Calculation 16 3 9 3 6" xfId="22694" xr:uid="{00000000-0005-0000-0000-000087580000}"/>
    <cellStyle name="Calculation 16 3 9 4" xfId="22695" xr:uid="{00000000-0005-0000-0000-000088580000}"/>
    <cellStyle name="Calculation 16 3 9 4 2" xfId="22696" xr:uid="{00000000-0005-0000-0000-000089580000}"/>
    <cellStyle name="Calculation 16 3 9 4 3" xfId="22697" xr:uid="{00000000-0005-0000-0000-00008A580000}"/>
    <cellStyle name="Calculation 16 3 9 4 4" xfId="22698" xr:uid="{00000000-0005-0000-0000-00008B580000}"/>
    <cellStyle name="Calculation 16 3 9 4 5" xfId="22699" xr:uid="{00000000-0005-0000-0000-00008C580000}"/>
    <cellStyle name="Calculation 16 3 9 4 6" xfId="22700" xr:uid="{00000000-0005-0000-0000-00008D580000}"/>
    <cellStyle name="Calculation 16 3 9 5" xfId="22701" xr:uid="{00000000-0005-0000-0000-00008E580000}"/>
    <cellStyle name="Calculation 16 3 9 5 2" xfId="22702" xr:uid="{00000000-0005-0000-0000-00008F580000}"/>
    <cellStyle name="Calculation 16 3 9 5 3" xfId="22703" xr:uid="{00000000-0005-0000-0000-000090580000}"/>
    <cellStyle name="Calculation 16 3 9 5 4" xfId="22704" xr:uid="{00000000-0005-0000-0000-000091580000}"/>
    <cellStyle name="Calculation 16 3 9 5 5" xfId="22705" xr:uid="{00000000-0005-0000-0000-000092580000}"/>
    <cellStyle name="Calculation 16 3 9 5 6" xfId="22706" xr:uid="{00000000-0005-0000-0000-000093580000}"/>
    <cellStyle name="Calculation 16 3 9 6" xfId="22707" xr:uid="{00000000-0005-0000-0000-000094580000}"/>
    <cellStyle name="Calculation 16 3 9 6 2" xfId="22708" xr:uid="{00000000-0005-0000-0000-000095580000}"/>
    <cellStyle name="Calculation 16 3 9 6 3" xfId="22709" xr:uid="{00000000-0005-0000-0000-000096580000}"/>
    <cellStyle name="Calculation 16 3 9 6 4" xfId="22710" xr:uid="{00000000-0005-0000-0000-000097580000}"/>
    <cellStyle name="Calculation 16 3 9 6 5" xfId="22711" xr:uid="{00000000-0005-0000-0000-000098580000}"/>
    <cellStyle name="Calculation 16 3 9 6 6" xfId="22712" xr:uid="{00000000-0005-0000-0000-000099580000}"/>
    <cellStyle name="Calculation 16 3 9 7" xfId="22713" xr:uid="{00000000-0005-0000-0000-00009A580000}"/>
    <cellStyle name="Calculation 16 3 9 7 2" xfId="22714" xr:uid="{00000000-0005-0000-0000-00009B580000}"/>
    <cellStyle name="Calculation 16 3 9 7 3" xfId="22715" xr:uid="{00000000-0005-0000-0000-00009C580000}"/>
    <cellStyle name="Calculation 16 3 9 7 4" xfId="22716" xr:uid="{00000000-0005-0000-0000-00009D580000}"/>
    <cellStyle name="Calculation 16 3 9 7 5" xfId="22717" xr:uid="{00000000-0005-0000-0000-00009E580000}"/>
    <cellStyle name="Calculation 16 3 9 7 6" xfId="22718" xr:uid="{00000000-0005-0000-0000-00009F580000}"/>
    <cellStyle name="Calculation 16 3 9 8" xfId="22719" xr:uid="{00000000-0005-0000-0000-0000A0580000}"/>
    <cellStyle name="Calculation 16 3 9 9" xfId="22720" xr:uid="{00000000-0005-0000-0000-0000A1580000}"/>
    <cellStyle name="Calculation 16 30" xfId="22721" xr:uid="{00000000-0005-0000-0000-0000A2580000}"/>
    <cellStyle name="Calculation 16 30 2" xfId="22722" xr:uid="{00000000-0005-0000-0000-0000A3580000}"/>
    <cellStyle name="Calculation 16 30 3" xfId="22723" xr:uid="{00000000-0005-0000-0000-0000A4580000}"/>
    <cellStyle name="Calculation 16 30 4" xfId="22724" xr:uid="{00000000-0005-0000-0000-0000A5580000}"/>
    <cellStyle name="Calculation 16 30 5" xfId="22725" xr:uid="{00000000-0005-0000-0000-0000A6580000}"/>
    <cellStyle name="Calculation 16 30 6" xfId="22726" xr:uid="{00000000-0005-0000-0000-0000A7580000}"/>
    <cellStyle name="Calculation 16 31" xfId="22727" xr:uid="{00000000-0005-0000-0000-0000A8580000}"/>
    <cellStyle name="Calculation 16 31 2" xfId="22728" xr:uid="{00000000-0005-0000-0000-0000A9580000}"/>
    <cellStyle name="Calculation 16 31 3" xfId="22729" xr:uid="{00000000-0005-0000-0000-0000AA580000}"/>
    <cellStyle name="Calculation 16 31 4" xfId="22730" xr:uid="{00000000-0005-0000-0000-0000AB580000}"/>
    <cellStyle name="Calculation 16 31 5" xfId="22731" xr:uid="{00000000-0005-0000-0000-0000AC580000}"/>
    <cellStyle name="Calculation 16 31 6" xfId="22732" xr:uid="{00000000-0005-0000-0000-0000AD580000}"/>
    <cellStyle name="Calculation 16 32" xfId="22733" xr:uid="{00000000-0005-0000-0000-0000AE580000}"/>
    <cellStyle name="Calculation 16 33" xfId="22734" xr:uid="{00000000-0005-0000-0000-0000AF580000}"/>
    <cellStyle name="Calculation 16 34" xfId="22735" xr:uid="{00000000-0005-0000-0000-0000B0580000}"/>
    <cellStyle name="Calculation 16 4" xfId="22736" xr:uid="{00000000-0005-0000-0000-0000B1580000}"/>
    <cellStyle name="Calculation 16 4 10" xfId="22737" xr:uid="{00000000-0005-0000-0000-0000B2580000}"/>
    <cellStyle name="Calculation 16 4 2" xfId="22738" xr:uid="{00000000-0005-0000-0000-0000B3580000}"/>
    <cellStyle name="Calculation 16 4 2 2" xfId="22739" xr:uid="{00000000-0005-0000-0000-0000B4580000}"/>
    <cellStyle name="Calculation 16 4 2 3" xfId="22740" xr:uid="{00000000-0005-0000-0000-0000B5580000}"/>
    <cellStyle name="Calculation 16 4 2 4" xfId="22741" xr:uid="{00000000-0005-0000-0000-0000B6580000}"/>
    <cellStyle name="Calculation 16 4 2 5" xfId="22742" xr:uid="{00000000-0005-0000-0000-0000B7580000}"/>
    <cellStyle name="Calculation 16 4 2 6" xfId="22743" xr:uid="{00000000-0005-0000-0000-0000B8580000}"/>
    <cellStyle name="Calculation 16 4 3" xfId="22744" xr:uid="{00000000-0005-0000-0000-0000B9580000}"/>
    <cellStyle name="Calculation 16 4 3 2" xfId="22745" xr:uid="{00000000-0005-0000-0000-0000BA580000}"/>
    <cellStyle name="Calculation 16 4 3 3" xfId="22746" xr:uid="{00000000-0005-0000-0000-0000BB580000}"/>
    <cellStyle name="Calculation 16 4 3 4" xfId="22747" xr:uid="{00000000-0005-0000-0000-0000BC580000}"/>
    <cellStyle name="Calculation 16 4 3 5" xfId="22748" xr:uid="{00000000-0005-0000-0000-0000BD580000}"/>
    <cellStyle name="Calculation 16 4 3 6" xfId="22749" xr:uid="{00000000-0005-0000-0000-0000BE580000}"/>
    <cellStyle name="Calculation 16 4 4" xfId="22750" xr:uid="{00000000-0005-0000-0000-0000BF580000}"/>
    <cellStyle name="Calculation 16 4 4 2" xfId="22751" xr:uid="{00000000-0005-0000-0000-0000C0580000}"/>
    <cellStyle name="Calculation 16 4 4 3" xfId="22752" xr:uid="{00000000-0005-0000-0000-0000C1580000}"/>
    <cellStyle name="Calculation 16 4 4 4" xfId="22753" xr:uid="{00000000-0005-0000-0000-0000C2580000}"/>
    <cellStyle name="Calculation 16 4 4 5" xfId="22754" xr:uid="{00000000-0005-0000-0000-0000C3580000}"/>
    <cellStyle name="Calculation 16 4 4 6" xfId="22755" xr:uid="{00000000-0005-0000-0000-0000C4580000}"/>
    <cellStyle name="Calculation 16 4 5" xfId="22756" xr:uid="{00000000-0005-0000-0000-0000C5580000}"/>
    <cellStyle name="Calculation 16 4 5 2" xfId="22757" xr:uid="{00000000-0005-0000-0000-0000C6580000}"/>
    <cellStyle name="Calculation 16 4 5 3" xfId="22758" xr:uid="{00000000-0005-0000-0000-0000C7580000}"/>
    <cellStyle name="Calculation 16 4 5 4" xfId="22759" xr:uid="{00000000-0005-0000-0000-0000C8580000}"/>
    <cellStyle name="Calculation 16 4 5 5" xfId="22760" xr:uid="{00000000-0005-0000-0000-0000C9580000}"/>
    <cellStyle name="Calculation 16 4 5 6" xfId="22761" xr:uid="{00000000-0005-0000-0000-0000CA580000}"/>
    <cellStyle name="Calculation 16 4 6" xfId="22762" xr:uid="{00000000-0005-0000-0000-0000CB580000}"/>
    <cellStyle name="Calculation 16 4 6 2" xfId="22763" xr:uid="{00000000-0005-0000-0000-0000CC580000}"/>
    <cellStyle name="Calculation 16 4 6 3" xfId="22764" xr:uid="{00000000-0005-0000-0000-0000CD580000}"/>
    <cellStyle name="Calculation 16 4 6 4" xfId="22765" xr:uid="{00000000-0005-0000-0000-0000CE580000}"/>
    <cellStyle name="Calculation 16 4 6 5" xfId="22766" xr:uid="{00000000-0005-0000-0000-0000CF580000}"/>
    <cellStyle name="Calculation 16 4 6 6" xfId="22767" xr:uid="{00000000-0005-0000-0000-0000D0580000}"/>
    <cellStyle name="Calculation 16 4 7" xfId="22768" xr:uid="{00000000-0005-0000-0000-0000D1580000}"/>
    <cellStyle name="Calculation 16 4 7 2" xfId="22769" xr:uid="{00000000-0005-0000-0000-0000D2580000}"/>
    <cellStyle name="Calculation 16 4 7 3" xfId="22770" xr:uid="{00000000-0005-0000-0000-0000D3580000}"/>
    <cellStyle name="Calculation 16 4 7 4" xfId="22771" xr:uid="{00000000-0005-0000-0000-0000D4580000}"/>
    <cellStyle name="Calculation 16 4 7 5" xfId="22772" xr:uid="{00000000-0005-0000-0000-0000D5580000}"/>
    <cellStyle name="Calculation 16 4 7 6" xfId="22773" xr:uid="{00000000-0005-0000-0000-0000D6580000}"/>
    <cellStyle name="Calculation 16 4 8" xfId="22774" xr:uid="{00000000-0005-0000-0000-0000D7580000}"/>
    <cellStyle name="Calculation 16 4 9" xfId="22775" xr:uid="{00000000-0005-0000-0000-0000D8580000}"/>
    <cellStyle name="Calculation 16 5" xfId="22776" xr:uid="{00000000-0005-0000-0000-0000D9580000}"/>
    <cellStyle name="Calculation 16 5 10" xfId="22777" xr:uid="{00000000-0005-0000-0000-0000DA580000}"/>
    <cellStyle name="Calculation 16 5 2" xfId="22778" xr:uid="{00000000-0005-0000-0000-0000DB580000}"/>
    <cellStyle name="Calculation 16 5 2 2" xfId="22779" xr:uid="{00000000-0005-0000-0000-0000DC580000}"/>
    <cellStyle name="Calculation 16 5 2 3" xfId="22780" xr:uid="{00000000-0005-0000-0000-0000DD580000}"/>
    <cellStyle name="Calculation 16 5 2 4" xfId="22781" xr:uid="{00000000-0005-0000-0000-0000DE580000}"/>
    <cellStyle name="Calculation 16 5 2 5" xfId="22782" xr:uid="{00000000-0005-0000-0000-0000DF580000}"/>
    <cellStyle name="Calculation 16 5 2 6" xfId="22783" xr:uid="{00000000-0005-0000-0000-0000E0580000}"/>
    <cellStyle name="Calculation 16 5 3" xfId="22784" xr:uid="{00000000-0005-0000-0000-0000E1580000}"/>
    <cellStyle name="Calculation 16 5 3 2" xfId="22785" xr:uid="{00000000-0005-0000-0000-0000E2580000}"/>
    <cellStyle name="Calculation 16 5 3 3" xfId="22786" xr:uid="{00000000-0005-0000-0000-0000E3580000}"/>
    <cellStyle name="Calculation 16 5 3 4" xfId="22787" xr:uid="{00000000-0005-0000-0000-0000E4580000}"/>
    <cellStyle name="Calculation 16 5 3 5" xfId="22788" xr:uid="{00000000-0005-0000-0000-0000E5580000}"/>
    <cellStyle name="Calculation 16 5 3 6" xfId="22789" xr:uid="{00000000-0005-0000-0000-0000E6580000}"/>
    <cellStyle name="Calculation 16 5 4" xfId="22790" xr:uid="{00000000-0005-0000-0000-0000E7580000}"/>
    <cellStyle name="Calculation 16 5 4 2" xfId="22791" xr:uid="{00000000-0005-0000-0000-0000E8580000}"/>
    <cellStyle name="Calculation 16 5 4 3" xfId="22792" xr:uid="{00000000-0005-0000-0000-0000E9580000}"/>
    <cellStyle name="Calculation 16 5 4 4" xfId="22793" xr:uid="{00000000-0005-0000-0000-0000EA580000}"/>
    <cellStyle name="Calculation 16 5 4 5" xfId="22794" xr:uid="{00000000-0005-0000-0000-0000EB580000}"/>
    <cellStyle name="Calculation 16 5 4 6" xfId="22795" xr:uid="{00000000-0005-0000-0000-0000EC580000}"/>
    <cellStyle name="Calculation 16 5 5" xfId="22796" xr:uid="{00000000-0005-0000-0000-0000ED580000}"/>
    <cellStyle name="Calculation 16 5 5 2" xfId="22797" xr:uid="{00000000-0005-0000-0000-0000EE580000}"/>
    <cellStyle name="Calculation 16 5 5 3" xfId="22798" xr:uid="{00000000-0005-0000-0000-0000EF580000}"/>
    <cellStyle name="Calculation 16 5 5 4" xfId="22799" xr:uid="{00000000-0005-0000-0000-0000F0580000}"/>
    <cellStyle name="Calculation 16 5 5 5" xfId="22800" xr:uid="{00000000-0005-0000-0000-0000F1580000}"/>
    <cellStyle name="Calculation 16 5 5 6" xfId="22801" xr:uid="{00000000-0005-0000-0000-0000F2580000}"/>
    <cellStyle name="Calculation 16 5 6" xfId="22802" xr:uid="{00000000-0005-0000-0000-0000F3580000}"/>
    <cellStyle name="Calculation 16 5 6 2" xfId="22803" xr:uid="{00000000-0005-0000-0000-0000F4580000}"/>
    <cellStyle name="Calculation 16 5 6 3" xfId="22804" xr:uid="{00000000-0005-0000-0000-0000F5580000}"/>
    <cellStyle name="Calculation 16 5 6 4" xfId="22805" xr:uid="{00000000-0005-0000-0000-0000F6580000}"/>
    <cellStyle name="Calculation 16 5 6 5" xfId="22806" xr:uid="{00000000-0005-0000-0000-0000F7580000}"/>
    <cellStyle name="Calculation 16 5 6 6" xfId="22807" xr:uid="{00000000-0005-0000-0000-0000F8580000}"/>
    <cellStyle name="Calculation 16 5 7" xfId="22808" xr:uid="{00000000-0005-0000-0000-0000F9580000}"/>
    <cellStyle name="Calculation 16 5 7 2" xfId="22809" xr:uid="{00000000-0005-0000-0000-0000FA580000}"/>
    <cellStyle name="Calculation 16 5 7 3" xfId="22810" xr:uid="{00000000-0005-0000-0000-0000FB580000}"/>
    <cellStyle name="Calculation 16 5 7 4" xfId="22811" xr:uid="{00000000-0005-0000-0000-0000FC580000}"/>
    <cellStyle name="Calculation 16 5 7 5" xfId="22812" xr:uid="{00000000-0005-0000-0000-0000FD580000}"/>
    <cellStyle name="Calculation 16 5 7 6" xfId="22813" xr:uid="{00000000-0005-0000-0000-0000FE580000}"/>
    <cellStyle name="Calculation 16 5 8" xfId="22814" xr:uid="{00000000-0005-0000-0000-0000FF580000}"/>
    <cellStyle name="Calculation 16 5 9" xfId="22815" xr:uid="{00000000-0005-0000-0000-000000590000}"/>
    <cellStyle name="Calculation 16 6" xfId="22816" xr:uid="{00000000-0005-0000-0000-000001590000}"/>
    <cellStyle name="Calculation 16 6 10" xfId="22817" xr:uid="{00000000-0005-0000-0000-000002590000}"/>
    <cellStyle name="Calculation 16 6 2" xfId="22818" xr:uid="{00000000-0005-0000-0000-000003590000}"/>
    <cellStyle name="Calculation 16 6 2 2" xfId="22819" xr:uid="{00000000-0005-0000-0000-000004590000}"/>
    <cellStyle name="Calculation 16 6 2 3" xfId="22820" xr:uid="{00000000-0005-0000-0000-000005590000}"/>
    <cellStyle name="Calculation 16 6 2 4" xfId="22821" xr:uid="{00000000-0005-0000-0000-000006590000}"/>
    <cellStyle name="Calculation 16 6 2 5" xfId="22822" xr:uid="{00000000-0005-0000-0000-000007590000}"/>
    <cellStyle name="Calculation 16 6 2 6" xfId="22823" xr:uid="{00000000-0005-0000-0000-000008590000}"/>
    <cellStyle name="Calculation 16 6 3" xfId="22824" xr:uid="{00000000-0005-0000-0000-000009590000}"/>
    <cellStyle name="Calculation 16 6 3 2" xfId="22825" xr:uid="{00000000-0005-0000-0000-00000A590000}"/>
    <cellStyle name="Calculation 16 6 3 3" xfId="22826" xr:uid="{00000000-0005-0000-0000-00000B590000}"/>
    <cellStyle name="Calculation 16 6 3 4" xfId="22827" xr:uid="{00000000-0005-0000-0000-00000C590000}"/>
    <cellStyle name="Calculation 16 6 3 5" xfId="22828" xr:uid="{00000000-0005-0000-0000-00000D590000}"/>
    <cellStyle name="Calculation 16 6 3 6" xfId="22829" xr:uid="{00000000-0005-0000-0000-00000E590000}"/>
    <cellStyle name="Calculation 16 6 4" xfId="22830" xr:uid="{00000000-0005-0000-0000-00000F590000}"/>
    <cellStyle name="Calculation 16 6 4 2" xfId="22831" xr:uid="{00000000-0005-0000-0000-000010590000}"/>
    <cellStyle name="Calculation 16 6 4 3" xfId="22832" xr:uid="{00000000-0005-0000-0000-000011590000}"/>
    <cellStyle name="Calculation 16 6 4 4" xfId="22833" xr:uid="{00000000-0005-0000-0000-000012590000}"/>
    <cellStyle name="Calculation 16 6 4 5" xfId="22834" xr:uid="{00000000-0005-0000-0000-000013590000}"/>
    <cellStyle name="Calculation 16 6 4 6" xfId="22835" xr:uid="{00000000-0005-0000-0000-000014590000}"/>
    <cellStyle name="Calculation 16 6 5" xfId="22836" xr:uid="{00000000-0005-0000-0000-000015590000}"/>
    <cellStyle name="Calculation 16 6 5 2" xfId="22837" xr:uid="{00000000-0005-0000-0000-000016590000}"/>
    <cellStyle name="Calculation 16 6 5 3" xfId="22838" xr:uid="{00000000-0005-0000-0000-000017590000}"/>
    <cellStyle name="Calculation 16 6 5 4" xfId="22839" xr:uid="{00000000-0005-0000-0000-000018590000}"/>
    <cellStyle name="Calculation 16 6 5 5" xfId="22840" xr:uid="{00000000-0005-0000-0000-000019590000}"/>
    <cellStyle name="Calculation 16 6 5 6" xfId="22841" xr:uid="{00000000-0005-0000-0000-00001A590000}"/>
    <cellStyle name="Calculation 16 6 6" xfId="22842" xr:uid="{00000000-0005-0000-0000-00001B590000}"/>
    <cellStyle name="Calculation 16 6 6 2" xfId="22843" xr:uid="{00000000-0005-0000-0000-00001C590000}"/>
    <cellStyle name="Calculation 16 6 6 3" xfId="22844" xr:uid="{00000000-0005-0000-0000-00001D590000}"/>
    <cellStyle name="Calculation 16 6 6 4" xfId="22845" xr:uid="{00000000-0005-0000-0000-00001E590000}"/>
    <cellStyle name="Calculation 16 6 6 5" xfId="22846" xr:uid="{00000000-0005-0000-0000-00001F590000}"/>
    <cellStyle name="Calculation 16 6 6 6" xfId="22847" xr:uid="{00000000-0005-0000-0000-000020590000}"/>
    <cellStyle name="Calculation 16 6 7" xfId="22848" xr:uid="{00000000-0005-0000-0000-000021590000}"/>
    <cellStyle name="Calculation 16 6 7 2" xfId="22849" xr:uid="{00000000-0005-0000-0000-000022590000}"/>
    <cellStyle name="Calculation 16 6 7 3" xfId="22850" xr:uid="{00000000-0005-0000-0000-000023590000}"/>
    <cellStyle name="Calculation 16 6 7 4" xfId="22851" xr:uid="{00000000-0005-0000-0000-000024590000}"/>
    <cellStyle name="Calculation 16 6 7 5" xfId="22852" xr:uid="{00000000-0005-0000-0000-000025590000}"/>
    <cellStyle name="Calculation 16 6 7 6" xfId="22853" xr:uid="{00000000-0005-0000-0000-000026590000}"/>
    <cellStyle name="Calculation 16 6 8" xfId="22854" xr:uid="{00000000-0005-0000-0000-000027590000}"/>
    <cellStyle name="Calculation 16 6 9" xfId="22855" xr:uid="{00000000-0005-0000-0000-000028590000}"/>
    <cellStyle name="Calculation 16 7" xfId="22856" xr:uid="{00000000-0005-0000-0000-000029590000}"/>
    <cellStyle name="Calculation 16 7 10" xfId="22857" xr:uid="{00000000-0005-0000-0000-00002A590000}"/>
    <cellStyle name="Calculation 16 7 2" xfId="22858" xr:uid="{00000000-0005-0000-0000-00002B590000}"/>
    <cellStyle name="Calculation 16 7 2 2" xfId="22859" xr:uid="{00000000-0005-0000-0000-00002C590000}"/>
    <cellStyle name="Calculation 16 7 2 3" xfId="22860" xr:uid="{00000000-0005-0000-0000-00002D590000}"/>
    <cellStyle name="Calculation 16 7 2 4" xfId="22861" xr:uid="{00000000-0005-0000-0000-00002E590000}"/>
    <cellStyle name="Calculation 16 7 2 5" xfId="22862" xr:uid="{00000000-0005-0000-0000-00002F590000}"/>
    <cellStyle name="Calculation 16 7 2 6" xfId="22863" xr:uid="{00000000-0005-0000-0000-000030590000}"/>
    <cellStyle name="Calculation 16 7 3" xfId="22864" xr:uid="{00000000-0005-0000-0000-000031590000}"/>
    <cellStyle name="Calculation 16 7 3 2" xfId="22865" xr:uid="{00000000-0005-0000-0000-000032590000}"/>
    <cellStyle name="Calculation 16 7 3 3" xfId="22866" xr:uid="{00000000-0005-0000-0000-000033590000}"/>
    <cellStyle name="Calculation 16 7 3 4" xfId="22867" xr:uid="{00000000-0005-0000-0000-000034590000}"/>
    <cellStyle name="Calculation 16 7 3 5" xfId="22868" xr:uid="{00000000-0005-0000-0000-000035590000}"/>
    <cellStyle name="Calculation 16 7 3 6" xfId="22869" xr:uid="{00000000-0005-0000-0000-000036590000}"/>
    <cellStyle name="Calculation 16 7 4" xfId="22870" xr:uid="{00000000-0005-0000-0000-000037590000}"/>
    <cellStyle name="Calculation 16 7 4 2" xfId="22871" xr:uid="{00000000-0005-0000-0000-000038590000}"/>
    <cellStyle name="Calculation 16 7 4 3" xfId="22872" xr:uid="{00000000-0005-0000-0000-000039590000}"/>
    <cellStyle name="Calculation 16 7 4 4" xfId="22873" xr:uid="{00000000-0005-0000-0000-00003A590000}"/>
    <cellStyle name="Calculation 16 7 4 5" xfId="22874" xr:uid="{00000000-0005-0000-0000-00003B590000}"/>
    <cellStyle name="Calculation 16 7 4 6" xfId="22875" xr:uid="{00000000-0005-0000-0000-00003C590000}"/>
    <cellStyle name="Calculation 16 7 5" xfId="22876" xr:uid="{00000000-0005-0000-0000-00003D590000}"/>
    <cellStyle name="Calculation 16 7 5 2" xfId="22877" xr:uid="{00000000-0005-0000-0000-00003E590000}"/>
    <cellStyle name="Calculation 16 7 5 3" xfId="22878" xr:uid="{00000000-0005-0000-0000-00003F590000}"/>
    <cellStyle name="Calculation 16 7 5 4" xfId="22879" xr:uid="{00000000-0005-0000-0000-000040590000}"/>
    <cellStyle name="Calculation 16 7 5 5" xfId="22880" xr:uid="{00000000-0005-0000-0000-000041590000}"/>
    <cellStyle name="Calculation 16 7 5 6" xfId="22881" xr:uid="{00000000-0005-0000-0000-000042590000}"/>
    <cellStyle name="Calculation 16 7 6" xfId="22882" xr:uid="{00000000-0005-0000-0000-000043590000}"/>
    <cellStyle name="Calculation 16 7 6 2" xfId="22883" xr:uid="{00000000-0005-0000-0000-000044590000}"/>
    <cellStyle name="Calculation 16 7 6 3" xfId="22884" xr:uid="{00000000-0005-0000-0000-000045590000}"/>
    <cellStyle name="Calculation 16 7 6 4" xfId="22885" xr:uid="{00000000-0005-0000-0000-000046590000}"/>
    <cellStyle name="Calculation 16 7 6 5" xfId="22886" xr:uid="{00000000-0005-0000-0000-000047590000}"/>
    <cellStyle name="Calculation 16 7 6 6" xfId="22887" xr:uid="{00000000-0005-0000-0000-000048590000}"/>
    <cellStyle name="Calculation 16 7 7" xfId="22888" xr:uid="{00000000-0005-0000-0000-000049590000}"/>
    <cellStyle name="Calculation 16 7 7 2" xfId="22889" xr:uid="{00000000-0005-0000-0000-00004A590000}"/>
    <cellStyle name="Calculation 16 7 7 3" xfId="22890" xr:uid="{00000000-0005-0000-0000-00004B590000}"/>
    <cellStyle name="Calculation 16 7 7 4" xfId="22891" xr:uid="{00000000-0005-0000-0000-00004C590000}"/>
    <cellStyle name="Calculation 16 7 7 5" xfId="22892" xr:uid="{00000000-0005-0000-0000-00004D590000}"/>
    <cellStyle name="Calculation 16 7 7 6" xfId="22893" xr:uid="{00000000-0005-0000-0000-00004E590000}"/>
    <cellStyle name="Calculation 16 7 8" xfId="22894" xr:uid="{00000000-0005-0000-0000-00004F590000}"/>
    <cellStyle name="Calculation 16 7 9" xfId="22895" xr:uid="{00000000-0005-0000-0000-000050590000}"/>
    <cellStyle name="Calculation 16 8" xfId="22896" xr:uid="{00000000-0005-0000-0000-000051590000}"/>
    <cellStyle name="Calculation 16 8 10" xfId="22897" xr:uid="{00000000-0005-0000-0000-000052590000}"/>
    <cellStyle name="Calculation 16 8 2" xfId="22898" xr:uid="{00000000-0005-0000-0000-000053590000}"/>
    <cellStyle name="Calculation 16 8 2 2" xfId="22899" xr:uid="{00000000-0005-0000-0000-000054590000}"/>
    <cellStyle name="Calculation 16 8 2 3" xfId="22900" xr:uid="{00000000-0005-0000-0000-000055590000}"/>
    <cellStyle name="Calculation 16 8 2 4" xfId="22901" xr:uid="{00000000-0005-0000-0000-000056590000}"/>
    <cellStyle name="Calculation 16 8 2 5" xfId="22902" xr:uid="{00000000-0005-0000-0000-000057590000}"/>
    <cellStyle name="Calculation 16 8 2 6" xfId="22903" xr:uid="{00000000-0005-0000-0000-000058590000}"/>
    <cellStyle name="Calculation 16 8 3" xfId="22904" xr:uid="{00000000-0005-0000-0000-000059590000}"/>
    <cellStyle name="Calculation 16 8 3 2" xfId="22905" xr:uid="{00000000-0005-0000-0000-00005A590000}"/>
    <cellStyle name="Calculation 16 8 3 3" xfId="22906" xr:uid="{00000000-0005-0000-0000-00005B590000}"/>
    <cellStyle name="Calculation 16 8 3 4" xfId="22907" xr:uid="{00000000-0005-0000-0000-00005C590000}"/>
    <cellStyle name="Calculation 16 8 3 5" xfId="22908" xr:uid="{00000000-0005-0000-0000-00005D590000}"/>
    <cellStyle name="Calculation 16 8 3 6" xfId="22909" xr:uid="{00000000-0005-0000-0000-00005E590000}"/>
    <cellStyle name="Calculation 16 8 4" xfId="22910" xr:uid="{00000000-0005-0000-0000-00005F590000}"/>
    <cellStyle name="Calculation 16 8 4 2" xfId="22911" xr:uid="{00000000-0005-0000-0000-000060590000}"/>
    <cellStyle name="Calculation 16 8 4 3" xfId="22912" xr:uid="{00000000-0005-0000-0000-000061590000}"/>
    <cellStyle name="Calculation 16 8 4 4" xfId="22913" xr:uid="{00000000-0005-0000-0000-000062590000}"/>
    <cellStyle name="Calculation 16 8 4 5" xfId="22914" xr:uid="{00000000-0005-0000-0000-000063590000}"/>
    <cellStyle name="Calculation 16 8 4 6" xfId="22915" xr:uid="{00000000-0005-0000-0000-000064590000}"/>
    <cellStyle name="Calculation 16 8 5" xfId="22916" xr:uid="{00000000-0005-0000-0000-000065590000}"/>
    <cellStyle name="Calculation 16 8 5 2" xfId="22917" xr:uid="{00000000-0005-0000-0000-000066590000}"/>
    <cellStyle name="Calculation 16 8 5 3" xfId="22918" xr:uid="{00000000-0005-0000-0000-000067590000}"/>
    <cellStyle name="Calculation 16 8 5 4" xfId="22919" xr:uid="{00000000-0005-0000-0000-000068590000}"/>
    <cellStyle name="Calculation 16 8 5 5" xfId="22920" xr:uid="{00000000-0005-0000-0000-000069590000}"/>
    <cellStyle name="Calculation 16 8 5 6" xfId="22921" xr:uid="{00000000-0005-0000-0000-00006A590000}"/>
    <cellStyle name="Calculation 16 8 6" xfId="22922" xr:uid="{00000000-0005-0000-0000-00006B590000}"/>
    <cellStyle name="Calculation 16 8 6 2" xfId="22923" xr:uid="{00000000-0005-0000-0000-00006C590000}"/>
    <cellStyle name="Calculation 16 8 6 3" xfId="22924" xr:uid="{00000000-0005-0000-0000-00006D590000}"/>
    <cellStyle name="Calculation 16 8 6 4" xfId="22925" xr:uid="{00000000-0005-0000-0000-00006E590000}"/>
    <cellStyle name="Calculation 16 8 6 5" xfId="22926" xr:uid="{00000000-0005-0000-0000-00006F590000}"/>
    <cellStyle name="Calculation 16 8 6 6" xfId="22927" xr:uid="{00000000-0005-0000-0000-000070590000}"/>
    <cellStyle name="Calculation 16 8 7" xfId="22928" xr:uid="{00000000-0005-0000-0000-000071590000}"/>
    <cellStyle name="Calculation 16 8 7 2" xfId="22929" xr:uid="{00000000-0005-0000-0000-000072590000}"/>
    <cellStyle name="Calculation 16 8 7 3" xfId="22930" xr:uid="{00000000-0005-0000-0000-000073590000}"/>
    <cellStyle name="Calculation 16 8 7 4" xfId="22931" xr:uid="{00000000-0005-0000-0000-000074590000}"/>
    <cellStyle name="Calculation 16 8 7 5" xfId="22932" xr:uid="{00000000-0005-0000-0000-000075590000}"/>
    <cellStyle name="Calculation 16 8 7 6" xfId="22933" xr:uid="{00000000-0005-0000-0000-000076590000}"/>
    <cellStyle name="Calculation 16 8 8" xfId="22934" xr:uid="{00000000-0005-0000-0000-000077590000}"/>
    <cellStyle name="Calculation 16 8 9" xfId="22935" xr:uid="{00000000-0005-0000-0000-000078590000}"/>
    <cellStyle name="Calculation 16 9" xfId="22936" xr:uid="{00000000-0005-0000-0000-000079590000}"/>
    <cellStyle name="Calculation 16 9 10" xfId="22937" xr:uid="{00000000-0005-0000-0000-00007A590000}"/>
    <cellStyle name="Calculation 16 9 2" xfId="22938" xr:uid="{00000000-0005-0000-0000-00007B590000}"/>
    <cellStyle name="Calculation 16 9 2 2" xfId="22939" xr:uid="{00000000-0005-0000-0000-00007C590000}"/>
    <cellStyle name="Calculation 16 9 2 3" xfId="22940" xr:uid="{00000000-0005-0000-0000-00007D590000}"/>
    <cellStyle name="Calculation 16 9 2 4" xfId="22941" xr:uid="{00000000-0005-0000-0000-00007E590000}"/>
    <cellStyle name="Calculation 16 9 2 5" xfId="22942" xr:uid="{00000000-0005-0000-0000-00007F590000}"/>
    <cellStyle name="Calculation 16 9 2 6" xfId="22943" xr:uid="{00000000-0005-0000-0000-000080590000}"/>
    <cellStyle name="Calculation 16 9 3" xfId="22944" xr:uid="{00000000-0005-0000-0000-000081590000}"/>
    <cellStyle name="Calculation 16 9 3 2" xfId="22945" xr:uid="{00000000-0005-0000-0000-000082590000}"/>
    <cellStyle name="Calculation 16 9 3 3" xfId="22946" xr:uid="{00000000-0005-0000-0000-000083590000}"/>
    <cellStyle name="Calculation 16 9 3 4" xfId="22947" xr:uid="{00000000-0005-0000-0000-000084590000}"/>
    <cellStyle name="Calculation 16 9 3 5" xfId="22948" xr:uid="{00000000-0005-0000-0000-000085590000}"/>
    <cellStyle name="Calculation 16 9 3 6" xfId="22949" xr:uid="{00000000-0005-0000-0000-000086590000}"/>
    <cellStyle name="Calculation 16 9 4" xfId="22950" xr:uid="{00000000-0005-0000-0000-000087590000}"/>
    <cellStyle name="Calculation 16 9 4 2" xfId="22951" xr:uid="{00000000-0005-0000-0000-000088590000}"/>
    <cellStyle name="Calculation 16 9 4 3" xfId="22952" xr:uid="{00000000-0005-0000-0000-000089590000}"/>
    <cellStyle name="Calculation 16 9 4 4" xfId="22953" xr:uid="{00000000-0005-0000-0000-00008A590000}"/>
    <cellStyle name="Calculation 16 9 4 5" xfId="22954" xr:uid="{00000000-0005-0000-0000-00008B590000}"/>
    <cellStyle name="Calculation 16 9 4 6" xfId="22955" xr:uid="{00000000-0005-0000-0000-00008C590000}"/>
    <cellStyle name="Calculation 16 9 5" xfId="22956" xr:uid="{00000000-0005-0000-0000-00008D590000}"/>
    <cellStyle name="Calculation 16 9 5 2" xfId="22957" xr:uid="{00000000-0005-0000-0000-00008E590000}"/>
    <cellStyle name="Calculation 16 9 5 3" xfId="22958" xr:uid="{00000000-0005-0000-0000-00008F590000}"/>
    <cellStyle name="Calculation 16 9 5 4" xfId="22959" xr:uid="{00000000-0005-0000-0000-000090590000}"/>
    <cellStyle name="Calculation 16 9 5 5" xfId="22960" xr:uid="{00000000-0005-0000-0000-000091590000}"/>
    <cellStyle name="Calculation 16 9 5 6" xfId="22961" xr:uid="{00000000-0005-0000-0000-000092590000}"/>
    <cellStyle name="Calculation 16 9 6" xfId="22962" xr:uid="{00000000-0005-0000-0000-000093590000}"/>
    <cellStyle name="Calculation 16 9 6 2" xfId="22963" xr:uid="{00000000-0005-0000-0000-000094590000}"/>
    <cellStyle name="Calculation 16 9 6 3" xfId="22964" xr:uid="{00000000-0005-0000-0000-000095590000}"/>
    <cellStyle name="Calculation 16 9 6 4" xfId="22965" xr:uid="{00000000-0005-0000-0000-000096590000}"/>
    <cellStyle name="Calculation 16 9 6 5" xfId="22966" xr:uid="{00000000-0005-0000-0000-000097590000}"/>
    <cellStyle name="Calculation 16 9 6 6" xfId="22967" xr:uid="{00000000-0005-0000-0000-000098590000}"/>
    <cellStyle name="Calculation 16 9 7" xfId="22968" xr:uid="{00000000-0005-0000-0000-000099590000}"/>
    <cellStyle name="Calculation 16 9 7 2" xfId="22969" xr:uid="{00000000-0005-0000-0000-00009A590000}"/>
    <cellStyle name="Calculation 16 9 7 3" xfId="22970" xr:uid="{00000000-0005-0000-0000-00009B590000}"/>
    <cellStyle name="Calculation 16 9 7 4" xfId="22971" xr:uid="{00000000-0005-0000-0000-00009C590000}"/>
    <cellStyle name="Calculation 16 9 7 5" xfId="22972" xr:uid="{00000000-0005-0000-0000-00009D590000}"/>
    <cellStyle name="Calculation 16 9 7 6" xfId="22973" xr:uid="{00000000-0005-0000-0000-00009E590000}"/>
    <cellStyle name="Calculation 16 9 8" xfId="22974" xr:uid="{00000000-0005-0000-0000-00009F590000}"/>
    <cellStyle name="Calculation 16 9 9" xfId="22975" xr:uid="{00000000-0005-0000-0000-0000A0590000}"/>
    <cellStyle name="Calculation 17" xfId="22976" xr:uid="{00000000-0005-0000-0000-0000A1590000}"/>
    <cellStyle name="Calculation 17 10" xfId="22977" xr:uid="{00000000-0005-0000-0000-0000A2590000}"/>
    <cellStyle name="Calculation 17 10 10" xfId="22978" xr:uid="{00000000-0005-0000-0000-0000A3590000}"/>
    <cellStyle name="Calculation 17 10 2" xfId="22979" xr:uid="{00000000-0005-0000-0000-0000A4590000}"/>
    <cellStyle name="Calculation 17 10 2 2" xfId="22980" xr:uid="{00000000-0005-0000-0000-0000A5590000}"/>
    <cellStyle name="Calculation 17 10 2 3" xfId="22981" xr:uid="{00000000-0005-0000-0000-0000A6590000}"/>
    <cellStyle name="Calculation 17 10 2 4" xfId="22982" xr:uid="{00000000-0005-0000-0000-0000A7590000}"/>
    <cellStyle name="Calculation 17 10 2 5" xfId="22983" xr:uid="{00000000-0005-0000-0000-0000A8590000}"/>
    <cellStyle name="Calculation 17 10 2 6" xfId="22984" xr:uid="{00000000-0005-0000-0000-0000A9590000}"/>
    <cellStyle name="Calculation 17 10 3" xfId="22985" xr:uid="{00000000-0005-0000-0000-0000AA590000}"/>
    <cellStyle name="Calculation 17 10 3 2" xfId="22986" xr:uid="{00000000-0005-0000-0000-0000AB590000}"/>
    <cellStyle name="Calculation 17 10 3 3" xfId="22987" xr:uid="{00000000-0005-0000-0000-0000AC590000}"/>
    <cellStyle name="Calculation 17 10 3 4" xfId="22988" xr:uid="{00000000-0005-0000-0000-0000AD590000}"/>
    <cellStyle name="Calculation 17 10 3 5" xfId="22989" xr:uid="{00000000-0005-0000-0000-0000AE590000}"/>
    <cellStyle name="Calculation 17 10 3 6" xfId="22990" xr:uid="{00000000-0005-0000-0000-0000AF590000}"/>
    <cellStyle name="Calculation 17 10 4" xfId="22991" xr:uid="{00000000-0005-0000-0000-0000B0590000}"/>
    <cellStyle name="Calculation 17 10 4 2" xfId="22992" xr:uid="{00000000-0005-0000-0000-0000B1590000}"/>
    <cellStyle name="Calculation 17 10 4 3" xfId="22993" xr:uid="{00000000-0005-0000-0000-0000B2590000}"/>
    <cellStyle name="Calculation 17 10 4 4" xfId="22994" xr:uid="{00000000-0005-0000-0000-0000B3590000}"/>
    <cellStyle name="Calculation 17 10 4 5" xfId="22995" xr:uid="{00000000-0005-0000-0000-0000B4590000}"/>
    <cellStyle name="Calculation 17 10 4 6" xfId="22996" xr:uid="{00000000-0005-0000-0000-0000B5590000}"/>
    <cellStyle name="Calculation 17 10 5" xfId="22997" xr:uid="{00000000-0005-0000-0000-0000B6590000}"/>
    <cellStyle name="Calculation 17 10 5 2" xfId="22998" xr:uid="{00000000-0005-0000-0000-0000B7590000}"/>
    <cellStyle name="Calculation 17 10 5 3" xfId="22999" xr:uid="{00000000-0005-0000-0000-0000B8590000}"/>
    <cellStyle name="Calculation 17 10 5 4" xfId="23000" xr:uid="{00000000-0005-0000-0000-0000B9590000}"/>
    <cellStyle name="Calculation 17 10 5 5" xfId="23001" xr:uid="{00000000-0005-0000-0000-0000BA590000}"/>
    <cellStyle name="Calculation 17 10 5 6" xfId="23002" xr:uid="{00000000-0005-0000-0000-0000BB590000}"/>
    <cellStyle name="Calculation 17 10 6" xfId="23003" xr:uid="{00000000-0005-0000-0000-0000BC590000}"/>
    <cellStyle name="Calculation 17 10 6 2" xfId="23004" xr:uid="{00000000-0005-0000-0000-0000BD590000}"/>
    <cellStyle name="Calculation 17 10 6 3" xfId="23005" xr:uid="{00000000-0005-0000-0000-0000BE590000}"/>
    <cellStyle name="Calculation 17 10 6 4" xfId="23006" xr:uid="{00000000-0005-0000-0000-0000BF590000}"/>
    <cellStyle name="Calculation 17 10 6 5" xfId="23007" xr:uid="{00000000-0005-0000-0000-0000C0590000}"/>
    <cellStyle name="Calculation 17 10 6 6" xfId="23008" xr:uid="{00000000-0005-0000-0000-0000C1590000}"/>
    <cellStyle name="Calculation 17 10 7" xfId="23009" xr:uid="{00000000-0005-0000-0000-0000C2590000}"/>
    <cellStyle name="Calculation 17 10 7 2" xfId="23010" xr:uid="{00000000-0005-0000-0000-0000C3590000}"/>
    <cellStyle name="Calculation 17 10 7 3" xfId="23011" xr:uid="{00000000-0005-0000-0000-0000C4590000}"/>
    <cellStyle name="Calculation 17 10 7 4" xfId="23012" xr:uid="{00000000-0005-0000-0000-0000C5590000}"/>
    <cellStyle name="Calculation 17 10 7 5" xfId="23013" xr:uid="{00000000-0005-0000-0000-0000C6590000}"/>
    <cellStyle name="Calculation 17 10 7 6" xfId="23014" xr:uid="{00000000-0005-0000-0000-0000C7590000}"/>
    <cellStyle name="Calculation 17 10 8" xfId="23015" xr:uid="{00000000-0005-0000-0000-0000C8590000}"/>
    <cellStyle name="Calculation 17 10 9" xfId="23016" xr:uid="{00000000-0005-0000-0000-0000C9590000}"/>
    <cellStyle name="Calculation 17 11" xfId="23017" xr:uid="{00000000-0005-0000-0000-0000CA590000}"/>
    <cellStyle name="Calculation 17 11 10" xfId="23018" xr:uid="{00000000-0005-0000-0000-0000CB590000}"/>
    <cellStyle name="Calculation 17 11 2" xfId="23019" xr:uid="{00000000-0005-0000-0000-0000CC590000}"/>
    <cellStyle name="Calculation 17 11 2 2" xfId="23020" xr:uid="{00000000-0005-0000-0000-0000CD590000}"/>
    <cellStyle name="Calculation 17 11 2 3" xfId="23021" xr:uid="{00000000-0005-0000-0000-0000CE590000}"/>
    <cellStyle name="Calculation 17 11 2 4" xfId="23022" xr:uid="{00000000-0005-0000-0000-0000CF590000}"/>
    <cellStyle name="Calculation 17 11 2 5" xfId="23023" xr:uid="{00000000-0005-0000-0000-0000D0590000}"/>
    <cellStyle name="Calculation 17 11 2 6" xfId="23024" xr:uid="{00000000-0005-0000-0000-0000D1590000}"/>
    <cellStyle name="Calculation 17 11 3" xfId="23025" xr:uid="{00000000-0005-0000-0000-0000D2590000}"/>
    <cellStyle name="Calculation 17 11 3 2" xfId="23026" xr:uid="{00000000-0005-0000-0000-0000D3590000}"/>
    <cellStyle name="Calculation 17 11 3 3" xfId="23027" xr:uid="{00000000-0005-0000-0000-0000D4590000}"/>
    <cellStyle name="Calculation 17 11 3 4" xfId="23028" xr:uid="{00000000-0005-0000-0000-0000D5590000}"/>
    <cellStyle name="Calculation 17 11 3 5" xfId="23029" xr:uid="{00000000-0005-0000-0000-0000D6590000}"/>
    <cellStyle name="Calculation 17 11 3 6" xfId="23030" xr:uid="{00000000-0005-0000-0000-0000D7590000}"/>
    <cellStyle name="Calculation 17 11 4" xfId="23031" xr:uid="{00000000-0005-0000-0000-0000D8590000}"/>
    <cellStyle name="Calculation 17 11 4 2" xfId="23032" xr:uid="{00000000-0005-0000-0000-0000D9590000}"/>
    <cellStyle name="Calculation 17 11 4 3" xfId="23033" xr:uid="{00000000-0005-0000-0000-0000DA590000}"/>
    <cellStyle name="Calculation 17 11 4 4" xfId="23034" xr:uid="{00000000-0005-0000-0000-0000DB590000}"/>
    <cellStyle name="Calculation 17 11 4 5" xfId="23035" xr:uid="{00000000-0005-0000-0000-0000DC590000}"/>
    <cellStyle name="Calculation 17 11 4 6" xfId="23036" xr:uid="{00000000-0005-0000-0000-0000DD590000}"/>
    <cellStyle name="Calculation 17 11 5" xfId="23037" xr:uid="{00000000-0005-0000-0000-0000DE590000}"/>
    <cellStyle name="Calculation 17 11 5 2" xfId="23038" xr:uid="{00000000-0005-0000-0000-0000DF590000}"/>
    <cellStyle name="Calculation 17 11 5 3" xfId="23039" xr:uid="{00000000-0005-0000-0000-0000E0590000}"/>
    <cellStyle name="Calculation 17 11 5 4" xfId="23040" xr:uid="{00000000-0005-0000-0000-0000E1590000}"/>
    <cellStyle name="Calculation 17 11 5 5" xfId="23041" xr:uid="{00000000-0005-0000-0000-0000E2590000}"/>
    <cellStyle name="Calculation 17 11 5 6" xfId="23042" xr:uid="{00000000-0005-0000-0000-0000E3590000}"/>
    <cellStyle name="Calculation 17 11 6" xfId="23043" xr:uid="{00000000-0005-0000-0000-0000E4590000}"/>
    <cellStyle name="Calculation 17 11 6 2" xfId="23044" xr:uid="{00000000-0005-0000-0000-0000E5590000}"/>
    <cellStyle name="Calculation 17 11 6 3" xfId="23045" xr:uid="{00000000-0005-0000-0000-0000E6590000}"/>
    <cellStyle name="Calculation 17 11 6 4" xfId="23046" xr:uid="{00000000-0005-0000-0000-0000E7590000}"/>
    <cellStyle name="Calculation 17 11 6 5" xfId="23047" xr:uid="{00000000-0005-0000-0000-0000E8590000}"/>
    <cellStyle name="Calculation 17 11 6 6" xfId="23048" xr:uid="{00000000-0005-0000-0000-0000E9590000}"/>
    <cellStyle name="Calculation 17 11 7" xfId="23049" xr:uid="{00000000-0005-0000-0000-0000EA590000}"/>
    <cellStyle name="Calculation 17 11 7 2" xfId="23050" xr:uid="{00000000-0005-0000-0000-0000EB590000}"/>
    <cellStyle name="Calculation 17 11 7 3" xfId="23051" xr:uid="{00000000-0005-0000-0000-0000EC590000}"/>
    <cellStyle name="Calculation 17 11 7 4" xfId="23052" xr:uid="{00000000-0005-0000-0000-0000ED590000}"/>
    <cellStyle name="Calculation 17 11 7 5" xfId="23053" xr:uid="{00000000-0005-0000-0000-0000EE590000}"/>
    <cellStyle name="Calculation 17 11 7 6" xfId="23054" xr:uid="{00000000-0005-0000-0000-0000EF590000}"/>
    <cellStyle name="Calculation 17 11 8" xfId="23055" xr:uid="{00000000-0005-0000-0000-0000F0590000}"/>
    <cellStyle name="Calculation 17 11 9" xfId="23056" xr:uid="{00000000-0005-0000-0000-0000F1590000}"/>
    <cellStyle name="Calculation 17 12" xfId="23057" xr:uid="{00000000-0005-0000-0000-0000F2590000}"/>
    <cellStyle name="Calculation 17 12 10" xfId="23058" xr:uid="{00000000-0005-0000-0000-0000F3590000}"/>
    <cellStyle name="Calculation 17 12 2" xfId="23059" xr:uid="{00000000-0005-0000-0000-0000F4590000}"/>
    <cellStyle name="Calculation 17 12 2 2" xfId="23060" xr:uid="{00000000-0005-0000-0000-0000F5590000}"/>
    <cellStyle name="Calculation 17 12 2 3" xfId="23061" xr:uid="{00000000-0005-0000-0000-0000F6590000}"/>
    <cellStyle name="Calculation 17 12 2 4" xfId="23062" xr:uid="{00000000-0005-0000-0000-0000F7590000}"/>
    <cellStyle name="Calculation 17 12 2 5" xfId="23063" xr:uid="{00000000-0005-0000-0000-0000F8590000}"/>
    <cellStyle name="Calculation 17 12 2 6" xfId="23064" xr:uid="{00000000-0005-0000-0000-0000F9590000}"/>
    <cellStyle name="Calculation 17 12 3" xfId="23065" xr:uid="{00000000-0005-0000-0000-0000FA590000}"/>
    <cellStyle name="Calculation 17 12 3 2" xfId="23066" xr:uid="{00000000-0005-0000-0000-0000FB590000}"/>
    <cellStyle name="Calculation 17 12 3 3" xfId="23067" xr:uid="{00000000-0005-0000-0000-0000FC590000}"/>
    <cellStyle name="Calculation 17 12 3 4" xfId="23068" xr:uid="{00000000-0005-0000-0000-0000FD590000}"/>
    <cellStyle name="Calculation 17 12 3 5" xfId="23069" xr:uid="{00000000-0005-0000-0000-0000FE590000}"/>
    <cellStyle name="Calculation 17 12 3 6" xfId="23070" xr:uid="{00000000-0005-0000-0000-0000FF590000}"/>
    <cellStyle name="Calculation 17 12 4" xfId="23071" xr:uid="{00000000-0005-0000-0000-0000005A0000}"/>
    <cellStyle name="Calculation 17 12 4 2" xfId="23072" xr:uid="{00000000-0005-0000-0000-0000015A0000}"/>
    <cellStyle name="Calculation 17 12 4 3" xfId="23073" xr:uid="{00000000-0005-0000-0000-0000025A0000}"/>
    <cellStyle name="Calculation 17 12 4 4" xfId="23074" xr:uid="{00000000-0005-0000-0000-0000035A0000}"/>
    <cellStyle name="Calculation 17 12 4 5" xfId="23075" xr:uid="{00000000-0005-0000-0000-0000045A0000}"/>
    <cellStyle name="Calculation 17 12 4 6" xfId="23076" xr:uid="{00000000-0005-0000-0000-0000055A0000}"/>
    <cellStyle name="Calculation 17 12 5" xfId="23077" xr:uid="{00000000-0005-0000-0000-0000065A0000}"/>
    <cellStyle name="Calculation 17 12 5 2" xfId="23078" xr:uid="{00000000-0005-0000-0000-0000075A0000}"/>
    <cellStyle name="Calculation 17 12 5 3" xfId="23079" xr:uid="{00000000-0005-0000-0000-0000085A0000}"/>
    <cellStyle name="Calculation 17 12 5 4" xfId="23080" xr:uid="{00000000-0005-0000-0000-0000095A0000}"/>
    <cellStyle name="Calculation 17 12 5 5" xfId="23081" xr:uid="{00000000-0005-0000-0000-00000A5A0000}"/>
    <cellStyle name="Calculation 17 12 5 6" xfId="23082" xr:uid="{00000000-0005-0000-0000-00000B5A0000}"/>
    <cellStyle name="Calculation 17 12 6" xfId="23083" xr:uid="{00000000-0005-0000-0000-00000C5A0000}"/>
    <cellStyle name="Calculation 17 12 6 2" xfId="23084" xr:uid="{00000000-0005-0000-0000-00000D5A0000}"/>
    <cellStyle name="Calculation 17 12 6 3" xfId="23085" xr:uid="{00000000-0005-0000-0000-00000E5A0000}"/>
    <cellStyle name="Calculation 17 12 6 4" xfId="23086" xr:uid="{00000000-0005-0000-0000-00000F5A0000}"/>
    <cellStyle name="Calculation 17 12 6 5" xfId="23087" xr:uid="{00000000-0005-0000-0000-0000105A0000}"/>
    <cellStyle name="Calculation 17 12 6 6" xfId="23088" xr:uid="{00000000-0005-0000-0000-0000115A0000}"/>
    <cellStyle name="Calculation 17 12 7" xfId="23089" xr:uid="{00000000-0005-0000-0000-0000125A0000}"/>
    <cellStyle name="Calculation 17 12 7 2" xfId="23090" xr:uid="{00000000-0005-0000-0000-0000135A0000}"/>
    <cellStyle name="Calculation 17 12 7 3" xfId="23091" xr:uid="{00000000-0005-0000-0000-0000145A0000}"/>
    <cellStyle name="Calculation 17 12 7 4" xfId="23092" xr:uid="{00000000-0005-0000-0000-0000155A0000}"/>
    <cellStyle name="Calculation 17 12 7 5" xfId="23093" xr:uid="{00000000-0005-0000-0000-0000165A0000}"/>
    <cellStyle name="Calculation 17 12 7 6" xfId="23094" xr:uid="{00000000-0005-0000-0000-0000175A0000}"/>
    <cellStyle name="Calculation 17 12 8" xfId="23095" xr:uid="{00000000-0005-0000-0000-0000185A0000}"/>
    <cellStyle name="Calculation 17 12 9" xfId="23096" xr:uid="{00000000-0005-0000-0000-0000195A0000}"/>
    <cellStyle name="Calculation 17 13" xfId="23097" xr:uid="{00000000-0005-0000-0000-00001A5A0000}"/>
    <cellStyle name="Calculation 17 13 10" xfId="23098" xr:uid="{00000000-0005-0000-0000-00001B5A0000}"/>
    <cellStyle name="Calculation 17 13 2" xfId="23099" xr:uid="{00000000-0005-0000-0000-00001C5A0000}"/>
    <cellStyle name="Calculation 17 13 2 2" xfId="23100" xr:uid="{00000000-0005-0000-0000-00001D5A0000}"/>
    <cellStyle name="Calculation 17 13 2 3" xfId="23101" xr:uid="{00000000-0005-0000-0000-00001E5A0000}"/>
    <cellStyle name="Calculation 17 13 2 4" xfId="23102" xr:uid="{00000000-0005-0000-0000-00001F5A0000}"/>
    <cellStyle name="Calculation 17 13 2 5" xfId="23103" xr:uid="{00000000-0005-0000-0000-0000205A0000}"/>
    <cellStyle name="Calculation 17 13 2 6" xfId="23104" xr:uid="{00000000-0005-0000-0000-0000215A0000}"/>
    <cellStyle name="Calculation 17 13 3" xfId="23105" xr:uid="{00000000-0005-0000-0000-0000225A0000}"/>
    <cellStyle name="Calculation 17 13 3 2" xfId="23106" xr:uid="{00000000-0005-0000-0000-0000235A0000}"/>
    <cellStyle name="Calculation 17 13 3 3" xfId="23107" xr:uid="{00000000-0005-0000-0000-0000245A0000}"/>
    <cellStyle name="Calculation 17 13 3 4" xfId="23108" xr:uid="{00000000-0005-0000-0000-0000255A0000}"/>
    <cellStyle name="Calculation 17 13 3 5" xfId="23109" xr:uid="{00000000-0005-0000-0000-0000265A0000}"/>
    <cellStyle name="Calculation 17 13 3 6" xfId="23110" xr:uid="{00000000-0005-0000-0000-0000275A0000}"/>
    <cellStyle name="Calculation 17 13 4" xfId="23111" xr:uid="{00000000-0005-0000-0000-0000285A0000}"/>
    <cellStyle name="Calculation 17 13 4 2" xfId="23112" xr:uid="{00000000-0005-0000-0000-0000295A0000}"/>
    <cellStyle name="Calculation 17 13 4 3" xfId="23113" xr:uid="{00000000-0005-0000-0000-00002A5A0000}"/>
    <cellStyle name="Calculation 17 13 4 4" xfId="23114" xr:uid="{00000000-0005-0000-0000-00002B5A0000}"/>
    <cellStyle name="Calculation 17 13 4 5" xfId="23115" xr:uid="{00000000-0005-0000-0000-00002C5A0000}"/>
    <cellStyle name="Calculation 17 13 4 6" xfId="23116" xr:uid="{00000000-0005-0000-0000-00002D5A0000}"/>
    <cellStyle name="Calculation 17 13 5" xfId="23117" xr:uid="{00000000-0005-0000-0000-00002E5A0000}"/>
    <cellStyle name="Calculation 17 13 5 2" xfId="23118" xr:uid="{00000000-0005-0000-0000-00002F5A0000}"/>
    <cellStyle name="Calculation 17 13 5 3" xfId="23119" xr:uid="{00000000-0005-0000-0000-0000305A0000}"/>
    <cellStyle name="Calculation 17 13 5 4" xfId="23120" xr:uid="{00000000-0005-0000-0000-0000315A0000}"/>
    <cellStyle name="Calculation 17 13 5 5" xfId="23121" xr:uid="{00000000-0005-0000-0000-0000325A0000}"/>
    <cellStyle name="Calculation 17 13 5 6" xfId="23122" xr:uid="{00000000-0005-0000-0000-0000335A0000}"/>
    <cellStyle name="Calculation 17 13 6" xfId="23123" xr:uid="{00000000-0005-0000-0000-0000345A0000}"/>
    <cellStyle name="Calculation 17 13 6 2" xfId="23124" xr:uid="{00000000-0005-0000-0000-0000355A0000}"/>
    <cellStyle name="Calculation 17 13 6 3" xfId="23125" xr:uid="{00000000-0005-0000-0000-0000365A0000}"/>
    <cellStyle name="Calculation 17 13 6 4" xfId="23126" xr:uid="{00000000-0005-0000-0000-0000375A0000}"/>
    <cellStyle name="Calculation 17 13 6 5" xfId="23127" xr:uid="{00000000-0005-0000-0000-0000385A0000}"/>
    <cellStyle name="Calculation 17 13 6 6" xfId="23128" xr:uid="{00000000-0005-0000-0000-0000395A0000}"/>
    <cellStyle name="Calculation 17 13 7" xfId="23129" xr:uid="{00000000-0005-0000-0000-00003A5A0000}"/>
    <cellStyle name="Calculation 17 13 7 2" xfId="23130" xr:uid="{00000000-0005-0000-0000-00003B5A0000}"/>
    <cellStyle name="Calculation 17 13 7 3" xfId="23131" xr:uid="{00000000-0005-0000-0000-00003C5A0000}"/>
    <cellStyle name="Calculation 17 13 7 4" xfId="23132" xr:uid="{00000000-0005-0000-0000-00003D5A0000}"/>
    <cellStyle name="Calculation 17 13 7 5" xfId="23133" xr:uid="{00000000-0005-0000-0000-00003E5A0000}"/>
    <cellStyle name="Calculation 17 13 7 6" xfId="23134" xr:uid="{00000000-0005-0000-0000-00003F5A0000}"/>
    <cellStyle name="Calculation 17 13 8" xfId="23135" xr:uid="{00000000-0005-0000-0000-0000405A0000}"/>
    <cellStyle name="Calculation 17 13 9" xfId="23136" xr:uid="{00000000-0005-0000-0000-0000415A0000}"/>
    <cellStyle name="Calculation 17 14" xfId="23137" xr:uid="{00000000-0005-0000-0000-0000425A0000}"/>
    <cellStyle name="Calculation 17 14 10" xfId="23138" xr:uid="{00000000-0005-0000-0000-0000435A0000}"/>
    <cellStyle name="Calculation 17 14 2" xfId="23139" xr:uid="{00000000-0005-0000-0000-0000445A0000}"/>
    <cellStyle name="Calculation 17 14 2 2" xfId="23140" xr:uid="{00000000-0005-0000-0000-0000455A0000}"/>
    <cellStyle name="Calculation 17 14 2 3" xfId="23141" xr:uid="{00000000-0005-0000-0000-0000465A0000}"/>
    <cellStyle name="Calculation 17 14 2 4" xfId="23142" xr:uid="{00000000-0005-0000-0000-0000475A0000}"/>
    <cellStyle name="Calculation 17 14 2 5" xfId="23143" xr:uid="{00000000-0005-0000-0000-0000485A0000}"/>
    <cellStyle name="Calculation 17 14 2 6" xfId="23144" xr:uid="{00000000-0005-0000-0000-0000495A0000}"/>
    <cellStyle name="Calculation 17 14 3" xfId="23145" xr:uid="{00000000-0005-0000-0000-00004A5A0000}"/>
    <cellStyle name="Calculation 17 14 3 2" xfId="23146" xr:uid="{00000000-0005-0000-0000-00004B5A0000}"/>
    <cellStyle name="Calculation 17 14 3 3" xfId="23147" xr:uid="{00000000-0005-0000-0000-00004C5A0000}"/>
    <cellStyle name="Calculation 17 14 3 4" xfId="23148" xr:uid="{00000000-0005-0000-0000-00004D5A0000}"/>
    <cellStyle name="Calculation 17 14 3 5" xfId="23149" xr:uid="{00000000-0005-0000-0000-00004E5A0000}"/>
    <cellStyle name="Calculation 17 14 3 6" xfId="23150" xr:uid="{00000000-0005-0000-0000-00004F5A0000}"/>
    <cellStyle name="Calculation 17 14 4" xfId="23151" xr:uid="{00000000-0005-0000-0000-0000505A0000}"/>
    <cellStyle name="Calculation 17 14 4 2" xfId="23152" xr:uid="{00000000-0005-0000-0000-0000515A0000}"/>
    <cellStyle name="Calculation 17 14 4 3" xfId="23153" xr:uid="{00000000-0005-0000-0000-0000525A0000}"/>
    <cellStyle name="Calculation 17 14 4 4" xfId="23154" xr:uid="{00000000-0005-0000-0000-0000535A0000}"/>
    <cellStyle name="Calculation 17 14 4 5" xfId="23155" xr:uid="{00000000-0005-0000-0000-0000545A0000}"/>
    <cellStyle name="Calculation 17 14 4 6" xfId="23156" xr:uid="{00000000-0005-0000-0000-0000555A0000}"/>
    <cellStyle name="Calculation 17 14 5" xfId="23157" xr:uid="{00000000-0005-0000-0000-0000565A0000}"/>
    <cellStyle name="Calculation 17 14 5 2" xfId="23158" xr:uid="{00000000-0005-0000-0000-0000575A0000}"/>
    <cellStyle name="Calculation 17 14 5 3" xfId="23159" xr:uid="{00000000-0005-0000-0000-0000585A0000}"/>
    <cellStyle name="Calculation 17 14 5 4" xfId="23160" xr:uid="{00000000-0005-0000-0000-0000595A0000}"/>
    <cellStyle name="Calculation 17 14 5 5" xfId="23161" xr:uid="{00000000-0005-0000-0000-00005A5A0000}"/>
    <cellStyle name="Calculation 17 14 5 6" xfId="23162" xr:uid="{00000000-0005-0000-0000-00005B5A0000}"/>
    <cellStyle name="Calculation 17 14 6" xfId="23163" xr:uid="{00000000-0005-0000-0000-00005C5A0000}"/>
    <cellStyle name="Calculation 17 14 6 2" xfId="23164" xr:uid="{00000000-0005-0000-0000-00005D5A0000}"/>
    <cellStyle name="Calculation 17 14 6 3" xfId="23165" xr:uid="{00000000-0005-0000-0000-00005E5A0000}"/>
    <cellStyle name="Calculation 17 14 6 4" xfId="23166" xr:uid="{00000000-0005-0000-0000-00005F5A0000}"/>
    <cellStyle name="Calculation 17 14 6 5" xfId="23167" xr:uid="{00000000-0005-0000-0000-0000605A0000}"/>
    <cellStyle name="Calculation 17 14 6 6" xfId="23168" xr:uid="{00000000-0005-0000-0000-0000615A0000}"/>
    <cellStyle name="Calculation 17 14 7" xfId="23169" xr:uid="{00000000-0005-0000-0000-0000625A0000}"/>
    <cellStyle name="Calculation 17 14 7 2" xfId="23170" xr:uid="{00000000-0005-0000-0000-0000635A0000}"/>
    <cellStyle name="Calculation 17 14 7 3" xfId="23171" xr:uid="{00000000-0005-0000-0000-0000645A0000}"/>
    <cellStyle name="Calculation 17 14 7 4" xfId="23172" xr:uid="{00000000-0005-0000-0000-0000655A0000}"/>
    <cellStyle name="Calculation 17 14 7 5" xfId="23173" xr:uid="{00000000-0005-0000-0000-0000665A0000}"/>
    <cellStyle name="Calculation 17 14 7 6" xfId="23174" xr:uid="{00000000-0005-0000-0000-0000675A0000}"/>
    <cellStyle name="Calculation 17 14 8" xfId="23175" xr:uid="{00000000-0005-0000-0000-0000685A0000}"/>
    <cellStyle name="Calculation 17 14 9" xfId="23176" xr:uid="{00000000-0005-0000-0000-0000695A0000}"/>
    <cellStyle name="Calculation 17 15" xfId="23177" xr:uid="{00000000-0005-0000-0000-00006A5A0000}"/>
    <cellStyle name="Calculation 17 15 10" xfId="23178" xr:uid="{00000000-0005-0000-0000-00006B5A0000}"/>
    <cellStyle name="Calculation 17 15 2" xfId="23179" xr:uid="{00000000-0005-0000-0000-00006C5A0000}"/>
    <cellStyle name="Calculation 17 15 2 2" xfId="23180" xr:uid="{00000000-0005-0000-0000-00006D5A0000}"/>
    <cellStyle name="Calculation 17 15 2 3" xfId="23181" xr:uid="{00000000-0005-0000-0000-00006E5A0000}"/>
    <cellStyle name="Calculation 17 15 2 4" xfId="23182" xr:uid="{00000000-0005-0000-0000-00006F5A0000}"/>
    <cellStyle name="Calculation 17 15 2 5" xfId="23183" xr:uid="{00000000-0005-0000-0000-0000705A0000}"/>
    <cellStyle name="Calculation 17 15 2 6" xfId="23184" xr:uid="{00000000-0005-0000-0000-0000715A0000}"/>
    <cellStyle name="Calculation 17 15 3" xfId="23185" xr:uid="{00000000-0005-0000-0000-0000725A0000}"/>
    <cellStyle name="Calculation 17 15 3 2" xfId="23186" xr:uid="{00000000-0005-0000-0000-0000735A0000}"/>
    <cellStyle name="Calculation 17 15 3 3" xfId="23187" xr:uid="{00000000-0005-0000-0000-0000745A0000}"/>
    <cellStyle name="Calculation 17 15 3 4" xfId="23188" xr:uid="{00000000-0005-0000-0000-0000755A0000}"/>
    <cellStyle name="Calculation 17 15 3 5" xfId="23189" xr:uid="{00000000-0005-0000-0000-0000765A0000}"/>
    <cellStyle name="Calculation 17 15 3 6" xfId="23190" xr:uid="{00000000-0005-0000-0000-0000775A0000}"/>
    <cellStyle name="Calculation 17 15 4" xfId="23191" xr:uid="{00000000-0005-0000-0000-0000785A0000}"/>
    <cellStyle name="Calculation 17 15 4 2" xfId="23192" xr:uid="{00000000-0005-0000-0000-0000795A0000}"/>
    <cellStyle name="Calculation 17 15 4 3" xfId="23193" xr:uid="{00000000-0005-0000-0000-00007A5A0000}"/>
    <cellStyle name="Calculation 17 15 4 4" xfId="23194" xr:uid="{00000000-0005-0000-0000-00007B5A0000}"/>
    <cellStyle name="Calculation 17 15 4 5" xfId="23195" xr:uid="{00000000-0005-0000-0000-00007C5A0000}"/>
    <cellStyle name="Calculation 17 15 4 6" xfId="23196" xr:uid="{00000000-0005-0000-0000-00007D5A0000}"/>
    <cellStyle name="Calculation 17 15 5" xfId="23197" xr:uid="{00000000-0005-0000-0000-00007E5A0000}"/>
    <cellStyle name="Calculation 17 15 5 2" xfId="23198" xr:uid="{00000000-0005-0000-0000-00007F5A0000}"/>
    <cellStyle name="Calculation 17 15 5 3" xfId="23199" xr:uid="{00000000-0005-0000-0000-0000805A0000}"/>
    <cellStyle name="Calculation 17 15 5 4" xfId="23200" xr:uid="{00000000-0005-0000-0000-0000815A0000}"/>
    <cellStyle name="Calculation 17 15 5 5" xfId="23201" xr:uid="{00000000-0005-0000-0000-0000825A0000}"/>
    <cellStyle name="Calculation 17 15 5 6" xfId="23202" xr:uid="{00000000-0005-0000-0000-0000835A0000}"/>
    <cellStyle name="Calculation 17 15 6" xfId="23203" xr:uid="{00000000-0005-0000-0000-0000845A0000}"/>
    <cellStyle name="Calculation 17 15 6 2" xfId="23204" xr:uid="{00000000-0005-0000-0000-0000855A0000}"/>
    <cellStyle name="Calculation 17 15 6 3" xfId="23205" xr:uid="{00000000-0005-0000-0000-0000865A0000}"/>
    <cellStyle name="Calculation 17 15 6 4" xfId="23206" xr:uid="{00000000-0005-0000-0000-0000875A0000}"/>
    <cellStyle name="Calculation 17 15 6 5" xfId="23207" xr:uid="{00000000-0005-0000-0000-0000885A0000}"/>
    <cellStyle name="Calculation 17 15 6 6" xfId="23208" xr:uid="{00000000-0005-0000-0000-0000895A0000}"/>
    <cellStyle name="Calculation 17 15 7" xfId="23209" xr:uid="{00000000-0005-0000-0000-00008A5A0000}"/>
    <cellStyle name="Calculation 17 15 7 2" xfId="23210" xr:uid="{00000000-0005-0000-0000-00008B5A0000}"/>
    <cellStyle name="Calculation 17 15 7 3" xfId="23211" xr:uid="{00000000-0005-0000-0000-00008C5A0000}"/>
    <cellStyle name="Calculation 17 15 7 4" xfId="23212" xr:uid="{00000000-0005-0000-0000-00008D5A0000}"/>
    <cellStyle name="Calculation 17 15 7 5" xfId="23213" xr:uid="{00000000-0005-0000-0000-00008E5A0000}"/>
    <cellStyle name="Calculation 17 15 7 6" xfId="23214" xr:uid="{00000000-0005-0000-0000-00008F5A0000}"/>
    <cellStyle name="Calculation 17 15 8" xfId="23215" xr:uid="{00000000-0005-0000-0000-0000905A0000}"/>
    <cellStyle name="Calculation 17 15 9" xfId="23216" xr:uid="{00000000-0005-0000-0000-0000915A0000}"/>
    <cellStyle name="Calculation 17 16" xfId="23217" xr:uid="{00000000-0005-0000-0000-0000925A0000}"/>
    <cellStyle name="Calculation 17 16 10" xfId="23218" xr:uid="{00000000-0005-0000-0000-0000935A0000}"/>
    <cellStyle name="Calculation 17 16 2" xfId="23219" xr:uid="{00000000-0005-0000-0000-0000945A0000}"/>
    <cellStyle name="Calculation 17 16 2 2" xfId="23220" xr:uid="{00000000-0005-0000-0000-0000955A0000}"/>
    <cellStyle name="Calculation 17 16 2 3" xfId="23221" xr:uid="{00000000-0005-0000-0000-0000965A0000}"/>
    <cellStyle name="Calculation 17 16 2 4" xfId="23222" xr:uid="{00000000-0005-0000-0000-0000975A0000}"/>
    <cellStyle name="Calculation 17 16 2 5" xfId="23223" xr:uid="{00000000-0005-0000-0000-0000985A0000}"/>
    <cellStyle name="Calculation 17 16 2 6" xfId="23224" xr:uid="{00000000-0005-0000-0000-0000995A0000}"/>
    <cellStyle name="Calculation 17 16 3" xfId="23225" xr:uid="{00000000-0005-0000-0000-00009A5A0000}"/>
    <cellStyle name="Calculation 17 16 3 2" xfId="23226" xr:uid="{00000000-0005-0000-0000-00009B5A0000}"/>
    <cellStyle name="Calculation 17 16 3 3" xfId="23227" xr:uid="{00000000-0005-0000-0000-00009C5A0000}"/>
    <cellStyle name="Calculation 17 16 3 4" xfId="23228" xr:uid="{00000000-0005-0000-0000-00009D5A0000}"/>
    <cellStyle name="Calculation 17 16 3 5" xfId="23229" xr:uid="{00000000-0005-0000-0000-00009E5A0000}"/>
    <cellStyle name="Calculation 17 16 3 6" xfId="23230" xr:uid="{00000000-0005-0000-0000-00009F5A0000}"/>
    <cellStyle name="Calculation 17 16 4" xfId="23231" xr:uid="{00000000-0005-0000-0000-0000A05A0000}"/>
    <cellStyle name="Calculation 17 16 4 2" xfId="23232" xr:uid="{00000000-0005-0000-0000-0000A15A0000}"/>
    <cellStyle name="Calculation 17 16 4 3" xfId="23233" xr:uid="{00000000-0005-0000-0000-0000A25A0000}"/>
    <cellStyle name="Calculation 17 16 4 4" xfId="23234" xr:uid="{00000000-0005-0000-0000-0000A35A0000}"/>
    <cellStyle name="Calculation 17 16 4 5" xfId="23235" xr:uid="{00000000-0005-0000-0000-0000A45A0000}"/>
    <cellStyle name="Calculation 17 16 4 6" xfId="23236" xr:uid="{00000000-0005-0000-0000-0000A55A0000}"/>
    <cellStyle name="Calculation 17 16 5" xfId="23237" xr:uid="{00000000-0005-0000-0000-0000A65A0000}"/>
    <cellStyle name="Calculation 17 16 5 2" xfId="23238" xr:uid="{00000000-0005-0000-0000-0000A75A0000}"/>
    <cellStyle name="Calculation 17 16 5 3" xfId="23239" xr:uid="{00000000-0005-0000-0000-0000A85A0000}"/>
    <cellStyle name="Calculation 17 16 5 4" xfId="23240" xr:uid="{00000000-0005-0000-0000-0000A95A0000}"/>
    <cellStyle name="Calculation 17 16 5 5" xfId="23241" xr:uid="{00000000-0005-0000-0000-0000AA5A0000}"/>
    <cellStyle name="Calculation 17 16 5 6" xfId="23242" xr:uid="{00000000-0005-0000-0000-0000AB5A0000}"/>
    <cellStyle name="Calculation 17 16 6" xfId="23243" xr:uid="{00000000-0005-0000-0000-0000AC5A0000}"/>
    <cellStyle name="Calculation 17 16 6 2" xfId="23244" xr:uid="{00000000-0005-0000-0000-0000AD5A0000}"/>
    <cellStyle name="Calculation 17 16 6 3" xfId="23245" xr:uid="{00000000-0005-0000-0000-0000AE5A0000}"/>
    <cellStyle name="Calculation 17 16 6 4" xfId="23246" xr:uid="{00000000-0005-0000-0000-0000AF5A0000}"/>
    <cellStyle name="Calculation 17 16 6 5" xfId="23247" xr:uid="{00000000-0005-0000-0000-0000B05A0000}"/>
    <cellStyle name="Calculation 17 16 6 6" xfId="23248" xr:uid="{00000000-0005-0000-0000-0000B15A0000}"/>
    <cellStyle name="Calculation 17 16 7" xfId="23249" xr:uid="{00000000-0005-0000-0000-0000B25A0000}"/>
    <cellStyle name="Calculation 17 16 7 2" xfId="23250" xr:uid="{00000000-0005-0000-0000-0000B35A0000}"/>
    <cellStyle name="Calculation 17 16 7 3" xfId="23251" xr:uid="{00000000-0005-0000-0000-0000B45A0000}"/>
    <cellStyle name="Calculation 17 16 7 4" xfId="23252" xr:uid="{00000000-0005-0000-0000-0000B55A0000}"/>
    <cellStyle name="Calculation 17 16 7 5" xfId="23253" xr:uid="{00000000-0005-0000-0000-0000B65A0000}"/>
    <cellStyle name="Calculation 17 16 7 6" xfId="23254" xr:uid="{00000000-0005-0000-0000-0000B75A0000}"/>
    <cellStyle name="Calculation 17 16 8" xfId="23255" xr:uid="{00000000-0005-0000-0000-0000B85A0000}"/>
    <cellStyle name="Calculation 17 16 9" xfId="23256" xr:uid="{00000000-0005-0000-0000-0000B95A0000}"/>
    <cellStyle name="Calculation 17 17" xfId="23257" xr:uid="{00000000-0005-0000-0000-0000BA5A0000}"/>
    <cellStyle name="Calculation 17 17 10" xfId="23258" xr:uid="{00000000-0005-0000-0000-0000BB5A0000}"/>
    <cellStyle name="Calculation 17 17 2" xfId="23259" xr:uid="{00000000-0005-0000-0000-0000BC5A0000}"/>
    <cellStyle name="Calculation 17 17 2 2" xfId="23260" xr:uid="{00000000-0005-0000-0000-0000BD5A0000}"/>
    <cellStyle name="Calculation 17 17 2 3" xfId="23261" xr:uid="{00000000-0005-0000-0000-0000BE5A0000}"/>
    <cellStyle name="Calculation 17 17 2 4" xfId="23262" xr:uid="{00000000-0005-0000-0000-0000BF5A0000}"/>
    <cellStyle name="Calculation 17 17 2 5" xfId="23263" xr:uid="{00000000-0005-0000-0000-0000C05A0000}"/>
    <cellStyle name="Calculation 17 17 2 6" xfId="23264" xr:uid="{00000000-0005-0000-0000-0000C15A0000}"/>
    <cellStyle name="Calculation 17 17 3" xfId="23265" xr:uid="{00000000-0005-0000-0000-0000C25A0000}"/>
    <cellStyle name="Calculation 17 17 3 2" xfId="23266" xr:uid="{00000000-0005-0000-0000-0000C35A0000}"/>
    <cellStyle name="Calculation 17 17 3 3" xfId="23267" xr:uid="{00000000-0005-0000-0000-0000C45A0000}"/>
    <cellStyle name="Calculation 17 17 3 4" xfId="23268" xr:uid="{00000000-0005-0000-0000-0000C55A0000}"/>
    <cellStyle name="Calculation 17 17 3 5" xfId="23269" xr:uid="{00000000-0005-0000-0000-0000C65A0000}"/>
    <cellStyle name="Calculation 17 17 3 6" xfId="23270" xr:uid="{00000000-0005-0000-0000-0000C75A0000}"/>
    <cellStyle name="Calculation 17 17 4" xfId="23271" xr:uid="{00000000-0005-0000-0000-0000C85A0000}"/>
    <cellStyle name="Calculation 17 17 4 2" xfId="23272" xr:uid="{00000000-0005-0000-0000-0000C95A0000}"/>
    <cellStyle name="Calculation 17 17 4 3" xfId="23273" xr:uid="{00000000-0005-0000-0000-0000CA5A0000}"/>
    <cellStyle name="Calculation 17 17 4 4" xfId="23274" xr:uid="{00000000-0005-0000-0000-0000CB5A0000}"/>
    <cellStyle name="Calculation 17 17 4 5" xfId="23275" xr:uid="{00000000-0005-0000-0000-0000CC5A0000}"/>
    <cellStyle name="Calculation 17 17 4 6" xfId="23276" xr:uid="{00000000-0005-0000-0000-0000CD5A0000}"/>
    <cellStyle name="Calculation 17 17 5" xfId="23277" xr:uid="{00000000-0005-0000-0000-0000CE5A0000}"/>
    <cellStyle name="Calculation 17 17 5 2" xfId="23278" xr:uid="{00000000-0005-0000-0000-0000CF5A0000}"/>
    <cellStyle name="Calculation 17 17 5 3" xfId="23279" xr:uid="{00000000-0005-0000-0000-0000D05A0000}"/>
    <cellStyle name="Calculation 17 17 5 4" xfId="23280" xr:uid="{00000000-0005-0000-0000-0000D15A0000}"/>
    <cellStyle name="Calculation 17 17 5 5" xfId="23281" xr:uid="{00000000-0005-0000-0000-0000D25A0000}"/>
    <cellStyle name="Calculation 17 17 5 6" xfId="23282" xr:uid="{00000000-0005-0000-0000-0000D35A0000}"/>
    <cellStyle name="Calculation 17 17 6" xfId="23283" xr:uid="{00000000-0005-0000-0000-0000D45A0000}"/>
    <cellStyle name="Calculation 17 17 6 2" xfId="23284" xr:uid="{00000000-0005-0000-0000-0000D55A0000}"/>
    <cellStyle name="Calculation 17 17 6 3" xfId="23285" xr:uid="{00000000-0005-0000-0000-0000D65A0000}"/>
    <cellStyle name="Calculation 17 17 6 4" xfId="23286" xr:uid="{00000000-0005-0000-0000-0000D75A0000}"/>
    <cellStyle name="Calculation 17 17 6 5" xfId="23287" xr:uid="{00000000-0005-0000-0000-0000D85A0000}"/>
    <cellStyle name="Calculation 17 17 6 6" xfId="23288" xr:uid="{00000000-0005-0000-0000-0000D95A0000}"/>
    <cellStyle name="Calculation 17 17 7" xfId="23289" xr:uid="{00000000-0005-0000-0000-0000DA5A0000}"/>
    <cellStyle name="Calculation 17 17 7 2" xfId="23290" xr:uid="{00000000-0005-0000-0000-0000DB5A0000}"/>
    <cellStyle name="Calculation 17 17 7 3" xfId="23291" xr:uid="{00000000-0005-0000-0000-0000DC5A0000}"/>
    <cellStyle name="Calculation 17 17 7 4" xfId="23292" xr:uid="{00000000-0005-0000-0000-0000DD5A0000}"/>
    <cellStyle name="Calculation 17 17 7 5" xfId="23293" xr:uid="{00000000-0005-0000-0000-0000DE5A0000}"/>
    <cellStyle name="Calculation 17 17 7 6" xfId="23294" xr:uid="{00000000-0005-0000-0000-0000DF5A0000}"/>
    <cellStyle name="Calculation 17 17 8" xfId="23295" xr:uid="{00000000-0005-0000-0000-0000E05A0000}"/>
    <cellStyle name="Calculation 17 17 9" xfId="23296" xr:uid="{00000000-0005-0000-0000-0000E15A0000}"/>
    <cellStyle name="Calculation 17 18" xfId="23297" xr:uid="{00000000-0005-0000-0000-0000E25A0000}"/>
    <cellStyle name="Calculation 17 18 10" xfId="23298" xr:uid="{00000000-0005-0000-0000-0000E35A0000}"/>
    <cellStyle name="Calculation 17 18 2" xfId="23299" xr:uid="{00000000-0005-0000-0000-0000E45A0000}"/>
    <cellStyle name="Calculation 17 18 2 2" xfId="23300" xr:uid="{00000000-0005-0000-0000-0000E55A0000}"/>
    <cellStyle name="Calculation 17 18 2 3" xfId="23301" xr:uid="{00000000-0005-0000-0000-0000E65A0000}"/>
    <cellStyle name="Calculation 17 18 2 4" xfId="23302" xr:uid="{00000000-0005-0000-0000-0000E75A0000}"/>
    <cellStyle name="Calculation 17 18 2 5" xfId="23303" xr:uid="{00000000-0005-0000-0000-0000E85A0000}"/>
    <cellStyle name="Calculation 17 18 2 6" xfId="23304" xr:uid="{00000000-0005-0000-0000-0000E95A0000}"/>
    <cellStyle name="Calculation 17 18 3" xfId="23305" xr:uid="{00000000-0005-0000-0000-0000EA5A0000}"/>
    <cellStyle name="Calculation 17 18 3 2" xfId="23306" xr:uid="{00000000-0005-0000-0000-0000EB5A0000}"/>
    <cellStyle name="Calculation 17 18 3 3" xfId="23307" xr:uid="{00000000-0005-0000-0000-0000EC5A0000}"/>
    <cellStyle name="Calculation 17 18 3 4" xfId="23308" xr:uid="{00000000-0005-0000-0000-0000ED5A0000}"/>
    <cellStyle name="Calculation 17 18 3 5" xfId="23309" xr:uid="{00000000-0005-0000-0000-0000EE5A0000}"/>
    <cellStyle name="Calculation 17 18 3 6" xfId="23310" xr:uid="{00000000-0005-0000-0000-0000EF5A0000}"/>
    <cellStyle name="Calculation 17 18 4" xfId="23311" xr:uid="{00000000-0005-0000-0000-0000F05A0000}"/>
    <cellStyle name="Calculation 17 18 4 2" xfId="23312" xr:uid="{00000000-0005-0000-0000-0000F15A0000}"/>
    <cellStyle name="Calculation 17 18 4 3" xfId="23313" xr:uid="{00000000-0005-0000-0000-0000F25A0000}"/>
    <cellStyle name="Calculation 17 18 4 4" xfId="23314" xr:uid="{00000000-0005-0000-0000-0000F35A0000}"/>
    <cellStyle name="Calculation 17 18 4 5" xfId="23315" xr:uid="{00000000-0005-0000-0000-0000F45A0000}"/>
    <cellStyle name="Calculation 17 18 4 6" xfId="23316" xr:uid="{00000000-0005-0000-0000-0000F55A0000}"/>
    <cellStyle name="Calculation 17 18 5" xfId="23317" xr:uid="{00000000-0005-0000-0000-0000F65A0000}"/>
    <cellStyle name="Calculation 17 18 5 2" xfId="23318" xr:uid="{00000000-0005-0000-0000-0000F75A0000}"/>
    <cellStyle name="Calculation 17 18 5 3" xfId="23319" xr:uid="{00000000-0005-0000-0000-0000F85A0000}"/>
    <cellStyle name="Calculation 17 18 5 4" xfId="23320" xr:uid="{00000000-0005-0000-0000-0000F95A0000}"/>
    <cellStyle name="Calculation 17 18 5 5" xfId="23321" xr:uid="{00000000-0005-0000-0000-0000FA5A0000}"/>
    <cellStyle name="Calculation 17 18 5 6" xfId="23322" xr:uid="{00000000-0005-0000-0000-0000FB5A0000}"/>
    <cellStyle name="Calculation 17 18 6" xfId="23323" xr:uid="{00000000-0005-0000-0000-0000FC5A0000}"/>
    <cellStyle name="Calculation 17 18 6 2" xfId="23324" xr:uid="{00000000-0005-0000-0000-0000FD5A0000}"/>
    <cellStyle name="Calculation 17 18 6 3" xfId="23325" xr:uid="{00000000-0005-0000-0000-0000FE5A0000}"/>
    <cellStyle name="Calculation 17 18 6 4" xfId="23326" xr:uid="{00000000-0005-0000-0000-0000FF5A0000}"/>
    <cellStyle name="Calculation 17 18 6 5" xfId="23327" xr:uid="{00000000-0005-0000-0000-0000005B0000}"/>
    <cellStyle name="Calculation 17 18 6 6" xfId="23328" xr:uid="{00000000-0005-0000-0000-0000015B0000}"/>
    <cellStyle name="Calculation 17 18 7" xfId="23329" xr:uid="{00000000-0005-0000-0000-0000025B0000}"/>
    <cellStyle name="Calculation 17 18 7 2" xfId="23330" xr:uid="{00000000-0005-0000-0000-0000035B0000}"/>
    <cellStyle name="Calculation 17 18 7 3" xfId="23331" xr:uid="{00000000-0005-0000-0000-0000045B0000}"/>
    <cellStyle name="Calculation 17 18 7 4" xfId="23332" xr:uid="{00000000-0005-0000-0000-0000055B0000}"/>
    <cellStyle name="Calculation 17 18 7 5" xfId="23333" xr:uid="{00000000-0005-0000-0000-0000065B0000}"/>
    <cellStyle name="Calculation 17 18 7 6" xfId="23334" xr:uid="{00000000-0005-0000-0000-0000075B0000}"/>
    <cellStyle name="Calculation 17 18 8" xfId="23335" xr:uid="{00000000-0005-0000-0000-0000085B0000}"/>
    <cellStyle name="Calculation 17 18 9" xfId="23336" xr:uid="{00000000-0005-0000-0000-0000095B0000}"/>
    <cellStyle name="Calculation 17 19" xfId="23337" xr:uid="{00000000-0005-0000-0000-00000A5B0000}"/>
    <cellStyle name="Calculation 17 19 10" xfId="23338" xr:uid="{00000000-0005-0000-0000-00000B5B0000}"/>
    <cellStyle name="Calculation 17 19 2" xfId="23339" xr:uid="{00000000-0005-0000-0000-00000C5B0000}"/>
    <cellStyle name="Calculation 17 19 2 2" xfId="23340" xr:uid="{00000000-0005-0000-0000-00000D5B0000}"/>
    <cellStyle name="Calculation 17 19 2 3" xfId="23341" xr:uid="{00000000-0005-0000-0000-00000E5B0000}"/>
    <cellStyle name="Calculation 17 19 2 4" xfId="23342" xr:uid="{00000000-0005-0000-0000-00000F5B0000}"/>
    <cellStyle name="Calculation 17 19 2 5" xfId="23343" xr:uid="{00000000-0005-0000-0000-0000105B0000}"/>
    <cellStyle name="Calculation 17 19 2 6" xfId="23344" xr:uid="{00000000-0005-0000-0000-0000115B0000}"/>
    <cellStyle name="Calculation 17 19 3" xfId="23345" xr:uid="{00000000-0005-0000-0000-0000125B0000}"/>
    <cellStyle name="Calculation 17 19 3 2" xfId="23346" xr:uid="{00000000-0005-0000-0000-0000135B0000}"/>
    <cellStyle name="Calculation 17 19 3 3" xfId="23347" xr:uid="{00000000-0005-0000-0000-0000145B0000}"/>
    <cellStyle name="Calculation 17 19 3 4" xfId="23348" xr:uid="{00000000-0005-0000-0000-0000155B0000}"/>
    <cellStyle name="Calculation 17 19 3 5" xfId="23349" xr:uid="{00000000-0005-0000-0000-0000165B0000}"/>
    <cellStyle name="Calculation 17 19 3 6" xfId="23350" xr:uid="{00000000-0005-0000-0000-0000175B0000}"/>
    <cellStyle name="Calculation 17 19 4" xfId="23351" xr:uid="{00000000-0005-0000-0000-0000185B0000}"/>
    <cellStyle name="Calculation 17 19 4 2" xfId="23352" xr:uid="{00000000-0005-0000-0000-0000195B0000}"/>
    <cellStyle name="Calculation 17 19 4 3" xfId="23353" xr:uid="{00000000-0005-0000-0000-00001A5B0000}"/>
    <cellStyle name="Calculation 17 19 4 4" xfId="23354" xr:uid="{00000000-0005-0000-0000-00001B5B0000}"/>
    <cellStyle name="Calculation 17 19 4 5" xfId="23355" xr:uid="{00000000-0005-0000-0000-00001C5B0000}"/>
    <cellStyle name="Calculation 17 19 4 6" xfId="23356" xr:uid="{00000000-0005-0000-0000-00001D5B0000}"/>
    <cellStyle name="Calculation 17 19 5" xfId="23357" xr:uid="{00000000-0005-0000-0000-00001E5B0000}"/>
    <cellStyle name="Calculation 17 19 5 2" xfId="23358" xr:uid="{00000000-0005-0000-0000-00001F5B0000}"/>
    <cellStyle name="Calculation 17 19 5 3" xfId="23359" xr:uid="{00000000-0005-0000-0000-0000205B0000}"/>
    <cellStyle name="Calculation 17 19 5 4" xfId="23360" xr:uid="{00000000-0005-0000-0000-0000215B0000}"/>
    <cellStyle name="Calculation 17 19 5 5" xfId="23361" xr:uid="{00000000-0005-0000-0000-0000225B0000}"/>
    <cellStyle name="Calculation 17 19 5 6" xfId="23362" xr:uid="{00000000-0005-0000-0000-0000235B0000}"/>
    <cellStyle name="Calculation 17 19 6" xfId="23363" xr:uid="{00000000-0005-0000-0000-0000245B0000}"/>
    <cellStyle name="Calculation 17 19 6 2" xfId="23364" xr:uid="{00000000-0005-0000-0000-0000255B0000}"/>
    <cellStyle name="Calculation 17 19 6 3" xfId="23365" xr:uid="{00000000-0005-0000-0000-0000265B0000}"/>
    <cellStyle name="Calculation 17 19 6 4" xfId="23366" xr:uid="{00000000-0005-0000-0000-0000275B0000}"/>
    <cellStyle name="Calculation 17 19 6 5" xfId="23367" xr:uid="{00000000-0005-0000-0000-0000285B0000}"/>
    <cellStyle name="Calculation 17 19 6 6" xfId="23368" xr:uid="{00000000-0005-0000-0000-0000295B0000}"/>
    <cellStyle name="Calculation 17 19 7" xfId="23369" xr:uid="{00000000-0005-0000-0000-00002A5B0000}"/>
    <cellStyle name="Calculation 17 19 7 2" xfId="23370" xr:uid="{00000000-0005-0000-0000-00002B5B0000}"/>
    <cellStyle name="Calculation 17 19 7 3" xfId="23371" xr:uid="{00000000-0005-0000-0000-00002C5B0000}"/>
    <cellStyle name="Calculation 17 19 7 4" xfId="23372" xr:uid="{00000000-0005-0000-0000-00002D5B0000}"/>
    <cellStyle name="Calculation 17 19 7 5" xfId="23373" xr:uid="{00000000-0005-0000-0000-00002E5B0000}"/>
    <cellStyle name="Calculation 17 19 7 6" xfId="23374" xr:uid="{00000000-0005-0000-0000-00002F5B0000}"/>
    <cellStyle name="Calculation 17 19 8" xfId="23375" xr:uid="{00000000-0005-0000-0000-0000305B0000}"/>
    <cellStyle name="Calculation 17 19 9" xfId="23376" xr:uid="{00000000-0005-0000-0000-0000315B0000}"/>
    <cellStyle name="Calculation 17 2" xfId="23377" xr:uid="{00000000-0005-0000-0000-0000325B0000}"/>
    <cellStyle name="Calculation 17 2 10" xfId="23378" xr:uid="{00000000-0005-0000-0000-0000335B0000}"/>
    <cellStyle name="Calculation 17 2 10 10" xfId="23379" xr:uid="{00000000-0005-0000-0000-0000345B0000}"/>
    <cellStyle name="Calculation 17 2 10 2" xfId="23380" xr:uid="{00000000-0005-0000-0000-0000355B0000}"/>
    <cellStyle name="Calculation 17 2 10 2 2" xfId="23381" xr:uid="{00000000-0005-0000-0000-0000365B0000}"/>
    <cellStyle name="Calculation 17 2 10 2 3" xfId="23382" xr:uid="{00000000-0005-0000-0000-0000375B0000}"/>
    <cellStyle name="Calculation 17 2 10 2 4" xfId="23383" xr:uid="{00000000-0005-0000-0000-0000385B0000}"/>
    <cellStyle name="Calculation 17 2 10 2 5" xfId="23384" xr:uid="{00000000-0005-0000-0000-0000395B0000}"/>
    <cellStyle name="Calculation 17 2 10 2 6" xfId="23385" xr:uid="{00000000-0005-0000-0000-00003A5B0000}"/>
    <cellStyle name="Calculation 17 2 10 3" xfId="23386" xr:uid="{00000000-0005-0000-0000-00003B5B0000}"/>
    <cellStyle name="Calculation 17 2 10 3 2" xfId="23387" xr:uid="{00000000-0005-0000-0000-00003C5B0000}"/>
    <cellStyle name="Calculation 17 2 10 3 3" xfId="23388" xr:uid="{00000000-0005-0000-0000-00003D5B0000}"/>
    <cellStyle name="Calculation 17 2 10 3 4" xfId="23389" xr:uid="{00000000-0005-0000-0000-00003E5B0000}"/>
    <cellStyle name="Calculation 17 2 10 3 5" xfId="23390" xr:uid="{00000000-0005-0000-0000-00003F5B0000}"/>
    <cellStyle name="Calculation 17 2 10 3 6" xfId="23391" xr:uid="{00000000-0005-0000-0000-0000405B0000}"/>
    <cellStyle name="Calculation 17 2 10 4" xfId="23392" xr:uid="{00000000-0005-0000-0000-0000415B0000}"/>
    <cellStyle name="Calculation 17 2 10 4 2" xfId="23393" xr:uid="{00000000-0005-0000-0000-0000425B0000}"/>
    <cellStyle name="Calculation 17 2 10 4 3" xfId="23394" xr:uid="{00000000-0005-0000-0000-0000435B0000}"/>
    <cellStyle name="Calculation 17 2 10 4 4" xfId="23395" xr:uid="{00000000-0005-0000-0000-0000445B0000}"/>
    <cellStyle name="Calculation 17 2 10 4 5" xfId="23396" xr:uid="{00000000-0005-0000-0000-0000455B0000}"/>
    <cellStyle name="Calculation 17 2 10 4 6" xfId="23397" xr:uid="{00000000-0005-0000-0000-0000465B0000}"/>
    <cellStyle name="Calculation 17 2 10 5" xfId="23398" xr:uid="{00000000-0005-0000-0000-0000475B0000}"/>
    <cellStyle name="Calculation 17 2 10 5 2" xfId="23399" xr:uid="{00000000-0005-0000-0000-0000485B0000}"/>
    <cellStyle name="Calculation 17 2 10 5 3" xfId="23400" xr:uid="{00000000-0005-0000-0000-0000495B0000}"/>
    <cellStyle name="Calculation 17 2 10 5 4" xfId="23401" xr:uid="{00000000-0005-0000-0000-00004A5B0000}"/>
    <cellStyle name="Calculation 17 2 10 5 5" xfId="23402" xr:uid="{00000000-0005-0000-0000-00004B5B0000}"/>
    <cellStyle name="Calculation 17 2 10 5 6" xfId="23403" xr:uid="{00000000-0005-0000-0000-00004C5B0000}"/>
    <cellStyle name="Calculation 17 2 10 6" xfId="23404" xr:uid="{00000000-0005-0000-0000-00004D5B0000}"/>
    <cellStyle name="Calculation 17 2 10 6 2" xfId="23405" xr:uid="{00000000-0005-0000-0000-00004E5B0000}"/>
    <cellStyle name="Calculation 17 2 10 6 3" xfId="23406" xr:uid="{00000000-0005-0000-0000-00004F5B0000}"/>
    <cellStyle name="Calculation 17 2 10 6 4" xfId="23407" xr:uid="{00000000-0005-0000-0000-0000505B0000}"/>
    <cellStyle name="Calculation 17 2 10 6 5" xfId="23408" xr:uid="{00000000-0005-0000-0000-0000515B0000}"/>
    <cellStyle name="Calculation 17 2 10 6 6" xfId="23409" xr:uid="{00000000-0005-0000-0000-0000525B0000}"/>
    <cellStyle name="Calculation 17 2 10 7" xfId="23410" xr:uid="{00000000-0005-0000-0000-0000535B0000}"/>
    <cellStyle name="Calculation 17 2 10 7 2" xfId="23411" xr:uid="{00000000-0005-0000-0000-0000545B0000}"/>
    <cellStyle name="Calculation 17 2 10 7 3" xfId="23412" xr:uid="{00000000-0005-0000-0000-0000555B0000}"/>
    <cellStyle name="Calculation 17 2 10 7 4" xfId="23413" xr:uid="{00000000-0005-0000-0000-0000565B0000}"/>
    <cellStyle name="Calculation 17 2 10 7 5" xfId="23414" xr:uid="{00000000-0005-0000-0000-0000575B0000}"/>
    <cellStyle name="Calculation 17 2 10 7 6" xfId="23415" xr:uid="{00000000-0005-0000-0000-0000585B0000}"/>
    <cellStyle name="Calculation 17 2 10 8" xfId="23416" xr:uid="{00000000-0005-0000-0000-0000595B0000}"/>
    <cellStyle name="Calculation 17 2 10 9" xfId="23417" xr:uid="{00000000-0005-0000-0000-00005A5B0000}"/>
    <cellStyle name="Calculation 17 2 11" xfId="23418" xr:uid="{00000000-0005-0000-0000-00005B5B0000}"/>
    <cellStyle name="Calculation 17 2 11 10" xfId="23419" xr:uid="{00000000-0005-0000-0000-00005C5B0000}"/>
    <cellStyle name="Calculation 17 2 11 2" xfId="23420" xr:uid="{00000000-0005-0000-0000-00005D5B0000}"/>
    <cellStyle name="Calculation 17 2 11 2 2" xfId="23421" xr:uid="{00000000-0005-0000-0000-00005E5B0000}"/>
    <cellStyle name="Calculation 17 2 11 2 3" xfId="23422" xr:uid="{00000000-0005-0000-0000-00005F5B0000}"/>
    <cellStyle name="Calculation 17 2 11 2 4" xfId="23423" xr:uid="{00000000-0005-0000-0000-0000605B0000}"/>
    <cellStyle name="Calculation 17 2 11 2 5" xfId="23424" xr:uid="{00000000-0005-0000-0000-0000615B0000}"/>
    <cellStyle name="Calculation 17 2 11 2 6" xfId="23425" xr:uid="{00000000-0005-0000-0000-0000625B0000}"/>
    <cellStyle name="Calculation 17 2 11 3" xfId="23426" xr:uid="{00000000-0005-0000-0000-0000635B0000}"/>
    <cellStyle name="Calculation 17 2 11 3 2" xfId="23427" xr:uid="{00000000-0005-0000-0000-0000645B0000}"/>
    <cellStyle name="Calculation 17 2 11 3 3" xfId="23428" xr:uid="{00000000-0005-0000-0000-0000655B0000}"/>
    <cellStyle name="Calculation 17 2 11 3 4" xfId="23429" xr:uid="{00000000-0005-0000-0000-0000665B0000}"/>
    <cellStyle name="Calculation 17 2 11 3 5" xfId="23430" xr:uid="{00000000-0005-0000-0000-0000675B0000}"/>
    <cellStyle name="Calculation 17 2 11 3 6" xfId="23431" xr:uid="{00000000-0005-0000-0000-0000685B0000}"/>
    <cellStyle name="Calculation 17 2 11 4" xfId="23432" xr:uid="{00000000-0005-0000-0000-0000695B0000}"/>
    <cellStyle name="Calculation 17 2 11 4 2" xfId="23433" xr:uid="{00000000-0005-0000-0000-00006A5B0000}"/>
    <cellStyle name="Calculation 17 2 11 4 3" xfId="23434" xr:uid="{00000000-0005-0000-0000-00006B5B0000}"/>
    <cellStyle name="Calculation 17 2 11 4 4" xfId="23435" xr:uid="{00000000-0005-0000-0000-00006C5B0000}"/>
    <cellStyle name="Calculation 17 2 11 4 5" xfId="23436" xr:uid="{00000000-0005-0000-0000-00006D5B0000}"/>
    <cellStyle name="Calculation 17 2 11 4 6" xfId="23437" xr:uid="{00000000-0005-0000-0000-00006E5B0000}"/>
    <cellStyle name="Calculation 17 2 11 5" xfId="23438" xr:uid="{00000000-0005-0000-0000-00006F5B0000}"/>
    <cellStyle name="Calculation 17 2 11 5 2" xfId="23439" xr:uid="{00000000-0005-0000-0000-0000705B0000}"/>
    <cellStyle name="Calculation 17 2 11 5 3" xfId="23440" xr:uid="{00000000-0005-0000-0000-0000715B0000}"/>
    <cellStyle name="Calculation 17 2 11 5 4" xfId="23441" xr:uid="{00000000-0005-0000-0000-0000725B0000}"/>
    <cellStyle name="Calculation 17 2 11 5 5" xfId="23442" xr:uid="{00000000-0005-0000-0000-0000735B0000}"/>
    <cellStyle name="Calculation 17 2 11 5 6" xfId="23443" xr:uid="{00000000-0005-0000-0000-0000745B0000}"/>
    <cellStyle name="Calculation 17 2 11 6" xfId="23444" xr:uid="{00000000-0005-0000-0000-0000755B0000}"/>
    <cellStyle name="Calculation 17 2 11 6 2" xfId="23445" xr:uid="{00000000-0005-0000-0000-0000765B0000}"/>
    <cellStyle name="Calculation 17 2 11 6 3" xfId="23446" xr:uid="{00000000-0005-0000-0000-0000775B0000}"/>
    <cellStyle name="Calculation 17 2 11 6 4" xfId="23447" xr:uid="{00000000-0005-0000-0000-0000785B0000}"/>
    <cellStyle name="Calculation 17 2 11 6 5" xfId="23448" xr:uid="{00000000-0005-0000-0000-0000795B0000}"/>
    <cellStyle name="Calculation 17 2 11 6 6" xfId="23449" xr:uid="{00000000-0005-0000-0000-00007A5B0000}"/>
    <cellStyle name="Calculation 17 2 11 7" xfId="23450" xr:uid="{00000000-0005-0000-0000-00007B5B0000}"/>
    <cellStyle name="Calculation 17 2 11 7 2" xfId="23451" xr:uid="{00000000-0005-0000-0000-00007C5B0000}"/>
    <cellStyle name="Calculation 17 2 11 7 3" xfId="23452" xr:uid="{00000000-0005-0000-0000-00007D5B0000}"/>
    <cellStyle name="Calculation 17 2 11 7 4" xfId="23453" xr:uid="{00000000-0005-0000-0000-00007E5B0000}"/>
    <cellStyle name="Calculation 17 2 11 7 5" xfId="23454" xr:uid="{00000000-0005-0000-0000-00007F5B0000}"/>
    <cellStyle name="Calculation 17 2 11 7 6" xfId="23455" xr:uid="{00000000-0005-0000-0000-0000805B0000}"/>
    <cellStyle name="Calculation 17 2 11 8" xfId="23456" xr:uid="{00000000-0005-0000-0000-0000815B0000}"/>
    <cellStyle name="Calculation 17 2 11 9" xfId="23457" xr:uid="{00000000-0005-0000-0000-0000825B0000}"/>
    <cellStyle name="Calculation 17 2 12" xfId="23458" xr:uid="{00000000-0005-0000-0000-0000835B0000}"/>
    <cellStyle name="Calculation 17 2 12 10" xfId="23459" xr:uid="{00000000-0005-0000-0000-0000845B0000}"/>
    <cellStyle name="Calculation 17 2 12 2" xfId="23460" xr:uid="{00000000-0005-0000-0000-0000855B0000}"/>
    <cellStyle name="Calculation 17 2 12 2 2" xfId="23461" xr:uid="{00000000-0005-0000-0000-0000865B0000}"/>
    <cellStyle name="Calculation 17 2 12 2 3" xfId="23462" xr:uid="{00000000-0005-0000-0000-0000875B0000}"/>
    <cellStyle name="Calculation 17 2 12 2 4" xfId="23463" xr:uid="{00000000-0005-0000-0000-0000885B0000}"/>
    <cellStyle name="Calculation 17 2 12 2 5" xfId="23464" xr:uid="{00000000-0005-0000-0000-0000895B0000}"/>
    <cellStyle name="Calculation 17 2 12 2 6" xfId="23465" xr:uid="{00000000-0005-0000-0000-00008A5B0000}"/>
    <cellStyle name="Calculation 17 2 12 3" xfId="23466" xr:uid="{00000000-0005-0000-0000-00008B5B0000}"/>
    <cellStyle name="Calculation 17 2 12 3 2" xfId="23467" xr:uid="{00000000-0005-0000-0000-00008C5B0000}"/>
    <cellStyle name="Calculation 17 2 12 3 3" xfId="23468" xr:uid="{00000000-0005-0000-0000-00008D5B0000}"/>
    <cellStyle name="Calculation 17 2 12 3 4" xfId="23469" xr:uid="{00000000-0005-0000-0000-00008E5B0000}"/>
    <cellStyle name="Calculation 17 2 12 3 5" xfId="23470" xr:uid="{00000000-0005-0000-0000-00008F5B0000}"/>
    <cellStyle name="Calculation 17 2 12 3 6" xfId="23471" xr:uid="{00000000-0005-0000-0000-0000905B0000}"/>
    <cellStyle name="Calculation 17 2 12 4" xfId="23472" xr:uid="{00000000-0005-0000-0000-0000915B0000}"/>
    <cellStyle name="Calculation 17 2 12 4 2" xfId="23473" xr:uid="{00000000-0005-0000-0000-0000925B0000}"/>
    <cellStyle name="Calculation 17 2 12 4 3" xfId="23474" xr:uid="{00000000-0005-0000-0000-0000935B0000}"/>
    <cellStyle name="Calculation 17 2 12 4 4" xfId="23475" xr:uid="{00000000-0005-0000-0000-0000945B0000}"/>
    <cellStyle name="Calculation 17 2 12 4 5" xfId="23476" xr:uid="{00000000-0005-0000-0000-0000955B0000}"/>
    <cellStyle name="Calculation 17 2 12 4 6" xfId="23477" xr:uid="{00000000-0005-0000-0000-0000965B0000}"/>
    <cellStyle name="Calculation 17 2 12 5" xfId="23478" xr:uid="{00000000-0005-0000-0000-0000975B0000}"/>
    <cellStyle name="Calculation 17 2 12 5 2" xfId="23479" xr:uid="{00000000-0005-0000-0000-0000985B0000}"/>
    <cellStyle name="Calculation 17 2 12 5 3" xfId="23480" xr:uid="{00000000-0005-0000-0000-0000995B0000}"/>
    <cellStyle name="Calculation 17 2 12 5 4" xfId="23481" xr:uid="{00000000-0005-0000-0000-00009A5B0000}"/>
    <cellStyle name="Calculation 17 2 12 5 5" xfId="23482" xr:uid="{00000000-0005-0000-0000-00009B5B0000}"/>
    <cellStyle name="Calculation 17 2 12 5 6" xfId="23483" xr:uid="{00000000-0005-0000-0000-00009C5B0000}"/>
    <cellStyle name="Calculation 17 2 12 6" xfId="23484" xr:uid="{00000000-0005-0000-0000-00009D5B0000}"/>
    <cellStyle name="Calculation 17 2 12 6 2" xfId="23485" xr:uid="{00000000-0005-0000-0000-00009E5B0000}"/>
    <cellStyle name="Calculation 17 2 12 6 3" xfId="23486" xr:uid="{00000000-0005-0000-0000-00009F5B0000}"/>
    <cellStyle name="Calculation 17 2 12 6 4" xfId="23487" xr:uid="{00000000-0005-0000-0000-0000A05B0000}"/>
    <cellStyle name="Calculation 17 2 12 6 5" xfId="23488" xr:uid="{00000000-0005-0000-0000-0000A15B0000}"/>
    <cellStyle name="Calculation 17 2 12 6 6" xfId="23489" xr:uid="{00000000-0005-0000-0000-0000A25B0000}"/>
    <cellStyle name="Calculation 17 2 12 7" xfId="23490" xr:uid="{00000000-0005-0000-0000-0000A35B0000}"/>
    <cellStyle name="Calculation 17 2 12 7 2" xfId="23491" xr:uid="{00000000-0005-0000-0000-0000A45B0000}"/>
    <cellStyle name="Calculation 17 2 12 7 3" xfId="23492" xr:uid="{00000000-0005-0000-0000-0000A55B0000}"/>
    <cellStyle name="Calculation 17 2 12 7 4" xfId="23493" xr:uid="{00000000-0005-0000-0000-0000A65B0000}"/>
    <cellStyle name="Calculation 17 2 12 7 5" xfId="23494" xr:uid="{00000000-0005-0000-0000-0000A75B0000}"/>
    <cellStyle name="Calculation 17 2 12 7 6" xfId="23495" xr:uid="{00000000-0005-0000-0000-0000A85B0000}"/>
    <cellStyle name="Calculation 17 2 12 8" xfId="23496" xr:uid="{00000000-0005-0000-0000-0000A95B0000}"/>
    <cellStyle name="Calculation 17 2 12 9" xfId="23497" xr:uid="{00000000-0005-0000-0000-0000AA5B0000}"/>
    <cellStyle name="Calculation 17 2 13" xfId="23498" xr:uid="{00000000-0005-0000-0000-0000AB5B0000}"/>
    <cellStyle name="Calculation 17 2 13 10" xfId="23499" xr:uid="{00000000-0005-0000-0000-0000AC5B0000}"/>
    <cellStyle name="Calculation 17 2 13 2" xfId="23500" xr:uid="{00000000-0005-0000-0000-0000AD5B0000}"/>
    <cellStyle name="Calculation 17 2 13 2 2" xfId="23501" xr:uid="{00000000-0005-0000-0000-0000AE5B0000}"/>
    <cellStyle name="Calculation 17 2 13 2 3" xfId="23502" xr:uid="{00000000-0005-0000-0000-0000AF5B0000}"/>
    <cellStyle name="Calculation 17 2 13 2 4" xfId="23503" xr:uid="{00000000-0005-0000-0000-0000B05B0000}"/>
    <cellStyle name="Calculation 17 2 13 2 5" xfId="23504" xr:uid="{00000000-0005-0000-0000-0000B15B0000}"/>
    <cellStyle name="Calculation 17 2 13 2 6" xfId="23505" xr:uid="{00000000-0005-0000-0000-0000B25B0000}"/>
    <cellStyle name="Calculation 17 2 13 3" xfId="23506" xr:uid="{00000000-0005-0000-0000-0000B35B0000}"/>
    <cellStyle name="Calculation 17 2 13 3 2" xfId="23507" xr:uid="{00000000-0005-0000-0000-0000B45B0000}"/>
    <cellStyle name="Calculation 17 2 13 3 3" xfId="23508" xr:uid="{00000000-0005-0000-0000-0000B55B0000}"/>
    <cellStyle name="Calculation 17 2 13 3 4" xfId="23509" xr:uid="{00000000-0005-0000-0000-0000B65B0000}"/>
    <cellStyle name="Calculation 17 2 13 3 5" xfId="23510" xr:uid="{00000000-0005-0000-0000-0000B75B0000}"/>
    <cellStyle name="Calculation 17 2 13 3 6" xfId="23511" xr:uid="{00000000-0005-0000-0000-0000B85B0000}"/>
    <cellStyle name="Calculation 17 2 13 4" xfId="23512" xr:uid="{00000000-0005-0000-0000-0000B95B0000}"/>
    <cellStyle name="Calculation 17 2 13 4 2" xfId="23513" xr:uid="{00000000-0005-0000-0000-0000BA5B0000}"/>
    <cellStyle name="Calculation 17 2 13 4 3" xfId="23514" xr:uid="{00000000-0005-0000-0000-0000BB5B0000}"/>
    <cellStyle name="Calculation 17 2 13 4 4" xfId="23515" xr:uid="{00000000-0005-0000-0000-0000BC5B0000}"/>
    <cellStyle name="Calculation 17 2 13 4 5" xfId="23516" xr:uid="{00000000-0005-0000-0000-0000BD5B0000}"/>
    <cellStyle name="Calculation 17 2 13 4 6" xfId="23517" xr:uid="{00000000-0005-0000-0000-0000BE5B0000}"/>
    <cellStyle name="Calculation 17 2 13 5" xfId="23518" xr:uid="{00000000-0005-0000-0000-0000BF5B0000}"/>
    <cellStyle name="Calculation 17 2 13 5 2" xfId="23519" xr:uid="{00000000-0005-0000-0000-0000C05B0000}"/>
    <cellStyle name="Calculation 17 2 13 5 3" xfId="23520" xr:uid="{00000000-0005-0000-0000-0000C15B0000}"/>
    <cellStyle name="Calculation 17 2 13 5 4" xfId="23521" xr:uid="{00000000-0005-0000-0000-0000C25B0000}"/>
    <cellStyle name="Calculation 17 2 13 5 5" xfId="23522" xr:uid="{00000000-0005-0000-0000-0000C35B0000}"/>
    <cellStyle name="Calculation 17 2 13 5 6" xfId="23523" xr:uid="{00000000-0005-0000-0000-0000C45B0000}"/>
    <cellStyle name="Calculation 17 2 13 6" xfId="23524" xr:uid="{00000000-0005-0000-0000-0000C55B0000}"/>
    <cellStyle name="Calculation 17 2 13 6 2" xfId="23525" xr:uid="{00000000-0005-0000-0000-0000C65B0000}"/>
    <cellStyle name="Calculation 17 2 13 6 3" xfId="23526" xr:uid="{00000000-0005-0000-0000-0000C75B0000}"/>
    <cellStyle name="Calculation 17 2 13 6 4" xfId="23527" xr:uid="{00000000-0005-0000-0000-0000C85B0000}"/>
    <cellStyle name="Calculation 17 2 13 6 5" xfId="23528" xr:uid="{00000000-0005-0000-0000-0000C95B0000}"/>
    <cellStyle name="Calculation 17 2 13 6 6" xfId="23529" xr:uid="{00000000-0005-0000-0000-0000CA5B0000}"/>
    <cellStyle name="Calculation 17 2 13 7" xfId="23530" xr:uid="{00000000-0005-0000-0000-0000CB5B0000}"/>
    <cellStyle name="Calculation 17 2 13 7 2" xfId="23531" xr:uid="{00000000-0005-0000-0000-0000CC5B0000}"/>
    <cellStyle name="Calculation 17 2 13 7 3" xfId="23532" xr:uid="{00000000-0005-0000-0000-0000CD5B0000}"/>
    <cellStyle name="Calculation 17 2 13 7 4" xfId="23533" xr:uid="{00000000-0005-0000-0000-0000CE5B0000}"/>
    <cellStyle name="Calculation 17 2 13 7 5" xfId="23534" xr:uid="{00000000-0005-0000-0000-0000CF5B0000}"/>
    <cellStyle name="Calculation 17 2 13 7 6" xfId="23535" xr:uid="{00000000-0005-0000-0000-0000D05B0000}"/>
    <cellStyle name="Calculation 17 2 13 8" xfId="23536" xr:uid="{00000000-0005-0000-0000-0000D15B0000}"/>
    <cellStyle name="Calculation 17 2 13 9" xfId="23537" xr:uid="{00000000-0005-0000-0000-0000D25B0000}"/>
    <cellStyle name="Calculation 17 2 14" xfId="23538" xr:uid="{00000000-0005-0000-0000-0000D35B0000}"/>
    <cellStyle name="Calculation 17 2 14 10" xfId="23539" xr:uid="{00000000-0005-0000-0000-0000D45B0000}"/>
    <cellStyle name="Calculation 17 2 14 2" xfId="23540" xr:uid="{00000000-0005-0000-0000-0000D55B0000}"/>
    <cellStyle name="Calculation 17 2 14 2 2" xfId="23541" xr:uid="{00000000-0005-0000-0000-0000D65B0000}"/>
    <cellStyle name="Calculation 17 2 14 2 3" xfId="23542" xr:uid="{00000000-0005-0000-0000-0000D75B0000}"/>
    <cellStyle name="Calculation 17 2 14 2 4" xfId="23543" xr:uid="{00000000-0005-0000-0000-0000D85B0000}"/>
    <cellStyle name="Calculation 17 2 14 2 5" xfId="23544" xr:uid="{00000000-0005-0000-0000-0000D95B0000}"/>
    <cellStyle name="Calculation 17 2 14 2 6" xfId="23545" xr:uid="{00000000-0005-0000-0000-0000DA5B0000}"/>
    <cellStyle name="Calculation 17 2 14 3" xfId="23546" xr:uid="{00000000-0005-0000-0000-0000DB5B0000}"/>
    <cellStyle name="Calculation 17 2 14 3 2" xfId="23547" xr:uid="{00000000-0005-0000-0000-0000DC5B0000}"/>
    <cellStyle name="Calculation 17 2 14 3 3" xfId="23548" xr:uid="{00000000-0005-0000-0000-0000DD5B0000}"/>
    <cellStyle name="Calculation 17 2 14 3 4" xfId="23549" xr:uid="{00000000-0005-0000-0000-0000DE5B0000}"/>
    <cellStyle name="Calculation 17 2 14 3 5" xfId="23550" xr:uid="{00000000-0005-0000-0000-0000DF5B0000}"/>
    <cellStyle name="Calculation 17 2 14 3 6" xfId="23551" xr:uid="{00000000-0005-0000-0000-0000E05B0000}"/>
    <cellStyle name="Calculation 17 2 14 4" xfId="23552" xr:uid="{00000000-0005-0000-0000-0000E15B0000}"/>
    <cellStyle name="Calculation 17 2 14 4 2" xfId="23553" xr:uid="{00000000-0005-0000-0000-0000E25B0000}"/>
    <cellStyle name="Calculation 17 2 14 4 3" xfId="23554" xr:uid="{00000000-0005-0000-0000-0000E35B0000}"/>
    <cellStyle name="Calculation 17 2 14 4 4" xfId="23555" xr:uid="{00000000-0005-0000-0000-0000E45B0000}"/>
    <cellStyle name="Calculation 17 2 14 4 5" xfId="23556" xr:uid="{00000000-0005-0000-0000-0000E55B0000}"/>
    <cellStyle name="Calculation 17 2 14 4 6" xfId="23557" xr:uid="{00000000-0005-0000-0000-0000E65B0000}"/>
    <cellStyle name="Calculation 17 2 14 5" xfId="23558" xr:uid="{00000000-0005-0000-0000-0000E75B0000}"/>
    <cellStyle name="Calculation 17 2 14 5 2" xfId="23559" xr:uid="{00000000-0005-0000-0000-0000E85B0000}"/>
    <cellStyle name="Calculation 17 2 14 5 3" xfId="23560" xr:uid="{00000000-0005-0000-0000-0000E95B0000}"/>
    <cellStyle name="Calculation 17 2 14 5 4" xfId="23561" xr:uid="{00000000-0005-0000-0000-0000EA5B0000}"/>
    <cellStyle name="Calculation 17 2 14 5 5" xfId="23562" xr:uid="{00000000-0005-0000-0000-0000EB5B0000}"/>
    <cellStyle name="Calculation 17 2 14 5 6" xfId="23563" xr:uid="{00000000-0005-0000-0000-0000EC5B0000}"/>
    <cellStyle name="Calculation 17 2 14 6" xfId="23564" xr:uid="{00000000-0005-0000-0000-0000ED5B0000}"/>
    <cellStyle name="Calculation 17 2 14 6 2" xfId="23565" xr:uid="{00000000-0005-0000-0000-0000EE5B0000}"/>
    <cellStyle name="Calculation 17 2 14 6 3" xfId="23566" xr:uid="{00000000-0005-0000-0000-0000EF5B0000}"/>
    <cellStyle name="Calculation 17 2 14 6 4" xfId="23567" xr:uid="{00000000-0005-0000-0000-0000F05B0000}"/>
    <cellStyle name="Calculation 17 2 14 6 5" xfId="23568" xr:uid="{00000000-0005-0000-0000-0000F15B0000}"/>
    <cellStyle name="Calculation 17 2 14 6 6" xfId="23569" xr:uid="{00000000-0005-0000-0000-0000F25B0000}"/>
    <cellStyle name="Calculation 17 2 14 7" xfId="23570" xr:uid="{00000000-0005-0000-0000-0000F35B0000}"/>
    <cellStyle name="Calculation 17 2 14 7 2" xfId="23571" xr:uid="{00000000-0005-0000-0000-0000F45B0000}"/>
    <cellStyle name="Calculation 17 2 14 7 3" xfId="23572" xr:uid="{00000000-0005-0000-0000-0000F55B0000}"/>
    <cellStyle name="Calculation 17 2 14 7 4" xfId="23573" xr:uid="{00000000-0005-0000-0000-0000F65B0000}"/>
    <cellStyle name="Calculation 17 2 14 7 5" xfId="23574" xr:uid="{00000000-0005-0000-0000-0000F75B0000}"/>
    <cellStyle name="Calculation 17 2 14 7 6" xfId="23575" xr:uid="{00000000-0005-0000-0000-0000F85B0000}"/>
    <cellStyle name="Calculation 17 2 14 8" xfId="23576" xr:uid="{00000000-0005-0000-0000-0000F95B0000}"/>
    <cellStyle name="Calculation 17 2 14 9" xfId="23577" xr:uid="{00000000-0005-0000-0000-0000FA5B0000}"/>
    <cellStyle name="Calculation 17 2 15" xfId="23578" xr:uid="{00000000-0005-0000-0000-0000FB5B0000}"/>
    <cellStyle name="Calculation 17 2 15 10" xfId="23579" xr:uid="{00000000-0005-0000-0000-0000FC5B0000}"/>
    <cellStyle name="Calculation 17 2 15 2" xfId="23580" xr:uid="{00000000-0005-0000-0000-0000FD5B0000}"/>
    <cellStyle name="Calculation 17 2 15 2 2" xfId="23581" xr:uid="{00000000-0005-0000-0000-0000FE5B0000}"/>
    <cellStyle name="Calculation 17 2 15 2 3" xfId="23582" xr:uid="{00000000-0005-0000-0000-0000FF5B0000}"/>
    <cellStyle name="Calculation 17 2 15 2 4" xfId="23583" xr:uid="{00000000-0005-0000-0000-0000005C0000}"/>
    <cellStyle name="Calculation 17 2 15 2 5" xfId="23584" xr:uid="{00000000-0005-0000-0000-0000015C0000}"/>
    <cellStyle name="Calculation 17 2 15 2 6" xfId="23585" xr:uid="{00000000-0005-0000-0000-0000025C0000}"/>
    <cellStyle name="Calculation 17 2 15 3" xfId="23586" xr:uid="{00000000-0005-0000-0000-0000035C0000}"/>
    <cellStyle name="Calculation 17 2 15 3 2" xfId="23587" xr:uid="{00000000-0005-0000-0000-0000045C0000}"/>
    <cellStyle name="Calculation 17 2 15 3 3" xfId="23588" xr:uid="{00000000-0005-0000-0000-0000055C0000}"/>
    <cellStyle name="Calculation 17 2 15 3 4" xfId="23589" xr:uid="{00000000-0005-0000-0000-0000065C0000}"/>
    <cellStyle name="Calculation 17 2 15 3 5" xfId="23590" xr:uid="{00000000-0005-0000-0000-0000075C0000}"/>
    <cellStyle name="Calculation 17 2 15 3 6" xfId="23591" xr:uid="{00000000-0005-0000-0000-0000085C0000}"/>
    <cellStyle name="Calculation 17 2 15 4" xfId="23592" xr:uid="{00000000-0005-0000-0000-0000095C0000}"/>
    <cellStyle name="Calculation 17 2 15 4 2" xfId="23593" xr:uid="{00000000-0005-0000-0000-00000A5C0000}"/>
    <cellStyle name="Calculation 17 2 15 4 3" xfId="23594" xr:uid="{00000000-0005-0000-0000-00000B5C0000}"/>
    <cellStyle name="Calculation 17 2 15 4 4" xfId="23595" xr:uid="{00000000-0005-0000-0000-00000C5C0000}"/>
    <cellStyle name="Calculation 17 2 15 4 5" xfId="23596" xr:uid="{00000000-0005-0000-0000-00000D5C0000}"/>
    <cellStyle name="Calculation 17 2 15 4 6" xfId="23597" xr:uid="{00000000-0005-0000-0000-00000E5C0000}"/>
    <cellStyle name="Calculation 17 2 15 5" xfId="23598" xr:uid="{00000000-0005-0000-0000-00000F5C0000}"/>
    <cellStyle name="Calculation 17 2 15 5 2" xfId="23599" xr:uid="{00000000-0005-0000-0000-0000105C0000}"/>
    <cellStyle name="Calculation 17 2 15 5 3" xfId="23600" xr:uid="{00000000-0005-0000-0000-0000115C0000}"/>
    <cellStyle name="Calculation 17 2 15 5 4" xfId="23601" xr:uid="{00000000-0005-0000-0000-0000125C0000}"/>
    <cellStyle name="Calculation 17 2 15 5 5" xfId="23602" xr:uid="{00000000-0005-0000-0000-0000135C0000}"/>
    <cellStyle name="Calculation 17 2 15 5 6" xfId="23603" xr:uid="{00000000-0005-0000-0000-0000145C0000}"/>
    <cellStyle name="Calculation 17 2 15 6" xfId="23604" xr:uid="{00000000-0005-0000-0000-0000155C0000}"/>
    <cellStyle name="Calculation 17 2 15 6 2" xfId="23605" xr:uid="{00000000-0005-0000-0000-0000165C0000}"/>
    <cellStyle name="Calculation 17 2 15 6 3" xfId="23606" xr:uid="{00000000-0005-0000-0000-0000175C0000}"/>
    <cellStyle name="Calculation 17 2 15 6 4" xfId="23607" xr:uid="{00000000-0005-0000-0000-0000185C0000}"/>
    <cellStyle name="Calculation 17 2 15 6 5" xfId="23608" xr:uid="{00000000-0005-0000-0000-0000195C0000}"/>
    <cellStyle name="Calculation 17 2 15 6 6" xfId="23609" xr:uid="{00000000-0005-0000-0000-00001A5C0000}"/>
    <cellStyle name="Calculation 17 2 15 7" xfId="23610" xr:uid="{00000000-0005-0000-0000-00001B5C0000}"/>
    <cellStyle name="Calculation 17 2 15 7 2" xfId="23611" xr:uid="{00000000-0005-0000-0000-00001C5C0000}"/>
    <cellStyle name="Calculation 17 2 15 7 3" xfId="23612" xr:uid="{00000000-0005-0000-0000-00001D5C0000}"/>
    <cellStyle name="Calculation 17 2 15 7 4" xfId="23613" xr:uid="{00000000-0005-0000-0000-00001E5C0000}"/>
    <cellStyle name="Calculation 17 2 15 7 5" xfId="23614" xr:uid="{00000000-0005-0000-0000-00001F5C0000}"/>
    <cellStyle name="Calculation 17 2 15 7 6" xfId="23615" xr:uid="{00000000-0005-0000-0000-0000205C0000}"/>
    <cellStyle name="Calculation 17 2 15 8" xfId="23616" xr:uid="{00000000-0005-0000-0000-0000215C0000}"/>
    <cellStyle name="Calculation 17 2 15 9" xfId="23617" xr:uid="{00000000-0005-0000-0000-0000225C0000}"/>
    <cellStyle name="Calculation 17 2 16" xfId="23618" xr:uid="{00000000-0005-0000-0000-0000235C0000}"/>
    <cellStyle name="Calculation 17 2 16 10" xfId="23619" xr:uid="{00000000-0005-0000-0000-0000245C0000}"/>
    <cellStyle name="Calculation 17 2 16 2" xfId="23620" xr:uid="{00000000-0005-0000-0000-0000255C0000}"/>
    <cellStyle name="Calculation 17 2 16 2 2" xfId="23621" xr:uid="{00000000-0005-0000-0000-0000265C0000}"/>
    <cellStyle name="Calculation 17 2 16 2 3" xfId="23622" xr:uid="{00000000-0005-0000-0000-0000275C0000}"/>
    <cellStyle name="Calculation 17 2 16 2 4" xfId="23623" xr:uid="{00000000-0005-0000-0000-0000285C0000}"/>
    <cellStyle name="Calculation 17 2 16 2 5" xfId="23624" xr:uid="{00000000-0005-0000-0000-0000295C0000}"/>
    <cellStyle name="Calculation 17 2 16 2 6" xfId="23625" xr:uid="{00000000-0005-0000-0000-00002A5C0000}"/>
    <cellStyle name="Calculation 17 2 16 3" xfId="23626" xr:uid="{00000000-0005-0000-0000-00002B5C0000}"/>
    <cellStyle name="Calculation 17 2 16 3 2" xfId="23627" xr:uid="{00000000-0005-0000-0000-00002C5C0000}"/>
    <cellStyle name="Calculation 17 2 16 3 3" xfId="23628" xr:uid="{00000000-0005-0000-0000-00002D5C0000}"/>
    <cellStyle name="Calculation 17 2 16 3 4" xfId="23629" xr:uid="{00000000-0005-0000-0000-00002E5C0000}"/>
    <cellStyle name="Calculation 17 2 16 3 5" xfId="23630" xr:uid="{00000000-0005-0000-0000-00002F5C0000}"/>
    <cellStyle name="Calculation 17 2 16 3 6" xfId="23631" xr:uid="{00000000-0005-0000-0000-0000305C0000}"/>
    <cellStyle name="Calculation 17 2 16 4" xfId="23632" xr:uid="{00000000-0005-0000-0000-0000315C0000}"/>
    <cellStyle name="Calculation 17 2 16 4 2" xfId="23633" xr:uid="{00000000-0005-0000-0000-0000325C0000}"/>
    <cellStyle name="Calculation 17 2 16 4 3" xfId="23634" xr:uid="{00000000-0005-0000-0000-0000335C0000}"/>
    <cellStyle name="Calculation 17 2 16 4 4" xfId="23635" xr:uid="{00000000-0005-0000-0000-0000345C0000}"/>
    <cellStyle name="Calculation 17 2 16 4 5" xfId="23636" xr:uid="{00000000-0005-0000-0000-0000355C0000}"/>
    <cellStyle name="Calculation 17 2 16 4 6" xfId="23637" xr:uid="{00000000-0005-0000-0000-0000365C0000}"/>
    <cellStyle name="Calculation 17 2 16 5" xfId="23638" xr:uid="{00000000-0005-0000-0000-0000375C0000}"/>
    <cellStyle name="Calculation 17 2 16 5 2" xfId="23639" xr:uid="{00000000-0005-0000-0000-0000385C0000}"/>
    <cellStyle name="Calculation 17 2 16 5 3" xfId="23640" xr:uid="{00000000-0005-0000-0000-0000395C0000}"/>
    <cellStyle name="Calculation 17 2 16 5 4" xfId="23641" xr:uid="{00000000-0005-0000-0000-00003A5C0000}"/>
    <cellStyle name="Calculation 17 2 16 5 5" xfId="23642" xr:uid="{00000000-0005-0000-0000-00003B5C0000}"/>
    <cellStyle name="Calculation 17 2 16 5 6" xfId="23643" xr:uid="{00000000-0005-0000-0000-00003C5C0000}"/>
    <cellStyle name="Calculation 17 2 16 6" xfId="23644" xr:uid="{00000000-0005-0000-0000-00003D5C0000}"/>
    <cellStyle name="Calculation 17 2 16 6 2" xfId="23645" xr:uid="{00000000-0005-0000-0000-00003E5C0000}"/>
    <cellStyle name="Calculation 17 2 16 6 3" xfId="23646" xr:uid="{00000000-0005-0000-0000-00003F5C0000}"/>
    <cellStyle name="Calculation 17 2 16 6 4" xfId="23647" xr:uid="{00000000-0005-0000-0000-0000405C0000}"/>
    <cellStyle name="Calculation 17 2 16 6 5" xfId="23648" xr:uid="{00000000-0005-0000-0000-0000415C0000}"/>
    <cellStyle name="Calculation 17 2 16 6 6" xfId="23649" xr:uid="{00000000-0005-0000-0000-0000425C0000}"/>
    <cellStyle name="Calculation 17 2 16 7" xfId="23650" xr:uid="{00000000-0005-0000-0000-0000435C0000}"/>
    <cellStyle name="Calculation 17 2 16 7 2" xfId="23651" xr:uid="{00000000-0005-0000-0000-0000445C0000}"/>
    <cellStyle name="Calculation 17 2 16 7 3" xfId="23652" xr:uid="{00000000-0005-0000-0000-0000455C0000}"/>
    <cellStyle name="Calculation 17 2 16 7 4" xfId="23653" xr:uid="{00000000-0005-0000-0000-0000465C0000}"/>
    <cellStyle name="Calculation 17 2 16 7 5" xfId="23654" xr:uid="{00000000-0005-0000-0000-0000475C0000}"/>
    <cellStyle name="Calculation 17 2 16 7 6" xfId="23655" xr:uid="{00000000-0005-0000-0000-0000485C0000}"/>
    <cellStyle name="Calculation 17 2 16 8" xfId="23656" xr:uid="{00000000-0005-0000-0000-0000495C0000}"/>
    <cellStyle name="Calculation 17 2 16 9" xfId="23657" xr:uid="{00000000-0005-0000-0000-00004A5C0000}"/>
    <cellStyle name="Calculation 17 2 17" xfId="23658" xr:uid="{00000000-0005-0000-0000-00004B5C0000}"/>
    <cellStyle name="Calculation 17 2 17 10" xfId="23659" xr:uid="{00000000-0005-0000-0000-00004C5C0000}"/>
    <cellStyle name="Calculation 17 2 17 2" xfId="23660" xr:uid="{00000000-0005-0000-0000-00004D5C0000}"/>
    <cellStyle name="Calculation 17 2 17 2 2" xfId="23661" xr:uid="{00000000-0005-0000-0000-00004E5C0000}"/>
    <cellStyle name="Calculation 17 2 17 2 3" xfId="23662" xr:uid="{00000000-0005-0000-0000-00004F5C0000}"/>
    <cellStyle name="Calculation 17 2 17 2 4" xfId="23663" xr:uid="{00000000-0005-0000-0000-0000505C0000}"/>
    <cellStyle name="Calculation 17 2 17 2 5" xfId="23664" xr:uid="{00000000-0005-0000-0000-0000515C0000}"/>
    <cellStyle name="Calculation 17 2 17 2 6" xfId="23665" xr:uid="{00000000-0005-0000-0000-0000525C0000}"/>
    <cellStyle name="Calculation 17 2 17 3" xfId="23666" xr:uid="{00000000-0005-0000-0000-0000535C0000}"/>
    <cellStyle name="Calculation 17 2 17 3 2" xfId="23667" xr:uid="{00000000-0005-0000-0000-0000545C0000}"/>
    <cellStyle name="Calculation 17 2 17 3 3" xfId="23668" xr:uid="{00000000-0005-0000-0000-0000555C0000}"/>
    <cellStyle name="Calculation 17 2 17 3 4" xfId="23669" xr:uid="{00000000-0005-0000-0000-0000565C0000}"/>
    <cellStyle name="Calculation 17 2 17 3 5" xfId="23670" xr:uid="{00000000-0005-0000-0000-0000575C0000}"/>
    <cellStyle name="Calculation 17 2 17 3 6" xfId="23671" xr:uid="{00000000-0005-0000-0000-0000585C0000}"/>
    <cellStyle name="Calculation 17 2 17 4" xfId="23672" xr:uid="{00000000-0005-0000-0000-0000595C0000}"/>
    <cellStyle name="Calculation 17 2 17 4 2" xfId="23673" xr:uid="{00000000-0005-0000-0000-00005A5C0000}"/>
    <cellStyle name="Calculation 17 2 17 4 3" xfId="23674" xr:uid="{00000000-0005-0000-0000-00005B5C0000}"/>
    <cellStyle name="Calculation 17 2 17 4 4" xfId="23675" xr:uid="{00000000-0005-0000-0000-00005C5C0000}"/>
    <cellStyle name="Calculation 17 2 17 4 5" xfId="23676" xr:uid="{00000000-0005-0000-0000-00005D5C0000}"/>
    <cellStyle name="Calculation 17 2 17 4 6" xfId="23677" xr:uid="{00000000-0005-0000-0000-00005E5C0000}"/>
    <cellStyle name="Calculation 17 2 17 5" xfId="23678" xr:uid="{00000000-0005-0000-0000-00005F5C0000}"/>
    <cellStyle name="Calculation 17 2 17 5 2" xfId="23679" xr:uid="{00000000-0005-0000-0000-0000605C0000}"/>
    <cellStyle name="Calculation 17 2 17 5 3" xfId="23680" xr:uid="{00000000-0005-0000-0000-0000615C0000}"/>
    <cellStyle name="Calculation 17 2 17 5 4" xfId="23681" xr:uid="{00000000-0005-0000-0000-0000625C0000}"/>
    <cellStyle name="Calculation 17 2 17 5 5" xfId="23682" xr:uid="{00000000-0005-0000-0000-0000635C0000}"/>
    <cellStyle name="Calculation 17 2 17 5 6" xfId="23683" xr:uid="{00000000-0005-0000-0000-0000645C0000}"/>
    <cellStyle name="Calculation 17 2 17 6" xfId="23684" xr:uid="{00000000-0005-0000-0000-0000655C0000}"/>
    <cellStyle name="Calculation 17 2 17 6 2" xfId="23685" xr:uid="{00000000-0005-0000-0000-0000665C0000}"/>
    <cellStyle name="Calculation 17 2 17 6 3" xfId="23686" xr:uid="{00000000-0005-0000-0000-0000675C0000}"/>
    <cellStyle name="Calculation 17 2 17 6 4" xfId="23687" xr:uid="{00000000-0005-0000-0000-0000685C0000}"/>
    <cellStyle name="Calculation 17 2 17 6 5" xfId="23688" xr:uid="{00000000-0005-0000-0000-0000695C0000}"/>
    <cellStyle name="Calculation 17 2 17 6 6" xfId="23689" xr:uid="{00000000-0005-0000-0000-00006A5C0000}"/>
    <cellStyle name="Calculation 17 2 17 7" xfId="23690" xr:uid="{00000000-0005-0000-0000-00006B5C0000}"/>
    <cellStyle name="Calculation 17 2 17 7 2" xfId="23691" xr:uid="{00000000-0005-0000-0000-00006C5C0000}"/>
    <cellStyle name="Calculation 17 2 17 7 3" xfId="23692" xr:uid="{00000000-0005-0000-0000-00006D5C0000}"/>
    <cellStyle name="Calculation 17 2 17 7 4" xfId="23693" xr:uid="{00000000-0005-0000-0000-00006E5C0000}"/>
    <cellStyle name="Calculation 17 2 17 7 5" xfId="23694" xr:uid="{00000000-0005-0000-0000-00006F5C0000}"/>
    <cellStyle name="Calculation 17 2 17 7 6" xfId="23695" xr:uid="{00000000-0005-0000-0000-0000705C0000}"/>
    <cellStyle name="Calculation 17 2 17 8" xfId="23696" xr:uid="{00000000-0005-0000-0000-0000715C0000}"/>
    <cellStyle name="Calculation 17 2 17 9" xfId="23697" xr:uid="{00000000-0005-0000-0000-0000725C0000}"/>
    <cellStyle name="Calculation 17 2 18" xfId="23698" xr:uid="{00000000-0005-0000-0000-0000735C0000}"/>
    <cellStyle name="Calculation 17 2 18 10" xfId="23699" xr:uid="{00000000-0005-0000-0000-0000745C0000}"/>
    <cellStyle name="Calculation 17 2 18 2" xfId="23700" xr:uid="{00000000-0005-0000-0000-0000755C0000}"/>
    <cellStyle name="Calculation 17 2 18 2 2" xfId="23701" xr:uid="{00000000-0005-0000-0000-0000765C0000}"/>
    <cellStyle name="Calculation 17 2 18 2 3" xfId="23702" xr:uid="{00000000-0005-0000-0000-0000775C0000}"/>
    <cellStyle name="Calculation 17 2 18 2 4" xfId="23703" xr:uid="{00000000-0005-0000-0000-0000785C0000}"/>
    <cellStyle name="Calculation 17 2 18 2 5" xfId="23704" xr:uid="{00000000-0005-0000-0000-0000795C0000}"/>
    <cellStyle name="Calculation 17 2 18 2 6" xfId="23705" xr:uid="{00000000-0005-0000-0000-00007A5C0000}"/>
    <cellStyle name="Calculation 17 2 18 3" xfId="23706" xr:uid="{00000000-0005-0000-0000-00007B5C0000}"/>
    <cellStyle name="Calculation 17 2 18 3 2" xfId="23707" xr:uid="{00000000-0005-0000-0000-00007C5C0000}"/>
    <cellStyle name="Calculation 17 2 18 3 3" xfId="23708" xr:uid="{00000000-0005-0000-0000-00007D5C0000}"/>
    <cellStyle name="Calculation 17 2 18 3 4" xfId="23709" xr:uid="{00000000-0005-0000-0000-00007E5C0000}"/>
    <cellStyle name="Calculation 17 2 18 3 5" xfId="23710" xr:uid="{00000000-0005-0000-0000-00007F5C0000}"/>
    <cellStyle name="Calculation 17 2 18 3 6" xfId="23711" xr:uid="{00000000-0005-0000-0000-0000805C0000}"/>
    <cellStyle name="Calculation 17 2 18 4" xfId="23712" xr:uid="{00000000-0005-0000-0000-0000815C0000}"/>
    <cellStyle name="Calculation 17 2 18 4 2" xfId="23713" xr:uid="{00000000-0005-0000-0000-0000825C0000}"/>
    <cellStyle name="Calculation 17 2 18 4 3" xfId="23714" xr:uid="{00000000-0005-0000-0000-0000835C0000}"/>
    <cellStyle name="Calculation 17 2 18 4 4" xfId="23715" xr:uid="{00000000-0005-0000-0000-0000845C0000}"/>
    <cellStyle name="Calculation 17 2 18 4 5" xfId="23716" xr:uid="{00000000-0005-0000-0000-0000855C0000}"/>
    <cellStyle name="Calculation 17 2 18 4 6" xfId="23717" xr:uid="{00000000-0005-0000-0000-0000865C0000}"/>
    <cellStyle name="Calculation 17 2 18 5" xfId="23718" xr:uid="{00000000-0005-0000-0000-0000875C0000}"/>
    <cellStyle name="Calculation 17 2 18 5 2" xfId="23719" xr:uid="{00000000-0005-0000-0000-0000885C0000}"/>
    <cellStyle name="Calculation 17 2 18 5 3" xfId="23720" xr:uid="{00000000-0005-0000-0000-0000895C0000}"/>
    <cellStyle name="Calculation 17 2 18 5 4" xfId="23721" xr:uid="{00000000-0005-0000-0000-00008A5C0000}"/>
    <cellStyle name="Calculation 17 2 18 5 5" xfId="23722" xr:uid="{00000000-0005-0000-0000-00008B5C0000}"/>
    <cellStyle name="Calculation 17 2 18 5 6" xfId="23723" xr:uid="{00000000-0005-0000-0000-00008C5C0000}"/>
    <cellStyle name="Calculation 17 2 18 6" xfId="23724" xr:uid="{00000000-0005-0000-0000-00008D5C0000}"/>
    <cellStyle name="Calculation 17 2 18 6 2" xfId="23725" xr:uid="{00000000-0005-0000-0000-00008E5C0000}"/>
    <cellStyle name="Calculation 17 2 18 6 3" xfId="23726" xr:uid="{00000000-0005-0000-0000-00008F5C0000}"/>
    <cellStyle name="Calculation 17 2 18 6 4" xfId="23727" xr:uid="{00000000-0005-0000-0000-0000905C0000}"/>
    <cellStyle name="Calculation 17 2 18 6 5" xfId="23728" xr:uid="{00000000-0005-0000-0000-0000915C0000}"/>
    <cellStyle name="Calculation 17 2 18 6 6" xfId="23729" xr:uid="{00000000-0005-0000-0000-0000925C0000}"/>
    <cellStyle name="Calculation 17 2 18 7" xfId="23730" xr:uid="{00000000-0005-0000-0000-0000935C0000}"/>
    <cellStyle name="Calculation 17 2 18 7 2" xfId="23731" xr:uid="{00000000-0005-0000-0000-0000945C0000}"/>
    <cellStyle name="Calculation 17 2 18 7 3" xfId="23732" xr:uid="{00000000-0005-0000-0000-0000955C0000}"/>
    <cellStyle name="Calculation 17 2 18 7 4" xfId="23733" xr:uid="{00000000-0005-0000-0000-0000965C0000}"/>
    <cellStyle name="Calculation 17 2 18 7 5" xfId="23734" xr:uid="{00000000-0005-0000-0000-0000975C0000}"/>
    <cellStyle name="Calculation 17 2 18 7 6" xfId="23735" xr:uid="{00000000-0005-0000-0000-0000985C0000}"/>
    <cellStyle name="Calculation 17 2 18 8" xfId="23736" xr:uid="{00000000-0005-0000-0000-0000995C0000}"/>
    <cellStyle name="Calculation 17 2 18 9" xfId="23737" xr:uid="{00000000-0005-0000-0000-00009A5C0000}"/>
    <cellStyle name="Calculation 17 2 19" xfId="23738" xr:uid="{00000000-0005-0000-0000-00009B5C0000}"/>
    <cellStyle name="Calculation 17 2 19 10" xfId="23739" xr:uid="{00000000-0005-0000-0000-00009C5C0000}"/>
    <cellStyle name="Calculation 17 2 19 2" xfId="23740" xr:uid="{00000000-0005-0000-0000-00009D5C0000}"/>
    <cellStyle name="Calculation 17 2 19 2 2" xfId="23741" xr:uid="{00000000-0005-0000-0000-00009E5C0000}"/>
    <cellStyle name="Calculation 17 2 19 2 3" xfId="23742" xr:uid="{00000000-0005-0000-0000-00009F5C0000}"/>
    <cellStyle name="Calculation 17 2 19 2 4" xfId="23743" xr:uid="{00000000-0005-0000-0000-0000A05C0000}"/>
    <cellStyle name="Calculation 17 2 19 2 5" xfId="23744" xr:uid="{00000000-0005-0000-0000-0000A15C0000}"/>
    <cellStyle name="Calculation 17 2 19 2 6" xfId="23745" xr:uid="{00000000-0005-0000-0000-0000A25C0000}"/>
    <cellStyle name="Calculation 17 2 19 3" xfId="23746" xr:uid="{00000000-0005-0000-0000-0000A35C0000}"/>
    <cellStyle name="Calculation 17 2 19 3 2" xfId="23747" xr:uid="{00000000-0005-0000-0000-0000A45C0000}"/>
    <cellStyle name="Calculation 17 2 19 3 3" xfId="23748" xr:uid="{00000000-0005-0000-0000-0000A55C0000}"/>
    <cellStyle name="Calculation 17 2 19 3 4" xfId="23749" xr:uid="{00000000-0005-0000-0000-0000A65C0000}"/>
    <cellStyle name="Calculation 17 2 19 3 5" xfId="23750" xr:uid="{00000000-0005-0000-0000-0000A75C0000}"/>
    <cellStyle name="Calculation 17 2 19 3 6" xfId="23751" xr:uid="{00000000-0005-0000-0000-0000A85C0000}"/>
    <cellStyle name="Calculation 17 2 19 4" xfId="23752" xr:uid="{00000000-0005-0000-0000-0000A95C0000}"/>
    <cellStyle name="Calculation 17 2 19 4 2" xfId="23753" xr:uid="{00000000-0005-0000-0000-0000AA5C0000}"/>
    <cellStyle name="Calculation 17 2 19 4 3" xfId="23754" xr:uid="{00000000-0005-0000-0000-0000AB5C0000}"/>
    <cellStyle name="Calculation 17 2 19 4 4" xfId="23755" xr:uid="{00000000-0005-0000-0000-0000AC5C0000}"/>
    <cellStyle name="Calculation 17 2 19 4 5" xfId="23756" xr:uid="{00000000-0005-0000-0000-0000AD5C0000}"/>
    <cellStyle name="Calculation 17 2 19 4 6" xfId="23757" xr:uid="{00000000-0005-0000-0000-0000AE5C0000}"/>
    <cellStyle name="Calculation 17 2 19 5" xfId="23758" xr:uid="{00000000-0005-0000-0000-0000AF5C0000}"/>
    <cellStyle name="Calculation 17 2 19 5 2" xfId="23759" xr:uid="{00000000-0005-0000-0000-0000B05C0000}"/>
    <cellStyle name="Calculation 17 2 19 5 3" xfId="23760" xr:uid="{00000000-0005-0000-0000-0000B15C0000}"/>
    <cellStyle name="Calculation 17 2 19 5 4" xfId="23761" xr:uid="{00000000-0005-0000-0000-0000B25C0000}"/>
    <cellStyle name="Calculation 17 2 19 5 5" xfId="23762" xr:uid="{00000000-0005-0000-0000-0000B35C0000}"/>
    <cellStyle name="Calculation 17 2 19 5 6" xfId="23763" xr:uid="{00000000-0005-0000-0000-0000B45C0000}"/>
    <cellStyle name="Calculation 17 2 19 6" xfId="23764" xr:uid="{00000000-0005-0000-0000-0000B55C0000}"/>
    <cellStyle name="Calculation 17 2 19 6 2" xfId="23765" xr:uid="{00000000-0005-0000-0000-0000B65C0000}"/>
    <cellStyle name="Calculation 17 2 19 6 3" xfId="23766" xr:uid="{00000000-0005-0000-0000-0000B75C0000}"/>
    <cellStyle name="Calculation 17 2 19 6 4" xfId="23767" xr:uid="{00000000-0005-0000-0000-0000B85C0000}"/>
    <cellStyle name="Calculation 17 2 19 6 5" xfId="23768" xr:uid="{00000000-0005-0000-0000-0000B95C0000}"/>
    <cellStyle name="Calculation 17 2 19 6 6" xfId="23769" xr:uid="{00000000-0005-0000-0000-0000BA5C0000}"/>
    <cellStyle name="Calculation 17 2 19 7" xfId="23770" xr:uid="{00000000-0005-0000-0000-0000BB5C0000}"/>
    <cellStyle name="Calculation 17 2 19 7 2" xfId="23771" xr:uid="{00000000-0005-0000-0000-0000BC5C0000}"/>
    <cellStyle name="Calculation 17 2 19 7 3" xfId="23772" xr:uid="{00000000-0005-0000-0000-0000BD5C0000}"/>
    <cellStyle name="Calculation 17 2 19 7 4" xfId="23773" xr:uid="{00000000-0005-0000-0000-0000BE5C0000}"/>
    <cellStyle name="Calculation 17 2 19 7 5" xfId="23774" xr:uid="{00000000-0005-0000-0000-0000BF5C0000}"/>
    <cellStyle name="Calculation 17 2 19 7 6" xfId="23775" xr:uid="{00000000-0005-0000-0000-0000C05C0000}"/>
    <cellStyle name="Calculation 17 2 19 8" xfId="23776" xr:uid="{00000000-0005-0000-0000-0000C15C0000}"/>
    <cellStyle name="Calculation 17 2 19 9" xfId="23777" xr:uid="{00000000-0005-0000-0000-0000C25C0000}"/>
    <cellStyle name="Calculation 17 2 2" xfId="23778" xr:uid="{00000000-0005-0000-0000-0000C35C0000}"/>
    <cellStyle name="Calculation 17 2 2 10" xfId="23779" xr:uid="{00000000-0005-0000-0000-0000C45C0000}"/>
    <cellStyle name="Calculation 17 2 2 2" xfId="23780" xr:uid="{00000000-0005-0000-0000-0000C55C0000}"/>
    <cellStyle name="Calculation 17 2 2 2 2" xfId="23781" xr:uid="{00000000-0005-0000-0000-0000C65C0000}"/>
    <cellStyle name="Calculation 17 2 2 2 3" xfId="23782" xr:uid="{00000000-0005-0000-0000-0000C75C0000}"/>
    <cellStyle name="Calculation 17 2 2 2 4" xfId="23783" xr:uid="{00000000-0005-0000-0000-0000C85C0000}"/>
    <cellStyle name="Calculation 17 2 2 2 5" xfId="23784" xr:uid="{00000000-0005-0000-0000-0000C95C0000}"/>
    <cellStyle name="Calculation 17 2 2 2 6" xfId="23785" xr:uid="{00000000-0005-0000-0000-0000CA5C0000}"/>
    <cellStyle name="Calculation 17 2 2 3" xfId="23786" xr:uid="{00000000-0005-0000-0000-0000CB5C0000}"/>
    <cellStyle name="Calculation 17 2 2 3 2" xfId="23787" xr:uid="{00000000-0005-0000-0000-0000CC5C0000}"/>
    <cellStyle name="Calculation 17 2 2 3 3" xfId="23788" xr:uid="{00000000-0005-0000-0000-0000CD5C0000}"/>
    <cellStyle name="Calculation 17 2 2 3 4" xfId="23789" xr:uid="{00000000-0005-0000-0000-0000CE5C0000}"/>
    <cellStyle name="Calculation 17 2 2 3 5" xfId="23790" xr:uid="{00000000-0005-0000-0000-0000CF5C0000}"/>
    <cellStyle name="Calculation 17 2 2 3 6" xfId="23791" xr:uid="{00000000-0005-0000-0000-0000D05C0000}"/>
    <cellStyle name="Calculation 17 2 2 4" xfId="23792" xr:uid="{00000000-0005-0000-0000-0000D15C0000}"/>
    <cellStyle name="Calculation 17 2 2 4 2" xfId="23793" xr:uid="{00000000-0005-0000-0000-0000D25C0000}"/>
    <cellStyle name="Calculation 17 2 2 4 3" xfId="23794" xr:uid="{00000000-0005-0000-0000-0000D35C0000}"/>
    <cellStyle name="Calculation 17 2 2 4 4" xfId="23795" xr:uid="{00000000-0005-0000-0000-0000D45C0000}"/>
    <cellStyle name="Calculation 17 2 2 4 5" xfId="23796" xr:uid="{00000000-0005-0000-0000-0000D55C0000}"/>
    <cellStyle name="Calculation 17 2 2 4 6" xfId="23797" xr:uid="{00000000-0005-0000-0000-0000D65C0000}"/>
    <cellStyle name="Calculation 17 2 2 5" xfId="23798" xr:uid="{00000000-0005-0000-0000-0000D75C0000}"/>
    <cellStyle name="Calculation 17 2 2 5 2" xfId="23799" xr:uid="{00000000-0005-0000-0000-0000D85C0000}"/>
    <cellStyle name="Calculation 17 2 2 5 3" xfId="23800" xr:uid="{00000000-0005-0000-0000-0000D95C0000}"/>
    <cellStyle name="Calculation 17 2 2 5 4" xfId="23801" xr:uid="{00000000-0005-0000-0000-0000DA5C0000}"/>
    <cellStyle name="Calculation 17 2 2 5 5" xfId="23802" xr:uid="{00000000-0005-0000-0000-0000DB5C0000}"/>
    <cellStyle name="Calculation 17 2 2 5 6" xfId="23803" xr:uid="{00000000-0005-0000-0000-0000DC5C0000}"/>
    <cellStyle name="Calculation 17 2 2 6" xfId="23804" xr:uid="{00000000-0005-0000-0000-0000DD5C0000}"/>
    <cellStyle name="Calculation 17 2 2 6 2" xfId="23805" xr:uid="{00000000-0005-0000-0000-0000DE5C0000}"/>
    <cellStyle name="Calculation 17 2 2 6 3" xfId="23806" xr:uid="{00000000-0005-0000-0000-0000DF5C0000}"/>
    <cellStyle name="Calculation 17 2 2 6 4" xfId="23807" xr:uid="{00000000-0005-0000-0000-0000E05C0000}"/>
    <cellStyle name="Calculation 17 2 2 6 5" xfId="23808" xr:uid="{00000000-0005-0000-0000-0000E15C0000}"/>
    <cellStyle name="Calculation 17 2 2 6 6" xfId="23809" xr:uid="{00000000-0005-0000-0000-0000E25C0000}"/>
    <cellStyle name="Calculation 17 2 2 7" xfId="23810" xr:uid="{00000000-0005-0000-0000-0000E35C0000}"/>
    <cellStyle name="Calculation 17 2 2 7 2" xfId="23811" xr:uid="{00000000-0005-0000-0000-0000E45C0000}"/>
    <cellStyle name="Calculation 17 2 2 7 3" xfId="23812" xr:uid="{00000000-0005-0000-0000-0000E55C0000}"/>
    <cellStyle name="Calculation 17 2 2 7 4" xfId="23813" xr:uid="{00000000-0005-0000-0000-0000E65C0000}"/>
    <cellStyle name="Calculation 17 2 2 7 5" xfId="23814" xr:uid="{00000000-0005-0000-0000-0000E75C0000}"/>
    <cellStyle name="Calculation 17 2 2 7 6" xfId="23815" xr:uid="{00000000-0005-0000-0000-0000E85C0000}"/>
    <cellStyle name="Calculation 17 2 2 8" xfId="23816" xr:uid="{00000000-0005-0000-0000-0000E95C0000}"/>
    <cellStyle name="Calculation 17 2 2 9" xfId="23817" xr:uid="{00000000-0005-0000-0000-0000EA5C0000}"/>
    <cellStyle name="Calculation 17 2 20" xfId="23818" xr:uid="{00000000-0005-0000-0000-0000EB5C0000}"/>
    <cellStyle name="Calculation 17 2 20 10" xfId="23819" xr:uid="{00000000-0005-0000-0000-0000EC5C0000}"/>
    <cellStyle name="Calculation 17 2 20 2" xfId="23820" xr:uid="{00000000-0005-0000-0000-0000ED5C0000}"/>
    <cellStyle name="Calculation 17 2 20 2 2" xfId="23821" xr:uid="{00000000-0005-0000-0000-0000EE5C0000}"/>
    <cellStyle name="Calculation 17 2 20 2 3" xfId="23822" xr:uid="{00000000-0005-0000-0000-0000EF5C0000}"/>
    <cellStyle name="Calculation 17 2 20 2 4" xfId="23823" xr:uid="{00000000-0005-0000-0000-0000F05C0000}"/>
    <cellStyle name="Calculation 17 2 20 2 5" xfId="23824" xr:uid="{00000000-0005-0000-0000-0000F15C0000}"/>
    <cellStyle name="Calculation 17 2 20 2 6" xfId="23825" xr:uid="{00000000-0005-0000-0000-0000F25C0000}"/>
    <cellStyle name="Calculation 17 2 20 3" xfId="23826" xr:uid="{00000000-0005-0000-0000-0000F35C0000}"/>
    <cellStyle name="Calculation 17 2 20 3 2" xfId="23827" xr:uid="{00000000-0005-0000-0000-0000F45C0000}"/>
    <cellStyle name="Calculation 17 2 20 3 3" xfId="23828" xr:uid="{00000000-0005-0000-0000-0000F55C0000}"/>
    <cellStyle name="Calculation 17 2 20 3 4" xfId="23829" xr:uid="{00000000-0005-0000-0000-0000F65C0000}"/>
    <cellStyle name="Calculation 17 2 20 3 5" xfId="23830" xr:uid="{00000000-0005-0000-0000-0000F75C0000}"/>
    <cellStyle name="Calculation 17 2 20 3 6" xfId="23831" xr:uid="{00000000-0005-0000-0000-0000F85C0000}"/>
    <cellStyle name="Calculation 17 2 20 4" xfId="23832" xr:uid="{00000000-0005-0000-0000-0000F95C0000}"/>
    <cellStyle name="Calculation 17 2 20 4 2" xfId="23833" xr:uid="{00000000-0005-0000-0000-0000FA5C0000}"/>
    <cellStyle name="Calculation 17 2 20 4 3" xfId="23834" xr:uid="{00000000-0005-0000-0000-0000FB5C0000}"/>
    <cellStyle name="Calculation 17 2 20 4 4" xfId="23835" xr:uid="{00000000-0005-0000-0000-0000FC5C0000}"/>
    <cellStyle name="Calculation 17 2 20 4 5" xfId="23836" xr:uid="{00000000-0005-0000-0000-0000FD5C0000}"/>
    <cellStyle name="Calculation 17 2 20 4 6" xfId="23837" xr:uid="{00000000-0005-0000-0000-0000FE5C0000}"/>
    <cellStyle name="Calculation 17 2 20 5" xfId="23838" xr:uid="{00000000-0005-0000-0000-0000FF5C0000}"/>
    <cellStyle name="Calculation 17 2 20 5 2" xfId="23839" xr:uid="{00000000-0005-0000-0000-0000005D0000}"/>
    <cellStyle name="Calculation 17 2 20 5 3" xfId="23840" xr:uid="{00000000-0005-0000-0000-0000015D0000}"/>
    <cellStyle name="Calculation 17 2 20 5 4" xfId="23841" xr:uid="{00000000-0005-0000-0000-0000025D0000}"/>
    <cellStyle name="Calculation 17 2 20 5 5" xfId="23842" xr:uid="{00000000-0005-0000-0000-0000035D0000}"/>
    <cellStyle name="Calculation 17 2 20 5 6" xfId="23843" xr:uid="{00000000-0005-0000-0000-0000045D0000}"/>
    <cellStyle name="Calculation 17 2 20 6" xfId="23844" xr:uid="{00000000-0005-0000-0000-0000055D0000}"/>
    <cellStyle name="Calculation 17 2 20 6 2" xfId="23845" xr:uid="{00000000-0005-0000-0000-0000065D0000}"/>
    <cellStyle name="Calculation 17 2 20 6 3" xfId="23846" xr:uid="{00000000-0005-0000-0000-0000075D0000}"/>
    <cellStyle name="Calculation 17 2 20 6 4" xfId="23847" xr:uid="{00000000-0005-0000-0000-0000085D0000}"/>
    <cellStyle name="Calculation 17 2 20 6 5" xfId="23848" xr:uid="{00000000-0005-0000-0000-0000095D0000}"/>
    <cellStyle name="Calculation 17 2 20 6 6" xfId="23849" xr:uid="{00000000-0005-0000-0000-00000A5D0000}"/>
    <cellStyle name="Calculation 17 2 20 7" xfId="23850" xr:uid="{00000000-0005-0000-0000-00000B5D0000}"/>
    <cellStyle name="Calculation 17 2 20 7 2" xfId="23851" xr:uid="{00000000-0005-0000-0000-00000C5D0000}"/>
    <cellStyle name="Calculation 17 2 20 7 3" xfId="23852" xr:uid="{00000000-0005-0000-0000-00000D5D0000}"/>
    <cellStyle name="Calculation 17 2 20 7 4" xfId="23853" xr:uid="{00000000-0005-0000-0000-00000E5D0000}"/>
    <cellStyle name="Calculation 17 2 20 7 5" xfId="23854" xr:uid="{00000000-0005-0000-0000-00000F5D0000}"/>
    <cellStyle name="Calculation 17 2 20 7 6" xfId="23855" xr:uid="{00000000-0005-0000-0000-0000105D0000}"/>
    <cellStyle name="Calculation 17 2 20 8" xfId="23856" xr:uid="{00000000-0005-0000-0000-0000115D0000}"/>
    <cellStyle name="Calculation 17 2 20 9" xfId="23857" xr:uid="{00000000-0005-0000-0000-0000125D0000}"/>
    <cellStyle name="Calculation 17 2 21" xfId="23858" xr:uid="{00000000-0005-0000-0000-0000135D0000}"/>
    <cellStyle name="Calculation 17 2 21 10" xfId="23859" xr:uid="{00000000-0005-0000-0000-0000145D0000}"/>
    <cellStyle name="Calculation 17 2 21 2" xfId="23860" xr:uid="{00000000-0005-0000-0000-0000155D0000}"/>
    <cellStyle name="Calculation 17 2 21 2 2" xfId="23861" xr:uid="{00000000-0005-0000-0000-0000165D0000}"/>
    <cellStyle name="Calculation 17 2 21 2 3" xfId="23862" xr:uid="{00000000-0005-0000-0000-0000175D0000}"/>
    <cellStyle name="Calculation 17 2 21 2 4" xfId="23863" xr:uid="{00000000-0005-0000-0000-0000185D0000}"/>
    <cellStyle name="Calculation 17 2 21 2 5" xfId="23864" xr:uid="{00000000-0005-0000-0000-0000195D0000}"/>
    <cellStyle name="Calculation 17 2 21 2 6" xfId="23865" xr:uid="{00000000-0005-0000-0000-00001A5D0000}"/>
    <cellStyle name="Calculation 17 2 21 3" xfId="23866" xr:uid="{00000000-0005-0000-0000-00001B5D0000}"/>
    <cellStyle name="Calculation 17 2 21 3 2" xfId="23867" xr:uid="{00000000-0005-0000-0000-00001C5D0000}"/>
    <cellStyle name="Calculation 17 2 21 3 3" xfId="23868" xr:uid="{00000000-0005-0000-0000-00001D5D0000}"/>
    <cellStyle name="Calculation 17 2 21 3 4" xfId="23869" xr:uid="{00000000-0005-0000-0000-00001E5D0000}"/>
    <cellStyle name="Calculation 17 2 21 3 5" xfId="23870" xr:uid="{00000000-0005-0000-0000-00001F5D0000}"/>
    <cellStyle name="Calculation 17 2 21 3 6" xfId="23871" xr:uid="{00000000-0005-0000-0000-0000205D0000}"/>
    <cellStyle name="Calculation 17 2 21 4" xfId="23872" xr:uid="{00000000-0005-0000-0000-0000215D0000}"/>
    <cellStyle name="Calculation 17 2 21 4 2" xfId="23873" xr:uid="{00000000-0005-0000-0000-0000225D0000}"/>
    <cellStyle name="Calculation 17 2 21 4 3" xfId="23874" xr:uid="{00000000-0005-0000-0000-0000235D0000}"/>
    <cellStyle name="Calculation 17 2 21 4 4" xfId="23875" xr:uid="{00000000-0005-0000-0000-0000245D0000}"/>
    <cellStyle name="Calculation 17 2 21 4 5" xfId="23876" xr:uid="{00000000-0005-0000-0000-0000255D0000}"/>
    <cellStyle name="Calculation 17 2 21 4 6" xfId="23877" xr:uid="{00000000-0005-0000-0000-0000265D0000}"/>
    <cellStyle name="Calculation 17 2 21 5" xfId="23878" xr:uid="{00000000-0005-0000-0000-0000275D0000}"/>
    <cellStyle name="Calculation 17 2 21 5 2" xfId="23879" xr:uid="{00000000-0005-0000-0000-0000285D0000}"/>
    <cellStyle name="Calculation 17 2 21 5 3" xfId="23880" xr:uid="{00000000-0005-0000-0000-0000295D0000}"/>
    <cellStyle name="Calculation 17 2 21 5 4" xfId="23881" xr:uid="{00000000-0005-0000-0000-00002A5D0000}"/>
    <cellStyle name="Calculation 17 2 21 5 5" xfId="23882" xr:uid="{00000000-0005-0000-0000-00002B5D0000}"/>
    <cellStyle name="Calculation 17 2 21 5 6" xfId="23883" xr:uid="{00000000-0005-0000-0000-00002C5D0000}"/>
    <cellStyle name="Calculation 17 2 21 6" xfId="23884" xr:uid="{00000000-0005-0000-0000-00002D5D0000}"/>
    <cellStyle name="Calculation 17 2 21 6 2" xfId="23885" xr:uid="{00000000-0005-0000-0000-00002E5D0000}"/>
    <cellStyle name="Calculation 17 2 21 6 3" xfId="23886" xr:uid="{00000000-0005-0000-0000-00002F5D0000}"/>
    <cellStyle name="Calculation 17 2 21 6 4" xfId="23887" xr:uid="{00000000-0005-0000-0000-0000305D0000}"/>
    <cellStyle name="Calculation 17 2 21 6 5" xfId="23888" xr:uid="{00000000-0005-0000-0000-0000315D0000}"/>
    <cellStyle name="Calculation 17 2 21 6 6" xfId="23889" xr:uid="{00000000-0005-0000-0000-0000325D0000}"/>
    <cellStyle name="Calculation 17 2 21 7" xfId="23890" xr:uid="{00000000-0005-0000-0000-0000335D0000}"/>
    <cellStyle name="Calculation 17 2 21 7 2" xfId="23891" xr:uid="{00000000-0005-0000-0000-0000345D0000}"/>
    <cellStyle name="Calculation 17 2 21 7 3" xfId="23892" xr:uid="{00000000-0005-0000-0000-0000355D0000}"/>
    <cellStyle name="Calculation 17 2 21 7 4" xfId="23893" xr:uid="{00000000-0005-0000-0000-0000365D0000}"/>
    <cellStyle name="Calculation 17 2 21 7 5" xfId="23894" xr:uid="{00000000-0005-0000-0000-0000375D0000}"/>
    <cellStyle name="Calculation 17 2 21 7 6" xfId="23895" xr:uid="{00000000-0005-0000-0000-0000385D0000}"/>
    <cellStyle name="Calculation 17 2 21 8" xfId="23896" xr:uid="{00000000-0005-0000-0000-0000395D0000}"/>
    <cellStyle name="Calculation 17 2 21 9" xfId="23897" xr:uid="{00000000-0005-0000-0000-00003A5D0000}"/>
    <cellStyle name="Calculation 17 2 22" xfId="23898" xr:uid="{00000000-0005-0000-0000-00003B5D0000}"/>
    <cellStyle name="Calculation 17 2 22 10" xfId="23899" xr:uid="{00000000-0005-0000-0000-00003C5D0000}"/>
    <cellStyle name="Calculation 17 2 22 2" xfId="23900" xr:uid="{00000000-0005-0000-0000-00003D5D0000}"/>
    <cellStyle name="Calculation 17 2 22 2 2" xfId="23901" xr:uid="{00000000-0005-0000-0000-00003E5D0000}"/>
    <cellStyle name="Calculation 17 2 22 2 3" xfId="23902" xr:uid="{00000000-0005-0000-0000-00003F5D0000}"/>
    <cellStyle name="Calculation 17 2 22 2 4" xfId="23903" xr:uid="{00000000-0005-0000-0000-0000405D0000}"/>
    <cellStyle name="Calculation 17 2 22 2 5" xfId="23904" xr:uid="{00000000-0005-0000-0000-0000415D0000}"/>
    <cellStyle name="Calculation 17 2 22 2 6" xfId="23905" xr:uid="{00000000-0005-0000-0000-0000425D0000}"/>
    <cellStyle name="Calculation 17 2 22 3" xfId="23906" xr:uid="{00000000-0005-0000-0000-0000435D0000}"/>
    <cellStyle name="Calculation 17 2 22 3 2" xfId="23907" xr:uid="{00000000-0005-0000-0000-0000445D0000}"/>
    <cellStyle name="Calculation 17 2 22 3 3" xfId="23908" xr:uid="{00000000-0005-0000-0000-0000455D0000}"/>
    <cellStyle name="Calculation 17 2 22 3 4" xfId="23909" xr:uid="{00000000-0005-0000-0000-0000465D0000}"/>
    <cellStyle name="Calculation 17 2 22 3 5" xfId="23910" xr:uid="{00000000-0005-0000-0000-0000475D0000}"/>
    <cellStyle name="Calculation 17 2 22 3 6" xfId="23911" xr:uid="{00000000-0005-0000-0000-0000485D0000}"/>
    <cellStyle name="Calculation 17 2 22 4" xfId="23912" xr:uid="{00000000-0005-0000-0000-0000495D0000}"/>
    <cellStyle name="Calculation 17 2 22 4 2" xfId="23913" xr:uid="{00000000-0005-0000-0000-00004A5D0000}"/>
    <cellStyle name="Calculation 17 2 22 4 3" xfId="23914" xr:uid="{00000000-0005-0000-0000-00004B5D0000}"/>
    <cellStyle name="Calculation 17 2 22 4 4" xfId="23915" xr:uid="{00000000-0005-0000-0000-00004C5D0000}"/>
    <cellStyle name="Calculation 17 2 22 4 5" xfId="23916" xr:uid="{00000000-0005-0000-0000-00004D5D0000}"/>
    <cellStyle name="Calculation 17 2 22 4 6" xfId="23917" xr:uid="{00000000-0005-0000-0000-00004E5D0000}"/>
    <cellStyle name="Calculation 17 2 22 5" xfId="23918" xr:uid="{00000000-0005-0000-0000-00004F5D0000}"/>
    <cellStyle name="Calculation 17 2 22 5 2" xfId="23919" xr:uid="{00000000-0005-0000-0000-0000505D0000}"/>
    <cellStyle name="Calculation 17 2 22 5 3" xfId="23920" xr:uid="{00000000-0005-0000-0000-0000515D0000}"/>
    <cellStyle name="Calculation 17 2 22 5 4" xfId="23921" xr:uid="{00000000-0005-0000-0000-0000525D0000}"/>
    <cellStyle name="Calculation 17 2 22 5 5" xfId="23922" xr:uid="{00000000-0005-0000-0000-0000535D0000}"/>
    <cellStyle name="Calculation 17 2 22 5 6" xfId="23923" xr:uid="{00000000-0005-0000-0000-0000545D0000}"/>
    <cellStyle name="Calculation 17 2 22 6" xfId="23924" xr:uid="{00000000-0005-0000-0000-0000555D0000}"/>
    <cellStyle name="Calculation 17 2 22 6 2" xfId="23925" xr:uid="{00000000-0005-0000-0000-0000565D0000}"/>
    <cellStyle name="Calculation 17 2 22 6 3" xfId="23926" xr:uid="{00000000-0005-0000-0000-0000575D0000}"/>
    <cellStyle name="Calculation 17 2 22 6 4" xfId="23927" xr:uid="{00000000-0005-0000-0000-0000585D0000}"/>
    <cellStyle name="Calculation 17 2 22 6 5" xfId="23928" xr:uid="{00000000-0005-0000-0000-0000595D0000}"/>
    <cellStyle name="Calculation 17 2 22 6 6" xfId="23929" xr:uid="{00000000-0005-0000-0000-00005A5D0000}"/>
    <cellStyle name="Calculation 17 2 22 7" xfId="23930" xr:uid="{00000000-0005-0000-0000-00005B5D0000}"/>
    <cellStyle name="Calculation 17 2 22 7 2" xfId="23931" xr:uid="{00000000-0005-0000-0000-00005C5D0000}"/>
    <cellStyle name="Calculation 17 2 22 7 3" xfId="23932" xr:uid="{00000000-0005-0000-0000-00005D5D0000}"/>
    <cellStyle name="Calculation 17 2 22 7 4" xfId="23933" xr:uid="{00000000-0005-0000-0000-00005E5D0000}"/>
    <cellStyle name="Calculation 17 2 22 7 5" xfId="23934" xr:uid="{00000000-0005-0000-0000-00005F5D0000}"/>
    <cellStyle name="Calculation 17 2 22 7 6" xfId="23935" xr:uid="{00000000-0005-0000-0000-0000605D0000}"/>
    <cellStyle name="Calculation 17 2 22 8" xfId="23936" xr:uid="{00000000-0005-0000-0000-0000615D0000}"/>
    <cellStyle name="Calculation 17 2 22 9" xfId="23937" xr:uid="{00000000-0005-0000-0000-0000625D0000}"/>
    <cellStyle name="Calculation 17 2 23" xfId="23938" xr:uid="{00000000-0005-0000-0000-0000635D0000}"/>
    <cellStyle name="Calculation 17 2 23 10" xfId="23939" xr:uid="{00000000-0005-0000-0000-0000645D0000}"/>
    <cellStyle name="Calculation 17 2 23 2" xfId="23940" xr:uid="{00000000-0005-0000-0000-0000655D0000}"/>
    <cellStyle name="Calculation 17 2 23 2 2" xfId="23941" xr:uid="{00000000-0005-0000-0000-0000665D0000}"/>
    <cellStyle name="Calculation 17 2 23 2 3" xfId="23942" xr:uid="{00000000-0005-0000-0000-0000675D0000}"/>
    <cellStyle name="Calculation 17 2 23 2 4" xfId="23943" xr:uid="{00000000-0005-0000-0000-0000685D0000}"/>
    <cellStyle name="Calculation 17 2 23 2 5" xfId="23944" xr:uid="{00000000-0005-0000-0000-0000695D0000}"/>
    <cellStyle name="Calculation 17 2 23 2 6" xfId="23945" xr:uid="{00000000-0005-0000-0000-00006A5D0000}"/>
    <cellStyle name="Calculation 17 2 23 3" xfId="23946" xr:uid="{00000000-0005-0000-0000-00006B5D0000}"/>
    <cellStyle name="Calculation 17 2 23 3 2" xfId="23947" xr:uid="{00000000-0005-0000-0000-00006C5D0000}"/>
    <cellStyle name="Calculation 17 2 23 3 3" xfId="23948" xr:uid="{00000000-0005-0000-0000-00006D5D0000}"/>
    <cellStyle name="Calculation 17 2 23 3 4" xfId="23949" xr:uid="{00000000-0005-0000-0000-00006E5D0000}"/>
    <cellStyle name="Calculation 17 2 23 3 5" xfId="23950" xr:uid="{00000000-0005-0000-0000-00006F5D0000}"/>
    <cellStyle name="Calculation 17 2 23 3 6" xfId="23951" xr:uid="{00000000-0005-0000-0000-0000705D0000}"/>
    <cellStyle name="Calculation 17 2 23 4" xfId="23952" xr:uid="{00000000-0005-0000-0000-0000715D0000}"/>
    <cellStyle name="Calculation 17 2 23 4 2" xfId="23953" xr:uid="{00000000-0005-0000-0000-0000725D0000}"/>
    <cellStyle name="Calculation 17 2 23 4 3" xfId="23954" xr:uid="{00000000-0005-0000-0000-0000735D0000}"/>
    <cellStyle name="Calculation 17 2 23 4 4" xfId="23955" xr:uid="{00000000-0005-0000-0000-0000745D0000}"/>
    <cellStyle name="Calculation 17 2 23 4 5" xfId="23956" xr:uid="{00000000-0005-0000-0000-0000755D0000}"/>
    <cellStyle name="Calculation 17 2 23 4 6" xfId="23957" xr:uid="{00000000-0005-0000-0000-0000765D0000}"/>
    <cellStyle name="Calculation 17 2 23 5" xfId="23958" xr:uid="{00000000-0005-0000-0000-0000775D0000}"/>
    <cellStyle name="Calculation 17 2 23 5 2" xfId="23959" xr:uid="{00000000-0005-0000-0000-0000785D0000}"/>
    <cellStyle name="Calculation 17 2 23 5 3" xfId="23960" xr:uid="{00000000-0005-0000-0000-0000795D0000}"/>
    <cellStyle name="Calculation 17 2 23 5 4" xfId="23961" xr:uid="{00000000-0005-0000-0000-00007A5D0000}"/>
    <cellStyle name="Calculation 17 2 23 5 5" xfId="23962" xr:uid="{00000000-0005-0000-0000-00007B5D0000}"/>
    <cellStyle name="Calculation 17 2 23 5 6" xfId="23963" xr:uid="{00000000-0005-0000-0000-00007C5D0000}"/>
    <cellStyle name="Calculation 17 2 23 6" xfId="23964" xr:uid="{00000000-0005-0000-0000-00007D5D0000}"/>
    <cellStyle name="Calculation 17 2 23 6 2" xfId="23965" xr:uid="{00000000-0005-0000-0000-00007E5D0000}"/>
    <cellStyle name="Calculation 17 2 23 6 3" xfId="23966" xr:uid="{00000000-0005-0000-0000-00007F5D0000}"/>
    <cellStyle name="Calculation 17 2 23 6 4" xfId="23967" xr:uid="{00000000-0005-0000-0000-0000805D0000}"/>
    <cellStyle name="Calculation 17 2 23 6 5" xfId="23968" xr:uid="{00000000-0005-0000-0000-0000815D0000}"/>
    <cellStyle name="Calculation 17 2 23 6 6" xfId="23969" xr:uid="{00000000-0005-0000-0000-0000825D0000}"/>
    <cellStyle name="Calculation 17 2 23 7" xfId="23970" xr:uid="{00000000-0005-0000-0000-0000835D0000}"/>
    <cellStyle name="Calculation 17 2 23 7 2" xfId="23971" xr:uid="{00000000-0005-0000-0000-0000845D0000}"/>
    <cellStyle name="Calculation 17 2 23 7 3" xfId="23972" xr:uid="{00000000-0005-0000-0000-0000855D0000}"/>
    <cellStyle name="Calculation 17 2 23 7 4" xfId="23973" xr:uid="{00000000-0005-0000-0000-0000865D0000}"/>
    <cellStyle name="Calculation 17 2 23 7 5" xfId="23974" xr:uid="{00000000-0005-0000-0000-0000875D0000}"/>
    <cellStyle name="Calculation 17 2 23 7 6" xfId="23975" xr:uid="{00000000-0005-0000-0000-0000885D0000}"/>
    <cellStyle name="Calculation 17 2 23 8" xfId="23976" xr:uid="{00000000-0005-0000-0000-0000895D0000}"/>
    <cellStyle name="Calculation 17 2 23 9" xfId="23977" xr:uid="{00000000-0005-0000-0000-00008A5D0000}"/>
    <cellStyle name="Calculation 17 2 24" xfId="23978" xr:uid="{00000000-0005-0000-0000-00008B5D0000}"/>
    <cellStyle name="Calculation 17 2 24 10" xfId="23979" xr:uid="{00000000-0005-0000-0000-00008C5D0000}"/>
    <cellStyle name="Calculation 17 2 24 2" xfId="23980" xr:uid="{00000000-0005-0000-0000-00008D5D0000}"/>
    <cellStyle name="Calculation 17 2 24 2 2" xfId="23981" xr:uid="{00000000-0005-0000-0000-00008E5D0000}"/>
    <cellStyle name="Calculation 17 2 24 2 3" xfId="23982" xr:uid="{00000000-0005-0000-0000-00008F5D0000}"/>
    <cellStyle name="Calculation 17 2 24 2 4" xfId="23983" xr:uid="{00000000-0005-0000-0000-0000905D0000}"/>
    <cellStyle name="Calculation 17 2 24 2 5" xfId="23984" xr:uid="{00000000-0005-0000-0000-0000915D0000}"/>
    <cellStyle name="Calculation 17 2 24 2 6" xfId="23985" xr:uid="{00000000-0005-0000-0000-0000925D0000}"/>
    <cellStyle name="Calculation 17 2 24 3" xfId="23986" xr:uid="{00000000-0005-0000-0000-0000935D0000}"/>
    <cellStyle name="Calculation 17 2 24 3 2" xfId="23987" xr:uid="{00000000-0005-0000-0000-0000945D0000}"/>
    <cellStyle name="Calculation 17 2 24 3 3" xfId="23988" xr:uid="{00000000-0005-0000-0000-0000955D0000}"/>
    <cellStyle name="Calculation 17 2 24 3 4" xfId="23989" xr:uid="{00000000-0005-0000-0000-0000965D0000}"/>
    <cellStyle name="Calculation 17 2 24 3 5" xfId="23990" xr:uid="{00000000-0005-0000-0000-0000975D0000}"/>
    <cellStyle name="Calculation 17 2 24 3 6" xfId="23991" xr:uid="{00000000-0005-0000-0000-0000985D0000}"/>
    <cellStyle name="Calculation 17 2 24 4" xfId="23992" xr:uid="{00000000-0005-0000-0000-0000995D0000}"/>
    <cellStyle name="Calculation 17 2 24 4 2" xfId="23993" xr:uid="{00000000-0005-0000-0000-00009A5D0000}"/>
    <cellStyle name="Calculation 17 2 24 4 3" xfId="23994" xr:uid="{00000000-0005-0000-0000-00009B5D0000}"/>
    <cellStyle name="Calculation 17 2 24 4 4" xfId="23995" xr:uid="{00000000-0005-0000-0000-00009C5D0000}"/>
    <cellStyle name="Calculation 17 2 24 4 5" xfId="23996" xr:uid="{00000000-0005-0000-0000-00009D5D0000}"/>
    <cellStyle name="Calculation 17 2 24 4 6" xfId="23997" xr:uid="{00000000-0005-0000-0000-00009E5D0000}"/>
    <cellStyle name="Calculation 17 2 24 5" xfId="23998" xr:uid="{00000000-0005-0000-0000-00009F5D0000}"/>
    <cellStyle name="Calculation 17 2 24 5 2" xfId="23999" xr:uid="{00000000-0005-0000-0000-0000A05D0000}"/>
    <cellStyle name="Calculation 17 2 24 5 3" xfId="24000" xr:uid="{00000000-0005-0000-0000-0000A15D0000}"/>
    <cellStyle name="Calculation 17 2 24 5 4" xfId="24001" xr:uid="{00000000-0005-0000-0000-0000A25D0000}"/>
    <cellStyle name="Calculation 17 2 24 5 5" xfId="24002" xr:uid="{00000000-0005-0000-0000-0000A35D0000}"/>
    <cellStyle name="Calculation 17 2 24 5 6" xfId="24003" xr:uid="{00000000-0005-0000-0000-0000A45D0000}"/>
    <cellStyle name="Calculation 17 2 24 6" xfId="24004" xr:uid="{00000000-0005-0000-0000-0000A55D0000}"/>
    <cellStyle name="Calculation 17 2 24 6 2" xfId="24005" xr:uid="{00000000-0005-0000-0000-0000A65D0000}"/>
    <cellStyle name="Calculation 17 2 24 6 3" xfId="24006" xr:uid="{00000000-0005-0000-0000-0000A75D0000}"/>
    <cellStyle name="Calculation 17 2 24 6 4" xfId="24007" xr:uid="{00000000-0005-0000-0000-0000A85D0000}"/>
    <cellStyle name="Calculation 17 2 24 6 5" xfId="24008" xr:uid="{00000000-0005-0000-0000-0000A95D0000}"/>
    <cellStyle name="Calculation 17 2 24 6 6" xfId="24009" xr:uid="{00000000-0005-0000-0000-0000AA5D0000}"/>
    <cellStyle name="Calculation 17 2 24 7" xfId="24010" xr:uid="{00000000-0005-0000-0000-0000AB5D0000}"/>
    <cellStyle name="Calculation 17 2 24 7 2" xfId="24011" xr:uid="{00000000-0005-0000-0000-0000AC5D0000}"/>
    <cellStyle name="Calculation 17 2 24 7 3" xfId="24012" xr:uid="{00000000-0005-0000-0000-0000AD5D0000}"/>
    <cellStyle name="Calculation 17 2 24 7 4" xfId="24013" xr:uid="{00000000-0005-0000-0000-0000AE5D0000}"/>
    <cellStyle name="Calculation 17 2 24 7 5" xfId="24014" xr:uid="{00000000-0005-0000-0000-0000AF5D0000}"/>
    <cellStyle name="Calculation 17 2 24 7 6" xfId="24015" xr:uid="{00000000-0005-0000-0000-0000B05D0000}"/>
    <cellStyle name="Calculation 17 2 24 8" xfId="24016" xr:uid="{00000000-0005-0000-0000-0000B15D0000}"/>
    <cellStyle name="Calculation 17 2 24 9" xfId="24017" xr:uid="{00000000-0005-0000-0000-0000B25D0000}"/>
    <cellStyle name="Calculation 17 2 25" xfId="24018" xr:uid="{00000000-0005-0000-0000-0000B35D0000}"/>
    <cellStyle name="Calculation 17 2 25 10" xfId="24019" xr:uid="{00000000-0005-0000-0000-0000B45D0000}"/>
    <cellStyle name="Calculation 17 2 25 2" xfId="24020" xr:uid="{00000000-0005-0000-0000-0000B55D0000}"/>
    <cellStyle name="Calculation 17 2 25 2 2" xfId="24021" xr:uid="{00000000-0005-0000-0000-0000B65D0000}"/>
    <cellStyle name="Calculation 17 2 25 2 3" xfId="24022" xr:uid="{00000000-0005-0000-0000-0000B75D0000}"/>
    <cellStyle name="Calculation 17 2 25 2 4" xfId="24023" xr:uid="{00000000-0005-0000-0000-0000B85D0000}"/>
    <cellStyle name="Calculation 17 2 25 2 5" xfId="24024" xr:uid="{00000000-0005-0000-0000-0000B95D0000}"/>
    <cellStyle name="Calculation 17 2 25 2 6" xfId="24025" xr:uid="{00000000-0005-0000-0000-0000BA5D0000}"/>
    <cellStyle name="Calculation 17 2 25 3" xfId="24026" xr:uid="{00000000-0005-0000-0000-0000BB5D0000}"/>
    <cellStyle name="Calculation 17 2 25 3 2" xfId="24027" xr:uid="{00000000-0005-0000-0000-0000BC5D0000}"/>
    <cellStyle name="Calculation 17 2 25 3 3" xfId="24028" xr:uid="{00000000-0005-0000-0000-0000BD5D0000}"/>
    <cellStyle name="Calculation 17 2 25 3 4" xfId="24029" xr:uid="{00000000-0005-0000-0000-0000BE5D0000}"/>
    <cellStyle name="Calculation 17 2 25 3 5" xfId="24030" xr:uid="{00000000-0005-0000-0000-0000BF5D0000}"/>
    <cellStyle name="Calculation 17 2 25 3 6" xfId="24031" xr:uid="{00000000-0005-0000-0000-0000C05D0000}"/>
    <cellStyle name="Calculation 17 2 25 4" xfId="24032" xr:uid="{00000000-0005-0000-0000-0000C15D0000}"/>
    <cellStyle name="Calculation 17 2 25 4 2" xfId="24033" xr:uid="{00000000-0005-0000-0000-0000C25D0000}"/>
    <cellStyle name="Calculation 17 2 25 4 3" xfId="24034" xr:uid="{00000000-0005-0000-0000-0000C35D0000}"/>
    <cellStyle name="Calculation 17 2 25 4 4" xfId="24035" xr:uid="{00000000-0005-0000-0000-0000C45D0000}"/>
    <cellStyle name="Calculation 17 2 25 4 5" xfId="24036" xr:uid="{00000000-0005-0000-0000-0000C55D0000}"/>
    <cellStyle name="Calculation 17 2 25 4 6" xfId="24037" xr:uid="{00000000-0005-0000-0000-0000C65D0000}"/>
    <cellStyle name="Calculation 17 2 25 5" xfId="24038" xr:uid="{00000000-0005-0000-0000-0000C75D0000}"/>
    <cellStyle name="Calculation 17 2 25 5 2" xfId="24039" xr:uid="{00000000-0005-0000-0000-0000C85D0000}"/>
    <cellStyle name="Calculation 17 2 25 5 3" xfId="24040" xr:uid="{00000000-0005-0000-0000-0000C95D0000}"/>
    <cellStyle name="Calculation 17 2 25 5 4" xfId="24041" xr:uid="{00000000-0005-0000-0000-0000CA5D0000}"/>
    <cellStyle name="Calculation 17 2 25 5 5" xfId="24042" xr:uid="{00000000-0005-0000-0000-0000CB5D0000}"/>
    <cellStyle name="Calculation 17 2 25 5 6" xfId="24043" xr:uid="{00000000-0005-0000-0000-0000CC5D0000}"/>
    <cellStyle name="Calculation 17 2 25 6" xfId="24044" xr:uid="{00000000-0005-0000-0000-0000CD5D0000}"/>
    <cellStyle name="Calculation 17 2 25 6 2" xfId="24045" xr:uid="{00000000-0005-0000-0000-0000CE5D0000}"/>
    <cellStyle name="Calculation 17 2 25 6 3" xfId="24046" xr:uid="{00000000-0005-0000-0000-0000CF5D0000}"/>
    <cellStyle name="Calculation 17 2 25 6 4" xfId="24047" xr:uid="{00000000-0005-0000-0000-0000D05D0000}"/>
    <cellStyle name="Calculation 17 2 25 6 5" xfId="24048" xr:uid="{00000000-0005-0000-0000-0000D15D0000}"/>
    <cellStyle name="Calculation 17 2 25 6 6" xfId="24049" xr:uid="{00000000-0005-0000-0000-0000D25D0000}"/>
    <cellStyle name="Calculation 17 2 25 7" xfId="24050" xr:uid="{00000000-0005-0000-0000-0000D35D0000}"/>
    <cellStyle name="Calculation 17 2 25 7 2" xfId="24051" xr:uid="{00000000-0005-0000-0000-0000D45D0000}"/>
    <cellStyle name="Calculation 17 2 25 7 3" xfId="24052" xr:uid="{00000000-0005-0000-0000-0000D55D0000}"/>
    <cellStyle name="Calculation 17 2 25 7 4" xfId="24053" xr:uid="{00000000-0005-0000-0000-0000D65D0000}"/>
    <cellStyle name="Calculation 17 2 25 7 5" xfId="24054" xr:uid="{00000000-0005-0000-0000-0000D75D0000}"/>
    <cellStyle name="Calculation 17 2 25 7 6" xfId="24055" xr:uid="{00000000-0005-0000-0000-0000D85D0000}"/>
    <cellStyle name="Calculation 17 2 25 8" xfId="24056" xr:uid="{00000000-0005-0000-0000-0000D95D0000}"/>
    <cellStyle name="Calculation 17 2 25 9" xfId="24057" xr:uid="{00000000-0005-0000-0000-0000DA5D0000}"/>
    <cellStyle name="Calculation 17 2 26" xfId="24058" xr:uid="{00000000-0005-0000-0000-0000DB5D0000}"/>
    <cellStyle name="Calculation 17 2 26 10" xfId="24059" xr:uid="{00000000-0005-0000-0000-0000DC5D0000}"/>
    <cellStyle name="Calculation 17 2 26 2" xfId="24060" xr:uid="{00000000-0005-0000-0000-0000DD5D0000}"/>
    <cellStyle name="Calculation 17 2 26 2 2" xfId="24061" xr:uid="{00000000-0005-0000-0000-0000DE5D0000}"/>
    <cellStyle name="Calculation 17 2 26 2 3" xfId="24062" xr:uid="{00000000-0005-0000-0000-0000DF5D0000}"/>
    <cellStyle name="Calculation 17 2 26 2 4" xfId="24063" xr:uid="{00000000-0005-0000-0000-0000E05D0000}"/>
    <cellStyle name="Calculation 17 2 26 2 5" xfId="24064" xr:uid="{00000000-0005-0000-0000-0000E15D0000}"/>
    <cellStyle name="Calculation 17 2 26 2 6" xfId="24065" xr:uid="{00000000-0005-0000-0000-0000E25D0000}"/>
    <cellStyle name="Calculation 17 2 26 3" xfId="24066" xr:uid="{00000000-0005-0000-0000-0000E35D0000}"/>
    <cellStyle name="Calculation 17 2 26 3 2" xfId="24067" xr:uid="{00000000-0005-0000-0000-0000E45D0000}"/>
    <cellStyle name="Calculation 17 2 26 3 3" xfId="24068" xr:uid="{00000000-0005-0000-0000-0000E55D0000}"/>
    <cellStyle name="Calculation 17 2 26 3 4" xfId="24069" xr:uid="{00000000-0005-0000-0000-0000E65D0000}"/>
    <cellStyle name="Calculation 17 2 26 3 5" xfId="24070" xr:uid="{00000000-0005-0000-0000-0000E75D0000}"/>
    <cellStyle name="Calculation 17 2 26 3 6" xfId="24071" xr:uid="{00000000-0005-0000-0000-0000E85D0000}"/>
    <cellStyle name="Calculation 17 2 26 4" xfId="24072" xr:uid="{00000000-0005-0000-0000-0000E95D0000}"/>
    <cellStyle name="Calculation 17 2 26 4 2" xfId="24073" xr:uid="{00000000-0005-0000-0000-0000EA5D0000}"/>
    <cellStyle name="Calculation 17 2 26 4 3" xfId="24074" xr:uid="{00000000-0005-0000-0000-0000EB5D0000}"/>
    <cellStyle name="Calculation 17 2 26 4 4" xfId="24075" xr:uid="{00000000-0005-0000-0000-0000EC5D0000}"/>
    <cellStyle name="Calculation 17 2 26 4 5" xfId="24076" xr:uid="{00000000-0005-0000-0000-0000ED5D0000}"/>
    <cellStyle name="Calculation 17 2 26 4 6" xfId="24077" xr:uid="{00000000-0005-0000-0000-0000EE5D0000}"/>
    <cellStyle name="Calculation 17 2 26 5" xfId="24078" xr:uid="{00000000-0005-0000-0000-0000EF5D0000}"/>
    <cellStyle name="Calculation 17 2 26 5 2" xfId="24079" xr:uid="{00000000-0005-0000-0000-0000F05D0000}"/>
    <cellStyle name="Calculation 17 2 26 5 3" xfId="24080" xr:uid="{00000000-0005-0000-0000-0000F15D0000}"/>
    <cellStyle name="Calculation 17 2 26 5 4" xfId="24081" xr:uid="{00000000-0005-0000-0000-0000F25D0000}"/>
    <cellStyle name="Calculation 17 2 26 5 5" xfId="24082" xr:uid="{00000000-0005-0000-0000-0000F35D0000}"/>
    <cellStyle name="Calculation 17 2 26 5 6" xfId="24083" xr:uid="{00000000-0005-0000-0000-0000F45D0000}"/>
    <cellStyle name="Calculation 17 2 26 6" xfId="24084" xr:uid="{00000000-0005-0000-0000-0000F55D0000}"/>
    <cellStyle name="Calculation 17 2 26 6 2" xfId="24085" xr:uid="{00000000-0005-0000-0000-0000F65D0000}"/>
    <cellStyle name="Calculation 17 2 26 6 3" xfId="24086" xr:uid="{00000000-0005-0000-0000-0000F75D0000}"/>
    <cellStyle name="Calculation 17 2 26 6 4" xfId="24087" xr:uid="{00000000-0005-0000-0000-0000F85D0000}"/>
    <cellStyle name="Calculation 17 2 26 6 5" xfId="24088" xr:uid="{00000000-0005-0000-0000-0000F95D0000}"/>
    <cellStyle name="Calculation 17 2 26 6 6" xfId="24089" xr:uid="{00000000-0005-0000-0000-0000FA5D0000}"/>
    <cellStyle name="Calculation 17 2 26 7" xfId="24090" xr:uid="{00000000-0005-0000-0000-0000FB5D0000}"/>
    <cellStyle name="Calculation 17 2 26 7 2" xfId="24091" xr:uid="{00000000-0005-0000-0000-0000FC5D0000}"/>
    <cellStyle name="Calculation 17 2 26 7 3" xfId="24092" xr:uid="{00000000-0005-0000-0000-0000FD5D0000}"/>
    <cellStyle name="Calculation 17 2 26 7 4" xfId="24093" xr:uid="{00000000-0005-0000-0000-0000FE5D0000}"/>
    <cellStyle name="Calculation 17 2 26 7 5" xfId="24094" xr:uid="{00000000-0005-0000-0000-0000FF5D0000}"/>
    <cellStyle name="Calculation 17 2 26 7 6" xfId="24095" xr:uid="{00000000-0005-0000-0000-0000005E0000}"/>
    <cellStyle name="Calculation 17 2 26 8" xfId="24096" xr:uid="{00000000-0005-0000-0000-0000015E0000}"/>
    <cellStyle name="Calculation 17 2 26 9" xfId="24097" xr:uid="{00000000-0005-0000-0000-0000025E0000}"/>
    <cellStyle name="Calculation 17 2 27" xfId="24098" xr:uid="{00000000-0005-0000-0000-0000035E0000}"/>
    <cellStyle name="Calculation 17 2 27 2" xfId="24099" xr:uid="{00000000-0005-0000-0000-0000045E0000}"/>
    <cellStyle name="Calculation 17 2 27 3" xfId="24100" xr:uid="{00000000-0005-0000-0000-0000055E0000}"/>
    <cellStyle name="Calculation 17 2 27 4" xfId="24101" xr:uid="{00000000-0005-0000-0000-0000065E0000}"/>
    <cellStyle name="Calculation 17 2 27 5" xfId="24102" xr:uid="{00000000-0005-0000-0000-0000075E0000}"/>
    <cellStyle name="Calculation 17 2 27 6" xfId="24103" xr:uid="{00000000-0005-0000-0000-0000085E0000}"/>
    <cellStyle name="Calculation 17 2 28" xfId="24104" xr:uid="{00000000-0005-0000-0000-0000095E0000}"/>
    <cellStyle name="Calculation 17 2 28 2" xfId="24105" xr:uid="{00000000-0005-0000-0000-00000A5E0000}"/>
    <cellStyle name="Calculation 17 2 28 3" xfId="24106" xr:uid="{00000000-0005-0000-0000-00000B5E0000}"/>
    <cellStyle name="Calculation 17 2 28 4" xfId="24107" xr:uid="{00000000-0005-0000-0000-00000C5E0000}"/>
    <cellStyle name="Calculation 17 2 28 5" xfId="24108" xr:uid="{00000000-0005-0000-0000-00000D5E0000}"/>
    <cellStyle name="Calculation 17 2 28 6" xfId="24109" xr:uid="{00000000-0005-0000-0000-00000E5E0000}"/>
    <cellStyle name="Calculation 17 2 29" xfId="24110" xr:uid="{00000000-0005-0000-0000-00000F5E0000}"/>
    <cellStyle name="Calculation 17 2 29 2" xfId="24111" xr:uid="{00000000-0005-0000-0000-0000105E0000}"/>
    <cellStyle name="Calculation 17 2 29 3" xfId="24112" xr:uid="{00000000-0005-0000-0000-0000115E0000}"/>
    <cellStyle name="Calculation 17 2 29 4" xfId="24113" xr:uid="{00000000-0005-0000-0000-0000125E0000}"/>
    <cellStyle name="Calculation 17 2 29 5" xfId="24114" xr:uid="{00000000-0005-0000-0000-0000135E0000}"/>
    <cellStyle name="Calculation 17 2 29 6" xfId="24115" xr:uid="{00000000-0005-0000-0000-0000145E0000}"/>
    <cellStyle name="Calculation 17 2 3" xfId="24116" xr:uid="{00000000-0005-0000-0000-0000155E0000}"/>
    <cellStyle name="Calculation 17 2 3 10" xfId="24117" xr:uid="{00000000-0005-0000-0000-0000165E0000}"/>
    <cellStyle name="Calculation 17 2 3 2" xfId="24118" xr:uid="{00000000-0005-0000-0000-0000175E0000}"/>
    <cellStyle name="Calculation 17 2 3 2 2" xfId="24119" xr:uid="{00000000-0005-0000-0000-0000185E0000}"/>
    <cellStyle name="Calculation 17 2 3 2 3" xfId="24120" xr:uid="{00000000-0005-0000-0000-0000195E0000}"/>
    <cellStyle name="Calculation 17 2 3 2 4" xfId="24121" xr:uid="{00000000-0005-0000-0000-00001A5E0000}"/>
    <cellStyle name="Calculation 17 2 3 2 5" xfId="24122" xr:uid="{00000000-0005-0000-0000-00001B5E0000}"/>
    <cellStyle name="Calculation 17 2 3 2 6" xfId="24123" xr:uid="{00000000-0005-0000-0000-00001C5E0000}"/>
    <cellStyle name="Calculation 17 2 3 3" xfId="24124" xr:uid="{00000000-0005-0000-0000-00001D5E0000}"/>
    <cellStyle name="Calculation 17 2 3 3 2" xfId="24125" xr:uid="{00000000-0005-0000-0000-00001E5E0000}"/>
    <cellStyle name="Calculation 17 2 3 3 3" xfId="24126" xr:uid="{00000000-0005-0000-0000-00001F5E0000}"/>
    <cellStyle name="Calculation 17 2 3 3 4" xfId="24127" xr:uid="{00000000-0005-0000-0000-0000205E0000}"/>
    <cellStyle name="Calculation 17 2 3 3 5" xfId="24128" xr:uid="{00000000-0005-0000-0000-0000215E0000}"/>
    <cellStyle name="Calculation 17 2 3 3 6" xfId="24129" xr:uid="{00000000-0005-0000-0000-0000225E0000}"/>
    <cellStyle name="Calculation 17 2 3 4" xfId="24130" xr:uid="{00000000-0005-0000-0000-0000235E0000}"/>
    <cellStyle name="Calculation 17 2 3 4 2" xfId="24131" xr:uid="{00000000-0005-0000-0000-0000245E0000}"/>
    <cellStyle name="Calculation 17 2 3 4 3" xfId="24132" xr:uid="{00000000-0005-0000-0000-0000255E0000}"/>
    <cellStyle name="Calculation 17 2 3 4 4" xfId="24133" xr:uid="{00000000-0005-0000-0000-0000265E0000}"/>
    <cellStyle name="Calculation 17 2 3 4 5" xfId="24134" xr:uid="{00000000-0005-0000-0000-0000275E0000}"/>
    <cellStyle name="Calculation 17 2 3 4 6" xfId="24135" xr:uid="{00000000-0005-0000-0000-0000285E0000}"/>
    <cellStyle name="Calculation 17 2 3 5" xfId="24136" xr:uid="{00000000-0005-0000-0000-0000295E0000}"/>
    <cellStyle name="Calculation 17 2 3 5 2" xfId="24137" xr:uid="{00000000-0005-0000-0000-00002A5E0000}"/>
    <cellStyle name="Calculation 17 2 3 5 3" xfId="24138" xr:uid="{00000000-0005-0000-0000-00002B5E0000}"/>
    <cellStyle name="Calculation 17 2 3 5 4" xfId="24139" xr:uid="{00000000-0005-0000-0000-00002C5E0000}"/>
    <cellStyle name="Calculation 17 2 3 5 5" xfId="24140" xr:uid="{00000000-0005-0000-0000-00002D5E0000}"/>
    <cellStyle name="Calculation 17 2 3 5 6" xfId="24141" xr:uid="{00000000-0005-0000-0000-00002E5E0000}"/>
    <cellStyle name="Calculation 17 2 3 6" xfId="24142" xr:uid="{00000000-0005-0000-0000-00002F5E0000}"/>
    <cellStyle name="Calculation 17 2 3 6 2" xfId="24143" xr:uid="{00000000-0005-0000-0000-0000305E0000}"/>
    <cellStyle name="Calculation 17 2 3 6 3" xfId="24144" xr:uid="{00000000-0005-0000-0000-0000315E0000}"/>
    <cellStyle name="Calculation 17 2 3 6 4" xfId="24145" xr:uid="{00000000-0005-0000-0000-0000325E0000}"/>
    <cellStyle name="Calculation 17 2 3 6 5" xfId="24146" xr:uid="{00000000-0005-0000-0000-0000335E0000}"/>
    <cellStyle name="Calculation 17 2 3 6 6" xfId="24147" xr:uid="{00000000-0005-0000-0000-0000345E0000}"/>
    <cellStyle name="Calculation 17 2 3 7" xfId="24148" xr:uid="{00000000-0005-0000-0000-0000355E0000}"/>
    <cellStyle name="Calculation 17 2 3 7 2" xfId="24149" xr:uid="{00000000-0005-0000-0000-0000365E0000}"/>
    <cellStyle name="Calculation 17 2 3 7 3" xfId="24150" xr:uid="{00000000-0005-0000-0000-0000375E0000}"/>
    <cellStyle name="Calculation 17 2 3 7 4" xfId="24151" xr:uid="{00000000-0005-0000-0000-0000385E0000}"/>
    <cellStyle name="Calculation 17 2 3 7 5" xfId="24152" xr:uid="{00000000-0005-0000-0000-0000395E0000}"/>
    <cellStyle name="Calculation 17 2 3 7 6" xfId="24153" xr:uid="{00000000-0005-0000-0000-00003A5E0000}"/>
    <cellStyle name="Calculation 17 2 3 8" xfId="24154" xr:uid="{00000000-0005-0000-0000-00003B5E0000}"/>
    <cellStyle name="Calculation 17 2 3 9" xfId="24155" xr:uid="{00000000-0005-0000-0000-00003C5E0000}"/>
    <cellStyle name="Calculation 17 2 30" xfId="24156" xr:uid="{00000000-0005-0000-0000-00003D5E0000}"/>
    <cellStyle name="Calculation 17 2 30 2" xfId="24157" xr:uid="{00000000-0005-0000-0000-00003E5E0000}"/>
    <cellStyle name="Calculation 17 2 30 3" xfId="24158" xr:uid="{00000000-0005-0000-0000-00003F5E0000}"/>
    <cellStyle name="Calculation 17 2 30 4" xfId="24159" xr:uid="{00000000-0005-0000-0000-0000405E0000}"/>
    <cellStyle name="Calculation 17 2 30 5" xfId="24160" xr:uid="{00000000-0005-0000-0000-0000415E0000}"/>
    <cellStyle name="Calculation 17 2 30 6" xfId="24161" xr:uid="{00000000-0005-0000-0000-0000425E0000}"/>
    <cellStyle name="Calculation 17 2 31" xfId="24162" xr:uid="{00000000-0005-0000-0000-0000435E0000}"/>
    <cellStyle name="Calculation 17 2 31 2" xfId="24163" xr:uid="{00000000-0005-0000-0000-0000445E0000}"/>
    <cellStyle name="Calculation 17 2 31 3" xfId="24164" xr:uid="{00000000-0005-0000-0000-0000455E0000}"/>
    <cellStyle name="Calculation 17 2 31 4" xfId="24165" xr:uid="{00000000-0005-0000-0000-0000465E0000}"/>
    <cellStyle name="Calculation 17 2 31 5" xfId="24166" xr:uid="{00000000-0005-0000-0000-0000475E0000}"/>
    <cellStyle name="Calculation 17 2 31 6" xfId="24167" xr:uid="{00000000-0005-0000-0000-0000485E0000}"/>
    <cellStyle name="Calculation 17 2 32" xfId="24168" xr:uid="{00000000-0005-0000-0000-0000495E0000}"/>
    <cellStyle name="Calculation 17 2 32 2" xfId="24169" xr:uid="{00000000-0005-0000-0000-00004A5E0000}"/>
    <cellStyle name="Calculation 17 2 32 3" xfId="24170" xr:uid="{00000000-0005-0000-0000-00004B5E0000}"/>
    <cellStyle name="Calculation 17 2 32 4" xfId="24171" xr:uid="{00000000-0005-0000-0000-00004C5E0000}"/>
    <cellStyle name="Calculation 17 2 32 5" xfId="24172" xr:uid="{00000000-0005-0000-0000-00004D5E0000}"/>
    <cellStyle name="Calculation 17 2 32 6" xfId="24173" xr:uid="{00000000-0005-0000-0000-00004E5E0000}"/>
    <cellStyle name="Calculation 17 2 33" xfId="24174" xr:uid="{00000000-0005-0000-0000-00004F5E0000}"/>
    <cellStyle name="Calculation 17 2 34" xfId="24175" xr:uid="{00000000-0005-0000-0000-0000505E0000}"/>
    <cellStyle name="Calculation 17 2 35" xfId="24176" xr:uid="{00000000-0005-0000-0000-0000515E0000}"/>
    <cellStyle name="Calculation 17 2 4" xfId="24177" xr:uid="{00000000-0005-0000-0000-0000525E0000}"/>
    <cellStyle name="Calculation 17 2 4 10" xfId="24178" xr:uid="{00000000-0005-0000-0000-0000535E0000}"/>
    <cellStyle name="Calculation 17 2 4 2" xfId="24179" xr:uid="{00000000-0005-0000-0000-0000545E0000}"/>
    <cellStyle name="Calculation 17 2 4 2 2" xfId="24180" xr:uid="{00000000-0005-0000-0000-0000555E0000}"/>
    <cellStyle name="Calculation 17 2 4 2 3" xfId="24181" xr:uid="{00000000-0005-0000-0000-0000565E0000}"/>
    <cellStyle name="Calculation 17 2 4 2 4" xfId="24182" xr:uid="{00000000-0005-0000-0000-0000575E0000}"/>
    <cellStyle name="Calculation 17 2 4 2 5" xfId="24183" xr:uid="{00000000-0005-0000-0000-0000585E0000}"/>
    <cellStyle name="Calculation 17 2 4 2 6" xfId="24184" xr:uid="{00000000-0005-0000-0000-0000595E0000}"/>
    <cellStyle name="Calculation 17 2 4 3" xfId="24185" xr:uid="{00000000-0005-0000-0000-00005A5E0000}"/>
    <cellStyle name="Calculation 17 2 4 3 2" xfId="24186" xr:uid="{00000000-0005-0000-0000-00005B5E0000}"/>
    <cellStyle name="Calculation 17 2 4 3 3" xfId="24187" xr:uid="{00000000-0005-0000-0000-00005C5E0000}"/>
    <cellStyle name="Calculation 17 2 4 3 4" xfId="24188" xr:uid="{00000000-0005-0000-0000-00005D5E0000}"/>
    <cellStyle name="Calculation 17 2 4 3 5" xfId="24189" xr:uid="{00000000-0005-0000-0000-00005E5E0000}"/>
    <cellStyle name="Calculation 17 2 4 3 6" xfId="24190" xr:uid="{00000000-0005-0000-0000-00005F5E0000}"/>
    <cellStyle name="Calculation 17 2 4 4" xfId="24191" xr:uid="{00000000-0005-0000-0000-0000605E0000}"/>
    <cellStyle name="Calculation 17 2 4 4 2" xfId="24192" xr:uid="{00000000-0005-0000-0000-0000615E0000}"/>
    <cellStyle name="Calculation 17 2 4 4 3" xfId="24193" xr:uid="{00000000-0005-0000-0000-0000625E0000}"/>
    <cellStyle name="Calculation 17 2 4 4 4" xfId="24194" xr:uid="{00000000-0005-0000-0000-0000635E0000}"/>
    <cellStyle name="Calculation 17 2 4 4 5" xfId="24195" xr:uid="{00000000-0005-0000-0000-0000645E0000}"/>
    <cellStyle name="Calculation 17 2 4 4 6" xfId="24196" xr:uid="{00000000-0005-0000-0000-0000655E0000}"/>
    <cellStyle name="Calculation 17 2 4 5" xfId="24197" xr:uid="{00000000-0005-0000-0000-0000665E0000}"/>
    <cellStyle name="Calculation 17 2 4 5 2" xfId="24198" xr:uid="{00000000-0005-0000-0000-0000675E0000}"/>
    <cellStyle name="Calculation 17 2 4 5 3" xfId="24199" xr:uid="{00000000-0005-0000-0000-0000685E0000}"/>
    <cellStyle name="Calculation 17 2 4 5 4" xfId="24200" xr:uid="{00000000-0005-0000-0000-0000695E0000}"/>
    <cellStyle name="Calculation 17 2 4 5 5" xfId="24201" xr:uid="{00000000-0005-0000-0000-00006A5E0000}"/>
    <cellStyle name="Calculation 17 2 4 5 6" xfId="24202" xr:uid="{00000000-0005-0000-0000-00006B5E0000}"/>
    <cellStyle name="Calculation 17 2 4 6" xfId="24203" xr:uid="{00000000-0005-0000-0000-00006C5E0000}"/>
    <cellStyle name="Calculation 17 2 4 6 2" xfId="24204" xr:uid="{00000000-0005-0000-0000-00006D5E0000}"/>
    <cellStyle name="Calculation 17 2 4 6 3" xfId="24205" xr:uid="{00000000-0005-0000-0000-00006E5E0000}"/>
    <cellStyle name="Calculation 17 2 4 6 4" xfId="24206" xr:uid="{00000000-0005-0000-0000-00006F5E0000}"/>
    <cellStyle name="Calculation 17 2 4 6 5" xfId="24207" xr:uid="{00000000-0005-0000-0000-0000705E0000}"/>
    <cellStyle name="Calculation 17 2 4 6 6" xfId="24208" xr:uid="{00000000-0005-0000-0000-0000715E0000}"/>
    <cellStyle name="Calculation 17 2 4 7" xfId="24209" xr:uid="{00000000-0005-0000-0000-0000725E0000}"/>
    <cellStyle name="Calculation 17 2 4 7 2" xfId="24210" xr:uid="{00000000-0005-0000-0000-0000735E0000}"/>
    <cellStyle name="Calculation 17 2 4 7 3" xfId="24211" xr:uid="{00000000-0005-0000-0000-0000745E0000}"/>
    <cellStyle name="Calculation 17 2 4 7 4" xfId="24212" xr:uid="{00000000-0005-0000-0000-0000755E0000}"/>
    <cellStyle name="Calculation 17 2 4 7 5" xfId="24213" xr:uid="{00000000-0005-0000-0000-0000765E0000}"/>
    <cellStyle name="Calculation 17 2 4 7 6" xfId="24214" xr:uid="{00000000-0005-0000-0000-0000775E0000}"/>
    <cellStyle name="Calculation 17 2 4 8" xfId="24215" xr:uid="{00000000-0005-0000-0000-0000785E0000}"/>
    <cellStyle name="Calculation 17 2 4 9" xfId="24216" xr:uid="{00000000-0005-0000-0000-0000795E0000}"/>
    <cellStyle name="Calculation 17 2 5" xfId="24217" xr:uid="{00000000-0005-0000-0000-00007A5E0000}"/>
    <cellStyle name="Calculation 17 2 5 10" xfId="24218" xr:uid="{00000000-0005-0000-0000-00007B5E0000}"/>
    <cellStyle name="Calculation 17 2 5 2" xfId="24219" xr:uid="{00000000-0005-0000-0000-00007C5E0000}"/>
    <cellStyle name="Calculation 17 2 5 2 2" xfId="24220" xr:uid="{00000000-0005-0000-0000-00007D5E0000}"/>
    <cellStyle name="Calculation 17 2 5 2 3" xfId="24221" xr:uid="{00000000-0005-0000-0000-00007E5E0000}"/>
    <cellStyle name="Calculation 17 2 5 2 4" xfId="24222" xr:uid="{00000000-0005-0000-0000-00007F5E0000}"/>
    <cellStyle name="Calculation 17 2 5 2 5" xfId="24223" xr:uid="{00000000-0005-0000-0000-0000805E0000}"/>
    <cellStyle name="Calculation 17 2 5 2 6" xfId="24224" xr:uid="{00000000-0005-0000-0000-0000815E0000}"/>
    <cellStyle name="Calculation 17 2 5 3" xfId="24225" xr:uid="{00000000-0005-0000-0000-0000825E0000}"/>
    <cellStyle name="Calculation 17 2 5 3 2" xfId="24226" xr:uid="{00000000-0005-0000-0000-0000835E0000}"/>
    <cellStyle name="Calculation 17 2 5 3 3" xfId="24227" xr:uid="{00000000-0005-0000-0000-0000845E0000}"/>
    <cellStyle name="Calculation 17 2 5 3 4" xfId="24228" xr:uid="{00000000-0005-0000-0000-0000855E0000}"/>
    <cellStyle name="Calculation 17 2 5 3 5" xfId="24229" xr:uid="{00000000-0005-0000-0000-0000865E0000}"/>
    <cellStyle name="Calculation 17 2 5 3 6" xfId="24230" xr:uid="{00000000-0005-0000-0000-0000875E0000}"/>
    <cellStyle name="Calculation 17 2 5 4" xfId="24231" xr:uid="{00000000-0005-0000-0000-0000885E0000}"/>
    <cellStyle name="Calculation 17 2 5 4 2" xfId="24232" xr:uid="{00000000-0005-0000-0000-0000895E0000}"/>
    <cellStyle name="Calculation 17 2 5 4 3" xfId="24233" xr:uid="{00000000-0005-0000-0000-00008A5E0000}"/>
    <cellStyle name="Calculation 17 2 5 4 4" xfId="24234" xr:uid="{00000000-0005-0000-0000-00008B5E0000}"/>
    <cellStyle name="Calculation 17 2 5 4 5" xfId="24235" xr:uid="{00000000-0005-0000-0000-00008C5E0000}"/>
    <cellStyle name="Calculation 17 2 5 4 6" xfId="24236" xr:uid="{00000000-0005-0000-0000-00008D5E0000}"/>
    <cellStyle name="Calculation 17 2 5 5" xfId="24237" xr:uid="{00000000-0005-0000-0000-00008E5E0000}"/>
    <cellStyle name="Calculation 17 2 5 5 2" xfId="24238" xr:uid="{00000000-0005-0000-0000-00008F5E0000}"/>
    <cellStyle name="Calculation 17 2 5 5 3" xfId="24239" xr:uid="{00000000-0005-0000-0000-0000905E0000}"/>
    <cellStyle name="Calculation 17 2 5 5 4" xfId="24240" xr:uid="{00000000-0005-0000-0000-0000915E0000}"/>
    <cellStyle name="Calculation 17 2 5 5 5" xfId="24241" xr:uid="{00000000-0005-0000-0000-0000925E0000}"/>
    <cellStyle name="Calculation 17 2 5 5 6" xfId="24242" xr:uid="{00000000-0005-0000-0000-0000935E0000}"/>
    <cellStyle name="Calculation 17 2 5 6" xfId="24243" xr:uid="{00000000-0005-0000-0000-0000945E0000}"/>
    <cellStyle name="Calculation 17 2 5 6 2" xfId="24244" xr:uid="{00000000-0005-0000-0000-0000955E0000}"/>
    <cellStyle name="Calculation 17 2 5 6 3" xfId="24245" xr:uid="{00000000-0005-0000-0000-0000965E0000}"/>
    <cellStyle name="Calculation 17 2 5 6 4" xfId="24246" xr:uid="{00000000-0005-0000-0000-0000975E0000}"/>
    <cellStyle name="Calculation 17 2 5 6 5" xfId="24247" xr:uid="{00000000-0005-0000-0000-0000985E0000}"/>
    <cellStyle name="Calculation 17 2 5 6 6" xfId="24248" xr:uid="{00000000-0005-0000-0000-0000995E0000}"/>
    <cellStyle name="Calculation 17 2 5 7" xfId="24249" xr:uid="{00000000-0005-0000-0000-00009A5E0000}"/>
    <cellStyle name="Calculation 17 2 5 7 2" xfId="24250" xr:uid="{00000000-0005-0000-0000-00009B5E0000}"/>
    <cellStyle name="Calculation 17 2 5 7 3" xfId="24251" xr:uid="{00000000-0005-0000-0000-00009C5E0000}"/>
    <cellStyle name="Calculation 17 2 5 7 4" xfId="24252" xr:uid="{00000000-0005-0000-0000-00009D5E0000}"/>
    <cellStyle name="Calculation 17 2 5 7 5" xfId="24253" xr:uid="{00000000-0005-0000-0000-00009E5E0000}"/>
    <cellStyle name="Calculation 17 2 5 7 6" xfId="24254" xr:uid="{00000000-0005-0000-0000-00009F5E0000}"/>
    <cellStyle name="Calculation 17 2 5 8" xfId="24255" xr:uid="{00000000-0005-0000-0000-0000A05E0000}"/>
    <cellStyle name="Calculation 17 2 5 9" xfId="24256" xr:uid="{00000000-0005-0000-0000-0000A15E0000}"/>
    <cellStyle name="Calculation 17 2 6" xfId="24257" xr:uid="{00000000-0005-0000-0000-0000A25E0000}"/>
    <cellStyle name="Calculation 17 2 6 10" xfId="24258" xr:uid="{00000000-0005-0000-0000-0000A35E0000}"/>
    <cellStyle name="Calculation 17 2 6 2" xfId="24259" xr:uid="{00000000-0005-0000-0000-0000A45E0000}"/>
    <cellStyle name="Calculation 17 2 6 2 2" xfId="24260" xr:uid="{00000000-0005-0000-0000-0000A55E0000}"/>
    <cellStyle name="Calculation 17 2 6 2 3" xfId="24261" xr:uid="{00000000-0005-0000-0000-0000A65E0000}"/>
    <cellStyle name="Calculation 17 2 6 2 4" xfId="24262" xr:uid="{00000000-0005-0000-0000-0000A75E0000}"/>
    <cellStyle name="Calculation 17 2 6 2 5" xfId="24263" xr:uid="{00000000-0005-0000-0000-0000A85E0000}"/>
    <cellStyle name="Calculation 17 2 6 2 6" xfId="24264" xr:uid="{00000000-0005-0000-0000-0000A95E0000}"/>
    <cellStyle name="Calculation 17 2 6 3" xfId="24265" xr:uid="{00000000-0005-0000-0000-0000AA5E0000}"/>
    <cellStyle name="Calculation 17 2 6 3 2" xfId="24266" xr:uid="{00000000-0005-0000-0000-0000AB5E0000}"/>
    <cellStyle name="Calculation 17 2 6 3 3" xfId="24267" xr:uid="{00000000-0005-0000-0000-0000AC5E0000}"/>
    <cellStyle name="Calculation 17 2 6 3 4" xfId="24268" xr:uid="{00000000-0005-0000-0000-0000AD5E0000}"/>
    <cellStyle name="Calculation 17 2 6 3 5" xfId="24269" xr:uid="{00000000-0005-0000-0000-0000AE5E0000}"/>
    <cellStyle name="Calculation 17 2 6 3 6" xfId="24270" xr:uid="{00000000-0005-0000-0000-0000AF5E0000}"/>
    <cellStyle name="Calculation 17 2 6 4" xfId="24271" xr:uid="{00000000-0005-0000-0000-0000B05E0000}"/>
    <cellStyle name="Calculation 17 2 6 4 2" xfId="24272" xr:uid="{00000000-0005-0000-0000-0000B15E0000}"/>
    <cellStyle name="Calculation 17 2 6 4 3" xfId="24273" xr:uid="{00000000-0005-0000-0000-0000B25E0000}"/>
    <cellStyle name="Calculation 17 2 6 4 4" xfId="24274" xr:uid="{00000000-0005-0000-0000-0000B35E0000}"/>
    <cellStyle name="Calculation 17 2 6 4 5" xfId="24275" xr:uid="{00000000-0005-0000-0000-0000B45E0000}"/>
    <cellStyle name="Calculation 17 2 6 4 6" xfId="24276" xr:uid="{00000000-0005-0000-0000-0000B55E0000}"/>
    <cellStyle name="Calculation 17 2 6 5" xfId="24277" xr:uid="{00000000-0005-0000-0000-0000B65E0000}"/>
    <cellStyle name="Calculation 17 2 6 5 2" xfId="24278" xr:uid="{00000000-0005-0000-0000-0000B75E0000}"/>
    <cellStyle name="Calculation 17 2 6 5 3" xfId="24279" xr:uid="{00000000-0005-0000-0000-0000B85E0000}"/>
    <cellStyle name="Calculation 17 2 6 5 4" xfId="24280" xr:uid="{00000000-0005-0000-0000-0000B95E0000}"/>
    <cellStyle name="Calculation 17 2 6 5 5" xfId="24281" xr:uid="{00000000-0005-0000-0000-0000BA5E0000}"/>
    <cellStyle name="Calculation 17 2 6 5 6" xfId="24282" xr:uid="{00000000-0005-0000-0000-0000BB5E0000}"/>
    <cellStyle name="Calculation 17 2 6 6" xfId="24283" xr:uid="{00000000-0005-0000-0000-0000BC5E0000}"/>
    <cellStyle name="Calculation 17 2 6 6 2" xfId="24284" xr:uid="{00000000-0005-0000-0000-0000BD5E0000}"/>
    <cellStyle name="Calculation 17 2 6 6 3" xfId="24285" xr:uid="{00000000-0005-0000-0000-0000BE5E0000}"/>
    <cellStyle name="Calculation 17 2 6 6 4" xfId="24286" xr:uid="{00000000-0005-0000-0000-0000BF5E0000}"/>
    <cellStyle name="Calculation 17 2 6 6 5" xfId="24287" xr:uid="{00000000-0005-0000-0000-0000C05E0000}"/>
    <cellStyle name="Calculation 17 2 6 6 6" xfId="24288" xr:uid="{00000000-0005-0000-0000-0000C15E0000}"/>
    <cellStyle name="Calculation 17 2 6 7" xfId="24289" xr:uid="{00000000-0005-0000-0000-0000C25E0000}"/>
    <cellStyle name="Calculation 17 2 6 7 2" xfId="24290" xr:uid="{00000000-0005-0000-0000-0000C35E0000}"/>
    <cellStyle name="Calculation 17 2 6 7 3" xfId="24291" xr:uid="{00000000-0005-0000-0000-0000C45E0000}"/>
    <cellStyle name="Calculation 17 2 6 7 4" xfId="24292" xr:uid="{00000000-0005-0000-0000-0000C55E0000}"/>
    <cellStyle name="Calculation 17 2 6 7 5" xfId="24293" xr:uid="{00000000-0005-0000-0000-0000C65E0000}"/>
    <cellStyle name="Calculation 17 2 6 7 6" xfId="24294" xr:uid="{00000000-0005-0000-0000-0000C75E0000}"/>
    <cellStyle name="Calculation 17 2 6 8" xfId="24295" xr:uid="{00000000-0005-0000-0000-0000C85E0000}"/>
    <cellStyle name="Calculation 17 2 6 9" xfId="24296" xr:uid="{00000000-0005-0000-0000-0000C95E0000}"/>
    <cellStyle name="Calculation 17 2 7" xfId="24297" xr:uid="{00000000-0005-0000-0000-0000CA5E0000}"/>
    <cellStyle name="Calculation 17 2 7 10" xfId="24298" xr:uid="{00000000-0005-0000-0000-0000CB5E0000}"/>
    <cellStyle name="Calculation 17 2 7 2" xfId="24299" xr:uid="{00000000-0005-0000-0000-0000CC5E0000}"/>
    <cellStyle name="Calculation 17 2 7 2 2" xfId="24300" xr:uid="{00000000-0005-0000-0000-0000CD5E0000}"/>
    <cellStyle name="Calculation 17 2 7 2 3" xfId="24301" xr:uid="{00000000-0005-0000-0000-0000CE5E0000}"/>
    <cellStyle name="Calculation 17 2 7 2 4" xfId="24302" xr:uid="{00000000-0005-0000-0000-0000CF5E0000}"/>
    <cellStyle name="Calculation 17 2 7 2 5" xfId="24303" xr:uid="{00000000-0005-0000-0000-0000D05E0000}"/>
    <cellStyle name="Calculation 17 2 7 2 6" xfId="24304" xr:uid="{00000000-0005-0000-0000-0000D15E0000}"/>
    <cellStyle name="Calculation 17 2 7 3" xfId="24305" xr:uid="{00000000-0005-0000-0000-0000D25E0000}"/>
    <cellStyle name="Calculation 17 2 7 3 2" xfId="24306" xr:uid="{00000000-0005-0000-0000-0000D35E0000}"/>
    <cellStyle name="Calculation 17 2 7 3 3" xfId="24307" xr:uid="{00000000-0005-0000-0000-0000D45E0000}"/>
    <cellStyle name="Calculation 17 2 7 3 4" xfId="24308" xr:uid="{00000000-0005-0000-0000-0000D55E0000}"/>
    <cellStyle name="Calculation 17 2 7 3 5" xfId="24309" xr:uid="{00000000-0005-0000-0000-0000D65E0000}"/>
    <cellStyle name="Calculation 17 2 7 3 6" xfId="24310" xr:uid="{00000000-0005-0000-0000-0000D75E0000}"/>
    <cellStyle name="Calculation 17 2 7 4" xfId="24311" xr:uid="{00000000-0005-0000-0000-0000D85E0000}"/>
    <cellStyle name="Calculation 17 2 7 4 2" xfId="24312" xr:uid="{00000000-0005-0000-0000-0000D95E0000}"/>
    <cellStyle name="Calculation 17 2 7 4 3" xfId="24313" xr:uid="{00000000-0005-0000-0000-0000DA5E0000}"/>
    <cellStyle name="Calculation 17 2 7 4 4" xfId="24314" xr:uid="{00000000-0005-0000-0000-0000DB5E0000}"/>
    <cellStyle name="Calculation 17 2 7 4 5" xfId="24315" xr:uid="{00000000-0005-0000-0000-0000DC5E0000}"/>
    <cellStyle name="Calculation 17 2 7 4 6" xfId="24316" xr:uid="{00000000-0005-0000-0000-0000DD5E0000}"/>
    <cellStyle name="Calculation 17 2 7 5" xfId="24317" xr:uid="{00000000-0005-0000-0000-0000DE5E0000}"/>
    <cellStyle name="Calculation 17 2 7 5 2" xfId="24318" xr:uid="{00000000-0005-0000-0000-0000DF5E0000}"/>
    <cellStyle name="Calculation 17 2 7 5 3" xfId="24319" xr:uid="{00000000-0005-0000-0000-0000E05E0000}"/>
    <cellStyle name="Calculation 17 2 7 5 4" xfId="24320" xr:uid="{00000000-0005-0000-0000-0000E15E0000}"/>
    <cellStyle name="Calculation 17 2 7 5 5" xfId="24321" xr:uid="{00000000-0005-0000-0000-0000E25E0000}"/>
    <cellStyle name="Calculation 17 2 7 5 6" xfId="24322" xr:uid="{00000000-0005-0000-0000-0000E35E0000}"/>
    <cellStyle name="Calculation 17 2 7 6" xfId="24323" xr:uid="{00000000-0005-0000-0000-0000E45E0000}"/>
    <cellStyle name="Calculation 17 2 7 6 2" xfId="24324" xr:uid="{00000000-0005-0000-0000-0000E55E0000}"/>
    <cellStyle name="Calculation 17 2 7 6 3" xfId="24325" xr:uid="{00000000-0005-0000-0000-0000E65E0000}"/>
    <cellStyle name="Calculation 17 2 7 6 4" xfId="24326" xr:uid="{00000000-0005-0000-0000-0000E75E0000}"/>
    <cellStyle name="Calculation 17 2 7 6 5" xfId="24327" xr:uid="{00000000-0005-0000-0000-0000E85E0000}"/>
    <cellStyle name="Calculation 17 2 7 6 6" xfId="24328" xr:uid="{00000000-0005-0000-0000-0000E95E0000}"/>
    <cellStyle name="Calculation 17 2 7 7" xfId="24329" xr:uid="{00000000-0005-0000-0000-0000EA5E0000}"/>
    <cellStyle name="Calculation 17 2 7 7 2" xfId="24330" xr:uid="{00000000-0005-0000-0000-0000EB5E0000}"/>
    <cellStyle name="Calculation 17 2 7 7 3" xfId="24331" xr:uid="{00000000-0005-0000-0000-0000EC5E0000}"/>
    <cellStyle name="Calculation 17 2 7 7 4" xfId="24332" xr:uid="{00000000-0005-0000-0000-0000ED5E0000}"/>
    <cellStyle name="Calculation 17 2 7 7 5" xfId="24333" xr:uid="{00000000-0005-0000-0000-0000EE5E0000}"/>
    <cellStyle name="Calculation 17 2 7 7 6" xfId="24334" xr:uid="{00000000-0005-0000-0000-0000EF5E0000}"/>
    <cellStyle name="Calculation 17 2 7 8" xfId="24335" xr:uid="{00000000-0005-0000-0000-0000F05E0000}"/>
    <cellStyle name="Calculation 17 2 7 9" xfId="24336" xr:uid="{00000000-0005-0000-0000-0000F15E0000}"/>
    <cellStyle name="Calculation 17 2 8" xfId="24337" xr:uid="{00000000-0005-0000-0000-0000F25E0000}"/>
    <cellStyle name="Calculation 17 2 8 10" xfId="24338" xr:uid="{00000000-0005-0000-0000-0000F35E0000}"/>
    <cellStyle name="Calculation 17 2 8 2" xfId="24339" xr:uid="{00000000-0005-0000-0000-0000F45E0000}"/>
    <cellStyle name="Calculation 17 2 8 2 2" xfId="24340" xr:uid="{00000000-0005-0000-0000-0000F55E0000}"/>
    <cellStyle name="Calculation 17 2 8 2 3" xfId="24341" xr:uid="{00000000-0005-0000-0000-0000F65E0000}"/>
    <cellStyle name="Calculation 17 2 8 2 4" xfId="24342" xr:uid="{00000000-0005-0000-0000-0000F75E0000}"/>
    <cellStyle name="Calculation 17 2 8 2 5" xfId="24343" xr:uid="{00000000-0005-0000-0000-0000F85E0000}"/>
    <cellStyle name="Calculation 17 2 8 2 6" xfId="24344" xr:uid="{00000000-0005-0000-0000-0000F95E0000}"/>
    <cellStyle name="Calculation 17 2 8 3" xfId="24345" xr:uid="{00000000-0005-0000-0000-0000FA5E0000}"/>
    <cellStyle name="Calculation 17 2 8 3 2" xfId="24346" xr:uid="{00000000-0005-0000-0000-0000FB5E0000}"/>
    <cellStyle name="Calculation 17 2 8 3 3" xfId="24347" xr:uid="{00000000-0005-0000-0000-0000FC5E0000}"/>
    <cellStyle name="Calculation 17 2 8 3 4" xfId="24348" xr:uid="{00000000-0005-0000-0000-0000FD5E0000}"/>
    <cellStyle name="Calculation 17 2 8 3 5" xfId="24349" xr:uid="{00000000-0005-0000-0000-0000FE5E0000}"/>
    <cellStyle name="Calculation 17 2 8 3 6" xfId="24350" xr:uid="{00000000-0005-0000-0000-0000FF5E0000}"/>
    <cellStyle name="Calculation 17 2 8 4" xfId="24351" xr:uid="{00000000-0005-0000-0000-0000005F0000}"/>
    <cellStyle name="Calculation 17 2 8 4 2" xfId="24352" xr:uid="{00000000-0005-0000-0000-0000015F0000}"/>
    <cellStyle name="Calculation 17 2 8 4 3" xfId="24353" xr:uid="{00000000-0005-0000-0000-0000025F0000}"/>
    <cellStyle name="Calculation 17 2 8 4 4" xfId="24354" xr:uid="{00000000-0005-0000-0000-0000035F0000}"/>
    <cellStyle name="Calculation 17 2 8 4 5" xfId="24355" xr:uid="{00000000-0005-0000-0000-0000045F0000}"/>
    <cellStyle name="Calculation 17 2 8 4 6" xfId="24356" xr:uid="{00000000-0005-0000-0000-0000055F0000}"/>
    <cellStyle name="Calculation 17 2 8 5" xfId="24357" xr:uid="{00000000-0005-0000-0000-0000065F0000}"/>
    <cellStyle name="Calculation 17 2 8 5 2" xfId="24358" xr:uid="{00000000-0005-0000-0000-0000075F0000}"/>
    <cellStyle name="Calculation 17 2 8 5 3" xfId="24359" xr:uid="{00000000-0005-0000-0000-0000085F0000}"/>
    <cellStyle name="Calculation 17 2 8 5 4" xfId="24360" xr:uid="{00000000-0005-0000-0000-0000095F0000}"/>
    <cellStyle name="Calculation 17 2 8 5 5" xfId="24361" xr:uid="{00000000-0005-0000-0000-00000A5F0000}"/>
    <cellStyle name="Calculation 17 2 8 5 6" xfId="24362" xr:uid="{00000000-0005-0000-0000-00000B5F0000}"/>
    <cellStyle name="Calculation 17 2 8 6" xfId="24363" xr:uid="{00000000-0005-0000-0000-00000C5F0000}"/>
    <cellStyle name="Calculation 17 2 8 6 2" xfId="24364" xr:uid="{00000000-0005-0000-0000-00000D5F0000}"/>
    <cellStyle name="Calculation 17 2 8 6 3" xfId="24365" xr:uid="{00000000-0005-0000-0000-00000E5F0000}"/>
    <cellStyle name="Calculation 17 2 8 6 4" xfId="24366" xr:uid="{00000000-0005-0000-0000-00000F5F0000}"/>
    <cellStyle name="Calculation 17 2 8 6 5" xfId="24367" xr:uid="{00000000-0005-0000-0000-0000105F0000}"/>
    <cellStyle name="Calculation 17 2 8 6 6" xfId="24368" xr:uid="{00000000-0005-0000-0000-0000115F0000}"/>
    <cellStyle name="Calculation 17 2 8 7" xfId="24369" xr:uid="{00000000-0005-0000-0000-0000125F0000}"/>
    <cellStyle name="Calculation 17 2 8 7 2" xfId="24370" xr:uid="{00000000-0005-0000-0000-0000135F0000}"/>
    <cellStyle name="Calculation 17 2 8 7 3" xfId="24371" xr:uid="{00000000-0005-0000-0000-0000145F0000}"/>
    <cellStyle name="Calculation 17 2 8 7 4" xfId="24372" xr:uid="{00000000-0005-0000-0000-0000155F0000}"/>
    <cellStyle name="Calculation 17 2 8 7 5" xfId="24373" xr:uid="{00000000-0005-0000-0000-0000165F0000}"/>
    <cellStyle name="Calculation 17 2 8 7 6" xfId="24374" xr:uid="{00000000-0005-0000-0000-0000175F0000}"/>
    <cellStyle name="Calculation 17 2 8 8" xfId="24375" xr:uid="{00000000-0005-0000-0000-0000185F0000}"/>
    <cellStyle name="Calculation 17 2 8 9" xfId="24376" xr:uid="{00000000-0005-0000-0000-0000195F0000}"/>
    <cellStyle name="Calculation 17 2 9" xfId="24377" xr:uid="{00000000-0005-0000-0000-00001A5F0000}"/>
    <cellStyle name="Calculation 17 2 9 10" xfId="24378" xr:uid="{00000000-0005-0000-0000-00001B5F0000}"/>
    <cellStyle name="Calculation 17 2 9 2" xfId="24379" xr:uid="{00000000-0005-0000-0000-00001C5F0000}"/>
    <cellStyle name="Calculation 17 2 9 2 2" xfId="24380" xr:uid="{00000000-0005-0000-0000-00001D5F0000}"/>
    <cellStyle name="Calculation 17 2 9 2 3" xfId="24381" xr:uid="{00000000-0005-0000-0000-00001E5F0000}"/>
    <cellStyle name="Calculation 17 2 9 2 4" xfId="24382" xr:uid="{00000000-0005-0000-0000-00001F5F0000}"/>
    <cellStyle name="Calculation 17 2 9 2 5" xfId="24383" xr:uid="{00000000-0005-0000-0000-0000205F0000}"/>
    <cellStyle name="Calculation 17 2 9 2 6" xfId="24384" xr:uid="{00000000-0005-0000-0000-0000215F0000}"/>
    <cellStyle name="Calculation 17 2 9 3" xfId="24385" xr:uid="{00000000-0005-0000-0000-0000225F0000}"/>
    <cellStyle name="Calculation 17 2 9 3 2" xfId="24386" xr:uid="{00000000-0005-0000-0000-0000235F0000}"/>
    <cellStyle name="Calculation 17 2 9 3 3" xfId="24387" xr:uid="{00000000-0005-0000-0000-0000245F0000}"/>
    <cellStyle name="Calculation 17 2 9 3 4" xfId="24388" xr:uid="{00000000-0005-0000-0000-0000255F0000}"/>
    <cellStyle name="Calculation 17 2 9 3 5" xfId="24389" xr:uid="{00000000-0005-0000-0000-0000265F0000}"/>
    <cellStyle name="Calculation 17 2 9 3 6" xfId="24390" xr:uid="{00000000-0005-0000-0000-0000275F0000}"/>
    <cellStyle name="Calculation 17 2 9 4" xfId="24391" xr:uid="{00000000-0005-0000-0000-0000285F0000}"/>
    <cellStyle name="Calculation 17 2 9 4 2" xfId="24392" xr:uid="{00000000-0005-0000-0000-0000295F0000}"/>
    <cellStyle name="Calculation 17 2 9 4 3" xfId="24393" xr:uid="{00000000-0005-0000-0000-00002A5F0000}"/>
    <cellStyle name="Calculation 17 2 9 4 4" xfId="24394" xr:uid="{00000000-0005-0000-0000-00002B5F0000}"/>
    <cellStyle name="Calculation 17 2 9 4 5" xfId="24395" xr:uid="{00000000-0005-0000-0000-00002C5F0000}"/>
    <cellStyle name="Calculation 17 2 9 4 6" xfId="24396" xr:uid="{00000000-0005-0000-0000-00002D5F0000}"/>
    <cellStyle name="Calculation 17 2 9 5" xfId="24397" xr:uid="{00000000-0005-0000-0000-00002E5F0000}"/>
    <cellStyle name="Calculation 17 2 9 5 2" xfId="24398" xr:uid="{00000000-0005-0000-0000-00002F5F0000}"/>
    <cellStyle name="Calculation 17 2 9 5 3" xfId="24399" xr:uid="{00000000-0005-0000-0000-0000305F0000}"/>
    <cellStyle name="Calculation 17 2 9 5 4" xfId="24400" xr:uid="{00000000-0005-0000-0000-0000315F0000}"/>
    <cellStyle name="Calculation 17 2 9 5 5" xfId="24401" xr:uid="{00000000-0005-0000-0000-0000325F0000}"/>
    <cellStyle name="Calculation 17 2 9 5 6" xfId="24402" xr:uid="{00000000-0005-0000-0000-0000335F0000}"/>
    <cellStyle name="Calculation 17 2 9 6" xfId="24403" xr:uid="{00000000-0005-0000-0000-0000345F0000}"/>
    <cellStyle name="Calculation 17 2 9 6 2" xfId="24404" xr:uid="{00000000-0005-0000-0000-0000355F0000}"/>
    <cellStyle name="Calculation 17 2 9 6 3" xfId="24405" xr:uid="{00000000-0005-0000-0000-0000365F0000}"/>
    <cellStyle name="Calculation 17 2 9 6 4" xfId="24406" xr:uid="{00000000-0005-0000-0000-0000375F0000}"/>
    <cellStyle name="Calculation 17 2 9 6 5" xfId="24407" xr:uid="{00000000-0005-0000-0000-0000385F0000}"/>
    <cellStyle name="Calculation 17 2 9 6 6" xfId="24408" xr:uid="{00000000-0005-0000-0000-0000395F0000}"/>
    <cellStyle name="Calculation 17 2 9 7" xfId="24409" xr:uid="{00000000-0005-0000-0000-00003A5F0000}"/>
    <cellStyle name="Calculation 17 2 9 7 2" xfId="24410" xr:uid="{00000000-0005-0000-0000-00003B5F0000}"/>
    <cellStyle name="Calculation 17 2 9 7 3" xfId="24411" xr:uid="{00000000-0005-0000-0000-00003C5F0000}"/>
    <cellStyle name="Calculation 17 2 9 7 4" xfId="24412" xr:uid="{00000000-0005-0000-0000-00003D5F0000}"/>
    <cellStyle name="Calculation 17 2 9 7 5" xfId="24413" xr:uid="{00000000-0005-0000-0000-00003E5F0000}"/>
    <cellStyle name="Calculation 17 2 9 7 6" xfId="24414" xr:uid="{00000000-0005-0000-0000-00003F5F0000}"/>
    <cellStyle name="Calculation 17 2 9 8" xfId="24415" xr:uid="{00000000-0005-0000-0000-0000405F0000}"/>
    <cellStyle name="Calculation 17 2 9 9" xfId="24416" xr:uid="{00000000-0005-0000-0000-0000415F0000}"/>
    <cellStyle name="Calculation 17 20" xfId="24417" xr:uid="{00000000-0005-0000-0000-0000425F0000}"/>
    <cellStyle name="Calculation 17 20 10" xfId="24418" xr:uid="{00000000-0005-0000-0000-0000435F0000}"/>
    <cellStyle name="Calculation 17 20 2" xfId="24419" xr:uid="{00000000-0005-0000-0000-0000445F0000}"/>
    <cellStyle name="Calculation 17 20 2 2" xfId="24420" xr:uid="{00000000-0005-0000-0000-0000455F0000}"/>
    <cellStyle name="Calculation 17 20 2 3" xfId="24421" xr:uid="{00000000-0005-0000-0000-0000465F0000}"/>
    <cellStyle name="Calculation 17 20 2 4" xfId="24422" xr:uid="{00000000-0005-0000-0000-0000475F0000}"/>
    <cellStyle name="Calculation 17 20 2 5" xfId="24423" xr:uid="{00000000-0005-0000-0000-0000485F0000}"/>
    <cellStyle name="Calculation 17 20 2 6" xfId="24424" xr:uid="{00000000-0005-0000-0000-0000495F0000}"/>
    <cellStyle name="Calculation 17 20 3" xfId="24425" xr:uid="{00000000-0005-0000-0000-00004A5F0000}"/>
    <cellStyle name="Calculation 17 20 3 2" xfId="24426" xr:uid="{00000000-0005-0000-0000-00004B5F0000}"/>
    <cellStyle name="Calculation 17 20 3 3" xfId="24427" xr:uid="{00000000-0005-0000-0000-00004C5F0000}"/>
    <cellStyle name="Calculation 17 20 3 4" xfId="24428" xr:uid="{00000000-0005-0000-0000-00004D5F0000}"/>
    <cellStyle name="Calculation 17 20 3 5" xfId="24429" xr:uid="{00000000-0005-0000-0000-00004E5F0000}"/>
    <cellStyle name="Calculation 17 20 3 6" xfId="24430" xr:uid="{00000000-0005-0000-0000-00004F5F0000}"/>
    <cellStyle name="Calculation 17 20 4" xfId="24431" xr:uid="{00000000-0005-0000-0000-0000505F0000}"/>
    <cellStyle name="Calculation 17 20 4 2" xfId="24432" xr:uid="{00000000-0005-0000-0000-0000515F0000}"/>
    <cellStyle name="Calculation 17 20 4 3" xfId="24433" xr:uid="{00000000-0005-0000-0000-0000525F0000}"/>
    <cellStyle name="Calculation 17 20 4 4" xfId="24434" xr:uid="{00000000-0005-0000-0000-0000535F0000}"/>
    <cellStyle name="Calculation 17 20 4 5" xfId="24435" xr:uid="{00000000-0005-0000-0000-0000545F0000}"/>
    <cellStyle name="Calculation 17 20 4 6" xfId="24436" xr:uid="{00000000-0005-0000-0000-0000555F0000}"/>
    <cellStyle name="Calculation 17 20 5" xfId="24437" xr:uid="{00000000-0005-0000-0000-0000565F0000}"/>
    <cellStyle name="Calculation 17 20 5 2" xfId="24438" xr:uid="{00000000-0005-0000-0000-0000575F0000}"/>
    <cellStyle name="Calculation 17 20 5 3" xfId="24439" xr:uid="{00000000-0005-0000-0000-0000585F0000}"/>
    <cellStyle name="Calculation 17 20 5 4" xfId="24440" xr:uid="{00000000-0005-0000-0000-0000595F0000}"/>
    <cellStyle name="Calculation 17 20 5 5" xfId="24441" xr:uid="{00000000-0005-0000-0000-00005A5F0000}"/>
    <cellStyle name="Calculation 17 20 5 6" xfId="24442" xr:uid="{00000000-0005-0000-0000-00005B5F0000}"/>
    <cellStyle name="Calculation 17 20 6" xfId="24443" xr:uid="{00000000-0005-0000-0000-00005C5F0000}"/>
    <cellStyle name="Calculation 17 20 6 2" xfId="24444" xr:uid="{00000000-0005-0000-0000-00005D5F0000}"/>
    <cellStyle name="Calculation 17 20 6 3" xfId="24445" xr:uid="{00000000-0005-0000-0000-00005E5F0000}"/>
    <cellStyle name="Calculation 17 20 6 4" xfId="24446" xr:uid="{00000000-0005-0000-0000-00005F5F0000}"/>
    <cellStyle name="Calculation 17 20 6 5" xfId="24447" xr:uid="{00000000-0005-0000-0000-0000605F0000}"/>
    <cellStyle name="Calculation 17 20 6 6" xfId="24448" xr:uid="{00000000-0005-0000-0000-0000615F0000}"/>
    <cellStyle name="Calculation 17 20 7" xfId="24449" xr:uid="{00000000-0005-0000-0000-0000625F0000}"/>
    <cellStyle name="Calculation 17 20 7 2" xfId="24450" xr:uid="{00000000-0005-0000-0000-0000635F0000}"/>
    <cellStyle name="Calculation 17 20 7 3" xfId="24451" xr:uid="{00000000-0005-0000-0000-0000645F0000}"/>
    <cellStyle name="Calculation 17 20 7 4" xfId="24452" xr:uid="{00000000-0005-0000-0000-0000655F0000}"/>
    <cellStyle name="Calculation 17 20 7 5" xfId="24453" xr:uid="{00000000-0005-0000-0000-0000665F0000}"/>
    <cellStyle name="Calculation 17 20 7 6" xfId="24454" xr:uid="{00000000-0005-0000-0000-0000675F0000}"/>
    <cellStyle name="Calculation 17 20 8" xfId="24455" xr:uid="{00000000-0005-0000-0000-0000685F0000}"/>
    <cellStyle name="Calculation 17 20 9" xfId="24456" xr:uid="{00000000-0005-0000-0000-0000695F0000}"/>
    <cellStyle name="Calculation 17 21" xfId="24457" xr:uid="{00000000-0005-0000-0000-00006A5F0000}"/>
    <cellStyle name="Calculation 17 21 10" xfId="24458" xr:uid="{00000000-0005-0000-0000-00006B5F0000}"/>
    <cellStyle name="Calculation 17 21 2" xfId="24459" xr:uid="{00000000-0005-0000-0000-00006C5F0000}"/>
    <cellStyle name="Calculation 17 21 2 2" xfId="24460" xr:uid="{00000000-0005-0000-0000-00006D5F0000}"/>
    <cellStyle name="Calculation 17 21 2 3" xfId="24461" xr:uid="{00000000-0005-0000-0000-00006E5F0000}"/>
    <cellStyle name="Calculation 17 21 2 4" xfId="24462" xr:uid="{00000000-0005-0000-0000-00006F5F0000}"/>
    <cellStyle name="Calculation 17 21 2 5" xfId="24463" xr:uid="{00000000-0005-0000-0000-0000705F0000}"/>
    <cellStyle name="Calculation 17 21 2 6" xfId="24464" xr:uid="{00000000-0005-0000-0000-0000715F0000}"/>
    <cellStyle name="Calculation 17 21 3" xfId="24465" xr:uid="{00000000-0005-0000-0000-0000725F0000}"/>
    <cellStyle name="Calculation 17 21 3 2" xfId="24466" xr:uid="{00000000-0005-0000-0000-0000735F0000}"/>
    <cellStyle name="Calculation 17 21 3 3" xfId="24467" xr:uid="{00000000-0005-0000-0000-0000745F0000}"/>
    <cellStyle name="Calculation 17 21 3 4" xfId="24468" xr:uid="{00000000-0005-0000-0000-0000755F0000}"/>
    <cellStyle name="Calculation 17 21 3 5" xfId="24469" xr:uid="{00000000-0005-0000-0000-0000765F0000}"/>
    <cellStyle name="Calculation 17 21 3 6" xfId="24470" xr:uid="{00000000-0005-0000-0000-0000775F0000}"/>
    <cellStyle name="Calculation 17 21 4" xfId="24471" xr:uid="{00000000-0005-0000-0000-0000785F0000}"/>
    <cellStyle name="Calculation 17 21 4 2" xfId="24472" xr:uid="{00000000-0005-0000-0000-0000795F0000}"/>
    <cellStyle name="Calculation 17 21 4 3" xfId="24473" xr:uid="{00000000-0005-0000-0000-00007A5F0000}"/>
    <cellStyle name="Calculation 17 21 4 4" xfId="24474" xr:uid="{00000000-0005-0000-0000-00007B5F0000}"/>
    <cellStyle name="Calculation 17 21 4 5" xfId="24475" xr:uid="{00000000-0005-0000-0000-00007C5F0000}"/>
    <cellStyle name="Calculation 17 21 4 6" xfId="24476" xr:uid="{00000000-0005-0000-0000-00007D5F0000}"/>
    <cellStyle name="Calculation 17 21 5" xfId="24477" xr:uid="{00000000-0005-0000-0000-00007E5F0000}"/>
    <cellStyle name="Calculation 17 21 5 2" xfId="24478" xr:uid="{00000000-0005-0000-0000-00007F5F0000}"/>
    <cellStyle name="Calculation 17 21 5 3" xfId="24479" xr:uid="{00000000-0005-0000-0000-0000805F0000}"/>
    <cellStyle name="Calculation 17 21 5 4" xfId="24480" xr:uid="{00000000-0005-0000-0000-0000815F0000}"/>
    <cellStyle name="Calculation 17 21 5 5" xfId="24481" xr:uid="{00000000-0005-0000-0000-0000825F0000}"/>
    <cellStyle name="Calculation 17 21 5 6" xfId="24482" xr:uid="{00000000-0005-0000-0000-0000835F0000}"/>
    <cellStyle name="Calculation 17 21 6" xfId="24483" xr:uid="{00000000-0005-0000-0000-0000845F0000}"/>
    <cellStyle name="Calculation 17 21 6 2" xfId="24484" xr:uid="{00000000-0005-0000-0000-0000855F0000}"/>
    <cellStyle name="Calculation 17 21 6 3" xfId="24485" xr:uid="{00000000-0005-0000-0000-0000865F0000}"/>
    <cellStyle name="Calculation 17 21 6 4" xfId="24486" xr:uid="{00000000-0005-0000-0000-0000875F0000}"/>
    <cellStyle name="Calculation 17 21 6 5" xfId="24487" xr:uid="{00000000-0005-0000-0000-0000885F0000}"/>
    <cellStyle name="Calculation 17 21 6 6" xfId="24488" xr:uid="{00000000-0005-0000-0000-0000895F0000}"/>
    <cellStyle name="Calculation 17 21 7" xfId="24489" xr:uid="{00000000-0005-0000-0000-00008A5F0000}"/>
    <cellStyle name="Calculation 17 21 7 2" xfId="24490" xr:uid="{00000000-0005-0000-0000-00008B5F0000}"/>
    <cellStyle name="Calculation 17 21 7 3" xfId="24491" xr:uid="{00000000-0005-0000-0000-00008C5F0000}"/>
    <cellStyle name="Calculation 17 21 7 4" xfId="24492" xr:uid="{00000000-0005-0000-0000-00008D5F0000}"/>
    <cellStyle name="Calculation 17 21 7 5" xfId="24493" xr:uid="{00000000-0005-0000-0000-00008E5F0000}"/>
    <cellStyle name="Calculation 17 21 7 6" xfId="24494" xr:uid="{00000000-0005-0000-0000-00008F5F0000}"/>
    <cellStyle name="Calculation 17 21 8" xfId="24495" xr:uid="{00000000-0005-0000-0000-0000905F0000}"/>
    <cellStyle name="Calculation 17 21 9" xfId="24496" xr:uid="{00000000-0005-0000-0000-0000915F0000}"/>
    <cellStyle name="Calculation 17 22" xfId="24497" xr:uid="{00000000-0005-0000-0000-0000925F0000}"/>
    <cellStyle name="Calculation 17 22 10" xfId="24498" xr:uid="{00000000-0005-0000-0000-0000935F0000}"/>
    <cellStyle name="Calculation 17 22 2" xfId="24499" xr:uid="{00000000-0005-0000-0000-0000945F0000}"/>
    <cellStyle name="Calculation 17 22 2 2" xfId="24500" xr:uid="{00000000-0005-0000-0000-0000955F0000}"/>
    <cellStyle name="Calculation 17 22 2 3" xfId="24501" xr:uid="{00000000-0005-0000-0000-0000965F0000}"/>
    <cellStyle name="Calculation 17 22 2 4" xfId="24502" xr:uid="{00000000-0005-0000-0000-0000975F0000}"/>
    <cellStyle name="Calculation 17 22 2 5" xfId="24503" xr:uid="{00000000-0005-0000-0000-0000985F0000}"/>
    <cellStyle name="Calculation 17 22 2 6" xfId="24504" xr:uid="{00000000-0005-0000-0000-0000995F0000}"/>
    <cellStyle name="Calculation 17 22 3" xfId="24505" xr:uid="{00000000-0005-0000-0000-00009A5F0000}"/>
    <cellStyle name="Calculation 17 22 3 2" xfId="24506" xr:uid="{00000000-0005-0000-0000-00009B5F0000}"/>
    <cellStyle name="Calculation 17 22 3 3" xfId="24507" xr:uid="{00000000-0005-0000-0000-00009C5F0000}"/>
    <cellStyle name="Calculation 17 22 3 4" xfId="24508" xr:uid="{00000000-0005-0000-0000-00009D5F0000}"/>
    <cellStyle name="Calculation 17 22 3 5" xfId="24509" xr:uid="{00000000-0005-0000-0000-00009E5F0000}"/>
    <cellStyle name="Calculation 17 22 3 6" xfId="24510" xr:uid="{00000000-0005-0000-0000-00009F5F0000}"/>
    <cellStyle name="Calculation 17 22 4" xfId="24511" xr:uid="{00000000-0005-0000-0000-0000A05F0000}"/>
    <cellStyle name="Calculation 17 22 4 2" xfId="24512" xr:uid="{00000000-0005-0000-0000-0000A15F0000}"/>
    <cellStyle name="Calculation 17 22 4 3" xfId="24513" xr:uid="{00000000-0005-0000-0000-0000A25F0000}"/>
    <cellStyle name="Calculation 17 22 4 4" xfId="24514" xr:uid="{00000000-0005-0000-0000-0000A35F0000}"/>
    <cellStyle name="Calculation 17 22 4 5" xfId="24515" xr:uid="{00000000-0005-0000-0000-0000A45F0000}"/>
    <cellStyle name="Calculation 17 22 4 6" xfId="24516" xr:uid="{00000000-0005-0000-0000-0000A55F0000}"/>
    <cellStyle name="Calculation 17 22 5" xfId="24517" xr:uid="{00000000-0005-0000-0000-0000A65F0000}"/>
    <cellStyle name="Calculation 17 22 5 2" xfId="24518" xr:uid="{00000000-0005-0000-0000-0000A75F0000}"/>
    <cellStyle name="Calculation 17 22 5 3" xfId="24519" xr:uid="{00000000-0005-0000-0000-0000A85F0000}"/>
    <cellStyle name="Calculation 17 22 5 4" xfId="24520" xr:uid="{00000000-0005-0000-0000-0000A95F0000}"/>
    <cellStyle name="Calculation 17 22 5 5" xfId="24521" xr:uid="{00000000-0005-0000-0000-0000AA5F0000}"/>
    <cellStyle name="Calculation 17 22 5 6" xfId="24522" xr:uid="{00000000-0005-0000-0000-0000AB5F0000}"/>
    <cellStyle name="Calculation 17 22 6" xfId="24523" xr:uid="{00000000-0005-0000-0000-0000AC5F0000}"/>
    <cellStyle name="Calculation 17 22 6 2" xfId="24524" xr:uid="{00000000-0005-0000-0000-0000AD5F0000}"/>
    <cellStyle name="Calculation 17 22 6 3" xfId="24525" xr:uid="{00000000-0005-0000-0000-0000AE5F0000}"/>
    <cellStyle name="Calculation 17 22 6 4" xfId="24526" xr:uid="{00000000-0005-0000-0000-0000AF5F0000}"/>
    <cellStyle name="Calculation 17 22 6 5" xfId="24527" xr:uid="{00000000-0005-0000-0000-0000B05F0000}"/>
    <cellStyle name="Calculation 17 22 6 6" xfId="24528" xr:uid="{00000000-0005-0000-0000-0000B15F0000}"/>
    <cellStyle name="Calculation 17 22 7" xfId="24529" xr:uid="{00000000-0005-0000-0000-0000B25F0000}"/>
    <cellStyle name="Calculation 17 22 7 2" xfId="24530" xr:uid="{00000000-0005-0000-0000-0000B35F0000}"/>
    <cellStyle name="Calculation 17 22 7 3" xfId="24531" xr:uid="{00000000-0005-0000-0000-0000B45F0000}"/>
    <cellStyle name="Calculation 17 22 7 4" xfId="24532" xr:uid="{00000000-0005-0000-0000-0000B55F0000}"/>
    <cellStyle name="Calculation 17 22 7 5" xfId="24533" xr:uid="{00000000-0005-0000-0000-0000B65F0000}"/>
    <cellStyle name="Calculation 17 22 7 6" xfId="24534" xr:uid="{00000000-0005-0000-0000-0000B75F0000}"/>
    <cellStyle name="Calculation 17 22 8" xfId="24535" xr:uid="{00000000-0005-0000-0000-0000B85F0000}"/>
    <cellStyle name="Calculation 17 22 9" xfId="24536" xr:uid="{00000000-0005-0000-0000-0000B95F0000}"/>
    <cellStyle name="Calculation 17 23" xfId="24537" xr:uid="{00000000-0005-0000-0000-0000BA5F0000}"/>
    <cellStyle name="Calculation 17 23 10" xfId="24538" xr:uid="{00000000-0005-0000-0000-0000BB5F0000}"/>
    <cellStyle name="Calculation 17 23 2" xfId="24539" xr:uid="{00000000-0005-0000-0000-0000BC5F0000}"/>
    <cellStyle name="Calculation 17 23 2 2" xfId="24540" xr:uid="{00000000-0005-0000-0000-0000BD5F0000}"/>
    <cellStyle name="Calculation 17 23 2 3" xfId="24541" xr:uid="{00000000-0005-0000-0000-0000BE5F0000}"/>
    <cellStyle name="Calculation 17 23 2 4" xfId="24542" xr:uid="{00000000-0005-0000-0000-0000BF5F0000}"/>
    <cellStyle name="Calculation 17 23 2 5" xfId="24543" xr:uid="{00000000-0005-0000-0000-0000C05F0000}"/>
    <cellStyle name="Calculation 17 23 2 6" xfId="24544" xr:uid="{00000000-0005-0000-0000-0000C15F0000}"/>
    <cellStyle name="Calculation 17 23 3" xfId="24545" xr:uid="{00000000-0005-0000-0000-0000C25F0000}"/>
    <cellStyle name="Calculation 17 23 3 2" xfId="24546" xr:uid="{00000000-0005-0000-0000-0000C35F0000}"/>
    <cellStyle name="Calculation 17 23 3 3" xfId="24547" xr:uid="{00000000-0005-0000-0000-0000C45F0000}"/>
    <cellStyle name="Calculation 17 23 3 4" xfId="24548" xr:uid="{00000000-0005-0000-0000-0000C55F0000}"/>
    <cellStyle name="Calculation 17 23 3 5" xfId="24549" xr:uid="{00000000-0005-0000-0000-0000C65F0000}"/>
    <cellStyle name="Calculation 17 23 3 6" xfId="24550" xr:uid="{00000000-0005-0000-0000-0000C75F0000}"/>
    <cellStyle name="Calculation 17 23 4" xfId="24551" xr:uid="{00000000-0005-0000-0000-0000C85F0000}"/>
    <cellStyle name="Calculation 17 23 4 2" xfId="24552" xr:uid="{00000000-0005-0000-0000-0000C95F0000}"/>
    <cellStyle name="Calculation 17 23 4 3" xfId="24553" xr:uid="{00000000-0005-0000-0000-0000CA5F0000}"/>
    <cellStyle name="Calculation 17 23 4 4" xfId="24554" xr:uid="{00000000-0005-0000-0000-0000CB5F0000}"/>
    <cellStyle name="Calculation 17 23 4 5" xfId="24555" xr:uid="{00000000-0005-0000-0000-0000CC5F0000}"/>
    <cellStyle name="Calculation 17 23 4 6" xfId="24556" xr:uid="{00000000-0005-0000-0000-0000CD5F0000}"/>
    <cellStyle name="Calculation 17 23 5" xfId="24557" xr:uid="{00000000-0005-0000-0000-0000CE5F0000}"/>
    <cellStyle name="Calculation 17 23 5 2" xfId="24558" xr:uid="{00000000-0005-0000-0000-0000CF5F0000}"/>
    <cellStyle name="Calculation 17 23 5 3" xfId="24559" xr:uid="{00000000-0005-0000-0000-0000D05F0000}"/>
    <cellStyle name="Calculation 17 23 5 4" xfId="24560" xr:uid="{00000000-0005-0000-0000-0000D15F0000}"/>
    <cellStyle name="Calculation 17 23 5 5" xfId="24561" xr:uid="{00000000-0005-0000-0000-0000D25F0000}"/>
    <cellStyle name="Calculation 17 23 5 6" xfId="24562" xr:uid="{00000000-0005-0000-0000-0000D35F0000}"/>
    <cellStyle name="Calculation 17 23 6" xfId="24563" xr:uid="{00000000-0005-0000-0000-0000D45F0000}"/>
    <cellStyle name="Calculation 17 23 6 2" xfId="24564" xr:uid="{00000000-0005-0000-0000-0000D55F0000}"/>
    <cellStyle name="Calculation 17 23 6 3" xfId="24565" xr:uid="{00000000-0005-0000-0000-0000D65F0000}"/>
    <cellStyle name="Calculation 17 23 6 4" xfId="24566" xr:uid="{00000000-0005-0000-0000-0000D75F0000}"/>
    <cellStyle name="Calculation 17 23 6 5" xfId="24567" xr:uid="{00000000-0005-0000-0000-0000D85F0000}"/>
    <cellStyle name="Calculation 17 23 6 6" xfId="24568" xr:uid="{00000000-0005-0000-0000-0000D95F0000}"/>
    <cellStyle name="Calculation 17 23 7" xfId="24569" xr:uid="{00000000-0005-0000-0000-0000DA5F0000}"/>
    <cellStyle name="Calculation 17 23 7 2" xfId="24570" xr:uid="{00000000-0005-0000-0000-0000DB5F0000}"/>
    <cellStyle name="Calculation 17 23 7 3" xfId="24571" xr:uid="{00000000-0005-0000-0000-0000DC5F0000}"/>
    <cellStyle name="Calculation 17 23 7 4" xfId="24572" xr:uid="{00000000-0005-0000-0000-0000DD5F0000}"/>
    <cellStyle name="Calculation 17 23 7 5" xfId="24573" xr:uid="{00000000-0005-0000-0000-0000DE5F0000}"/>
    <cellStyle name="Calculation 17 23 7 6" xfId="24574" xr:uid="{00000000-0005-0000-0000-0000DF5F0000}"/>
    <cellStyle name="Calculation 17 23 8" xfId="24575" xr:uid="{00000000-0005-0000-0000-0000E05F0000}"/>
    <cellStyle name="Calculation 17 23 9" xfId="24576" xr:uid="{00000000-0005-0000-0000-0000E15F0000}"/>
    <cellStyle name="Calculation 17 24" xfId="24577" xr:uid="{00000000-0005-0000-0000-0000E25F0000}"/>
    <cellStyle name="Calculation 17 24 10" xfId="24578" xr:uid="{00000000-0005-0000-0000-0000E35F0000}"/>
    <cellStyle name="Calculation 17 24 2" xfId="24579" xr:uid="{00000000-0005-0000-0000-0000E45F0000}"/>
    <cellStyle name="Calculation 17 24 2 2" xfId="24580" xr:uid="{00000000-0005-0000-0000-0000E55F0000}"/>
    <cellStyle name="Calculation 17 24 2 3" xfId="24581" xr:uid="{00000000-0005-0000-0000-0000E65F0000}"/>
    <cellStyle name="Calculation 17 24 2 4" xfId="24582" xr:uid="{00000000-0005-0000-0000-0000E75F0000}"/>
    <cellStyle name="Calculation 17 24 2 5" xfId="24583" xr:uid="{00000000-0005-0000-0000-0000E85F0000}"/>
    <cellStyle name="Calculation 17 24 2 6" xfId="24584" xr:uid="{00000000-0005-0000-0000-0000E95F0000}"/>
    <cellStyle name="Calculation 17 24 3" xfId="24585" xr:uid="{00000000-0005-0000-0000-0000EA5F0000}"/>
    <cellStyle name="Calculation 17 24 3 2" xfId="24586" xr:uid="{00000000-0005-0000-0000-0000EB5F0000}"/>
    <cellStyle name="Calculation 17 24 3 3" xfId="24587" xr:uid="{00000000-0005-0000-0000-0000EC5F0000}"/>
    <cellStyle name="Calculation 17 24 3 4" xfId="24588" xr:uid="{00000000-0005-0000-0000-0000ED5F0000}"/>
    <cellStyle name="Calculation 17 24 3 5" xfId="24589" xr:uid="{00000000-0005-0000-0000-0000EE5F0000}"/>
    <cellStyle name="Calculation 17 24 3 6" xfId="24590" xr:uid="{00000000-0005-0000-0000-0000EF5F0000}"/>
    <cellStyle name="Calculation 17 24 4" xfId="24591" xr:uid="{00000000-0005-0000-0000-0000F05F0000}"/>
    <cellStyle name="Calculation 17 24 4 2" xfId="24592" xr:uid="{00000000-0005-0000-0000-0000F15F0000}"/>
    <cellStyle name="Calculation 17 24 4 3" xfId="24593" xr:uid="{00000000-0005-0000-0000-0000F25F0000}"/>
    <cellStyle name="Calculation 17 24 4 4" xfId="24594" xr:uid="{00000000-0005-0000-0000-0000F35F0000}"/>
    <cellStyle name="Calculation 17 24 4 5" xfId="24595" xr:uid="{00000000-0005-0000-0000-0000F45F0000}"/>
    <cellStyle name="Calculation 17 24 4 6" xfId="24596" xr:uid="{00000000-0005-0000-0000-0000F55F0000}"/>
    <cellStyle name="Calculation 17 24 5" xfId="24597" xr:uid="{00000000-0005-0000-0000-0000F65F0000}"/>
    <cellStyle name="Calculation 17 24 5 2" xfId="24598" xr:uid="{00000000-0005-0000-0000-0000F75F0000}"/>
    <cellStyle name="Calculation 17 24 5 3" xfId="24599" xr:uid="{00000000-0005-0000-0000-0000F85F0000}"/>
    <cellStyle name="Calculation 17 24 5 4" xfId="24600" xr:uid="{00000000-0005-0000-0000-0000F95F0000}"/>
    <cellStyle name="Calculation 17 24 5 5" xfId="24601" xr:uid="{00000000-0005-0000-0000-0000FA5F0000}"/>
    <cellStyle name="Calculation 17 24 5 6" xfId="24602" xr:uid="{00000000-0005-0000-0000-0000FB5F0000}"/>
    <cellStyle name="Calculation 17 24 6" xfId="24603" xr:uid="{00000000-0005-0000-0000-0000FC5F0000}"/>
    <cellStyle name="Calculation 17 24 6 2" xfId="24604" xr:uid="{00000000-0005-0000-0000-0000FD5F0000}"/>
    <cellStyle name="Calculation 17 24 6 3" xfId="24605" xr:uid="{00000000-0005-0000-0000-0000FE5F0000}"/>
    <cellStyle name="Calculation 17 24 6 4" xfId="24606" xr:uid="{00000000-0005-0000-0000-0000FF5F0000}"/>
    <cellStyle name="Calculation 17 24 6 5" xfId="24607" xr:uid="{00000000-0005-0000-0000-000000600000}"/>
    <cellStyle name="Calculation 17 24 6 6" xfId="24608" xr:uid="{00000000-0005-0000-0000-000001600000}"/>
    <cellStyle name="Calculation 17 24 7" xfId="24609" xr:uid="{00000000-0005-0000-0000-000002600000}"/>
    <cellStyle name="Calculation 17 24 7 2" xfId="24610" xr:uid="{00000000-0005-0000-0000-000003600000}"/>
    <cellStyle name="Calculation 17 24 7 3" xfId="24611" xr:uid="{00000000-0005-0000-0000-000004600000}"/>
    <cellStyle name="Calculation 17 24 7 4" xfId="24612" xr:uid="{00000000-0005-0000-0000-000005600000}"/>
    <cellStyle name="Calculation 17 24 7 5" xfId="24613" xr:uid="{00000000-0005-0000-0000-000006600000}"/>
    <cellStyle name="Calculation 17 24 7 6" xfId="24614" xr:uid="{00000000-0005-0000-0000-000007600000}"/>
    <cellStyle name="Calculation 17 24 8" xfId="24615" xr:uid="{00000000-0005-0000-0000-000008600000}"/>
    <cellStyle name="Calculation 17 24 9" xfId="24616" xr:uid="{00000000-0005-0000-0000-000009600000}"/>
    <cellStyle name="Calculation 17 25" xfId="24617" xr:uid="{00000000-0005-0000-0000-00000A600000}"/>
    <cellStyle name="Calculation 17 25 10" xfId="24618" xr:uid="{00000000-0005-0000-0000-00000B600000}"/>
    <cellStyle name="Calculation 17 25 2" xfId="24619" xr:uid="{00000000-0005-0000-0000-00000C600000}"/>
    <cellStyle name="Calculation 17 25 2 2" xfId="24620" xr:uid="{00000000-0005-0000-0000-00000D600000}"/>
    <cellStyle name="Calculation 17 25 2 3" xfId="24621" xr:uid="{00000000-0005-0000-0000-00000E600000}"/>
    <cellStyle name="Calculation 17 25 2 4" xfId="24622" xr:uid="{00000000-0005-0000-0000-00000F600000}"/>
    <cellStyle name="Calculation 17 25 2 5" xfId="24623" xr:uid="{00000000-0005-0000-0000-000010600000}"/>
    <cellStyle name="Calculation 17 25 2 6" xfId="24624" xr:uid="{00000000-0005-0000-0000-000011600000}"/>
    <cellStyle name="Calculation 17 25 3" xfId="24625" xr:uid="{00000000-0005-0000-0000-000012600000}"/>
    <cellStyle name="Calculation 17 25 3 2" xfId="24626" xr:uid="{00000000-0005-0000-0000-000013600000}"/>
    <cellStyle name="Calculation 17 25 3 3" xfId="24627" xr:uid="{00000000-0005-0000-0000-000014600000}"/>
    <cellStyle name="Calculation 17 25 3 4" xfId="24628" xr:uid="{00000000-0005-0000-0000-000015600000}"/>
    <cellStyle name="Calculation 17 25 3 5" xfId="24629" xr:uid="{00000000-0005-0000-0000-000016600000}"/>
    <cellStyle name="Calculation 17 25 3 6" xfId="24630" xr:uid="{00000000-0005-0000-0000-000017600000}"/>
    <cellStyle name="Calculation 17 25 4" xfId="24631" xr:uid="{00000000-0005-0000-0000-000018600000}"/>
    <cellStyle name="Calculation 17 25 4 2" xfId="24632" xr:uid="{00000000-0005-0000-0000-000019600000}"/>
    <cellStyle name="Calculation 17 25 4 3" xfId="24633" xr:uid="{00000000-0005-0000-0000-00001A600000}"/>
    <cellStyle name="Calculation 17 25 4 4" xfId="24634" xr:uid="{00000000-0005-0000-0000-00001B600000}"/>
    <cellStyle name="Calculation 17 25 4 5" xfId="24635" xr:uid="{00000000-0005-0000-0000-00001C600000}"/>
    <cellStyle name="Calculation 17 25 4 6" xfId="24636" xr:uid="{00000000-0005-0000-0000-00001D600000}"/>
    <cellStyle name="Calculation 17 25 5" xfId="24637" xr:uid="{00000000-0005-0000-0000-00001E600000}"/>
    <cellStyle name="Calculation 17 25 5 2" xfId="24638" xr:uid="{00000000-0005-0000-0000-00001F600000}"/>
    <cellStyle name="Calculation 17 25 5 3" xfId="24639" xr:uid="{00000000-0005-0000-0000-000020600000}"/>
    <cellStyle name="Calculation 17 25 5 4" xfId="24640" xr:uid="{00000000-0005-0000-0000-000021600000}"/>
    <cellStyle name="Calculation 17 25 5 5" xfId="24641" xr:uid="{00000000-0005-0000-0000-000022600000}"/>
    <cellStyle name="Calculation 17 25 5 6" xfId="24642" xr:uid="{00000000-0005-0000-0000-000023600000}"/>
    <cellStyle name="Calculation 17 25 6" xfId="24643" xr:uid="{00000000-0005-0000-0000-000024600000}"/>
    <cellStyle name="Calculation 17 25 6 2" xfId="24644" xr:uid="{00000000-0005-0000-0000-000025600000}"/>
    <cellStyle name="Calculation 17 25 6 3" xfId="24645" xr:uid="{00000000-0005-0000-0000-000026600000}"/>
    <cellStyle name="Calculation 17 25 6 4" xfId="24646" xr:uid="{00000000-0005-0000-0000-000027600000}"/>
    <cellStyle name="Calculation 17 25 6 5" xfId="24647" xr:uid="{00000000-0005-0000-0000-000028600000}"/>
    <cellStyle name="Calculation 17 25 6 6" xfId="24648" xr:uid="{00000000-0005-0000-0000-000029600000}"/>
    <cellStyle name="Calculation 17 25 7" xfId="24649" xr:uid="{00000000-0005-0000-0000-00002A600000}"/>
    <cellStyle name="Calculation 17 25 7 2" xfId="24650" xr:uid="{00000000-0005-0000-0000-00002B600000}"/>
    <cellStyle name="Calculation 17 25 7 3" xfId="24651" xr:uid="{00000000-0005-0000-0000-00002C600000}"/>
    <cellStyle name="Calculation 17 25 7 4" xfId="24652" xr:uid="{00000000-0005-0000-0000-00002D600000}"/>
    <cellStyle name="Calculation 17 25 7 5" xfId="24653" xr:uid="{00000000-0005-0000-0000-00002E600000}"/>
    <cellStyle name="Calculation 17 25 7 6" xfId="24654" xr:uid="{00000000-0005-0000-0000-00002F600000}"/>
    <cellStyle name="Calculation 17 25 8" xfId="24655" xr:uid="{00000000-0005-0000-0000-000030600000}"/>
    <cellStyle name="Calculation 17 25 9" xfId="24656" xr:uid="{00000000-0005-0000-0000-000031600000}"/>
    <cellStyle name="Calculation 17 26" xfId="24657" xr:uid="{00000000-0005-0000-0000-000032600000}"/>
    <cellStyle name="Calculation 17 26 2" xfId="24658" xr:uid="{00000000-0005-0000-0000-000033600000}"/>
    <cellStyle name="Calculation 17 26 3" xfId="24659" xr:uid="{00000000-0005-0000-0000-000034600000}"/>
    <cellStyle name="Calculation 17 26 4" xfId="24660" xr:uid="{00000000-0005-0000-0000-000035600000}"/>
    <cellStyle name="Calculation 17 26 5" xfId="24661" xr:uid="{00000000-0005-0000-0000-000036600000}"/>
    <cellStyle name="Calculation 17 26 6" xfId="24662" xr:uid="{00000000-0005-0000-0000-000037600000}"/>
    <cellStyle name="Calculation 17 27" xfId="24663" xr:uid="{00000000-0005-0000-0000-000038600000}"/>
    <cellStyle name="Calculation 17 27 2" xfId="24664" xr:uid="{00000000-0005-0000-0000-000039600000}"/>
    <cellStyle name="Calculation 17 27 3" xfId="24665" xr:uid="{00000000-0005-0000-0000-00003A600000}"/>
    <cellStyle name="Calculation 17 27 4" xfId="24666" xr:uid="{00000000-0005-0000-0000-00003B600000}"/>
    <cellStyle name="Calculation 17 27 5" xfId="24667" xr:uid="{00000000-0005-0000-0000-00003C600000}"/>
    <cellStyle name="Calculation 17 27 6" xfId="24668" xr:uid="{00000000-0005-0000-0000-00003D600000}"/>
    <cellStyle name="Calculation 17 28" xfId="24669" xr:uid="{00000000-0005-0000-0000-00003E600000}"/>
    <cellStyle name="Calculation 17 28 2" xfId="24670" xr:uid="{00000000-0005-0000-0000-00003F600000}"/>
    <cellStyle name="Calculation 17 28 3" xfId="24671" xr:uid="{00000000-0005-0000-0000-000040600000}"/>
    <cellStyle name="Calculation 17 28 4" xfId="24672" xr:uid="{00000000-0005-0000-0000-000041600000}"/>
    <cellStyle name="Calculation 17 28 5" xfId="24673" xr:uid="{00000000-0005-0000-0000-000042600000}"/>
    <cellStyle name="Calculation 17 28 6" xfId="24674" xr:uid="{00000000-0005-0000-0000-000043600000}"/>
    <cellStyle name="Calculation 17 29" xfId="24675" xr:uid="{00000000-0005-0000-0000-000044600000}"/>
    <cellStyle name="Calculation 17 29 2" xfId="24676" xr:uid="{00000000-0005-0000-0000-000045600000}"/>
    <cellStyle name="Calculation 17 29 3" xfId="24677" xr:uid="{00000000-0005-0000-0000-000046600000}"/>
    <cellStyle name="Calculation 17 29 4" xfId="24678" xr:uid="{00000000-0005-0000-0000-000047600000}"/>
    <cellStyle name="Calculation 17 29 5" xfId="24679" xr:uid="{00000000-0005-0000-0000-000048600000}"/>
    <cellStyle name="Calculation 17 29 6" xfId="24680" xr:uid="{00000000-0005-0000-0000-000049600000}"/>
    <cellStyle name="Calculation 17 3" xfId="24681" xr:uid="{00000000-0005-0000-0000-00004A600000}"/>
    <cellStyle name="Calculation 17 3 10" xfId="24682" xr:uid="{00000000-0005-0000-0000-00004B600000}"/>
    <cellStyle name="Calculation 17 3 10 10" xfId="24683" xr:uid="{00000000-0005-0000-0000-00004C600000}"/>
    <cellStyle name="Calculation 17 3 10 2" xfId="24684" xr:uid="{00000000-0005-0000-0000-00004D600000}"/>
    <cellStyle name="Calculation 17 3 10 2 2" xfId="24685" xr:uid="{00000000-0005-0000-0000-00004E600000}"/>
    <cellStyle name="Calculation 17 3 10 2 3" xfId="24686" xr:uid="{00000000-0005-0000-0000-00004F600000}"/>
    <cellStyle name="Calculation 17 3 10 2 4" xfId="24687" xr:uid="{00000000-0005-0000-0000-000050600000}"/>
    <cellStyle name="Calculation 17 3 10 2 5" xfId="24688" xr:uid="{00000000-0005-0000-0000-000051600000}"/>
    <cellStyle name="Calculation 17 3 10 2 6" xfId="24689" xr:uid="{00000000-0005-0000-0000-000052600000}"/>
    <cellStyle name="Calculation 17 3 10 3" xfId="24690" xr:uid="{00000000-0005-0000-0000-000053600000}"/>
    <cellStyle name="Calculation 17 3 10 3 2" xfId="24691" xr:uid="{00000000-0005-0000-0000-000054600000}"/>
    <cellStyle name="Calculation 17 3 10 3 3" xfId="24692" xr:uid="{00000000-0005-0000-0000-000055600000}"/>
    <cellStyle name="Calculation 17 3 10 3 4" xfId="24693" xr:uid="{00000000-0005-0000-0000-000056600000}"/>
    <cellStyle name="Calculation 17 3 10 3 5" xfId="24694" xr:uid="{00000000-0005-0000-0000-000057600000}"/>
    <cellStyle name="Calculation 17 3 10 3 6" xfId="24695" xr:uid="{00000000-0005-0000-0000-000058600000}"/>
    <cellStyle name="Calculation 17 3 10 4" xfId="24696" xr:uid="{00000000-0005-0000-0000-000059600000}"/>
    <cellStyle name="Calculation 17 3 10 4 2" xfId="24697" xr:uid="{00000000-0005-0000-0000-00005A600000}"/>
    <cellStyle name="Calculation 17 3 10 4 3" xfId="24698" xr:uid="{00000000-0005-0000-0000-00005B600000}"/>
    <cellStyle name="Calculation 17 3 10 4 4" xfId="24699" xr:uid="{00000000-0005-0000-0000-00005C600000}"/>
    <cellStyle name="Calculation 17 3 10 4 5" xfId="24700" xr:uid="{00000000-0005-0000-0000-00005D600000}"/>
    <cellStyle name="Calculation 17 3 10 4 6" xfId="24701" xr:uid="{00000000-0005-0000-0000-00005E600000}"/>
    <cellStyle name="Calculation 17 3 10 5" xfId="24702" xr:uid="{00000000-0005-0000-0000-00005F600000}"/>
    <cellStyle name="Calculation 17 3 10 5 2" xfId="24703" xr:uid="{00000000-0005-0000-0000-000060600000}"/>
    <cellStyle name="Calculation 17 3 10 5 3" xfId="24704" xr:uid="{00000000-0005-0000-0000-000061600000}"/>
    <cellStyle name="Calculation 17 3 10 5 4" xfId="24705" xr:uid="{00000000-0005-0000-0000-000062600000}"/>
    <cellStyle name="Calculation 17 3 10 5 5" xfId="24706" xr:uid="{00000000-0005-0000-0000-000063600000}"/>
    <cellStyle name="Calculation 17 3 10 5 6" xfId="24707" xr:uid="{00000000-0005-0000-0000-000064600000}"/>
    <cellStyle name="Calculation 17 3 10 6" xfId="24708" xr:uid="{00000000-0005-0000-0000-000065600000}"/>
    <cellStyle name="Calculation 17 3 10 6 2" xfId="24709" xr:uid="{00000000-0005-0000-0000-000066600000}"/>
    <cellStyle name="Calculation 17 3 10 6 3" xfId="24710" xr:uid="{00000000-0005-0000-0000-000067600000}"/>
    <cellStyle name="Calculation 17 3 10 6 4" xfId="24711" xr:uid="{00000000-0005-0000-0000-000068600000}"/>
    <cellStyle name="Calculation 17 3 10 6 5" xfId="24712" xr:uid="{00000000-0005-0000-0000-000069600000}"/>
    <cellStyle name="Calculation 17 3 10 6 6" xfId="24713" xr:uid="{00000000-0005-0000-0000-00006A600000}"/>
    <cellStyle name="Calculation 17 3 10 7" xfId="24714" xr:uid="{00000000-0005-0000-0000-00006B600000}"/>
    <cellStyle name="Calculation 17 3 10 7 2" xfId="24715" xr:uid="{00000000-0005-0000-0000-00006C600000}"/>
    <cellStyle name="Calculation 17 3 10 7 3" xfId="24716" xr:uid="{00000000-0005-0000-0000-00006D600000}"/>
    <cellStyle name="Calculation 17 3 10 7 4" xfId="24717" xr:uid="{00000000-0005-0000-0000-00006E600000}"/>
    <cellStyle name="Calculation 17 3 10 7 5" xfId="24718" xr:uid="{00000000-0005-0000-0000-00006F600000}"/>
    <cellStyle name="Calculation 17 3 10 7 6" xfId="24719" xr:uid="{00000000-0005-0000-0000-000070600000}"/>
    <cellStyle name="Calculation 17 3 10 8" xfId="24720" xr:uid="{00000000-0005-0000-0000-000071600000}"/>
    <cellStyle name="Calculation 17 3 10 9" xfId="24721" xr:uid="{00000000-0005-0000-0000-000072600000}"/>
    <cellStyle name="Calculation 17 3 11" xfId="24722" xr:uid="{00000000-0005-0000-0000-000073600000}"/>
    <cellStyle name="Calculation 17 3 11 10" xfId="24723" xr:uid="{00000000-0005-0000-0000-000074600000}"/>
    <cellStyle name="Calculation 17 3 11 2" xfId="24724" xr:uid="{00000000-0005-0000-0000-000075600000}"/>
    <cellStyle name="Calculation 17 3 11 2 2" xfId="24725" xr:uid="{00000000-0005-0000-0000-000076600000}"/>
    <cellStyle name="Calculation 17 3 11 2 3" xfId="24726" xr:uid="{00000000-0005-0000-0000-000077600000}"/>
    <cellStyle name="Calculation 17 3 11 2 4" xfId="24727" xr:uid="{00000000-0005-0000-0000-000078600000}"/>
    <cellStyle name="Calculation 17 3 11 2 5" xfId="24728" xr:uid="{00000000-0005-0000-0000-000079600000}"/>
    <cellStyle name="Calculation 17 3 11 2 6" xfId="24729" xr:uid="{00000000-0005-0000-0000-00007A600000}"/>
    <cellStyle name="Calculation 17 3 11 3" xfId="24730" xr:uid="{00000000-0005-0000-0000-00007B600000}"/>
    <cellStyle name="Calculation 17 3 11 3 2" xfId="24731" xr:uid="{00000000-0005-0000-0000-00007C600000}"/>
    <cellStyle name="Calculation 17 3 11 3 3" xfId="24732" xr:uid="{00000000-0005-0000-0000-00007D600000}"/>
    <cellStyle name="Calculation 17 3 11 3 4" xfId="24733" xr:uid="{00000000-0005-0000-0000-00007E600000}"/>
    <cellStyle name="Calculation 17 3 11 3 5" xfId="24734" xr:uid="{00000000-0005-0000-0000-00007F600000}"/>
    <cellStyle name="Calculation 17 3 11 3 6" xfId="24735" xr:uid="{00000000-0005-0000-0000-000080600000}"/>
    <cellStyle name="Calculation 17 3 11 4" xfId="24736" xr:uid="{00000000-0005-0000-0000-000081600000}"/>
    <cellStyle name="Calculation 17 3 11 4 2" xfId="24737" xr:uid="{00000000-0005-0000-0000-000082600000}"/>
    <cellStyle name="Calculation 17 3 11 4 3" xfId="24738" xr:uid="{00000000-0005-0000-0000-000083600000}"/>
    <cellStyle name="Calculation 17 3 11 4 4" xfId="24739" xr:uid="{00000000-0005-0000-0000-000084600000}"/>
    <cellStyle name="Calculation 17 3 11 4 5" xfId="24740" xr:uid="{00000000-0005-0000-0000-000085600000}"/>
    <cellStyle name="Calculation 17 3 11 4 6" xfId="24741" xr:uid="{00000000-0005-0000-0000-000086600000}"/>
    <cellStyle name="Calculation 17 3 11 5" xfId="24742" xr:uid="{00000000-0005-0000-0000-000087600000}"/>
    <cellStyle name="Calculation 17 3 11 5 2" xfId="24743" xr:uid="{00000000-0005-0000-0000-000088600000}"/>
    <cellStyle name="Calculation 17 3 11 5 3" xfId="24744" xr:uid="{00000000-0005-0000-0000-000089600000}"/>
    <cellStyle name="Calculation 17 3 11 5 4" xfId="24745" xr:uid="{00000000-0005-0000-0000-00008A600000}"/>
    <cellStyle name="Calculation 17 3 11 5 5" xfId="24746" xr:uid="{00000000-0005-0000-0000-00008B600000}"/>
    <cellStyle name="Calculation 17 3 11 5 6" xfId="24747" xr:uid="{00000000-0005-0000-0000-00008C600000}"/>
    <cellStyle name="Calculation 17 3 11 6" xfId="24748" xr:uid="{00000000-0005-0000-0000-00008D600000}"/>
    <cellStyle name="Calculation 17 3 11 6 2" xfId="24749" xr:uid="{00000000-0005-0000-0000-00008E600000}"/>
    <cellStyle name="Calculation 17 3 11 6 3" xfId="24750" xr:uid="{00000000-0005-0000-0000-00008F600000}"/>
    <cellStyle name="Calculation 17 3 11 6 4" xfId="24751" xr:uid="{00000000-0005-0000-0000-000090600000}"/>
    <cellStyle name="Calculation 17 3 11 6 5" xfId="24752" xr:uid="{00000000-0005-0000-0000-000091600000}"/>
    <cellStyle name="Calculation 17 3 11 6 6" xfId="24753" xr:uid="{00000000-0005-0000-0000-000092600000}"/>
    <cellStyle name="Calculation 17 3 11 7" xfId="24754" xr:uid="{00000000-0005-0000-0000-000093600000}"/>
    <cellStyle name="Calculation 17 3 11 7 2" xfId="24755" xr:uid="{00000000-0005-0000-0000-000094600000}"/>
    <cellStyle name="Calculation 17 3 11 7 3" xfId="24756" xr:uid="{00000000-0005-0000-0000-000095600000}"/>
    <cellStyle name="Calculation 17 3 11 7 4" xfId="24757" xr:uid="{00000000-0005-0000-0000-000096600000}"/>
    <cellStyle name="Calculation 17 3 11 7 5" xfId="24758" xr:uid="{00000000-0005-0000-0000-000097600000}"/>
    <cellStyle name="Calculation 17 3 11 7 6" xfId="24759" xr:uid="{00000000-0005-0000-0000-000098600000}"/>
    <cellStyle name="Calculation 17 3 11 8" xfId="24760" xr:uid="{00000000-0005-0000-0000-000099600000}"/>
    <cellStyle name="Calculation 17 3 11 9" xfId="24761" xr:uid="{00000000-0005-0000-0000-00009A600000}"/>
    <cellStyle name="Calculation 17 3 12" xfId="24762" xr:uid="{00000000-0005-0000-0000-00009B600000}"/>
    <cellStyle name="Calculation 17 3 12 10" xfId="24763" xr:uid="{00000000-0005-0000-0000-00009C600000}"/>
    <cellStyle name="Calculation 17 3 12 2" xfId="24764" xr:uid="{00000000-0005-0000-0000-00009D600000}"/>
    <cellStyle name="Calculation 17 3 12 2 2" xfId="24765" xr:uid="{00000000-0005-0000-0000-00009E600000}"/>
    <cellStyle name="Calculation 17 3 12 2 3" xfId="24766" xr:uid="{00000000-0005-0000-0000-00009F600000}"/>
    <cellStyle name="Calculation 17 3 12 2 4" xfId="24767" xr:uid="{00000000-0005-0000-0000-0000A0600000}"/>
    <cellStyle name="Calculation 17 3 12 2 5" xfId="24768" xr:uid="{00000000-0005-0000-0000-0000A1600000}"/>
    <cellStyle name="Calculation 17 3 12 2 6" xfId="24769" xr:uid="{00000000-0005-0000-0000-0000A2600000}"/>
    <cellStyle name="Calculation 17 3 12 3" xfId="24770" xr:uid="{00000000-0005-0000-0000-0000A3600000}"/>
    <cellStyle name="Calculation 17 3 12 3 2" xfId="24771" xr:uid="{00000000-0005-0000-0000-0000A4600000}"/>
    <cellStyle name="Calculation 17 3 12 3 3" xfId="24772" xr:uid="{00000000-0005-0000-0000-0000A5600000}"/>
    <cellStyle name="Calculation 17 3 12 3 4" xfId="24773" xr:uid="{00000000-0005-0000-0000-0000A6600000}"/>
    <cellStyle name="Calculation 17 3 12 3 5" xfId="24774" xr:uid="{00000000-0005-0000-0000-0000A7600000}"/>
    <cellStyle name="Calculation 17 3 12 3 6" xfId="24775" xr:uid="{00000000-0005-0000-0000-0000A8600000}"/>
    <cellStyle name="Calculation 17 3 12 4" xfId="24776" xr:uid="{00000000-0005-0000-0000-0000A9600000}"/>
    <cellStyle name="Calculation 17 3 12 4 2" xfId="24777" xr:uid="{00000000-0005-0000-0000-0000AA600000}"/>
    <cellStyle name="Calculation 17 3 12 4 3" xfId="24778" xr:uid="{00000000-0005-0000-0000-0000AB600000}"/>
    <cellStyle name="Calculation 17 3 12 4 4" xfId="24779" xr:uid="{00000000-0005-0000-0000-0000AC600000}"/>
    <cellStyle name="Calculation 17 3 12 4 5" xfId="24780" xr:uid="{00000000-0005-0000-0000-0000AD600000}"/>
    <cellStyle name="Calculation 17 3 12 4 6" xfId="24781" xr:uid="{00000000-0005-0000-0000-0000AE600000}"/>
    <cellStyle name="Calculation 17 3 12 5" xfId="24782" xr:uid="{00000000-0005-0000-0000-0000AF600000}"/>
    <cellStyle name="Calculation 17 3 12 5 2" xfId="24783" xr:uid="{00000000-0005-0000-0000-0000B0600000}"/>
    <cellStyle name="Calculation 17 3 12 5 3" xfId="24784" xr:uid="{00000000-0005-0000-0000-0000B1600000}"/>
    <cellStyle name="Calculation 17 3 12 5 4" xfId="24785" xr:uid="{00000000-0005-0000-0000-0000B2600000}"/>
    <cellStyle name="Calculation 17 3 12 5 5" xfId="24786" xr:uid="{00000000-0005-0000-0000-0000B3600000}"/>
    <cellStyle name="Calculation 17 3 12 5 6" xfId="24787" xr:uid="{00000000-0005-0000-0000-0000B4600000}"/>
    <cellStyle name="Calculation 17 3 12 6" xfId="24788" xr:uid="{00000000-0005-0000-0000-0000B5600000}"/>
    <cellStyle name="Calculation 17 3 12 6 2" xfId="24789" xr:uid="{00000000-0005-0000-0000-0000B6600000}"/>
    <cellStyle name="Calculation 17 3 12 6 3" xfId="24790" xr:uid="{00000000-0005-0000-0000-0000B7600000}"/>
    <cellStyle name="Calculation 17 3 12 6 4" xfId="24791" xr:uid="{00000000-0005-0000-0000-0000B8600000}"/>
    <cellStyle name="Calculation 17 3 12 6 5" xfId="24792" xr:uid="{00000000-0005-0000-0000-0000B9600000}"/>
    <cellStyle name="Calculation 17 3 12 6 6" xfId="24793" xr:uid="{00000000-0005-0000-0000-0000BA600000}"/>
    <cellStyle name="Calculation 17 3 12 7" xfId="24794" xr:uid="{00000000-0005-0000-0000-0000BB600000}"/>
    <cellStyle name="Calculation 17 3 12 7 2" xfId="24795" xr:uid="{00000000-0005-0000-0000-0000BC600000}"/>
    <cellStyle name="Calculation 17 3 12 7 3" xfId="24796" xr:uid="{00000000-0005-0000-0000-0000BD600000}"/>
    <cellStyle name="Calculation 17 3 12 7 4" xfId="24797" xr:uid="{00000000-0005-0000-0000-0000BE600000}"/>
    <cellStyle name="Calculation 17 3 12 7 5" xfId="24798" xr:uid="{00000000-0005-0000-0000-0000BF600000}"/>
    <cellStyle name="Calculation 17 3 12 7 6" xfId="24799" xr:uid="{00000000-0005-0000-0000-0000C0600000}"/>
    <cellStyle name="Calculation 17 3 12 8" xfId="24800" xr:uid="{00000000-0005-0000-0000-0000C1600000}"/>
    <cellStyle name="Calculation 17 3 12 9" xfId="24801" xr:uid="{00000000-0005-0000-0000-0000C2600000}"/>
    <cellStyle name="Calculation 17 3 13" xfId="24802" xr:uid="{00000000-0005-0000-0000-0000C3600000}"/>
    <cellStyle name="Calculation 17 3 13 10" xfId="24803" xr:uid="{00000000-0005-0000-0000-0000C4600000}"/>
    <cellStyle name="Calculation 17 3 13 2" xfId="24804" xr:uid="{00000000-0005-0000-0000-0000C5600000}"/>
    <cellStyle name="Calculation 17 3 13 2 2" xfId="24805" xr:uid="{00000000-0005-0000-0000-0000C6600000}"/>
    <cellStyle name="Calculation 17 3 13 2 3" xfId="24806" xr:uid="{00000000-0005-0000-0000-0000C7600000}"/>
    <cellStyle name="Calculation 17 3 13 2 4" xfId="24807" xr:uid="{00000000-0005-0000-0000-0000C8600000}"/>
    <cellStyle name="Calculation 17 3 13 2 5" xfId="24808" xr:uid="{00000000-0005-0000-0000-0000C9600000}"/>
    <cellStyle name="Calculation 17 3 13 2 6" xfId="24809" xr:uid="{00000000-0005-0000-0000-0000CA600000}"/>
    <cellStyle name="Calculation 17 3 13 3" xfId="24810" xr:uid="{00000000-0005-0000-0000-0000CB600000}"/>
    <cellStyle name="Calculation 17 3 13 3 2" xfId="24811" xr:uid="{00000000-0005-0000-0000-0000CC600000}"/>
    <cellStyle name="Calculation 17 3 13 3 3" xfId="24812" xr:uid="{00000000-0005-0000-0000-0000CD600000}"/>
    <cellStyle name="Calculation 17 3 13 3 4" xfId="24813" xr:uid="{00000000-0005-0000-0000-0000CE600000}"/>
    <cellStyle name="Calculation 17 3 13 3 5" xfId="24814" xr:uid="{00000000-0005-0000-0000-0000CF600000}"/>
    <cellStyle name="Calculation 17 3 13 3 6" xfId="24815" xr:uid="{00000000-0005-0000-0000-0000D0600000}"/>
    <cellStyle name="Calculation 17 3 13 4" xfId="24816" xr:uid="{00000000-0005-0000-0000-0000D1600000}"/>
    <cellStyle name="Calculation 17 3 13 4 2" xfId="24817" xr:uid="{00000000-0005-0000-0000-0000D2600000}"/>
    <cellStyle name="Calculation 17 3 13 4 3" xfId="24818" xr:uid="{00000000-0005-0000-0000-0000D3600000}"/>
    <cellStyle name="Calculation 17 3 13 4 4" xfId="24819" xr:uid="{00000000-0005-0000-0000-0000D4600000}"/>
    <cellStyle name="Calculation 17 3 13 4 5" xfId="24820" xr:uid="{00000000-0005-0000-0000-0000D5600000}"/>
    <cellStyle name="Calculation 17 3 13 4 6" xfId="24821" xr:uid="{00000000-0005-0000-0000-0000D6600000}"/>
    <cellStyle name="Calculation 17 3 13 5" xfId="24822" xr:uid="{00000000-0005-0000-0000-0000D7600000}"/>
    <cellStyle name="Calculation 17 3 13 5 2" xfId="24823" xr:uid="{00000000-0005-0000-0000-0000D8600000}"/>
    <cellStyle name="Calculation 17 3 13 5 3" xfId="24824" xr:uid="{00000000-0005-0000-0000-0000D9600000}"/>
    <cellStyle name="Calculation 17 3 13 5 4" xfId="24825" xr:uid="{00000000-0005-0000-0000-0000DA600000}"/>
    <cellStyle name="Calculation 17 3 13 5 5" xfId="24826" xr:uid="{00000000-0005-0000-0000-0000DB600000}"/>
    <cellStyle name="Calculation 17 3 13 5 6" xfId="24827" xr:uid="{00000000-0005-0000-0000-0000DC600000}"/>
    <cellStyle name="Calculation 17 3 13 6" xfId="24828" xr:uid="{00000000-0005-0000-0000-0000DD600000}"/>
    <cellStyle name="Calculation 17 3 13 6 2" xfId="24829" xr:uid="{00000000-0005-0000-0000-0000DE600000}"/>
    <cellStyle name="Calculation 17 3 13 6 3" xfId="24830" xr:uid="{00000000-0005-0000-0000-0000DF600000}"/>
    <cellStyle name="Calculation 17 3 13 6 4" xfId="24831" xr:uid="{00000000-0005-0000-0000-0000E0600000}"/>
    <cellStyle name="Calculation 17 3 13 6 5" xfId="24832" xr:uid="{00000000-0005-0000-0000-0000E1600000}"/>
    <cellStyle name="Calculation 17 3 13 6 6" xfId="24833" xr:uid="{00000000-0005-0000-0000-0000E2600000}"/>
    <cellStyle name="Calculation 17 3 13 7" xfId="24834" xr:uid="{00000000-0005-0000-0000-0000E3600000}"/>
    <cellStyle name="Calculation 17 3 13 7 2" xfId="24835" xr:uid="{00000000-0005-0000-0000-0000E4600000}"/>
    <cellStyle name="Calculation 17 3 13 7 3" xfId="24836" xr:uid="{00000000-0005-0000-0000-0000E5600000}"/>
    <cellStyle name="Calculation 17 3 13 7 4" xfId="24837" xr:uid="{00000000-0005-0000-0000-0000E6600000}"/>
    <cellStyle name="Calculation 17 3 13 7 5" xfId="24838" xr:uid="{00000000-0005-0000-0000-0000E7600000}"/>
    <cellStyle name="Calculation 17 3 13 7 6" xfId="24839" xr:uid="{00000000-0005-0000-0000-0000E8600000}"/>
    <cellStyle name="Calculation 17 3 13 8" xfId="24840" xr:uid="{00000000-0005-0000-0000-0000E9600000}"/>
    <cellStyle name="Calculation 17 3 13 9" xfId="24841" xr:uid="{00000000-0005-0000-0000-0000EA600000}"/>
    <cellStyle name="Calculation 17 3 14" xfId="24842" xr:uid="{00000000-0005-0000-0000-0000EB600000}"/>
    <cellStyle name="Calculation 17 3 14 10" xfId="24843" xr:uid="{00000000-0005-0000-0000-0000EC600000}"/>
    <cellStyle name="Calculation 17 3 14 2" xfId="24844" xr:uid="{00000000-0005-0000-0000-0000ED600000}"/>
    <cellStyle name="Calculation 17 3 14 2 2" xfId="24845" xr:uid="{00000000-0005-0000-0000-0000EE600000}"/>
    <cellStyle name="Calculation 17 3 14 2 3" xfId="24846" xr:uid="{00000000-0005-0000-0000-0000EF600000}"/>
    <cellStyle name="Calculation 17 3 14 2 4" xfId="24847" xr:uid="{00000000-0005-0000-0000-0000F0600000}"/>
    <cellStyle name="Calculation 17 3 14 2 5" xfId="24848" xr:uid="{00000000-0005-0000-0000-0000F1600000}"/>
    <cellStyle name="Calculation 17 3 14 2 6" xfId="24849" xr:uid="{00000000-0005-0000-0000-0000F2600000}"/>
    <cellStyle name="Calculation 17 3 14 3" xfId="24850" xr:uid="{00000000-0005-0000-0000-0000F3600000}"/>
    <cellStyle name="Calculation 17 3 14 3 2" xfId="24851" xr:uid="{00000000-0005-0000-0000-0000F4600000}"/>
    <cellStyle name="Calculation 17 3 14 3 3" xfId="24852" xr:uid="{00000000-0005-0000-0000-0000F5600000}"/>
    <cellStyle name="Calculation 17 3 14 3 4" xfId="24853" xr:uid="{00000000-0005-0000-0000-0000F6600000}"/>
    <cellStyle name="Calculation 17 3 14 3 5" xfId="24854" xr:uid="{00000000-0005-0000-0000-0000F7600000}"/>
    <cellStyle name="Calculation 17 3 14 3 6" xfId="24855" xr:uid="{00000000-0005-0000-0000-0000F8600000}"/>
    <cellStyle name="Calculation 17 3 14 4" xfId="24856" xr:uid="{00000000-0005-0000-0000-0000F9600000}"/>
    <cellStyle name="Calculation 17 3 14 4 2" xfId="24857" xr:uid="{00000000-0005-0000-0000-0000FA600000}"/>
    <cellStyle name="Calculation 17 3 14 4 3" xfId="24858" xr:uid="{00000000-0005-0000-0000-0000FB600000}"/>
    <cellStyle name="Calculation 17 3 14 4 4" xfId="24859" xr:uid="{00000000-0005-0000-0000-0000FC600000}"/>
    <cellStyle name="Calculation 17 3 14 4 5" xfId="24860" xr:uid="{00000000-0005-0000-0000-0000FD600000}"/>
    <cellStyle name="Calculation 17 3 14 4 6" xfId="24861" xr:uid="{00000000-0005-0000-0000-0000FE600000}"/>
    <cellStyle name="Calculation 17 3 14 5" xfId="24862" xr:uid="{00000000-0005-0000-0000-0000FF600000}"/>
    <cellStyle name="Calculation 17 3 14 5 2" xfId="24863" xr:uid="{00000000-0005-0000-0000-000000610000}"/>
    <cellStyle name="Calculation 17 3 14 5 3" xfId="24864" xr:uid="{00000000-0005-0000-0000-000001610000}"/>
    <cellStyle name="Calculation 17 3 14 5 4" xfId="24865" xr:uid="{00000000-0005-0000-0000-000002610000}"/>
    <cellStyle name="Calculation 17 3 14 5 5" xfId="24866" xr:uid="{00000000-0005-0000-0000-000003610000}"/>
    <cellStyle name="Calculation 17 3 14 5 6" xfId="24867" xr:uid="{00000000-0005-0000-0000-000004610000}"/>
    <cellStyle name="Calculation 17 3 14 6" xfId="24868" xr:uid="{00000000-0005-0000-0000-000005610000}"/>
    <cellStyle name="Calculation 17 3 14 6 2" xfId="24869" xr:uid="{00000000-0005-0000-0000-000006610000}"/>
    <cellStyle name="Calculation 17 3 14 6 3" xfId="24870" xr:uid="{00000000-0005-0000-0000-000007610000}"/>
    <cellStyle name="Calculation 17 3 14 6 4" xfId="24871" xr:uid="{00000000-0005-0000-0000-000008610000}"/>
    <cellStyle name="Calculation 17 3 14 6 5" xfId="24872" xr:uid="{00000000-0005-0000-0000-000009610000}"/>
    <cellStyle name="Calculation 17 3 14 6 6" xfId="24873" xr:uid="{00000000-0005-0000-0000-00000A610000}"/>
    <cellStyle name="Calculation 17 3 14 7" xfId="24874" xr:uid="{00000000-0005-0000-0000-00000B610000}"/>
    <cellStyle name="Calculation 17 3 14 7 2" xfId="24875" xr:uid="{00000000-0005-0000-0000-00000C610000}"/>
    <cellStyle name="Calculation 17 3 14 7 3" xfId="24876" xr:uid="{00000000-0005-0000-0000-00000D610000}"/>
    <cellStyle name="Calculation 17 3 14 7 4" xfId="24877" xr:uid="{00000000-0005-0000-0000-00000E610000}"/>
    <cellStyle name="Calculation 17 3 14 7 5" xfId="24878" xr:uid="{00000000-0005-0000-0000-00000F610000}"/>
    <cellStyle name="Calculation 17 3 14 7 6" xfId="24879" xr:uid="{00000000-0005-0000-0000-000010610000}"/>
    <cellStyle name="Calculation 17 3 14 8" xfId="24880" xr:uid="{00000000-0005-0000-0000-000011610000}"/>
    <cellStyle name="Calculation 17 3 14 9" xfId="24881" xr:uid="{00000000-0005-0000-0000-000012610000}"/>
    <cellStyle name="Calculation 17 3 15" xfId="24882" xr:uid="{00000000-0005-0000-0000-000013610000}"/>
    <cellStyle name="Calculation 17 3 15 10" xfId="24883" xr:uid="{00000000-0005-0000-0000-000014610000}"/>
    <cellStyle name="Calculation 17 3 15 2" xfId="24884" xr:uid="{00000000-0005-0000-0000-000015610000}"/>
    <cellStyle name="Calculation 17 3 15 2 2" xfId="24885" xr:uid="{00000000-0005-0000-0000-000016610000}"/>
    <cellStyle name="Calculation 17 3 15 2 3" xfId="24886" xr:uid="{00000000-0005-0000-0000-000017610000}"/>
    <cellStyle name="Calculation 17 3 15 2 4" xfId="24887" xr:uid="{00000000-0005-0000-0000-000018610000}"/>
    <cellStyle name="Calculation 17 3 15 2 5" xfId="24888" xr:uid="{00000000-0005-0000-0000-000019610000}"/>
    <cellStyle name="Calculation 17 3 15 2 6" xfId="24889" xr:uid="{00000000-0005-0000-0000-00001A610000}"/>
    <cellStyle name="Calculation 17 3 15 3" xfId="24890" xr:uid="{00000000-0005-0000-0000-00001B610000}"/>
    <cellStyle name="Calculation 17 3 15 3 2" xfId="24891" xr:uid="{00000000-0005-0000-0000-00001C610000}"/>
    <cellStyle name="Calculation 17 3 15 3 3" xfId="24892" xr:uid="{00000000-0005-0000-0000-00001D610000}"/>
    <cellStyle name="Calculation 17 3 15 3 4" xfId="24893" xr:uid="{00000000-0005-0000-0000-00001E610000}"/>
    <cellStyle name="Calculation 17 3 15 3 5" xfId="24894" xr:uid="{00000000-0005-0000-0000-00001F610000}"/>
    <cellStyle name="Calculation 17 3 15 3 6" xfId="24895" xr:uid="{00000000-0005-0000-0000-000020610000}"/>
    <cellStyle name="Calculation 17 3 15 4" xfId="24896" xr:uid="{00000000-0005-0000-0000-000021610000}"/>
    <cellStyle name="Calculation 17 3 15 4 2" xfId="24897" xr:uid="{00000000-0005-0000-0000-000022610000}"/>
    <cellStyle name="Calculation 17 3 15 4 3" xfId="24898" xr:uid="{00000000-0005-0000-0000-000023610000}"/>
    <cellStyle name="Calculation 17 3 15 4 4" xfId="24899" xr:uid="{00000000-0005-0000-0000-000024610000}"/>
    <cellStyle name="Calculation 17 3 15 4 5" xfId="24900" xr:uid="{00000000-0005-0000-0000-000025610000}"/>
    <cellStyle name="Calculation 17 3 15 4 6" xfId="24901" xr:uid="{00000000-0005-0000-0000-000026610000}"/>
    <cellStyle name="Calculation 17 3 15 5" xfId="24902" xr:uid="{00000000-0005-0000-0000-000027610000}"/>
    <cellStyle name="Calculation 17 3 15 5 2" xfId="24903" xr:uid="{00000000-0005-0000-0000-000028610000}"/>
    <cellStyle name="Calculation 17 3 15 5 3" xfId="24904" xr:uid="{00000000-0005-0000-0000-000029610000}"/>
    <cellStyle name="Calculation 17 3 15 5 4" xfId="24905" xr:uid="{00000000-0005-0000-0000-00002A610000}"/>
    <cellStyle name="Calculation 17 3 15 5 5" xfId="24906" xr:uid="{00000000-0005-0000-0000-00002B610000}"/>
    <cellStyle name="Calculation 17 3 15 5 6" xfId="24907" xr:uid="{00000000-0005-0000-0000-00002C610000}"/>
    <cellStyle name="Calculation 17 3 15 6" xfId="24908" xr:uid="{00000000-0005-0000-0000-00002D610000}"/>
    <cellStyle name="Calculation 17 3 15 6 2" xfId="24909" xr:uid="{00000000-0005-0000-0000-00002E610000}"/>
    <cellStyle name="Calculation 17 3 15 6 3" xfId="24910" xr:uid="{00000000-0005-0000-0000-00002F610000}"/>
    <cellStyle name="Calculation 17 3 15 6 4" xfId="24911" xr:uid="{00000000-0005-0000-0000-000030610000}"/>
    <cellStyle name="Calculation 17 3 15 6 5" xfId="24912" xr:uid="{00000000-0005-0000-0000-000031610000}"/>
    <cellStyle name="Calculation 17 3 15 6 6" xfId="24913" xr:uid="{00000000-0005-0000-0000-000032610000}"/>
    <cellStyle name="Calculation 17 3 15 7" xfId="24914" xr:uid="{00000000-0005-0000-0000-000033610000}"/>
    <cellStyle name="Calculation 17 3 15 7 2" xfId="24915" xr:uid="{00000000-0005-0000-0000-000034610000}"/>
    <cellStyle name="Calculation 17 3 15 7 3" xfId="24916" xr:uid="{00000000-0005-0000-0000-000035610000}"/>
    <cellStyle name="Calculation 17 3 15 7 4" xfId="24917" xr:uid="{00000000-0005-0000-0000-000036610000}"/>
    <cellStyle name="Calculation 17 3 15 7 5" xfId="24918" xr:uid="{00000000-0005-0000-0000-000037610000}"/>
    <cellStyle name="Calculation 17 3 15 7 6" xfId="24919" xr:uid="{00000000-0005-0000-0000-000038610000}"/>
    <cellStyle name="Calculation 17 3 15 8" xfId="24920" xr:uid="{00000000-0005-0000-0000-000039610000}"/>
    <cellStyle name="Calculation 17 3 15 9" xfId="24921" xr:uid="{00000000-0005-0000-0000-00003A610000}"/>
    <cellStyle name="Calculation 17 3 16" xfId="24922" xr:uid="{00000000-0005-0000-0000-00003B610000}"/>
    <cellStyle name="Calculation 17 3 16 10" xfId="24923" xr:uid="{00000000-0005-0000-0000-00003C610000}"/>
    <cellStyle name="Calculation 17 3 16 2" xfId="24924" xr:uid="{00000000-0005-0000-0000-00003D610000}"/>
    <cellStyle name="Calculation 17 3 16 2 2" xfId="24925" xr:uid="{00000000-0005-0000-0000-00003E610000}"/>
    <cellStyle name="Calculation 17 3 16 2 3" xfId="24926" xr:uid="{00000000-0005-0000-0000-00003F610000}"/>
    <cellStyle name="Calculation 17 3 16 2 4" xfId="24927" xr:uid="{00000000-0005-0000-0000-000040610000}"/>
    <cellStyle name="Calculation 17 3 16 2 5" xfId="24928" xr:uid="{00000000-0005-0000-0000-000041610000}"/>
    <cellStyle name="Calculation 17 3 16 2 6" xfId="24929" xr:uid="{00000000-0005-0000-0000-000042610000}"/>
    <cellStyle name="Calculation 17 3 16 3" xfId="24930" xr:uid="{00000000-0005-0000-0000-000043610000}"/>
    <cellStyle name="Calculation 17 3 16 3 2" xfId="24931" xr:uid="{00000000-0005-0000-0000-000044610000}"/>
    <cellStyle name="Calculation 17 3 16 3 3" xfId="24932" xr:uid="{00000000-0005-0000-0000-000045610000}"/>
    <cellStyle name="Calculation 17 3 16 3 4" xfId="24933" xr:uid="{00000000-0005-0000-0000-000046610000}"/>
    <cellStyle name="Calculation 17 3 16 3 5" xfId="24934" xr:uid="{00000000-0005-0000-0000-000047610000}"/>
    <cellStyle name="Calculation 17 3 16 3 6" xfId="24935" xr:uid="{00000000-0005-0000-0000-000048610000}"/>
    <cellStyle name="Calculation 17 3 16 4" xfId="24936" xr:uid="{00000000-0005-0000-0000-000049610000}"/>
    <cellStyle name="Calculation 17 3 16 4 2" xfId="24937" xr:uid="{00000000-0005-0000-0000-00004A610000}"/>
    <cellStyle name="Calculation 17 3 16 4 3" xfId="24938" xr:uid="{00000000-0005-0000-0000-00004B610000}"/>
    <cellStyle name="Calculation 17 3 16 4 4" xfId="24939" xr:uid="{00000000-0005-0000-0000-00004C610000}"/>
    <cellStyle name="Calculation 17 3 16 4 5" xfId="24940" xr:uid="{00000000-0005-0000-0000-00004D610000}"/>
    <cellStyle name="Calculation 17 3 16 4 6" xfId="24941" xr:uid="{00000000-0005-0000-0000-00004E610000}"/>
    <cellStyle name="Calculation 17 3 16 5" xfId="24942" xr:uid="{00000000-0005-0000-0000-00004F610000}"/>
    <cellStyle name="Calculation 17 3 16 5 2" xfId="24943" xr:uid="{00000000-0005-0000-0000-000050610000}"/>
    <cellStyle name="Calculation 17 3 16 5 3" xfId="24944" xr:uid="{00000000-0005-0000-0000-000051610000}"/>
    <cellStyle name="Calculation 17 3 16 5 4" xfId="24945" xr:uid="{00000000-0005-0000-0000-000052610000}"/>
    <cellStyle name="Calculation 17 3 16 5 5" xfId="24946" xr:uid="{00000000-0005-0000-0000-000053610000}"/>
    <cellStyle name="Calculation 17 3 16 5 6" xfId="24947" xr:uid="{00000000-0005-0000-0000-000054610000}"/>
    <cellStyle name="Calculation 17 3 16 6" xfId="24948" xr:uid="{00000000-0005-0000-0000-000055610000}"/>
    <cellStyle name="Calculation 17 3 16 6 2" xfId="24949" xr:uid="{00000000-0005-0000-0000-000056610000}"/>
    <cellStyle name="Calculation 17 3 16 6 3" xfId="24950" xr:uid="{00000000-0005-0000-0000-000057610000}"/>
    <cellStyle name="Calculation 17 3 16 6 4" xfId="24951" xr:uid="{00000000-0005-0000-0000-000058610000}"/>
    <cellStyle name="Calculation 17 3 16 6 5" xfId="24952" xr:uid="{00000000-0005-0000-0000-000059610000}"/>
    <cellStyle name="Calculation 17 3 16 6 6" xfId="24953" xr:uid="{00000000-0005-0000-0000-00005A610000}"/>
    <cellStyle name="Calculation 17 3 16 7" xfId="24954" xr:uid="{00000000-0005-0000-0000-00005B610000}"/>
    <cellStyle name="Calculation 17 3 16 7 2" xfId="24955" xr:uid="{00000000-0005-0000-0000-00005C610000}"/>
    <cellStyle name="Calculation 17 3 16 7 3" xfId="24956" xr:uid="{00000000-0005-0000-0000-00005D610000}"/>
    <cellStyle name="Calculation 17 3 16 7 4" xfId="24957" xr:uid="{00000000-0005-0000-0000-00005E610000}"/>
    <cellStyle name="Calculation 17 3 16 7 5" xfId="24958" xr:uid="{00000000-0005-0000-0000-00005F610000}"/>
    <cellStyle name="Calculation 17 3 16 7 6" xfId="24959" xr:uid="{00000000-0005-0000-0000-000060610000}"/>
    <cellStyle name="Calculation 17 3 16 8" xfId="24960" xr:uid="{00000000-0005-0000-0000-000061610000}"/>
    <cellStyle name="Calculation 17 3 16 9" xfId="24961" xr:uid="{00000000-0005-0000-0000-000062610000}"/>
    <cellStyle name="Calculation 17 3 17" xfId="24962" xr:uid="{00000000-0005-0000-0000-000063610000}"/>
    <cellStyle name="Calculation 17 3 17 10" xfId="24963" xr:uid="{00000000-0005-0000-0000-000064610000}"/>
    <cellStyle name="Calculation 17 3 17 2" xfId="24964" xr:uid="{00000000-0005-0000-0000-000065610000}"/>
    <cellStyle name="Calculation 17 3 17 2 2" xfId="24965" xr:uid="{00000000-0005-0000-0000-000066610000}"/>
    <cellStyle name="Calculation 17 3 17 2 3" xfId="24966" xr:uid="{00000000-0005-0000-0000-000067610000}"/>
    <cellStyle name="Calculation 17 3 17 2 4" xfId="24967" xr:uid="{00000000-0005-0000-0000-000068610000}"/>
    <cellStyle name="Calculation 17 3 17 2 5" xfId="24968" xr:uid="{00000000-0005-0000-0000-000069610000}"/>
    <cellStyle name="Calculation 17 3 17 2 6" xfId="24969" xr:uid="{00000000-0005-0000-0000-00006A610000}"/>
    <cellStyle name="Calculation 17 3 17 3" xfId="24970" xr:uid="{00000000-0005-0000-0000-00006B610000}"/>
    <cellStyle name="Calculation 17 3 17 3 2" xfId="24971" xr:uid="{00000000-0005-0000-0000-00006C610000}"/>
    <cellStyle name="Calculation 17 3 17 3 3" xfId="24972" xr:uid="{00000000-0005-0000-0000-00006D610000}"/>
    <cellStyle name="Calculation 17 3 17 3 4" xfId="24973" xr:uid="{00000000-0005-0000-0000-00006E610000}"/>
    <cellStyle name="Calculation 17 3 17 3 5" xfId="24974" xr:uid="{00000000-0005-0000-0000-00006F610000}"/>
    <cellStyle name="Calculation 17 3 17 3 6" xfId="24975" xr:uid="{00000000-0005-0000-0000-000070610000}"/>
    <cellStyle name="Calculation 17 3 17 4" xfId="24976" xr:uid="{00000000-0005-0000-0000-000071610000}"/>
    <cellStyle name="Calculation 17 3 17 4 2" xfId="24977" xr:uid="{00000000-0005-0000-0000-000072610000}"/>
    <cellStyle name="Calculation 17 3 17 4 3" xfId="24978" xr:uid="{00000000-0005-0000-0000-000073610000}"/>
    <cellStyle name="Calculation 17 3 17 4 4" xfId="24979" xr:uid="{00000000-0005-0000-0000-000074610000}"/>
    <cellStyle name="Calculation 17 3 17 4 5" xfId="24980" xr:uid="{00000000-0005-0000-0000-000075610000}"/>
    <cellStyle name="Calculation 17 3 17 4 6" xfId="24981" xr:uid="{00000000-0005-0000-0000-000076610000}"/>
    <cellStyle name="Calculation 17 3 17 5" xfId="24982" xr:uid="{00000000-0005-0000-0000-000077610000}"/>
    <cellStyle name="Calculation 17 3 17 5 2" xfId="24983" xr:uid="{00000000-0005-0000-0000-000078610000}"/>
    <cellStyle name="Calculation 17 3 17 5 3" xfId="24984" xr:uid="{00000000-0005-0000-0000-000079610000}"/>
    <cellStyle name="Calculation 17 3 17 5 4" xfId="24985" xr:uid="{00000000-0005-0000-0000-00007A610000}"/>
    <cellStyle name="Calculation 17 3 17 5 5" xfId="24986" xr:uid="{00000000-0005-0000-0000-00007B610000}"/>
    <cellStyle name="Calculation 17 3 17 5 6" xfId="24987" xr:uid="{00000000-0005-0000-0000-00007C610000}"/>
    <cellStyle name="Calculation 17 3 17 6" xfId="24988" xr:uid="{00000000-0005-0000-0000-00007D610000}"/>
    <cellStyle name="Calculation 17 3 17 6 2" xfId="24989" xr:uid="{00000000-0005-0000-0000-00007E610000}"/>
    <cellStyle name="Calculation 17 3 17 6 3" xfId="24990" xr:uid="{00000000-0005-0000-0000-00007F610000}"/>
    <cellStyle name="Calculation 17 3 17 6 4" xfId="24991" xr:uid="{00000000-0005-0000-0000-000080610000}"/>
    <cellStyle name="Calculation 17 3 17 6 5" xfId="24992" xr:uid="{00000000-0005-0000-0000-000081610000}"/>
    <cellStyle name="Calculation 17 3 17 6 6" xfId="24993" xr:uid="{00000000-0005-0000-0000-000082610000}"/>
    <cellStyle name="Calculation 17 3 17 7" xfId="24994" xr:uid="{00000000-0005-0000-0000-000083610000}"/>
    <cellStyle name="Calculation 17 3 17 7 2" xfId="24995" xr:uid="{00000000-0005-0000-0000-000084610000}"/>
    <cellStyle name="Calculation 17 3 17 7 3" xfId="24996" xr:uid="{00000000-0005-0000-0000-000085610000}"/>
    <cellStyle name="Calculation 17 3 17 7 4" xfId="24997" xr:uid="{00000000-0005-0000-0000-000086610000}"/>
    <cellStyle name="Calculation 17 3 17 7 5" xfId="24998" xr:uid="{00000000-0005-0000-0000-000087610000}"/>
    <cellStyle name="Calculation 17 3 17 7 6" xfId="24999" xr:uid="{00000000-0005-0000-0000-000088610000}"/>
    <cellStyle name="Calculation 17 3 17 8" xfId="25000" xr:uid="{00000000-0005-0000-0000-000089610000}"/>
    <cellStyle name="Calculation 17 3 17 9" xfId="25001" xr:uid="{00000000-0005-0000-0000-00008A610000}"/>
    <cellStyle name="Calculation 17 3 18" xfId="25002" xr:uid="{00000000-0005-0000-0000-00008B610000}"/>
    <cellStyle name="Calculation 17 3 18 10" xfId="25003" xr:uid="{00000000-0005-0000-0000-00008C610000}"/>
    <cellStyle name="Calculation 17 3 18 2" xfId="25004" xr:uid="{00000000-0005-0000-0000-00008D610000}"/>
    <cellStyle name="Calculation 17 3 18 2 2" xfId="25005" xr:uid="{00000000-0005-0000-0000-00008E610000}"/>
    <cellStyle name="Calculation 17 3 18 2 3" xfId="25006" xr:uid="{00000000-0005-0000-0000-00008F610000}"/>
    <cellStyle name="Calculation 17 3 18 2 4" xfId="25007" xr:uid="{00000000-0005-0000-0000-000090610000}"/>
    <cellStyle name="Calculation 17 3 18 2 5" xfId="25008" xr:uid="{00000000-0005-0000-0000-000091610000}"/>
    <cellStyle name="Calculation 17 3 18 2 6" xfId="25009" xr:uid="{00000000-0005-0000-0000-000092610000}"/>
    <cellStyle name="Calculation 17 3 18 3" xfId="25010" xr:uid="{00000000-0005-0000-0000-000093610000}"/>
    <cellStyle name="Calculation 17 3 18 3 2" xfId="25011" xr:uid="{00000000-0005-0000-0000-000094610000}"/>
    <cellStyle name="Calculation 17 3 18 3 3" xfId="25012" xr:uid="{00000000-0005-0000-0000-000095610000}"/>
    <cellStyle name="Calculation 17 3 18 3 4" xfId="25013" xr:uid="{00000000-0005-0000-0000-000096610000}"/>
    <cellStyle name="Calculation 17 3 18 3 5" xfId="25014" xr:uid="{00000000-0005-0000-0000-000097610000}"/>
    <cellStyle name="Calculation 17 3 18 3 6" xfId="25015" xr:uid="{00000000-0005-0000-0000-000098610000}"/>
    <cellStyle name="Calculation 17 3 18 4" xfId="25016" xr:uid="{00000000-0005-0000-0000-000099610000}"/>
    <cellStyle name="Calculation 17 3 18 4 2" xfId="25017" xr:uid="{00000000-0005-0000-0000-00009A610000}"/>
    <cellStyle name="Calculation 17 3 18 4 3" xfId="25018" xr:uid="{00000000-0005-0000-0000-00009B610000}"/>
    <cellStyle name="Calculation 17 3 18 4 4" xfId="25019" xr:uid="{00000000-0005-0000-0000-00009C610000}"/>
    <cellStyle name="Calculation 17 3 18 4 5" xfId="25020" xr:uid="{00000000-0005-0000-0000-00009D610000}"/>
    <cellStyle name="Calculation 17 3 18 4 6" xfId="25021" xr:uid="{00000000-0005-0000-0000-00009E610000}"/>
    <cellStyle name="Calculation 17 3 18 5" xfId="25022" xr:uid="{00000000-0005-0000-0000-00009F610000}"/>
    <cellStyle name="Calculation 17 3 18 5 2" xfId="25023" xr:uid="{00000000-0005-0000-0000-0000A0610000}"/>
    <cellStyle name="Calculation 17 3 18 5 3" xfId="25024" xr:uid="{00000000-0005-0000-0000-0000A1610000}"/>
    <cellStyle name="Calculation 17 3 18 5 4" xfId="25025" xr:uid="{00000000-0005-0000-0000-0000A2610000}"/>
    <cellStyle name="Calculation 17 3 18 5 5" xfId="25026" xr:uid="{00000000-0005-0000-0000-0000A3610000}"/>
    <cellStyle name="Calculation 17 3 18 5 6" xfId="25027" xr:uid="{00000000-0005-0000-0000-0000A4610000}"/>
    <cellStyle name="Calculation 17 3 18 6" xfId="25028" xr:uid="{00000000-0005-0000-0000-0000A5610000}"/>
    <cellStyle name="Calculation 17 3 18 6 2" xfId="25029" xr:uid="{00000000-0005-0000-0000-0000A6610000}"/>
    <cellStyle name="Calculation 17 3 18 6 3" xfId="25030" xr:uid="{00000000-0005-0000-0000-0000A7610000}"/>
    <cellStyle name="Calculation 17 3 18 6 4" xfId="25031" xr:uid="{00000000-0005-0000-0000-0000A8610000}"/>
    <cellStyle name="Calculation 17 3 18 6 5" xfId="25032" xr:uid="{00000000-0005-0000-0000-0000A9610000}"/>
    <cellStyle name="Calculation 17 3 18 6 6" xfId="25033" xr:uid="{00000000-0005-0000-0000-0000AA610000}"/>
    <cellStyle name="Calculation 17 3 18 7" xfId="25034" xr:uid="{00000000-0005-0000-0000-0000AB610000}"/>
    <cellStyle name="Calculation 17 3 18 7 2" xfId="25035" xr:uid="{00000000-0005-0000-0000-0000AC610000}"/>
    <cellStyle name="Calculation 17 3 18 7 3" xfId="25036" xr:uid="{00000000-0005-0000-0000-0000AD610000}"/>
    <cellStyle name="Calculation 17 3 18 7 4" xfId="25037" xr:uid="{00000000-0005-0000-0000-0000AE610000}"/>
    <cellStyle name="Calculation 17 3 18 7 5" xfId="25038" xr:uid="{00000000-0005-0000-0000-0000AF610000}"/>
    <cellStyle name="Calculation 17 3 18 7 6" xfId="25039" xr:uid="{00000000-0005-0000-0000-0000B0610000}"/>
    <cellStyle name="Calculation 17 3 18 8" xfId="25040" xr:uid="{00000000-0005-0000-0000-0000B1610000}"/>
    <cellStyle name="Calculation 17 3 18 9" xfId="25041" xr:uid="{00000000-0005-0000-0000-0000B2610000}"/>
    <cellStyle name="Calculation 17 3 19" xfId="25042" xr:uid="{00000000-0005-0000-0000-0000B3610000}"/>
    <cellStyle name="Calculation 17 3 19 10" xfId="25043" xr:uid="{00000000-0005-0000-0000-0000B4610000}"/>
    <cellStyle name="Calculation 17 3 19 2" xfId="25044" xr:uid="{00000000-0005-0000-0000-0000B5610000}"/>
    <cellStyle name="Calculation 17 3 19 2 2" xfId="25045" xr:uid="{00000000-0005-0000-0000-0000B6610000}"/>
    <cellStyle name="Calculation 17 3 19 2 3" xfId="25046" xr:uid="{00000000-0005-0000-0000-0000B7610000}"/>
    <cellStyle name="Calculation 17 3 19 2 4" xfId="25047" xr:uid="{00000000-0005-0000-0000-0000B8610000}"/>
    <cellStyle name="Calculation 17 3 19 2 5" xfId="25048" xr:uid="{00000000-0005-0000-0000-0000B9610000}"/>
    <cellStyle name="Calculation 17 3 19 2 6" xfId="25049" xr:uid="{00000000-0005-0000-0000-0000BA610000}"/>
    <cellStyle name="Calculation 17 3 19 3" xfId="25050" xr:uid="{00000000-0005-0000-0000-0000BB610000}"/>
    <cellStyle name="Calculation 17 3 19 3 2" xfId="25051" xr:uid="{00000000-0005-0000-0000-0000BC610000}"/>
    <cellStyle name="Calculation 17 3 19 3 3" xfId="25052" xr:uid="{00000000-0005-0000-0000-0000BD610000}"/>
    <cellStyle name="Calculation 17 3 19 3 4" xfId="25053" xr:uid="{00000000-0005-0000-0000-0000BE610000}"/>
    <cellStyle name="Calculation 17 3 19 3 5" xfId="25054" xr:uid="{00000000-0005-0000-0000-0000BF610000}"/>
    <cellStyle name="Calculation 17 3 19 3 6" xfId="25055" xr:uid="{00000000-0005-0000-0000-0000C0610000}"/>
    <cellStyle name="Calculation 17 3 19 4" xfId="25056" xr:uid="{00000000-0005-0000-0000-0000C1610000}"/>
    <cellStyle name="Calculation 17 3 19 4 2" xfId="25057" xr:uid="{00000000-0005-0000-0000-0000C2610000}"/>
    <cellStyle name="Calculation 17 3 19 4 3" xfId="25058" xr:uid="{00000000-0005-0000-0000-0000C3610000}"/>
    <cellStyle name="Calculation 17 3 19 4 4" xfId="25059" xr:uid="{00000000-0005-0000-0000-0000C4610000}"/>
    <cellStyle name="Calculation 17 3 19 4 5" xfId="25060" xr:uid="{00000000-0005-0000-0000-0000C5610000}"/>
    <cellStyle name="Calculation 17 3 19 4 6" xfId="25061" xr:uid="{00000000-0005-0000-0000-0000C6610000}"/>
    <cellStyle name="Calculation 17 3 19 5" xfId="25062" xr:uid="{00000000-0005-0000-0000-0000C7610000}"/>
    <cellStyle name="Calculation 17 3 19 5 2" xfId="25063" xr:uid="{00000000-0005-0000-0000-0000C8610000}"/>
    <cellStyle name="Calculation 17 3 19 5 3" xfId="25064" xr:uid="{00000000-0005-0000-0000-0000C9610000}"/>
    <cellStyle name="Calculation 17 3 19 5 4" xfId="25065" xr:uid="{00000000-0005-0000-0000-0000CA610000}"/>
    <cellStyle name="Calculation 17 3 19 5 5" xfId="25066" xr:uid="{00000000-0005-0000-0000-0000CB610000}"/>
    <cellStyle name="Calculation 17 3 19 5 6" xfId="25067" xr:uid="{00000000-0005-0000-0000-0000CC610000}"/>
    <cellStyle name="Calculation 17 3 19 6" xfId="25068" xr:uid="{00000000-0005-0000-0000-0000CD610000}"/>
    <cellStyle name="Calculation 17 3 19 6 2" xfId="25069" xr:uid="{00000000-0005-0000-0000-0000CE610000}"/>
    <cellStyle name="Calculation 17 3 19 6 3" xfId="25070" xr:uid="{00000000-0005-0000-0000-0000CF610000}"/>
    <cellStyle name="Calculation 17 3 19 6 4" xfId="25071" xr:uid="{00000000-0005-0000-0000-0000D0610000}"/>
    <cellStyle name="Calculation 17 3 19 6 5" xfId="25072" xr:uid="{00000000-0005-0000-0000-0000D1610000}"/>
    <cellStyle name="Calculation 17 3 19 6 6" xfId="25073" xr:uid="{00000000-0005-0000-0000-0000D2610000}"/>
    <cellStyle name="Calculation 17 3 19 7" xfId="25074" xr:uid="{00000000-0005-0000-0000-0000D3610000}"/>
    <cellStyle name="Calculation 17 3 19 7 2" xfId="25075" xr:uid="{00000000-0005-0000-0000-0000D4610000}"/>
    <cellStyle name="Calculation 17 3 19 7 3" xfId="25076" xr:uid="{00000000-0005-0000-0000-0000D5610000}"/>
    <cellStyle name="Calculation 17 3 19 7 4" xfId="25077" xr:uid="{00000000-0005-0000-0000-0000D6610000}"/>
    <cellStyle name="Calculation 17 3 19 7 5" xfId="25078" xr:uid="{00000000-0005-0000-0000-0000D7610000}"/>
    <cellStyle name="Calculation 17 3 19 7 6" xfId="25079" xr:uid="{00000000-0005-0000-0000-0000D8610000}"/>
    <cellStyle name="Calculation 17 3 19 8" xfId="25080" xr:uid="{00000000-0005-0000-0000-0000D9610000}"/>
    <cellStyle name="Calculation 17 3 19 9" xfId="25081" xr:uid="{00000000-0005-0000-0000-0000DA610000}"/>
    <cellStyle name="Calculation 17 3 2" xfId="25082" xr:uid="{00000000-0005-0000-0000-0000DB610000}"/>
    <cellStyle name="Calculation 17 3 2 10" xfId="25083" xr:uid="{00000000-0005-0000-0000-0000DC610000}"/>
    <cellStyle name="Calculation 17 3 2 2" xfId="25084" xr:uid="{00000000-0005-0000-0000-0000DD610000}"/>
    <cellStyle name="Calculation 17 3 2 2 2" xfId="25085" xr:uid="{00000000-0005-0000-0000-0000DE610000}"/>
    <cellStyle name="Calculation 17 3 2 2 3" xfId="25086" xr:uid="{00000000-0005-0000-0000-0000DF610000}"/>
    <cellStyle name="Calculation 17 3 2 2 4" xfId="25087" xr:uid="{00000000-0005-0000-0000-0000E0610000}"/>
    <cellStyle name="Calculation 17 3 2 2 5" xfId="25088" xr:uid="{00000000-0005-0000-0000-0000E1610000}"/>
    <cellStyle name="Calculation 17 3 2 2 6" xfId="25089" xr:uid="{00000000-0005-0000-0000-0000E2610000}"/>
    <cellStyle name="Calculation 17 3 2 3" xfId="25090" xr:uid="{00000000-0005-0000-0000-0000E3610000}"/>
    <cellStyle name="Calculation 17 3 2 3 2" xfId="25091" xr:uid="{00000000-0005-0000-0000-0000E4610000}"/>
    <cellStyle name="Calculation 17 3 2 3 3" xfId="25092" xr:uid="{00000000-0005-0000-0000-0000E5610000}"/>
    <cellStyle name="Calculation 17 3 2 3 4" xfId="25093" xr:uid="{00000000-0005-0000-0000-0000E6610000}"/>
    <cellStyle name="Calculation 17 3 2 3 5" xfId="25094" xr:uid="{00000000-0005-0000-0000-0000E7610000}"/>
    <cellStyle name="Calculation 17 3 2 3 6" xfId="25095" xr:uid="{00000000-0005-0000-0000-0000E8610000}"/>
    <cellStyle name="Calculation 17 3 2 4" xfId="25096" xr:uid="{00000000-0005-0000-0000-0000E9610000}"/>
    <cellStyle name="Calculation 17 3 2 4 2" xfId="25097" xr:uid="{00000000-0005-0000-0000-0000EA610000}"/>
    <cellStyle name="Calculation 17 3 2 4 3" xfId="25098" xr:uid="{00000000-0005-0000-0000-0000EB610000}"/>
    <cellStyle name="Calculation 17 3 2 4 4" xfId="25099" xr:uid="{00000000-0005-0000-0000-0000EC610000}"/>
    <cellStyle name="Calculation 17 3 2 4 5" xfId="25100" xr:uid="{00000000-0005-0000-0000-0000ED610000}"/>
    <cellStyle name="Calculation 17 3 2 4 6" xfId="25101" xr:uid="{00000000-0005-0000-0000-0000EE610000}"/>
    <cellStyle name="Calculation 17 3 2 5" xfId="25102" xr:uid="{00000000-0005-0000-0000-0000EF610000}"/>
    <cellStyle name="Calculation 17 3 2 5 2" xfId="25103" xr:uid="{00000000-0005-0000-0000-0000F0610000}"/>
    <cellStyle name="Calculation 17 3 2 5 3" xfId="25104" xr:uid="{00000000-0005-0000-0000-0000F1610000}"/>
    <cellStyle name="Calculation 17 3 2 5 4" xfId="25105" xr:uid="{00000000-0005-0000-0000-0000F2610000}"/>
    <cellStyle name="Calculation 17 3 2 5 5" xfId="25106" xr:uid="{00000000-0005-0000-0000-0000F3610000}"/>
    <cellStyle name="Calculation 17 3 2 5 6" xfId="25107" xr:uid="{00000000-0005-0000-0000-0000F4610000}"/>
    <cellStyle name="Calculation 17 3 2 6" xfId="25108" xr:uid="{00000000-0005-0000-0000-0000F5610000}"/>
    <cellStyle name="Calculation 17 3 2 6 2" xfId="25109" xr:uid="{00000000-0005-0000-0000-0000F6610000}"/>
    <cellStyle name="Calculation 17 3 2 6 3" xfId="25110" xr:uid="{00000000-0005-0000-0000-0000F7610000}"/>
    <cellStyle name="Calculation 17 3 2 6 4" xfId="25111" xr:uid="{00000000-0005-0000-0000-0000F8610000}"/>
    <cellStyle name="Calculation 17 3 2 6 5" xfId="25112" xr:uid="{00000000-0005-0000-0000-0000F9610000}"/>
    <cellStyle name="Calculation 17 3 2 6 6" xfId="25113" xr:uid="{00000000-0005-0000-0000-0000FA610000}"/>
    <cellStyle name="Calculation 17 3 2 7" xfId="25114" xr:uid="{00000000-0005-0000-0000-0000FB610000}"/>
    <cellStyle name="Calculation 17 3 2 7 2" xfId="25115" xr:uid="{00000000-0005-0000-0000-0000FC610000}"/>
    <cellStyle name="Calculation 17 3 2 7 3" xfId="25116" xr:uid="{00000000-0005-0000-0000-0000FD610000}"/>
    <cellStyle name="Calculation 17 3 2 7 4" xfId="25117" xr:uid="{00000000-0005-0000-0000-0000FE610000}"/>
    <cellStyle name="Calculation 17 3 2 7 5" xfId="25118" xr:uid="{00000000-0005-0000-0000-0000FF610000}"/>
    <cellStyle name="Calculation 17 3 2 7 6" xfId="25119" xr:uid="{00000000-0005-0000-0000-000000620000}"/>
    <cellStyle name="Calculation 17 3 2 8" xfId="25120" xr:uid="{00000000-0005-0000-0000-000001620000}"/>
    <cellStyle name="Calculation 17 3 2 9" xfId="25121" xr:uid="{00000000-0005-0000-0000-000002620000}"/>
    <cellStyle name="Calculation 17 3 20" xfId="25122" xr:uid="{00000000-0005-0000-0000-000003620000}"/>
    <cellStyle name="Calculation 17 3 20 10" xfId="25123" xr:uid="{00000000-0005-0000-0000-000004620000}"/>
    <cellStyle name="Calculation 17 3 20 2" xfId="25124" xr:uid="{00000000-0005-0000-0000-000005620000}"/>
    <cellStyle name="Calculation 17 3 20 2 2" xfId="25125" xr:uid="{00000000-0005-0000-0000-000006620000}"/>
    <cellStyle name="Calculation 17 3 20 2 3" xfId="25126" xr:uid="{00000000-0005-0000-0000-000007620000}"/>
    <cellStyle name="Calculation 17 3 20 2 4" xfId="25127" xr:uid="{00000000-0005-0000-0000-000008620000}"/>
    <cellStyle name="Calculation 17 3 20 2 5" xfId="25128" xr:uid="{00000000-0005-0000-0000-000009620000}"/>
    <cellStyle name="Calculation 17 3 20 2 6" xfId="25129" xr:uid="{00000000-0005-0000-0000-00000A620000}"/>
    <cellStyle name="Calculation 17 3 20 3" xfId="25130" xr:uid="{00000000-0005-0000-0000-00000B620000}"/>
    <cellStyle name="Calculation 17 3 20 3 2" xfId="25131" xr:uid="{00000000-0005-0000-0000-00000C620000}"/>
    <cellStyle name="Calculation 17 3 20 3 3" xfId="25132" xr:uid="{00000000-0005-0000-0000-00000D620000}"/>
    <cellStyle name="Calculation 17 3 20 3 4" xfId="25133" xr:uid="{00000000-0005-0000-0000-00000E620000}"/>
    <cellStyle name="Calculation 17 3 20 3 5" xfId="25134" xr:uid="{00000000-0005-0000-0000-00000F620000}"/>
    <cellStyle name="Calculation 17 3 20 3 6" xfId="25135" xr:uid="{00000000-0005-0000-0000-000010620000}"/>
    <cellStyle name="Calculation 17 3 20 4" xfId="25136" xr:uid="{00000000-0005-0000-0000-000011620000}"/>
    <cellStyle name="Calculation 17 3 20 4 2" xfId="25137" xr:uid="{00000000-0005-0000-0000-000012620000}"/>
    <cellStyle name="Calculation 17 3 20 4 3" xfId="25138" xr:uid="{00000000-0005-0000-0000-000013620000}"/>
    <cellStyle name="Calculation 17 3 20 4 4" xfId="25139" xr:uid="{00000000-0005-0000-0000-000014620000}"/>
    <cellStyle name="Calculation 17 3 20 4 5" xfId="25140" xr:uid="{00000000-0005-0000-0000-000015620000}"/>
    <cellStyle name="Calculation 17 3 20 4 6" xfId="25141" xr:uid="{00000000-0005-0000-0000-000016620000}"/>
    <cellStyle name="Calculation 17 3 20 5" xfId="25142" xr:uid="{00000000-0005-0000-0000-000017620000}"/>
    <cellStyle name="Calculation 17 3 20 5 2" xfId="25143" xr:uid="{00000000-0005-0000-0000-000018620000}"/>
    <cellStyle name="Calculation 17 3 20 5 3" xfId="25144" xr:uid="{00000000-0005-0000-0000-000019620000}"/>
    <cellStyle name="Calculation 17 3 20 5 4" xfId="25145" xr:uid="{00000000-0005-0000-0000-00001A620000}"/>
    <cellStyle name="Calculation 17 3 20 5 5" xfId="25146" xr:uid="{00000000-0005-0000-0000-00001B620000}"/>
    <cellStyle name="Calculation 17 3 20 5 6" xfId="25147" xr:uid="{00000000-0005-0000-0000-00001C620000}"/>
    <cellStyle name="Calculation 17 3 20 6" xfId="25148" xr:uid="{00000000-0005-0000-0000-00001D620000}"/>
    <cellStyle name="Calculation 17 3 20 6 2" xfId="25149" xr:uid="{00000000-0005-0000-0000-00001E620000}"/>
    <cellStyle name="Calculation 17 3 20 6 3" xfId="25150" xr:uid="{00000000-0005-0000-0000-00001F620000}"/>
    <cellStyle name="Calculation 17 3 20 6 4" xfId="25151" xr:uid="{00000000-0005-0000-0000-000020620000}"/>
    <cellStyle name="Calculation 17 3 20 6 5" xfId="25152" xr:uid="{00000000-0005-0000-0000-000021620000}"/>
    <cellStyle name="Calculation 17 3 20 6 6" xfId="25153" xr:uid="{00000000-0005-0000-0000-000022620000}"/>
    <cellStyle name="Calculation 17 3 20 7" xfId="25154" xr:uid="{00000000-0005-0000-0000-000023620000}"/>
    <cellStyle name="Calculation 17 3 20 7 2" xfId="25155" xr:uid="{00000000-0005-0000-0000-000024620000}"/>
    <cellStyle name="Calculation 17 3 20 7 3" xfId="25156" xr:uid="{00000000-0005-0000-0000-000025620000}"/>
    <cellStyle name="Calculation 17 3 20 7 4" xfId="25157" xr:uid="{00000000-0005-0000-0000-000026620000}"/>
    <cellStyle name="Calculation 17 3 20 7 5" xfId="25158" xr:uid="{00000000-0005-0000-0000-000027620000}"/>
    <cellStyle name="Calculation 17 3 20 7 6" xfId="25159" xr:uid="{00000000-0005-0000-0000-000028620000}"/>
    <cellStyle name="Calculation 17 3 20 8" xfId="25160" xr:uid="{00000000-0005-0000-0000-000029620000}"/>
    <cellStyle name="Calculation 17 3 20 9" xfId="25161" xr:uid="{00000000-0005-0000-0000-00002A620000}"/>
    <cellStyle name="Calculation 17 3 21" xfId="25162" xr:uid="{00000000-0005-0000-0000-00002B620000}"/>
    <cellStyle name="Calculation 17 3 21 10" xfId="25163" xr:uid="{00000000-0005-0000-0000-00002C620000}"/>
    <cellStyle name="Calculation 17 3 21 2" xfId="25164" xr:uid="{00000000-0005-0000-0000-00002D620000}"/>
    <cellStyle name="Calculation 17 3 21 2 2" xfId="25165" xr:uid="{00000000-0005-0000-0000-00002E620000}"/>
    <cellStyle name="Calculation 17 3 21 2 3" xfId="25166" xr:uid="{00000000-0005-0000-0000-00002F620000}"/>
    <cellStyle name="Calculation 17 3 21 2 4" xfId="25167" xr:uid="{00000000-0005-0000-0000-000030620000}"/>
    <cellStyle name="Calculation 17 3 21 2 5" xfId="25168" xr:uid="{00000000-0005-0000-0000-000031620000}"/>
    <cellStyle name="Calculation 17 3 21 2 6" xfId="25169" xr:uid="{00000000-0005-0000-0000-000032620000}"/>
    <cellStyle name="Calculation 17 3 21 3" xfId="25170" xr:uid="{00000000-0005-0000-0000-000033620000}"/>
    <cellStyle name="Calculation 17 3 21 3 2" xfId="25171" xr:uid="{00000000-0005-0000-0000-000034620000}"/>
    <cellStyle name="Calculation 17 3 21 3 3" xfId="25172" xr:uid="{00000000-0005-0000-0000-000035620000}"/>
    <cellStyle name="Calculation 17 3 21 3 4" xfId="25173" xr:uid="{00000000-0005-0000-0000-000036620000}"/>
    <cellStyle name="Calculation 17 3 21 3 5" xfId="25174" xr:uid="{00000000-0005-0000-0000-000037620000}"/>
    <cellStyle name="Calculation 17 3 21 3 6" xfId="25175" xr:uid="{00000000-0005-0000-0000-000038620000}"/>
    <cellStyle name="Calculation 17 3 21 4" xfId="25176" xr:uid="{00000000-0005-0000-0000-000039620000}"/>
    <cellStyle name="Calculation 17 3 21 4 2" xfId="25177" xr:uid="{00000000-0005-0000-0000-00003A620000}"/>
    <cellStyle name="Calculation 17 3 21 4 3" xfId="25178" xr:uid="{00000000-0005-0000-0000-00003B620000}"/>
    <cellStyle name="Calculation 17 3 21 4 4" xfId="25179" xr:uid="{00000000-0005-0000-0000-00003C620000}"/>
    <cellStyle name="Calculation 17 3 21 4 5" xfId="25180" xr:uid="{00000000-0005-0000-0000-00003D620000}"/>
    <cellStyle name="Calculation 17 3 21 4 6" xfId="25181" xr:uid="{00000000-0005-0000-0000-00003E620000}"/>
    <cellStyle name="Calculation 17 3 21 5" xfId="25182" xr:uid="{00000000-0005-0000-0000-00003F620000}"/>
    <cellStyle name="Calculation 17 3 21 5 2" xfId="25183" xr:uid="{00000000-0005-0000-0000-000040620000}"/>
    <cellStyle name="Calculation 17 3 21 5 3" xfId="25184" xr:uid="{00000000-0005-0000-0000-000041620000}"/>
    <cellStyle name="Calculation 17 3 21 5 4" xfId="25185" xr:uid="{00000000-0005-0000-0000-000042620000}"/>
    <cellStyle name="Calculation 17 3 21 5 5" xfId="25186" xr:uid="{00000000-0005-0000-0000-000043620000}"/>
    <cellStyle name="Calculation 17 3 21 5 6" xfId="25187" xr:uid="{00000000-0005-0000-0000-000044620000}"/>
    <cellStyle name="Calculation 17 3 21 6" xfId="25188" xr:uid="{00000000-0005-0000-0000-000045620000}"/>
    <cellStyle name="Calculation 17 3 21 6 2" xfId="25189" xr:uid="{00000000-0005-0000-0000-000046620000}"/>
    <cellStyle name="Calculation 17 3 21 6 3" xfId="25190" xr:uid="{00000000-0005-0000-0000-000047620000}"/>
    <cellStyle name="Calculation 17 3 21 6 4" xfId="25191" xr:uid="{00000000-0005-0000-0000-000048620000}"/>
    <cellStyle name="Calculation 17 3 21 6 5" xfId="25192" xr:uid="{00000000-0005-0000-0000-000049620000}"/>
    <cellStyle name="Calculation 17 3 21 6 6" xfId="25193" xr:uid="{00000000-0005-0000-0000-00004A620000}"/>
    <cellStyle name="Calculation 17 3 21 7" xfId="25194" xr:uid="{00000000-0005-0000-0000-00004B620000}"/>
    <cellStyle name="Calculation 17 3 21 7 2" xfId="25195" xr:uid="{00000000-0005-0000-0000-00004C620000}"/>
    <cellStyle name="Calculation 17 3 21 7 3" xfId="25196" xr:uid="{00000000-0005-0000-0000-00004D620000}"/>
    <cellStyle name="Calculation 17 3 21 7 4" xfId="25197" xr:uid="{00000000-0005-0000-0000-00004E620000}"/>
    <cellStyle name="Calculation 17 3 21 7 5" xfId="25198" xr:uid="{00000000-0005-0000-0000-00004F620000}"/>
    <cellStyle name="Calculation 17 3 21 7 6" xfId="25199" xr:uid="{00000000-0005-0000-0000-000050620000}"/>
    <cellStyle name="Calculation 17 3 21 8" xfId="25200" xr:uid="{00000000-0005-0000-0000-000051620000}"/>
    <cellStyle name="Calculation 17 3 21 9" xfId="25201" xr:uid="{00000000-0005-0000-0000-000052620000}"/>
    <cellStyle name="Calculation 17 3 22" xfId="25202" xr:uid="{00000000-0005-0000-0000-000053620000}"/>
    <cellStyle name="Calculation 17 3 22 10" xfId="25203" xr:uid="{00000000-0005-0000-0000-000054620000}"/>
    <cellStyle name="Calculation 17 3 22 2" xfId="25204" xr:uid="{00000000-0005-0000-0000-000055620000}"/>
    <cellStyle name="Calculation 17 3 22 2 2" xfId="25205" xr:uid="{00000000-0005-0000-0000-000056620000}"/>
    <cellStyle name="Calculation 17 3 22 2 3" xfId="25206" xr:uid="{00000000-0005-0000-0000-000057620000}"/>
    <cellStyle name="Calculation 17 3 22 2 4" xfId="25207" xr:uid="{00000000-0005-0000-0000-000058620000}"/>
    <cellStyle name="Calculation 17 3 22 2 5" xfId="25208" xr:uid="{00000000-0005-0000-0000-000059620000}"/>
    <cellStyle name="Calculation 17 3 22 2 6" xfId="25209" xr:uid="{00000000-0005-0000-0000-00005A620000}"/>
    <cellStyle name="Calculation 17 3 22 3" xfId="25210" xr:uid="{00000000-0005-0000-0000-00005B620000}"/>
    <cellStyle name="Calculation 17 3 22 3 2" xfId="25211" xr:uid="{00000000-0005-0000-0000-00005C620000}"/>
    <cellStyle name="Calculation 17 3 22 3 3" xfId="25212" xr:uid="{00000000-0005-0000-0000-00005D620000}"/>
    <cellStyle name="Calculation 17 3 22 3 4" xfId="25213" xr:uid="{00000000-0005-0000-0000-00005E620000}"/>
    <cellStyle name="Calculation 17 3 22 3 5" xfId="25214" xr:uid="{00000000-0005-0000-0000-00005F620000}"/>
    <cellStyle name="Calculation 17 3 22 3 6" xfId="25215" xr:uid="{00000000-0005-0000-0000-000060620000}"/>
    <cellStyle name="Calculation 17 3 22 4" xfId="25216" xr:uid="{00000000-0005-0000-0000-000061620000}"/>
    <cellStyle name="Calculation 17 3 22 4 2" xfId="25217" xr:uid="{00000000-0005-0000-0000-000062620000}"/>
    <cellStyle name="Calculation 17 3 22 4 3" xfId="25218" xr:uid="{00000000-0005-0000-0000-000063620000}"/>
    <cellStyle name="Calculation 17 3 22 4 4" xfId="25219" xr:uid="{00000000-0005-0000-0000-000064620000}"/>
    <cellStyle name="Calculation 17 3 22 4 5" xfId="25220" xr:uid="{00000000-0005-0000-0000-000065620000}"/>
    <cellStyle name="Calculation 17 3 22 4 6" xfId="25221" xr:uid="{00000000-0005-0000-0000-000066620000}"/>
    <cellStyle name="Calculation 17 3 22 5" xfId="25222" xr:uid="{00000000-0005-0000-0000-000067620000}"/>
    <cellStyle name="Calculation 17 3 22 5 2" xfId="25223" xr:uid="{00000000-0005-0000-0000-000068620000}"/>
    <cellStyle name="Calculation 17 3 22 5 3" xfId="25224" xr:uid="{00000000-0005-0000-0000-000069620000}"/>
    <cellStyle name="Calculation 17 3 22 5 4" xfId="25225" xr:uid="{00000000-0005-0000-0000-00006A620000}"/>
    <cellStyle name="Calculation 17 3 22 5 5" xfId="25226" xr:uid="{00000000-0005-0000-0000-00006B620000}"/>
    <cellStyle name="Calculation 17 3 22 5 6" xfId="25227" xr:uid="{00000000-0005-0000-0000-00006C620000}"/>
    <cellStyle name="Calculation 17 3 22 6" xfId="25228" xr:uid="{00000000-0005-0000-0000-00006D620000}"/>
    <cellStyle name="Calculation 17 3 22 6 2" xfId="25229" xr:uid="{00000000-0005-0000-0000-00006E620000}"/>
    <cellStyle name="Calculation 17 3 22 6 3" xfId="25230" xr:uid="{00000000-0005-0000-0000-00006F620000}"/>
    <cellStyle name="Calculation 17 3 22 6 4" xfId="25231" xr:uid="{00000000-0005-0000-0000-000070620000}"/>
    <cellStyle name="Calculation 17 3 22 6 5" xfId="25232" xr:uid="{00000000-0005-0000-0000-000071620000}"/>
    <cellStyle name="Calculation 17 3 22 6 6" xfId="25233" xr:uid="{00000000-0005-0000-0000-000072620000}"/>
    <cellStyle name="Calculation 17 3 22 7" xfId="25234" xr:uid="{00000000-0005-0000-0000-000073620000}"/>
    <cellStyle name="Calculation 17 3 22 7 2" xfId="25235" xr:uid="{00000000-0005-0000-0000-000074620000}"/>
    <cellStyle name="Calculation 17 3 22 7 3" xfId="25236" xr:uid="{00000000-0005-0000-0000-000075620000}"/>
    <cellStyle name="Calculation 17 3 22 7 4" xfId="25237" xr:uid="{00000000-0005-0000-0000-000076620000}"/>
    <cellStyle name="Calculation 17 3 22 7 5" xfId="25238" xr:uid="{00000000-0005-0000-0000-000077620000}"/>
    <cellStyle name="Calculation 17 3 22 7 6" xfId="25239" xr:uid="{00000000-0005-0000-0000-000078620000}"/>
    <cellStyle name="Calculation 17 3 22 8" xfId="25240" xr:uid="{00000000-0005-0000-0000-000079620000}"/>
    <cellStyle name="Calculation 17 3 22 9" xfId="25241" xr:uid="{00000000-0005-0000-0000-00007A620000}"/>
    <cellStyle name="Calculation 17 3 23" xfId="25242" xr:uid="{00000000-0005-0000-0000-00007B620000}"/>
    <cellStyle name="Calculation 17 3 23 10" xfId="25243" xr:uid="{00000000-0005-0000-0000-00007C620000}"/>
    <cellStyle name="Calculation 17 3 23 2" xfId="25244" xr:uid="{00000000-0005-0000-0000-00007D620000}"/>
    <cellStyle name="Calculation 17 3 23 2 2" xfId="25245" xr:uid="{00000000-0005-0000-0000-00007E620000}"/>
    <cellStyle name="Calculation 17 3 23 2 3" xfId="25246" xr:uid="{00000000-0005-0000-0000-00007F620000}"/>
    <cellStyle name="Calculation 17 3 23 2 4" xfId="25247" xr:uid="{00000000-0005-0000-0000-000080620000}"/>
    <cellStyle name="Calculation 17 3 23 2 5" xfId="25248" xr:uid="{00000000-0005-0000-0000-000081620000}"/>
    <cellStyle name="Calculation 17 3 23 2 6" xfId="25249" xr:uid="{00000000-0005-0000-0000-000082620000}"/>
    <cellStyle name="Calculation 17 3 23 3" xfId="25250" xr:uid="{00000000-0005-0000-0000-000083620000}"/>
    <cellStyle name="Calculation 17 3 23 3 2" xfId="25251" xr:uid="{00000000-0005-0000-0000-000084620000}"/>
    <cellStyle name="Calculation 17 3 23 3 3" xfId="25252" xr:uid="{00000000-0005-0000-0000-000085620000}"/>
    <cellStyle name="Calculation 17 3 23 3 4" xfId="25253" xr:uid="{00000000-0005-0000-0000-000086620000}"/>
    <cellStyle name="Calculation 17 3 23 3 5" xfId="25254" xr:uid="{00000000-0005-0000-0000-000087620000}"/>
    <cellStyle name="Calculation 17 3 23 3 6" xfId="25255" xr:uid="{00000000-0005-0000-0000-000088620000}"/>
    <cellStyle name="Calculation 17 3 23 4" xfId="25256" xr:uid="{00000000-0005-0000-0000-000089620000}"/>
    <cellStyle name="Calculation 17 3 23 4 2" xfId="25257" xr:uid="{00000000-0005-0000-0000-00008A620000}"/>
    <cellStyle name="Calculation 17 3 23 4 3" xfId="25258" xr:uid="{00000000-0005-0000-0000-00008B620000}"/>
    <cellStyle name="Calculation 17 3 23 4 4" xfId="25259" xr:uid="{00000000-0005-0000-0000-00008C620000}"/>
    <cellStyle name="Calculation 17 3 23 4 5" xfId="25260" xr:uid="{00000000-0005-0000-0000-00008D620000}"/>
    <cellStyle name="Calculation 17 3 23 4 6" xfId="25261" xr:uid="{00000000-0005-0000-0000-00008E620000}"/>
    <cellStyle name="Calculation 17 3 23 5" xfId="25262" xr:uid="{00000000-0005-0000-0000-00008F620000}"/>
    <cellStyle name="Calculation 17 3 23 5 2" xfId="25263" xr:uid="{00000000-0005-0000-0000-000090620000}"/>
    <cellStyle name="Calculation 17 3 23 5 3" xfId="25264" xr:uid="{00000000-0005-0000-0000-000091620000}"/>
    <cellStyle name="Calculation 17 3 23 5 4" xfId="25265" xr:uid="{00000000-0005-0000-0000-000092620000}"/>
    <cellStyle name="Calculation 17 3 23 5 5" xfId="25266" xr:uid="{00000000-0005-0000-0000-000093620000}"/>
    <cellStyle name="Calculation 17 3 23 5 6" xfId="25267" xr:uid="{00000000-0005-0000-0000-000094620000}"/>
    <cellStyle name="Calculation 17 3 23 6" xfId="25268" xr:uid="{00000000-0005-0000-0000-000095620000}"/>
    <cellStyle name="Calculation 17 3 23 6 2" xfId="25269" xr:uid="{00000000-0005-0000-0000-000096620000}"/>
    <cellStyle name="Calculation 17 3 23 6 3" xfId="25270" xr:uid="{00000000-0005-0000-0000-000097620000}"/>
    <cellStyle name="Calculation 17 3 23 6 4" xfId="25271" xr:uid="{00000000-0005-0000-0000-000098620000}"/>
    <cellStyle name="Calculation 17 3 23 6 5" xfId="25272" xr:uid="{00000000-0005-0000-0000-000099620000}"/>
    <cellStyle name="Calculation 17 3 23 6 6" xfId="25273" xr:uid="{00000000-0005-0000-0000-00009A620000}"/>
    <cellStyle name="Calculation 17 3 23 7" xfId="25274" xr:uid="{00000000-0005-0000-0000-00009B620000}"/>
    <cellStyle name="Calculation 17 3 23 7 2" xfId="25275" xr:uid="{00000000-0005-0000-0000-00009C620000}"/>
    <cellStyle name="Calculation 17 3 23 7 3" xfId="25276" xr:uid="{00000000-0005-0000-0000-00009D620000}"/>
    <cellStyle name="Calculation 17 3 23 7 4" xfId="25277" xr:uid="{00000000-0005-0000-0000-00009E620000}"/>
    <cellStyle name="Calculation 17 3 23 7 5" xfId="25278" xr:uid="{00000000-0005-0000-0000-00009F620000}"/>
    <cellStyle name="Calculation 17 3 23 7 6" xfId="25279" xr:uid="{00000000-0005-0000-0000-0000A0620000}"/>
    <cellStyle name="Calculation 17 3 23 8" xfId="25280" xr:uid="{00000000-0005-0000-0000-0000A1620000}"/>
    <cellStyle name="Calculation 17 3 23 9" xfId="25281" xr:uid="{00000000-0005-0000-0000-0000A2620000}"/>
    <cellStyle name="Calculation 17 3 24" xfId="25282" xr:uid="{00000000-0005-0000-0000-0000A3620000}"/>
    <cellStyle name="Calculation 17 3 24 10" xfId="25283" xr:uid="{00000000-0005-0000-0000-0000A4620000}"/>
    <cellStyle name="Calculation 17 3 24 2" xfId="25284" xr:uid="{00000000-0005-0000-0000-0000A5620000}"/>
    <cellStyle name="Calculation 17 3 24 2 2" xfId="25285" xr:uid="{00000000-0005-0000-0000-0000A6620000}"/>
    <cellStyle name="Calculation 17 3 24 2 3" xfId="25286" xr:uid="{00000000-0005-0000-0000-0000A7620000}"/>
    <cellStyle name="Calculation 17 3 24 2 4" xfId="25287" xr:uid="{00000000-0005-0000-0000-0000A8620000}"/>
    <cellStyle name="Calculation 17 3 24 2 5" xfId="25288" xr:uid="{00000000-0005-0000-0000-0000A9620000}"/>
    <cellStyle name="Calculation 17 3 24 2 6" xfId="25289" xr:uid="{00000000-0005-0000-0000-0000AA620000}"/>
    <cellStyle name="Calculation 17 3 24 3" xfId="25290" xr:uid="{00000000-0005-0000-0000-0000AB620000}"/>
    <cellStyle name="Calculation 17 3 24 3 2" xfId="25291" xr:uid="{00000000-0005-0000-0000-0000AC620000}"/>
    <cellStyle name="Calculation 17 3 24 3 3" xfId="25292" xr:uid="{00000000-0005-0000-0000-0000AD620000}"/>
    <cellStyle name="Calculation 17 3 24 3 4" xfId="25293" xr:uid="{00000000-0005-0000-0000-0000AE620000}"/>
    <cellStyle name="Calculation 17 3 24 3 5" xfId="25294" xr:uid="{00000000-0005-0000-0000-0000AF620000}"/>
    <cellStyle name="Calculation 17 3 24 3 6" xfId="25295" xr:uid="{00000000-0005-0000-0000-0000B0620000}"/>
    <cellStyle name="Calculation 17 3 24 4" xfId="25296" xr:uid="{00000000-0005-0000-0000-0000B1620000}"/>
    <cellStyle name="Calculation 17 3 24 4 2" xfId="25297" xr:uid="{00000000-0005-0000-0000-0000B2620000}"/>
    <cellStyle name="Calculation 17 3 24 4 3" xfId="25298" xr:uid="{00000000-0005-0000-0000-0000B3620000}"/>
    <cellStyle name="Calculation 17 3 24 4 4" xfId="25299" xr:uid="{00000000-0005-0000-0000-0000B4620000}"/>
    <cellStyle name="Calculation 17 3 24 4 5" xfId="25300" xr:uid="{00000000-0005-0000-0000-0000B5620000}"/>
    <cellStyle name="Calculation 17 3 24 4 6" xfId="25301" xr:uid="{00000000-0005-0000-0000-0000B6620000}"/>
    <cellStyle name="Calculation 17 3 24 5" xfId="25302" xr:uid="{00000000-0005-0000-0000-0000B7620000}"/>
    <cellStyle name="Calculation 17 3 24 5 2" xfId="25303" xr:uid="{00000000-0005-0000-0000-0000B8620000}"/>
    <cellStyle name="Calculation 17 3 24 5 3" xfId="25304" xr:uid="{00000000-0005-0000-0000-0000B9620000}"/>
    <cellStyle name="Calculation 17 3 24 5 4" xfId="25305" xr:uid="{00000000-0005-0000-0000-0000BA620000}"/>
    <cellStyle name="Calculation 17 3 24 5 5" xfId="25306" xr:uid="{00000000-0005-0000-0000-0000BB620000}"/>
    <cellStyle name="Calculation 17 3 24 5 6" xfId="25307" xr:uid="{00000000-0005-0000-0000-0000BC620000}"/>
    <cellStyle name="Calculation 17 3 24 6" xfId="25308" xr:uid="{00000000-0005-0000-0000-0000BD620000}"/>
    <cellStyle name="Calculation 17 3 24 6 2" xfId="25309" xr:uid="{00000000-0005-0000-0000-0000BE620000}"/>
    <cellStyle name="Calculation 17 3 24 6 3" xfId="25310" xr:uid="{00000000-0005-0000-0000-0000BF620000}"/>
    <cellStyle name="Calculation 17 3 24 6 4" xfId="25311" xr:uid="{00000000-0005-0000-0000-0000C0620000}"/>
    <cellStyle name="Calculation 17 3 24 6 5" xfId="25312" xr:uid="{00000000-0005-0000-0000-0000C1620000}"/>
    <cellStyle name="Calculation 17 3 24 6 6" xfId="25313" xr:uid="{00000000-0005-0000-0000-0000C2620000}"/>
    <cellStyle name="Calculation 17 3 24 7" xfId="25314" xr:uid="{00000000-0005-0000-0000-0000C3620000}"/>
    <cellStyle name="Calculation 17 3 24 7 2" xfId="25315" xr:uid="{00000000-0005-0000-0000-0000C4620000}"/>
    <cellStyle name="Calculation 17 3 24 7 3" xfId="25316" xr:uid="{00000000-0005-0000-0000-0000C5620000}"/>
    <cellStyle name="Calculation 17 3 24 7 4" xfId="25317" xr:uid="{00000000-0005-0000-0000-0000C6620000}"/>
    <cellStyle name="Calculation 17 3 24 7 5" xfId="25318" xr:uid="{00000000-0005-0000-0000-0000C7620000}"/>
    <cellStyle name="Calculation 17 3 24 7 6" xfId="25319" xr:uid="{00000000-0005-0000-0000-0000C8620000}"/>
    <cellStyle name="Calculation 17 3 24 8" xfId="25320" xr:uid="{00000000-0005-0000-0000-0000C9620000}"/>
    <cellStyle name="Calculation 17 3 24 9" xfId="25321" xr:uid="{00000000-0005-0000-0000-0000CA620000}"/>
    <cellStyle name="Calculation 17 3 25" xfId="25322" xr:uid="{00000000-0005-0000-0000-0000CB620000}"/>
    <cellStyle name="Calculation 17 3 25 10" xfId="25323" xr:uid="{00000000-0005-0000-0000-0000CC620000}"/>
    <cellStyle name="Calculation 17 3 25 2" xfId="25324" xr:uid="{00000000-0005-0000-0000-0000CD620000}"/>
    <cellStyle name="Calculation 17 3 25 2 2" xfId="25325" xr:uid="{00000000-0005-0000-0000-0000CE620000}"/>
    <cellStyle name="Calculation 17 3 25 2 3" xfId="25326" xr:uid="{00000000-0005-0000-0000-0000CF620000}"/>
    <cellStyle name="Calculation 17 3 25 2 4" xfId="25327" xr:uid="{00000000-0005-0000-0000-0000D0620000}"/>
    <cellStyle name="Calculation 17 3 25 2 5" xfId="25328" xr:uid="{00000000-0005-0000-0000-0000D1620000}"/>
    <cellStyle name="Calculation 17 3 25 2 6" xfId="25329" xr:uid="{00000000-0005-0000-0000-0000D2620000}"/>
    <cellStyle name="Calculation 17 3 25 3" xfId="25330" xr:uid="{00000000-0005-0000-0000-0000D3620000}"/>
    <cellStyle name="Calculation 17 3 25 3 2" xfId="25331" xr:uid="{00000000-0005-0000-0000-0000D4620000}"/>
    <cellStyle name="Calculation 17 3 25 3 3" xfId="25332" xr:uid="{00000000-0005-0000-0000-0000D5620000}"/>
    <cellStyle name="Calculation 17 3 25 3 4" xfId="25333" xr:uid="{00000000-0005-0000-0000-0000D6620000}"/>
    <cellStyle name="Calculation 17 3 25 3 5" xfId="25334" xr:uid="{00000000-0005-0000-0000-0000D7620000}"/>
    <cellStyle name="Calculation 17 3 25 3 6" xfId="25335" xr:uid="{00000000-0005-0000-0000-0000D8620000}"/>
    <cellStyle name="Calculation 17 3 25 4" xfId="25336" xr:uid="{00000000-0005-0000-0000-0000D9620000}"/>
    <cellStyle name="Calculation 17 3 25 4 2" xfId="25337" xr:uid="{00000000-0005-0000-0000-0000DA620000}"/>
    <cellStyle name="Calculation 17 3 25 4 3" xfId="25338" xr:uid="{00000000-0005-0000-0000-0000DB620000}"/>
    <cellStyle name="Calculation 17 3 25 4 4" xfId="25339" xr:uid="{00000000-0005-0000-0000-0000DC620000}"/>
    <cellStyle name="Calculation 17 3 25 4 5" xfId="25340" xr:uid="{00000000-0005-0000-0000-0000DD620000}"/>
    <cellStyle name="Calculation 17 3 25 4 6" xfId="25341" xr:uid="{00000000-0005-0000-0000-0000DE620000}"/>
    <cellStyle name="Calculation 17 3 25 5" xfId="25342" xr:uid="{00000000-0005-0000-0000-0000DF620000}"/>
    <cellStyle name="Calculation 17 3 25 5 2" xfId="25343" xr:uid="{00000000-0005-0000-0000-0000E0620000}"/>
    <cellStyle name="Calculation 17 3 25 5 3" xfId="25344" xr:uid="{00000000-0005-0000-0000-0000E1620000}"/>
    <cellStyle name="Calculation 17 3 25 5 4" xfId="25345" xr:uid="{00000000-0005-0000-0000-0000E2620000}"/>
    <cellStyle name="Calculation 17 3 25 5 5" xfId="25346" xr:uid="{00000000-0005-0000-0000-0000E3620000}"/>
    <cellStyle name="Calculation 17 3 25 5 6" xfId="25347" xr:uid="{00000000-0005-0000-0000-0000E4620000}"/>
    <cellStyle name="Calculation 17 3 25 6" xfId="25348" xr:uid="{00000000-0005-0000-0000-0000E5620000}"/>
    <cellStyle name="Calculation 17 3 25 6 2" xfId="25349" xr:uid="{00000000-0005-0000-0000-0000E6620000}"/>
    <cellStyle name="Calculation 17 3 25 6 3" xfId="25350" xr:uid="{00000000-0005-0000-0000-0000E7620000}"/>
    <cellStyle name="Calculation 17 3 25 6 4" xfId="25351" xr:uid="{00000000-0005-0000-0000-0000E8620000}"/>
    <cellStyle name="Calculation 17 3 25 6 5" xfId="25352" xr:uid="{00000000-0005-0000-0000-0000E9620000}"/>
    <cellStyle name="Calculation 17 3 25 6 6" xfId="25353" xr:uid="{00000000-0005-0000-0000-0000EA620000}"/>
    <cellStyle name="Calculation 17 3 25 7" xfId="25354" xr:uid="{00000000-0005-0000-0000-0000EB620000}"/>
    <cellStyle name="Calculation 17 3 25 7 2" xfId="25355" xr:uid="{00000000-0005-0000-0000-0000EC620000}"/>
    <cellStyle name="Calculation 17 3 25 7 3" xfId="25356" xr:uid="{00000000-0005-0000-0000-0000ED620000}"/>
    <cellStyle name="Calculation 17 3 25 7 4" xfId="25357" xr:uid="{00000000-0005-0000-0000-0000EE620000}"/>
    <cellStyle name="Calculation 17 3 25 7 5" xfId="25358" xr:uid="{00000000-0005-0000-0000-0000EF620000}"/>
    <cellStyle name="Calculation 17 3 25 7 6" xfId="25359" xr:uid="{00000000-0005-0000-0000-0000F0620000}"/>
    <cellStyle name="Calculation 17 3 25 8" xfId="25360" xr:uid="{00000000-0005-0000-0000-0000F1620000}"/>
    <cellStyle name="Calculation 17 3 25 9" xfId="25361" xr:uid="{00000000-0005-0000-0000-0000F2620000}"/>
    <cellStyle name="Calculation 17 3 26" xfId="25362" xr:uid="{00000000-0005-0000-0000-0000F3620000}"/>
    <cellStyle name="Calculation 17 3 26 10" xfId="25363" xr:uid="{00000000-0005-0000-0000-0000F4620000}"/>
    <cellStyle name="Calculation 17 3 26 2" xfId="25364" xr:uid="{00000000-0005-0000-0000-0000F5620000}"/>
    <cellStyle name="Calculation 17 3 26 2 2" xfId="25365" xr:uid="{00000000-0005-0000-0000-0000F6620000}"/>
    <cellStyle name="Calculation 17 3 26 2 3" xfId="25366" xr:uid="{00000000-0005-0000-0000-0000F7620000}"/>
    <cellStyle name="Calculation 17 3 26 2 4" xfId="25367" xr:uid="{00000000-0005-0000-0000-0000F8620000}"/>
    <cellStyle name="Calculation 17 3 26 2 5" xfId="25368" xr:uid="{00000000-0005-0000-0000-0000F9620000}"/>
    <cellStyle name="Calculation 17 3 26 2 6" xfId="25369" xr:uid="{00000000-0005-0000-0000-0000FA620000}"/>
    <cellStyle name="Calculation 17 3 26 3" xfId="25370" xr:uid="{00000000-0005-0000-0000-0000FB620000}"/>
    <cellStyle name="Calculation 17 3 26 3 2" xfId="25371" xr:uid="{00000000-0005-0000-0000-0000FC620000}"/>
    <cellStyle name="Calculation 17 3 26 3 3" xfId="25372" xr:uid="{00000000-0005-0000-0000-0000FD620000}"/>
    <cellStyle name="Calculation 17 3 26 3 4" xfId="25373" xr:uid="{00000000-0005-0000-0000-0000FE620000}"/>
    <cellStyle name="Calculation 17 3 26 3 5" xfId="25374" xr:uid="{00000000-0005-0000-0000-0000FF620000}"/>
    <cellStyle name="Calculation 17 3 26 3 6" xfId="25375" xr:uid="{00000000-0005-0000-0000-000000630000}"/>
    <cellStyle name="Calculation 17 3 26 4" xfId="25376" xr:uid="{00000000-0005-0000-0000-000001630000}"/>
    <cellStyle name="Calculation 17 3 26 4 2" xfId="25377" xr:uid="{00000000-0005-0000-0000-000002630000}"/>
    <cellStyle name="Calculation 17 3 26 4 3" xfId="25378" xr:uid="{00000000-0005-0000-0000-000003630000}"/>
    <cellStyle name="Calculation 17 3 26 4 4" xfId="25379" xr:uid="{00000000-0005-0000-0000-000004630000}"/>
    <cellStyle name="Calculation 17 3 26 4 5" xfId="25380" xr:uid="{00000000-0005-0000-0000-000005630000}"/>
    <cellStyle name="Calculation 17 3 26 4 6" xfId="25381" xr:uid="{00000000-0005-0000-0000-000006630000}"/>
    <cellStyle name="Calculation 17 3 26 5" xfId="25382" xr:uid="{00000000-0005-0000-0000-000007630000}"/>
    <cellStyle name="Calculation 17 3 26 5 2" xfId="25383" xr:uid="{00000000-0005-0000-0000-000008630000}"/>
    <cellStyle name="Calculation 17 3 26 5 3" xfId="25384" xr:uid="{00000000-0005-0000-0000-000009630000}"/>
    <cellStyle name="Calculation 17 3 26 5 4" xfId="25385" xr:uid="{00000000-0005-0000-0000-00000A630000}"/>
    <cellStyle name="Calculation 17 3 26 5 5" xfId="25386" xr:uid="{00000000-0005-0000-0000-00000B630000}"/>
    <cellStyle name="Calculation 17 3 26 5 6" xfId="25387" xr:uid="{00000000-0005-0000-0000-00000C630000}"/>
    <cellStyle name="Calculation 17 3 26 6" xfId="25388" xr:uid="{00000000-0005-0000-0000-00000D630000}"/>
    <cellStyle name="Calculation 17 3 26 6 2" xfId="25389" xr:uid="{00000000-0005-0000-0000-00000E630000}"/>
    <cellStyle name="Calculation 17 3 26 6 3" xfId="25390" xr:uid="{00000000-0005-0000-0000-00000F630000}"/>
    <cellStyle name="Calculation 17 3 26 6 4" xfId="25391" xr:uid="{00000000-0005-0000-0000-000010630000}"/>
    <cellStyle name="Calculation 17 3 26 6 5" xfId="25392" xr:uid="{00000000-0005-0000-0000-000011630000}"/>
    <cellStyle name="Calculation 17 3 26 6 6" xfId="25393" xr:uid="{00000000-0005-0000-0000-000012630000}"/>
    <cellStyle name="Calculation 17 3 26 7" xfId="25394" xr:uid="{00000000-0005-0000-0000-000013630000}"/>
    <cellStyle name="Calculation 17 3 26 7 2" xfId="25395" xr:uid="{00000000-0005-0000-0000-000014630000}"/>
    <cellStyle name="Calculation 17 3 26 7 3" xfId="25396" xr:uid="{00000000-0005-0000-0000-000015630000}"/>
    <cellStyle name="Calculation 17 3 26 7 4" xfId="25397" xr:uid="{00000000-0005-0000-0000-000016630000}"/>
    <cellStyle name="Calculation 17 3 26 7 5" xfId="25398" xr:uid="{00000000-0005-0000-0000-000017630000}"/>
    <cellStyle name="Calculation 17 3 26 7 6" xfId="25399" xr:uid="{00000000-0005-0000-0000-000018630000}"/>
    <cellStyle name="Calculation 17 3 26 8" xfId="25400" xr:uid="{00000000-0005-0000-0000-000019630000}"/>
    <cellStyle name="Calculation 17 3 26 9" xfId="25401" xr:uid="{00000000-0005-0000-0000-00001A630000}"/>
    <cellStyle name="Calculation 17 3 27" xfId="25402" xr:uid="{00000000-0005-0000-0000-00001B630000}"/>
    <cellStyle name="Calculation 17 3 27 2" xfId="25403" xr:uid="{00000000-0005-0000-0000-00001C630000}"/>
    <cellStyle name="Calculation 17 3 27 3" xfId="25404" xr:uid="{00000000-0005-0000-0000-00001D630000}"/>
    <cellStyle name="Calculation 17 3 27 4" xfId="25405" xr:uid="{00000000-0005-0000-0000-00001E630000}"/>
    <cellStyle name="Calculation 17 3 27 5" xfId="25406" xr:uid="{00000000-0005-0000-0000-00001F630000}"/>
    <cellStyle name="Calculation 17 3 27 6" xfId="25407" xr:uid="{00000000-0005-0000-0000-000020630000}"/>
    <cellStyle name="Calculation 17 3 28" xfId="25408" xr:uid="{00000000-0005-0000-0000-000021630000}"/>
    <cellStyle name="Calculation 17 3 28 2" xfId="25409" xr:uid="{00000000-0005-0000-0000-000022630000}"/>
    <cellStyle name="Calculation 17 3 28 3" xfId="25410" xr:uid="{00000000-0005-0000-0000-000023630000}"/>
    <cellStyle name="Calculation 17 3 28 4" xfId="25411" xr:uid="{00000000-0005-0000-0000-000024630000}"/>
    <cellStyle name="Calculation 17 3 28 5" xfId="25412" xr:uid="{00000000-0005-0000-0000-000025630000}"/>
    <cellStyle name="Calculation 17 3 28 6" xfId="25413" xr:uid="{00000000-0005-0000-0000-000026630000}"/>
    <cellStyle name="Calculation 17 3 29" xfId="25414" xr:uid="{00000000-0005-0000-0000-000027630000}"/>
    <cellStyle name="Calculation 17 3 29 2" xfId="25415" xr:uid="{00000000-0005-0000-0000-000028630000}"/>
    <cellStyle name="Calculation 17 3 29 3" xfId="25416" xr:uid="{00000000-0005-0000-0000-000029630000}"/>
    <cellStyle name="Calculation 17 3 29 4" xfId="25417" xr:uid="{00000000-0005-0000-0000-00002A630000}"/>
    <cellStyle name="Calculation 17 3 29 5" xfId="25418" xr:uid="{00000000-0005-0000-0000-00002B630000}"/>
    <cellStyle name="Calculation 17 3 29 6" xfId="25419" xr:uid="{00000000-0005-0000-0000-00002C630000}"/>
    <cellStyle name="Calculation 17 3 3" xfId="25420" xr:uid="{00000000-0005-0000-0000-00002D630000}"/>
    <cellStyle name="Calculation 17 3 3 10" xfId="25421" xr:uid="{00000000-0005-0000-0000-00002E630000}"/>
    <cellStyle name="Calculation 17 3 3 2" xfId="25422" xr:uid="{00000000-0005-0000-0000-00002F630000}"/>
    <cellStyle name="Calculation 17 3 3 2 2" xfId="25423" xr:uid="{00000000-0005-0000-0000-000030630000}"/>
    <cellStyle name="Calculation 17 3 3 2 3" xfId="25424" xr:uid="{00000000-0005-0000-0000-000031630000}"/>
    <cellStyle name="Calculation 17 3 3 2 4" xfId="25425" xr:uid="{00000000-0005-0000-0000-000032630000}"/>
    <cellStyle name="Calculation 17 3 3 2 5" xfId="25426" xr:uid="{00000000-0005-0000-0000-000033630000}"/>
    <cellStyle name="Calculation 17 3 3 2 6" xfId="25427" xr:uid="{00000000-0005-0000-0000-000034630000}"/>
    <cellStyle name="Calculation 17 3 3 3" xfId="25428" xr:uid="{00000000-0005-0000-0000-000035630000}"/>
    <cellStyle name="Calculation 17 3 3 3 2" xfId="25429" xr:uid="{00000000-0005-0000-0000-000036630000}"/>
    <cellStyle name="Calculation 17 3 3 3 3" xfId="25430" xr:uid="{00000000-0005-0000-0000-000037630000}"/>
    <cellStyle name="Calculation 17 3 3 3 4" xfId="25431" xr:uid="{00000000-0005-0000-0000-000038630000}"/>
    <cellStyle name="Calculation 17 3 3 3 5" xfId="25432" xr:uid="{00000000-0005-0000-0000-000039630000}"/>
    <cellStyle name="Calculation 17 3 3 3 6" xfId="25433" xr:uid="{00000000-0005-0000-0000-00003A630000}"/>
    <cellStyle name="Calculation 17 3 3 4" xfId="25434" xr:uid="{00000000-0005-0000-0000-00003B630000}"/>
    <cellStyle name="Calculation 17 3 3 4 2" xfId="25435" xr:uid="{00000000-0005-0000-0000-00003C630000}"/>
    <cellStyle name="Calculation 17 3 3 4 3" xfId="25436" xr:uid="{00000000-0005-0000-0000-00003D630000}"/>
    <cellStyle name="Calculation 17 3 3 4 4" xfId="25437" xr:uid="{00000000-0005-0000-0000-00003E630000}"/>
    <cellStyle name="Calculation 17 3 3 4 5" xfId="25438" xr:uid="{00000000-0005-0000-0000-00003F630000}"/>
    <cellStyle name="Calculation 17 3 3 4 6" xfId="25439" xr:uid="{00000000-0005-0000-0000-000040630000}"/>
    <cellStyle name="Calculation 17 3 3 5" xfId="25440" xr:uid="{00000000-0005-0000-0000-000041630000}"/>
    <cellStyle name="Calculation 17 3 3 5 2" xfId="25441" xr:uid="{00000000-0005-0000-0000-000042630000}"/>
    <cellStyle name="Calculation 17 3 3 5 3" xfId="25442" xr:uid="{00000000-0005-0000-0000-000043630000}"/>
    <cellStyle name="Calculation 17 3 3 5 4" xfId="25443" xr:uid="{00000000-0005-0000-0000-000044630000}"/>
    <cellStyle name="Calculation 17 3 3 5 5" xfId="25444" xr:uid="{00000000-0005-0000-0000-000045630000}"/>
    <cellStyle name="Calculation 17 3 3 5 6" xfId="25445" xr:uid="{00000000-0005-0000-0000-000046630000}"/>
    <cellStyle name="Calculation 17 3 3 6" xfId="25446" xr:uid="{00000000-0005-0000-0000-000047630000}"/>
    <cellStyle name="Calculation 17 3 3 6 2" xfId="25447" xr:uid="{00000000-0005-0000-0000-000048630000}"/>
    <cellStyle name="Calculation 17 3 3 6 3" xfId="25448" xr:uid="{00000000-0005-0000-0000-000049630000}"/>
    <cellStyle name="Calculation 17 3 3 6 4" xfId="25449" xr:uid="{00000000-0005-0000-0000-00004A630000}"/>
    <cellStyle name="Calculation 17 3 3 6 5" xfId="25450" xr:uid="{00000000-0005-0000-0000-00004B630000}"/>
    <cellStyle name="Calculation 17 3 3 6 6" xfId="25451" xr:uid="{00000000-0005-0000-0000-00004C630000}"/>
    <cellStyle name="Calculation 17 3 3 7" xfId="25452" xr:uid="{00000000-0005-0000-0000-00004D630000}"/>
    <cellStyle name="Calculation 17 3 3 7 2" xfId="25453" xr:uid="{00000000-0005-0000-0000-00004E630000}"/>
    <cellStyle name="Calculation 17 3 3 7 3" xfId="25454" xr:uid="{00000000-0005-0000-0000-00004F630000}"/>
    <cellStyle name="Calculation 17 3 3 7 4" xfId="25455" xr:uid="{00000000-0005-0000-0000-000050630000}"/>
    <cellStyle name="Calculation 17 3 3 7 5" xfId="25456" xr:uid="{00000000-0005-0000-0000-000051630000}"/>
    <cellStyle name="Calculation 17 3 3 7 6" xfId="25457" xr:uid="{00000000-0005-0000-0000-000052630000}"/>
    <cellStyle name="Calculation 17 3 3 8" xfId="25458" xr:uid="{00000000-0005-0000-0000-000053630000}"/>
    <cellStyle name="Calculation 17 3 3 9" xfId="25459" xr:uid="{00000000-0005-0000-0000-000054630000}"/>
    <cellStyle name="Calculation 17 3 30" xfId="25460" xr:uid="{00000000-0005-0000-0000-000055630000}"/>
    <cellStyle name="Calculation 17 3 30 2" xfId="25461" xr:uid="{00000000-0005-0000-0000-000056630000}"/>
    <cellStyle name="Calculation 17 3 30 3" xfId="25462" xr:uid="{00000000-0005-0000-0000-000057630000}"/>
    <cellStyle name="Calculation 17 3 30 4" xfId="25463" xr:uid="{00000000-0005-0000-0000-000058630000}"/>
    <cellStyle name="Calculation 17 3 30 5" xfId="25464" xr:uid="{00000000-0005-0000-0000-000059630000}"/>
    <cellStyle name="Calculation 17 3 30 6" xfId="25465" xr:uid="{00000000-0005-0000-0000-00005A630000}"/>
    <cellStyle name="Calculation 17 3 31" xfId="25466" xr:uid="{00000000-0005-0000-0000-00005B630000}"/>
    <cellStyle name="Calculation 17 3 31 2" xfId="25467" xr:uid="{00000000-0005-0000-0000-00005C630000}"/>
    <cellStyle name="Calculation 17 3 31 3" xfId="25468" xr:uid="{00000000-0005-0000-0000-00005D630000}"/>
    <cellStyle name="Calculation 17 3 31 4" xfId="25469" xr:uid="{00000000-0005-0000-0000-00005E630000}"/>
    <cellStyle name="Calculation 17 3 31 5" xfId="25470" xr:uid="{00000000-0005-0000-0000-00005F630000}"/>
    <cellStyle name="Calculation 17 3 31 6" xfId="25471" xr:uid="{00000000-0005-0000-0000-000060630000}"/>
    <cellStyle name="Calculation 17 3 32" xfId="25472" xr:uid="{00000000-0005-0000-0000-000061630000}"/>
    <cellStyle name="Calculation 17 3 32 2" xfId="25473" xr:uid="{00000000-0005-0000-0000-000062630000}"/>
    <cellStyle name="Calculation 17 3 32 3" xfId="25474" xr:uid="{00000000-0005-0000-0000-000063630000}"/>
    <cellStyle name="Calculation 17 3 32 4" xfId="25475" xr:uid="{00000000-0005-0000-0000-000064630000}"/>
    <cellStyle name="Calculation 17 3 32 5" xfId="25476" xr:uid="{00000000-0005-0000-0000-000065630000}"/>
    <cellStyle name="Calculation 17 3 32 6" xfId="25477" xr:uid="{00000000-0005-0000-0000-000066630000}"/>
    <cellStyle name="Calculation 17 3 33" xfId="25478" xr:uid="{00000000-0005-0000-0000-000067630000}"/>
    <cellStyle name="Calculation 17 3 34" xfId="25479" xr:uid="{00000000-0005-0000-0000-000068630000}"/>
    <cellStyle name="Calculation 17 3 35" xfId="25480" xr:uid="{00000000-0005-0000-0000-000069630000}"/>
    <cellStyle name="Calculation 17 3 4" xfId="25481" xr:uid="{00000000-0005-0000-0000-00006A630000}"/>
    <cellStyle name="Calculation 17 3 4 10" xfId="25482" xr:uid="{00000000-0005-0000-0000-00006B630000}"/>
    <cellStyle name="Calculation 17 3 4 2" xfId="25483" xr:uid="{00000000-0005-0000-0000-00006C630000}"/>
    <cellStyle name="Calculation 17 3 4 2 2" xfId="25484" xr:uid="{00000000-0005-0000-0000-00006D630000}"/>
    <cellStyle name="Calculation 17 3 4 2 3" xfId="25485" xr:uid="{00000000-0005-0000-0000-00006E630000}"/>
    <cellStyle name="Calculation 17 3 4 2 4" xfId="25486" xr:uid="{00000000-0005-0000-0000-00006F630000}"/>
    <cellStyle name="Calculation 17 3 4 2 5" xfId="25487" xr:uid="{00000000-0005-0000-0000-000070630000}"/>
    <cellStyle name="Calculation 17 3 4 2 6" xfId="25488" xr:uid="{00000000-0005-0000-0000-000071630000}"/>
    <cellStyle name="Calculation 17 3 4 3" xfId="25489" xr:uid="{00000000-0005-0000-0000-000072630000}"/>
    <cellStyle name="Calculation 17 3 4 3 2" xfId="25490" xr:uid="{00000000-0005-0000-0000-000073630000}"/>
    <cellStyle name="Calculation 17 3 4 3 3" xfId="25491" xr:uid="{00000000-0005-0000-0000-000074630000}"/>
    <cellStyle name="Calculation 17 3 4 3 4" xfId="25492" xr:uid="{00000000-0005-0000-0000-000075630000}"/>
    <cellStyle name="Calculation 17 3 4 3 5" xfId="25493" xr:uid="{00000000-0005-0000-0000-000076630000}"/>
    <cellStyle name="Calculation 17 3 4 3 6" xfId="25494" xr:uid="{00000000-0005-0000-0000-000077630000}"/>
    <cellStyle name="Calculation 17 3 4 4" xfId="25495" xr:uid="{00000000-0005-0000-0000-000078630000}"/>
    <cellStyle name="Calculation 17 3 4 4 2" xfId="25496" xr:uid="{00000000-0005-0000-0000-000079630000}"/>
    <cellStyle name="Calculation 17 3 4 4 3" xfId="25497" xr:uid="{00000000-0005-0000-0000-00007A630000}"/>
    <cellStyle name="Calculation 17 3 4 4 4" xfId="25498" xr:uid="{00000000-0005-0000-0000-00007B630000}"/>
    <cellStyle name="Calculation 17 3 4 4 5" xfId="25499" xr:uid="{00000000-0005-0000-0000-00007C630000}"/>
    <cellStyle name="Calculation 17 3 4 4 6" xfId="25500" xr:uid="{00000000-0005-0000-0000-00007D630000}"/>
    <cellStyle name="Calculation 17 3 4 5" xfId="25501" xr:uid="{00000000-0005-0000-0000-00007E630000}"/>
    <cellStyle name="Calculation 17 3 4 5 2" xfId="25502" xr:uid="{00000000-0005-0000-0000-00007F630000}"/>
    <cellStyle name="Calculation 17 3 4 5 3" xfId="25503" xr:uid="{00000000-0005-0000-0000-000080630000}"/>
    <cellStyle name="Calculation 17 3 4 5 4" xfId="25504" xr:uid="{00000000-0005-0000-0000-000081630000}"/>
    <cellStyle name="Calculation 17 3 4 5 5" xfId="25505" xr:uid="{00000000-0005-0000-0000-000082630000}"/>
    <cellStyle name="Calculation 17 3 4 5 6" xfId="25506" xr:uid="{00000000-0005-0000-0000-000083630000}"/>
    <cellStyle name="Calculation 17 3 4 6" xfId="25507" xr:uid="{00000000-0005-0000-0000-000084630000}"/>
    <cellStyle name="Calculation 17 3 4 6 2" xfId="25508" xr:uid="{00000000-0005-0000-0000-000085630000}"/>
    <cellStyle name="Calculation 17 3 4 6 3" xfId="25509" xr:uid="{00000000-0005-0000-0000-000086630000}"/>
    <cellStyle name="Calculation 17 3 4 6 4" xfId="25510" xr:uid="{00000000-0005-0000-0000-000087630000}"/>
    <cellStyle name="Calculation 17 3 4 6 5" xfId="25511" xr:uid="{00000000-0005-0000-0000-000088630000}"/>
    <cellStyle name="Calculation 17 3 4 6 6" xfId="25512" xr:uid="{00000000-0005-0000-0000-000089630000}"/>
    <cellStyle name="Calculation 17 3 4 7" xfId="25513" xr:uid="{00000000-0005-0000-0000-00008A630000}"/>
    <cellStyle name="Calculation 17 3 4 7 2" xfId="25514" xr:uid="{00000000-0005-0000-0000-00008B630000}"/>
    <cellStyle name="Calculation 17 3 4 7 3" xfId="25515" xr:uid="{00000000-0005-0000-0000-00008C630000}"/>
    <cellStyle name="Calculation 17 3 4 7 4" xfId="25516" xr:uid="{00000000-0005-0000-0000-00008D630000}"/>
    <cellStyle name="Calculation 17 3 4 7 5" xfId="25517" xr:uid="{00000000-0005-0000-0000-00008E630000}"/>
    <cellStyle name="Calculation 17 3 4 7 6" xfId="25518" xr:uid="{00000000-0005-0000-0000-00008F630000}"/>
    <cellStyle name="Calculation 17 3 4 8" xfId="25519" xr:uid="{00000000-0005-0000-0000-000090630000}"/>
    <cellStyle name="Calculation 17 3 4 9" xfId="25520" xr:uid="{00000000-0005-0000-0000-000091630000}"/>
    <cellStyle name="Calculation 17 3 5" xfId="25521" xr:uid="{00000000-0005-0000-0000-000092630000}"/>
    <cellStyle name="Calculation 17 3 5 10" xfId="25522" xr:uid="{00000000-0005-0000-0000-000093630000}"/>
    <cellStyle name="Calculation 17 3 5 2" xfId="25523" xr:uid="{00000000-0005-0000-0000-000094630000}"/>
    <cellStyle name="Calculation 17 3 5 2 2" xfId="25524" xr:uid="{00000000-0005-0000-0000-000095630000}"/>
    <cellStyle name="Calculation 17 3 5 2 3" xfId="25525" xr:uid="{00000000-0005-0000-0000-000096630000}"/>
    <cellStyle name="Calculation 17 3 5 2 4" xfId="25526" xr:uid="{00000000-0005-0000-0000-000097630000}"/>
    <cellStyle name="Calculation 17 3 5 2 5" xfId="25527" xr:uid="{00000000-0005-0000-0000-000098630000}"/>
    <cellStyle name="Calculation 17 3 5 2 6" xfId="25528" xr:uid="{00000000-0005-0000-0000-000099630000}"/>
    <cellStyle name="Calculation 17 3 5 3" xfId="25529" xr:uid="{00000000-0005-0000-0000-00009A630000}"/>
    <cellStyle name="Calculation 17 3 5 3 2" xfId="25530" xr:uid="{00000000-0005-0000-0000-00009B630000}"/>
    <cellStyle name="Calculation 17 3 5 3 3" xfId="25531" xr:uid="{00000000-0005-0000-0000-00009C630000}"/>
    <cellStyle name="Calculation 17 3 5 3 4" xfId="25532" xr:uid="{00000000-0005-0000-0000-00009D630000}"/>
    <cellStyle name="Calculation 17 3 5 3 5" xfId="25533" xr:uid="{00000000-0005-0000-0000-00009E630000}"/>
    <cellStyle name="Calculation 17 3 5 3 6" xfId="25534" xr:uid="{00000000-0005-0000-0000-00009F630000}"/>
    <cellStyle name="Calculation 17 3 5 4" xfId="25535" xr:uid="{00000000-0005-0000-0000-0000A0630000}"/>
    <cellStyle name="Calculation 17 3 5 4 2" xfId="25536" xr:uid="{00000000-0005-0000-0000-0000A1630000}"/>
    <cellStyle name="Calculation 17 3 5 4 3" xfId="25537" xr:uid="{00000000-0005-0000-0000-0000A2630000}"/>
    <cellStyle name="Calculation 17 3 5 4 4" xfId="25538" xr:uid="{00000000-0005-0000-0000-0000A3630000}"/>
    <cellStyle name="Calculation 17 3 5 4 5" xfId="25539" xr:uid="{00000000-0005-0000-0000-0000A4630000}"/>
    <cellStyle name="Calculation 17 3 5 4 6" xfId="25540" xr:uid="{00000000-0005-0000-0000-0000A5630000}"/>
    <cellStyle name="Calculation 17 3 5 5" xfId="25541" xr:uid="{00000000-0005-0000-0000-0000A6630000}"/>
    <cellStyle name="Calculation 17 3 5 5 2" xfId="25542" xr:uid="{00000000-0005-0000-0000-0000A7630000}"/>
    <cellStyle name="Calculation 17 3 5 5 3" xfId="25543" xr:uid="{00000000-0005-0000-0000-0000A8630000}"/>
    <cellStyle name="Calculation 17 3 5 5 4" xfId="25544" xr:uid="{00000000-0005-0000-0000-0000A9630000}"/>
    <cellStyle name="Calculation 17 3 5 5 5" xfId="25545" xr:uid="{00000000-0005-0000-0000-0000AA630000}"/>
    <cellStyle name="Calculation 17 3 5 5 6" xfId="25546" xr:uid="{00000000-0005-0000-0000-0000AB630000}"/>
    <cellStyle name="Calculation 17 3 5 6" xfId="25547" xr:uid="{00000000-0005-0000-0000-0000AC630000}"/>
    <cellStyle name="Calculation 17 3 5 6 2" xfId="25548" xr:uid="{00000000-0005-0000-0000-0000AD630000}"/>
    <cellStyle name="Calculation 17 3 5 6 3" xfId="25549" xr:uid="{00000000-0005-0000-0000-0000AE630000}"/>
    <cellStyle name="Calculation 17 3 5 6 4" xfId="25550" xr:uid="{00000000-0005-0000-0000-0000AF630000}"/>
    <cellStyle name="Calculation 17 3 5 6 5" xfId="25551" xr:uid="{00000000-0005-0000-0000-0000B0630000}"/>
    <cellStyle name="Calculation 17 3 5 6 6" xfId="25552" xr:uid="{00000000-0005-0000-0000-0000B1630000}"/>
    <cellStyle name="Calculation 17 3 5 7" xfId="25553" xr:uid="{00000000-0005-0000-0000-0000B2630000}"/>
    <cellStyle name="Calculation 17 3 5 7 2" xfId="25554" xr:uid="{00000000-0005-0000-0000-0000B3630000}"/>
    <cellStyle name="Calculation 17 3 5 7 3" xfId="25555" xr:uid="{00000000-0005-0000-0000-0000B4630000}"/>
    <cellStyle name="Calculation 17 3 5 7 4" xfId="25556" xr:uid="{00000000-0005-0000-0000-0000B5630000}"/>
    <cellStyle name="Calculation 17 3 5 7 5" xfId="25557" xr:uid="{00000000-0005-0000-0000-0000B6630000}"/>
    <cellStyle name="Calculation 17 3 5 7 6" xfId="25558" xr:uid="{00000000-0005-0000-0000-0000B7630000}"/>
    <cellStyle name="Calculation 17 3 5 8" xfId="25559" xr:uid="{00000000-0005-0000-0000-0000B8630000}"/>
    <cellStyle name="Calculation 17 3 5 9" xfId="25560" xr:uid="{00000000-0005-0000-0000-0000B9630000}"/>
    <cellStyle name="Calculation 17 3 6" xfId="25561" xr:uid="{00000000-0005-0000-0000-0000BA630000}"/>
    <cellStyle name="Calculation 17 3 6 10" xfId="25562" xr:uid="{00000000-0005-0000-0000-0000BB630000}"/>
    <cellStyle name="Calculation 17 3 6 2" xfId="25563" xr:uid="{00000000-0005-0000-0000-0000BC630000}"/>
    <cellStyle name="Calculation 17 3 6 2 2" xfId="25564" xr:uid="{00000000-0005-0000-0000-0000BD630000}"/>
    <cellStyle name="Calculation 17 3 6 2 3" xfId="25565" xr:uid="{00000000-0005-0000-0000-0000BE630000}"/>
    <cellStyle name="Calculation 17 3 6 2 4" xfId="25566" xr:uid="{00000000-0005-0000-0000-0000BF630000}"/>
    <cellStyle name="Calculation 17 3 6 2 5" xfId="25567" xr:uid="{00000000-0005-0000-0000-0000C0630000}"/>
    <cellStyle name="Calculation 17 3 6 2 6" xfId="25568" xr:uid="{00000000-0005-0000-0000-0000C1630000}"/>
    <cellStyle name="Calculation 17 3 6 3" xfId="25569" xr:uid="{00000000-0005-0000-0000-0000C2630000}"/>
    <cellStyle name="Calculation 17 3 6 3 2" xfId="25570" xr:uid="{00000000-0005-0000-0000-0000C3630000}"/>
    <cellStyle name="Calculation 17 3 6 3 3" xfId="25571" xr:uid="{00000000-0005-0000-0000-0000C4630000}"/>
    <cellStyle name="Calculation 17 3 6 3 4" xfId="25572" xr:uid="{00000000-0005-0000-0000-0000C5630000}"/>
    <cellStyle name="Calculation 17 3 6 3 5" xfId="25573" xr:uid="{00000000-0005-0000-0000-0000C6630000}"/>
    <cellStyle name="Calculation 17 3 6 3 6" xfId="25574" xr:uid="{00000000-0005-0000-0000-0000C7630000}"/>
    <cellStyle name="Calculation 17 3 6 4" xfId="25575" xr:uid="{00000000-0005-0000-0000-0000C8630000}"/>
    <cellStyle name="Calculation 17 3 6 4 2" xfId="25576" xr:uid="{00000000-0005-0000-0000-0000C9630000}"/>
    <cellStyle name="Calculation 17 3 6 4 3" xfId="25577" xr:uid="{00000000-0005-0000-0000-0000CA630000}"/>
    <cellStyle name="Calculation 17 3 6 4 4" xfId="25578" xr:uid="{00000000-0005-0000-0000-0000CB630000}"/>
    <cellStyle name="Calculation 17 3 6 4 5" xfId="25579" xr:uid="{00000000-0005-0000-0000-0000CC630000}"/>
    <cellStyle name="Calculation 17 3 6 4 6" xfId="25580" xr:uid="{00000000-0005-0000-0000-0000CD630000}"/>
    <cellStyle name="Calculation 17 3 6 5" xfId="25581" xr:uid="{00000000-0005-0000-0000-0000CE630000}"/>
    <cellStyle name="Calculation 17 3 6 5 2" xfId="25582" xr:uid="{00000000-0005-0000-0000-0000CF630000}"/>
    <cellStyle name="Calculation 17 3 6 5 3" xfId="25583" xr:uid="{00000000-0005-0000-0000-0000D0630000}"/>
    <cellStyle name="Calculation 17 3 6 5 4" xfId="25584" xr:uid="{00000000-0005-0000-0000-0000D1630000}"/>
    <cellStyle name="Calculation 17 3 6 5 5" xfId="25585" xr:uid="{00000000-0005-0000-0000-0000D2630000}"/>
    <cellStyle name="Calculation 17 3 6 5 6" xfId="25586" xr:uid="{00000000-0005-0000-0000-0000D3630000}"/>
    <cellStyle name="Calculation 17 3 6 6" xfId="25587" xr:uid="{00000000-0005-0000-0000-0000D4630000}"/>
    <cellStyle name="Calculation 17 3 6 6 2" xfId="25588" xr:uid="{00000000-0005-0000-0000-0000D5630000}"/>
    <cellStyle name="Calculation 17 3 6 6 3" xfId="25589" xr:uid="{00000000-0005-0000-0000-0000D6630000}"/>
    <cellStyle name="Calculation 17 3 6 6 4" xfId="25590" xr:uid="{00000000-0005-0000-0000-0000D7630000}"/>
    <cellStyle name="Calculation 17 3 6 6 5" xfId="25591" xr:uid="{00000000-0005-0000-0000-0000D8630000}"/>
    <cellStyle name="Calculation 17 3 6 6 6" xfId="25592" xr:uid="{00000000-0005-0000-0000-0000D9630000}"/>
    <cellStyle name="Calculation 17 3 6 7" xfId="25593" xr:uid="{00000000-0005-0000-0000-0000DA630000}"/>
    <cellStyle name="Calculation 17 3 6 7 2" xfId="25594" xr:uid="{00000000-0005-0000-0000-0000DB630000}"/>
    <cellStyle name="Calculation 17 3 6 7 3" xfId="25595" xr:uid="{00000000-0005-0000-0000-0000DC630000}"/>
    <cellStyle name="Calculation 17 3 6 7 4" xfId="25596" xr:uid="{00000000-0005-0000-0000-0000DD630000}"/>
    <cellStyle name="Calculation 17 3 6 7 5" xfId="25597" xr:uid="{00000000-0005-0000-0000-0000DE630000}"/>
    <cellStyle name="Calculation 17 3 6 7 6" xfId="25598" xr:uid="{00000000-0005-0000-0000-0000DF630000}"/>
    <cellStyle name="Calculation 17 3 6 8" xfId="25599" xr:uid="{00000000-0005-0000-0000-0000E0630000}"/>
    <cellStyle name="Calculation 17 3 6 9" xfId="25600" xr:uid="{00000000-0005-0000-0000-0000E1630000}"/>
    <cellStyle name="Calculation 17 3 7" xfId="25601" xr:uid="{00000000-0005-0000-0000-0000E2630000}"/>
    <cellStyle name="Calculation 17 3 7 10" xfId="25602" xr:uid="{00000000-0005-0000-0000-0000E3630000}"/>
    <cellStyle name="Calculation 17 3 7 2" xfId="25603" xr:uid="{00000000-0005-0000-0000-0000E4630000}"/>
    <cellStyle name="Calculation 17 3 7 2 2" xfId="25604" xr:uid="{00000000-0005-0000-0000-0000E5630000}"/>
    <cellStyle name="Calculation 17 3 7 2 3" xfId="25605" xr:uid="{00000000-0005-0000-0000-0000E6630000}"/>
    <cellStyle name="Calculation 17 3 7 2 4" xfId="25606" xr:uid="{00000000-0005-0000-0000-0000E7630000}"/>
    <cellStyle name="Calculation 17 3 7 2 5" xfId="25607" xr:uid="{00000000-0005-0000-0000-0000E8630000}"/>
    <cellStyle name="Calculation 17 3 7 2 6" xfId="25608" xr:uid="{00000000-0005-0000-0000-0000E9630000}"/>
    <cellStyle name="Calculation 17 3 7 3" xfId="25609" xr:uid="{00000000-0005-0000-0000-0000EA630000}"/>
    <cellStyle name="Calculation 17 3 7 3 2" xfId="25610" xr:uid="{00000000-0005-0000-0000-0000EB630000}"/>
    <cellStyle name="Calculation 17 3 7 3 3" xfId="25611" xr:uid="{00000000-0005-0000-0000-0000EC630000}"/>
    <cellStyle name="Calculation 17 3 7 3 4" xfId="25612" xr:uid="{00000000-0005-0000-0000-0000ED630000}"/>
    <cellStyle name="Calculation 17 3 7 3 5" xfId="25613" xr:uid="{00000000-0005-0000-0000-0000EE630000}"/>
    <cellStyle name="Calculation 17 3 7 3 6" xfId="25614" xr:uid="{00000000-0005-0000-0000-0000EF630000}"/>
    <cellStyle name="Calculation 17 3 7 4" xfId="25615" xr:uid="{00000000-0005-0000-0000-0000F0630000}"/>
    <cellStyle name="Calculation 17 3 7 4 2" xfId="25616" xr:uid="{00000000-0005-0000-0000-0000F1630000}"/>
    <cellStyle name="Calculation 17 3 7 4 3" xfId="25617" xr:uid="{00000000-0005-0000-0000-0000F2630000}"/>
    <cellStyle name="Calculation 17 3 7 4 4" xfId="25618" xr:uid="{00000000-0005-0000-0000-0000F3630000}"/>
    <cellStyle name="Calculation 17 3 7 4 5" xfId="25619" xr:uid="{00000000-0005-0000-0000-0000F4630000}"/>
    <cellStyle name="Calculation 17 3 7 4 6" xfId="25620" xr:uid="{00000000-0005-0000-0000-0000F5630000}"/>
    <cellStyle name="Calculation 17 3 7 5" xfId="25621" xr:uid="{00000000-0005-0000-0000-0000F6630000}"/>
    <cellStyle name="Calculation 17 3 7 5 2" xfId="25622" xr:uid="{00000000-0005-0000-0000-0000F7630000}"/>
    <cellStyle name="Calculation 17 3 7 5 3" xfId="25623" xr:uid="{00000000-0005-0000-0000-0000F8630000}"/>
    <cellStyle name="Calculation 17 3 7 5 4" xfId="25624" xr:uid="{00000000-0005-0000-0000-0000F9630000}"/>
    <cellStyle name="Calculation 17 3 7 5 5" xfId="25625" xr:uid="{00000000-0005-0000-0000-0000FA630000}"/>
    <cellStyle name="Calculation 17 3 7 5 6" xfId="25626" xr:uid="{00000000-0005-0000-0000-0000FB630000}"/>
    <cellStyle name="Calculation 17 3 7 6" xfId="25627" xr:uid="{00000000-0005-0000-0000-0000FC630000}"/>
    <cellStyle name="Calculation 17 3 7 6 2" xfId="25628" xr:uid="{00000000-0005-0000-0000-0000FD630000}"/>
    <cellStyle name="Calculation 17 3 7 6 3" xfId="25629" xr:uid="{00000000-0005-0000-0000-0000FE630000}"/>
    <cellStyle name="Calculation 17 3 7 6 4" xfId="25630" xr:uid="{00000000-0005-0000-0000-0000FF630000}"/>
    <cellStyle name="Calculation 17 3 7 6 5" xfId="25631" xr:uid="{00000000-0005-0000-0000-000000640000}"/>
    <cellStyle name="Calculation 17 3 7 6 6" xfId="25632" xr:uid="{00000000-0005-0000-0000-000001640000}"/>
    <cellStyle name="Calculation 17 3 7 7" xfId="25633" xr:uid="{00000000-0005-0000-0000-000002640000}"/>
    <cellStyle name="Calculation 17 3 7 7 2" xfId="25634" xr:uid="{00000000-0005-0000-0000-000003640000}"/>
    <cellStyle name="Calculation 17 3 7 7 3" xfId="25635" xr:uid="{00000000-0005-0000-0000-000004640000}"/>
    <cellStyle name="Calculation 17 3 7 7 4" xfId="25636" xr:uid="{00000000-0005-0000-0000-000005640000}"/>
    <cellStyle name="Calculation 17 3 7 7 5" xfId="25637" xr:uid="{00000000-0005-0000-0000-000006640000}"/>
    <cellStyle name="Calculation 17 3 7 7 6" xfId="25638" xr:uid="{00000000-0005-0000-0000-000007640000}"/>
    <cellStyle name="Calculation 17 3 7 8" xfId="25639" xr:uid="{00000000-0005-0000-0000-000008640000}"/>
    <cellStyle name="Calculation 17 3 7 9" xfId="25640" xr:uid="{00000000-0005-0000-0000-000009640000}"/>
    <cellStyle name="Calculation 17 3 8" xfId="25641" xr:uid="{00000000-0005-0000-0000-00000A640000}"/>
    <cellStyle name="Calculation 17 3 8 10" xfId="25642" xr:uid="{00000000-0005-0000-0000-00000B640000}"/>
    <cellStyle name="Calculation 17 3 8 2" xfId="25643" xr:uid="{00000000-0005-0000-0000-00000C640000}"/>
    <cellStyle name="Calculation 17 3 8 2 2" xfId="25644" xr:uid="{00000000-0005-0000-0000-00000D640000}"/>
    <cellStyle name="Calculation 17 3 8 2 3" xfId="25645" xr:uid="{00000000-0005-0000-0000-00000E640000}"/>
    <cellStyle name="Calculation 17 3 8 2 4" xfId="25646" xr:uid="{00000000-0005-0000-0000-00000F640000}"/>
    <cellStyle name="Calculation 17 3 8 2 5" xfId="25647" xr:uid="{00000000-0005-0000-0000-000010640000}"/>
    <cellStyle name="Calculation 17 3 8 2 6" xfId="25648" xr:uid="{00000000-0005-0000-0000-000011640000}"/>
    <cellStyle name="Calculation 17 3 8 3" xfId="25649" xr:uid="{00000000-0005-0000-0000-000012640000}"/>
    <cellStyle name="Calculation 17 3 8 3 2" xfId="25650" xr:uid="{00000000-0005-0000-0000-000013640000}"/>
    <cellStyle name="Calculation 17 3 8 3 3" xfId="25651" xr:uid="{00000000-0005-0000-0000-000014640000}"/>
    <cellStyle name="Calculation 17 3 8 3 4" xfId="25652" xr:uid="{00000000-0005-0000-0000-000015640000}"/>
    <cellStyle name="Calculation 17 3 8 3 5" xfId="25653" xr:uid="{00000000-0005-0000-0000-000016640000}"/>
    <cellStyle name="Calculation 17 3 8 3 6" xfId="25654" xr:uid="{00000000-0005-0000-0000-000017640000}"/>
    <cellStyle name="Calculation 17 3 8 4" xfId="25655" xr:uid="{00000000-0005-0000-0000-000018640000}"/>
    <cellStyle name="Calculation 17 3 8 4 2" xfId="25656" xr:uid="{00000000-0005-0000-0000-000019640000}"/>
    <cellStyle name="Calculation 17 3 8 4 3" xfId="25657" xr:uid="{00000000-0005-0000-0000-00001A640000}"/>
    <cellStyle name="Calculation 17 3 8 4 4" xfId="25658" xr:uid="{00000000-0005-0000-0000-00001B640000}"/>
    <cellStyle name="Calculation 17 3 8 4 5" xfId="25659" xr:uid="{00000000-0005-0000-0000-00001C640000}"/>
    <cellStyle name="Calculation 17 3 8 4 6" xfId="25660" xr:uid="{00000000-0005-0000-0000-00001D640000}"/>
    <cellStyle name="Calculation 17 3 8 5" xfId="25661" xr:uid="{00000000-0005-0000-0000-00001E640000}"/>
    <cellStyle name="Calculation 17 3 8 5 2" xfId="25662" xr:uid="{00000000-0005-0000-0000-00001F640000}"/>
    <cellStyle name="Calculation 17 3 8 5 3" xfId="25663" xr:uid="{00000000-0005-0000-0000-000020640000}"/>
    <cellStyle name="Calculation 17 3 8 5 4" xfId="25664" xr:uid="{00000000-0005-0000-0000-000021640000}"/>
    <cellStyle name="Calculation 17 3 8 5 5" xfId="25665" xr:uid="{00000000-0005-0000-0000-000022640000}"/>
    <cellStyle name="Calculation 17 3 8 5 6" xfId="25666" xr:uid="{00000000-0005-0000-0000-000023640000}"/>
    <cellStyle name="Calculation 17 3 8 6" xfId="25667" xr:uid="{00000000-0005-0000-0000-000024640000}"/>
    <cellStyle name="Calculation 17 3 8 6 2" xfId="25668" xr:uid="{00000000-0005-0000-0000-000025640000}"/>
    <cellStyle name="Calculation 17 3 8 6 3" xfId="25669" xr:uid="{00000000-0005-0000-0000-000026640000}"/>
    <cellStyle name="Calculation 17 3 8 6 4" xfId="25670" xr:uid="{00000000-0005-0000-0000-000027640000}"/>
    <cellStyle name="Calculation 17 3 8 6 5" xfId="25671" xr:uid="{00000000-0005-0000-0000-000028640000}"/>
    <cellStyle name="Calculation 17 3 8 6 6" xfId="25672" xr:uid="{00000000-0005-0000-0000-000029640000}"/>
    <cellStyle name="Calculation 17 3 8 7" xfId="25673" xr:uid="{00000000-0005-0000-0000-00002A640000}"/>
    <cellStyle name="Calculation 17 3 8 7 2" xfId="25674" xr:uid="{00000000-0005-0000-0000-00002B640000}"/>
    <cellStyle name="Calculation 17 3 8 7 3" xfId="25675" xr:uid="{00000000-0005-0000-0000-00002C640000}"/>
    <cellStyle name="Calculation 17 3 8 7 4" xfId="25676" xr:uid="{00000000-0005-0000-0000-00002D640000}"/>
    <cellStyle name="Calculation 17 3 8 7 5" xfId="25677" xr:uid="{00000000-0005-0000-0000-00002E640000}"/>
    <cellStyle name="Calculation 17 3 8 7 6" xfId="25678" xr:uid="{00000000-0005-0000-0000-00002F640000}"/>
    <cellStyle name="Calculation 17 3 8 8" xfId="25679" xr:uid="{00000000-0005-0000-0000-000030640000}"/>
    <cellStyle name="Calculation 17 3 8 9" xfId="25680" xr:uid="{00000000-0005-0000-0000-000031640000}"/>
    <cellStyle name="Calculation 17 3 9" xfId="25681" xr:uid="{00000000-0005-0000-0000-000032640000}"/>
    <cellStyle name="Calculation 17 3 9 10" xfId="25682" xr:uid="{00000000-0005-0000-0000-000033640000}"/>
    <cellStyle name="Calculation 17 3 9 2" xfId="25683" xr:uid="{00000000-0005-0000-0000-000034640000}"/>
    <cellStyle name="Calculation 17 3 9 2 2" xfId="25684" xr:uid="{00000000-0005-0000-0000-000035640000}"/>
    <cellStyle name="Calculation 17 3 9 2 3" xfId="25685" xr:uid="{00000000-0005-0000-0000-000036640000}"/>
    <cellStyle name="Calculation 17 3 9 2 4" xfId="25686" xr:uid="{00000000-0005-0000-0000-000037640000}"/>
    <cellStyle name="Calculation 17 3 9 2 5" xfId="25687" xr:uid="{00000000-0005-0000-0000-000038640000}"/>
    <cellStyle name="Calculation 17 3 9 2 6" xfId="25688" xr:uid="{00000000-0005-0000-0000-000039640000}"/>
    <cellStyle name="Calculation 17 3 9 3" xfId="25689" xr:uid="{00000000-0005-0000-0000-00003A640000}"/>
    <cellStyle name="Calculation 17 3 9 3 2" xfId="25690" xr:uid="{00000000-0005-0000-0000-00003B640000}"/>
    <cellStyle name="Calculation 17 3 9 3 3" xfId="25691" xr:uid="{00000000-0005-0000-0000-00003C640000}"/>
    <cellStyle name="Calculation 17 3 9 3 4" xfId="25692" xr:uid="{00000000-0005-0000-0000-00003D640000}"/>
    <cellStyle name="Calculation 17 3 9 3 5" xfId="25693" xr:uid="{00000000-0005-0000-0000-00003E640000}"/>
    <cellStyle name="Calculation 17 3 9 3 6" xfId="25694" xr:uid="{00000000-0005-0000-0000-00003F640000}"/>
    <cellStyle name="Calculation 17 3 9 4" xfId="25695" xr:uid="{00000000-0005-0000-0000-000040640000}"/>
    <cellStyle name="Calculation 17 3 9 4 2" xfId="25696" xr:uid="{00000000-0005-0000-0000-000041640000}"/>
    <cellStyle name="Calculation 17 3 9 4 3" xfId="25697" xr:uid="{00000000-0005-0000-0000-000042640000}"/>
    <cellStyle name="Calculation 17 3 9 4 4" xfId="25698" xr:uid="{00000000-0005-0000-0000-000043640000}"/>
    <cellStyle name="Calculation 17 3 9 4 5" xfId="25699" xr:uid="{00000000-0005-0000-0000-000044640000}"/>
    <cellStyle name="Calculation 17 3 9 4 6" xfId="25700" xr:uid="{00000000-0005-0000-0000-000045640000}"/>
    <cellStyle name="Calculation 17 3 9 5" xfId="25701" xr:uid="{00000000-0005-0000-0000-000046640000}"/>
    <cellStyle name="Calculation 17 3 9 5 2" xfId="25702" xr:uid="{00000000-0005-0000-0000-000047640000}"/>
    <cellStyle name="Calculation 17 3 9 5 3" xfId="25703" xr:uid="{00000000-0005-0000-0000-000048640000}"/>
    <cellStyle name="Calculation 17 3 9 5 4" xfId="25704" xr:uid="{00000000-0005-0000-0000-000049640000}"/>
    <cellStyle name="Calculation 17 3 9 5 5" xfId="25705" xr:uid="{00000000-0005-0000-0000-00004A640000}"/>
    <cellStyle name="Calculation 17 3 9 5 6" xfId="25706" xr:uid="{00000000-0005-0000-0000-00004B640000}"/>
    <cellStyle name="Calculation 17 3 9 6" xfId="25707" xr:uid="{00000000-0005-0000-0000-00004C640000}"/>
    <cellStyle name="Calculation 17 3 9 6 2" xfId="25708" xr:uid="{00000000-0005-0000-0000-00004D640000}"/>
    <cellStyle name="Calculation 17 3 9 6 3" xfId="25709" xr:uid="{00000000-0005-0000-0000-00004E640000}"/>
    <cellStyle name="Calculation 17 3 9 6 4" xfId="25710" xr:uid="{00000000-0005-0000-0000-00004F640000}"/>
    <cellStyle name="Calculation 17 3 9 6 5" xfId="25711" xr:uid="{00000000-0005-0000-0000-000050640000}"/>
    <cellStyle name="Calculation 17 3 9 6 6" xfId="25712" xr:uid="{00000000-0005-0000-0000-000051640000}"/>
    <cellStyle name="Calculation 17 3 9 7" xfId="25713" xr:uid="{00000000-0005-0000-0000-000052640000}"/>
    <cellStyle name="Calculation 17 3 9 7 2" xfId="25714" xr:uid="{00000000-0005-0000-0000-000053640000}"/>
    <cellStyle name="Calculation 17 3 9 7 3" xfId="25715" xr:uid="{00000000-0005-0000-0000-000054640000}"/>
    <cellStyle name="Calculation 17 3 9 7 4" xfId="25716" xr:uid="{00000000-0005-0000-0000-000055640000}"/>
    <cellStyle name="Calculation 17 3 9 7 5" xfId="25717" xr:uid="{00000000-0005-0000-0000-000056640000}"/>
    <cellStyle name="Calculation 17 3 9 7 6" xfId="25718" xr:uid="{00000000-0005-0000-0000-000057640000}"/>
    <cellStyle name="Calculation 17 3 9 8" xfId="25719" xr:uid="{00000000-0005-0000-0000-000058640000}"/>
    <cellStyle name="Calculation 17 3 9 9" xfId="25720" xr:uid="{00000000-0005-0000-0000-000059640000}"/>
    <cellStyle name="Calculation 17 30" xfId="25721" xr:uid="{00000000-0005-0000-0000-00005A640000}"/>
    <cellStyle name="Calculation 17 30 2" xfId="25722" xr:uid="{00000000-0005-0000-0000-00005B640000}"/>
    <cellStyle name="Calculation 17 30 3" xfId="25723" xr:uid="{00000000-0005-0000-0000-00005C640000}"/>
    <cellStyle name="Calculation 17 30 4" xfId="25724" xr:uid="{00000000-0005-0000-0000-00005D640000}"/>
    <cellStyle name="Calculation 17 30 5" xfId="25725" xr:uid="{00000000-0005-0000-0000-00005E640000}"/>
    <cellStyle name="Calculation 17 30 6" xfId="25726" xr:uid="{00000000-0005-0000-0000-00005F640000}"/>
    <cellStyle name="Calculation 17 31" xfId="25727" xr:uid="{00000000-0005-0000-0000-000060640000}"/>
    <cellStyle name="Calculation 17 31 2" xfId="25728" xr:uid="{00000000-0005-0000-0000-000061640000}"/>
    <cellStyle name="Calculation 17 31 3" xfId="25729" xr:uid="{00000000-0005-0000-0000-000062640000}"/>
    <cellStyle name="Calculation 17 31 4" xfId="25730" xr:uid="{00000000-0005-0000-0000-000063640000}"/>
    <cellStyle name="Calculation 17 31 5" xfId="25731" xr:uid="{00000000-0005-0000-0000-000064640000}"/>
    <cellStyle name="Calculation 17 31 6" xfId="25732" xr:uid="{00000000-0005-0000-0000-000065640000}"/>
    <cellStyle name="Calculation 17 32" xfId="25733" xr:uid="{00000000-0005-0000-0000-000066640000}"/>
    <cellStyle name="Calculation 17 33" xfId="25734" xr:uid="{00000000-0005-0000-0000-000067640000}"/>
    <cellStyle name="Calculation 17 34" xfId="25735" xr:uid="{00000000-0005-0000-0000-000068640000}"/>
    <cellStyle name="Calculation 17 4" xfId="25736" xr:uid="{00000000-0005-0000-0000-000069640000}"/>
    <cellStyle name="Calculation 17 4 10" xfId="25737" xr:uid="{00000000-0005-0000-0000-00006A640000}"/>
    <cellStyle name="Calculation 17 4 2" xfId="25738" xr:uid="{00000000-0005-0000-0000-00006B640000}"/>
    <cellStyle name="Calculation 17 4 2 2" xfId="25739" xr:uid="{00000000-0005-0000-0000-00006C640000}"/>
    <cellStyle name="Calculation 17 4 2 3" xfId="25740" xr:uid="{00000000-0005-0000-0000-00006D640000}"/>
    <cellStyle name="Calculation 17 4 2 4" xfId="25741" xr:uid="{00000000-0005-0000-0000-00006E640000}"/>
    <cellStyle name="Calculation 17 4 2 5" xfId="25742" xr:uid="{00000000-0005-0000-0000-00006F640000}"/>
    <cellStyle name="Calculation 17 4 2 6" xfId="25743" xr:uid="{00000000-0005-0000-0000-000070640000}"/>
    <cellStyle name="Calculation 17 4 3" xfId="25744" xr:uid="{00000000-0005-0000-0000-000071640000}"/>
    <cellStyle name="Calculation 17 4 3 2" xfId="25745" xr:uid="{00000000-0005-0000-0000-000072640000}"/>
    <cellStyle name="Calculation 17 4 3 3" xfId="25746" xr:uid="{00000000-0005-0000-0000-000073640000}"/>
    <cellStyle name="Calculation 17 4 3 4" xfId="25747" xr:uid="{00000000-0005-0000-0000-000074640000}"/>
    <cellStyle name="Calculation 17 4 3 5" xfId="25748" xr:uid="{00000000-0005-0000-0000-000075640000}"/>
    <cellStyle name="Calculation 17 4 3 6" xfId="25749" xr:uid="{00000000-0005-0000-0000-000076640000}"/>
    <cellStyle name="Calculation 17 4 4" xfId="25750" xr:uid="{00000000-0005-0000-0000-000077640000}"/>
    <cellStyle name="Calculation 17 4 4 2" xfId="25751" xr:uid="{00000000-0005-0000-0000-000078640000}"/>
    <cellStyle name="Calculation 17 4 4 3" xfId="25752" xr:uid="{00000000-0005-0000-0000-000079640000}"/>
    <cellStyle name="Calculation 17 4 4 4" xfId="25753" xr:uid="{00000000-0005-0000-0000-00007A640000}"/>
    <cellStyle name="Calculation 17 4 4 5" xfId="25754" xr:uid="{00000000-0005-0000-0000-00007B640000}"/>
    <cellStyle name="Calculation 17 4 4 6" xfId="25755" xr:uid="{00000000-0005-0000-0000-00007C640000}"/>
    <cellStyle name="Calculation 17 4 5" xfId="25756" xr:uid="{00000000-0005-0000-0000-00007D640000}"/>
    <cellStyle name="Calculation 17 4 5 2" xfId="25757" xr:uid="{00000000-0005-0000-0000-00007E640000}"/>
    <cellStyle name="Calculation 17 4 5 3" xfId="25758" xr:uid="{00000000-0005-0000-0000-00007F640000}"/>
    <cellStyle name="Calculation 17 4 5 4" xfId="25759" xr:uid="{00000000-0005-0000-0000-000080640000}"/>
    <cellStyle name="Calculation 17 4 5 5" xfId="25760" xr:uid="{00000000-0005-0000-0000-000081640000}"/>
    <cellStyle name="Calculation 17 4 5 6" xfId="25761" xr:uid="{00000000-0005-0000-0000-000082640000}"/>
    <cellStyle name="Calculation 17 4 6" xfId="25762" xr:uid="{00000000-0005-0000-0000-000083640000}"/>
    <cellStyle name="Calculation 17 4 6 2" xfId="25763" xr:uid="{00000000-0005-0000-0000-000084640000}"/>
    <cellStyle name="Calculation 17 4 6 3" xfId="25764" xr:uid="{00000000-0005-0000-0000-000085640000}"/>
    <cellStyle name="Calculation 17 4 6 4" xfId="25765" xr:uid="{00000000-0005-0000-0000-000086640000}"/>
    <cellStyle name="Calculation 17 4 6 5" xfId="25766" xr:uid="{00000000-0005-0000-0000-000087640000}"/>
    <cellStyle name="Calculation 17 4 6 6" xfId="25767" xr:uid="{00000000-0005-0000-0000-000088640000}"/>
    <cellStyle name="Calculation 17 4 7" xfId="25768" xr:uid="{00000000-0005-0000-0000-000089640000}"/>
    <cellStyle name="Calculation 17 4 7 2" xfId="25769" xr:uid="{00000000-0005-0000-0000-00008A640000}"/>
    <cellStyle name="Calculation 17 4 7 3" xfId="25770" xr:uid="{00000000-0005-0000-0000-00008B640000}"/>
    <cellStyle name="Calculation 17 4 7 4" xfId="25771" xr:uid="{00000000-0005-0000-0000-00008C640000}"/>
    <cellStyle name="Calculation 17 4 7 5" xfId="25772" xr:uid="{00000000-0005-0000-0000-00008D640000}"/>
    <cellStyle name="Calculation 17 4 7 6" xfId="25773" xr:uid="{00000000-0005-0000-0000-00008E640000}"/>
    <cellStyle name="Calculation 17 4 8" xfId="25774" xr:uid="{00000000-0005-0000-0000-00008F640000}"/>
    <cellStyle name="Calculation 17 4 9" xfId="25775" xr:uid="{00000000-0005-0000-0000-000090640000}"/>
    <cellStyle name="Calculation 17 5" xfId="25776" xr:uid="{00000000-0005-0000-0000-000091640000}"/>
    <cellStyle name="Calculation 17 5 10" xfId="25777" xr:uid="{00000000-0005-0000-0000-000092640000}"/>
    <cellStyle name="Calculation 17 5 2" xfId="25778" xr:uid="{00000000-0005-0000-0000-000093640000}"/>
    <cellStyle name="Calculation 17 5 2 2" xfId="25779" xr:uid="{00000000-0005-0000-0000-000094640000}"/>
    <cellStyle name="Calculation 17 5 2 3" xfId="25780" xr:uid="{00000000-0005-0000-0000-000095640000}"/>
    <cellStyle name="Calculation 17 5 2 4" xfId="25781" xr:uid="{00000000-0005-0000-0000-000096640000}"/>
    <cellStyle name="Calculation 17 5 2 5" xfId="25782" xr:uid="{00000000-0005-0000-0000-000097640000}"/>
    <cellStyle name="Calculation 17 5 2 6" xfId="25783" xr:uid="{00000000-0005-0000-0000-000098640000}"/>
    <cellStyle name="Calculation 17 5 3" xfId="25784" xr:uid="{00000000-0005-0000-0000-000099640000}"/>
    <cellStyle name="Calculation 17 5 3 2" xfId="25785" xr:uid="{00000000-0005-0000-0000-00009A640000}"/>
    <cellStyle name="Calculation 17 5 3 3" xfId="25786" xr:uid="{00000000-0005-0000-0000-00009B640000}"/>
    <cellStyle name="Calculation 17 5 3 4" xfId="25787" xr:uid="{00000000-0005-0000-0000-00009C640000}"/>
    <cellStyle name="Calculation 17 5 3 5" xfId="25788" xr:uid="{00000000-0005-0000-0000-00009D640000}"/>
    <cellStyle name="Calculation 17 5 3 6" xfId="25789" xr:uid="{00000000-0005-0000-0000-00009E640000}"/>
    <cellStyle name="Calculation 17 5 4" xfId="25790" xr:uid="{00000000-0005-0000-0000-00009F640000}"/>
    <cellStyle name="Calculation 17 5 4 2" xfId="25791" xr:uid="{00000000-0005-0000-0000-0000A0640000}"/>
    <cellStyle name="Calculation 17 5 4 3" xfId="25792" xr:uid="{00000000-0005-0000-0000-0000A1640000}"/>
    <cellStyle name="Calculation 17 5 4 4" xfId="25793" xr:uid="{00000000-0005-0000-0000-0000A2640000}"/>
    <cellStyle name="Calculation 17 5 4 5" xfId="25794" xr:uid="{00000000-0005-0000-0000-0000A3640000}"/>
    <cellStyle name="Calculation 17 5 4 6" xfId="25795" xr:uid="{00000000-0005-0000-0000-0000A4640000}"/>
    <cellStyle name="Calculation 17 5 5" xfId="25796" xr:uid="{00000000-0005-0000-0000-0000A5640000}"/>
    <cellStyle name="Calculation 17 5 5 2" xfId="25797" xr:uid="{00000000-0005-0000-0000-0000A6640000}"/>
    <cellStyle name="Calculation 17 5 5 3" xfId="25798" xr:uid="{00000000-0005-0000-0000-0000A7640000}"/>
    <cellStyle name="Calculation 17 5 5 4" xfId="25799" xr:uid="{00000000-0005-0000-0000-0000A8640000}"/>
    <cellStyle name="Calculation 17 5 5 5" xfId="25800" xr:uid="{00000000-0005-0000-0000-0000A9640000}"/>
    <cellStyle name="Calculation 17 5 5 6" xfId="25801" xr:uid="{00000000-0005-0000-0000-0000AA640000}"/>
    <cellStyle name="Calculation 17 5 6" xfId="25802" xr:uid="{00000000-0005-0000-0000-0000AB640000}"/>
    <cellStyle name="Calculation 17 5 6 2" xfId="25803" xr:uid="{00000000-0005-0000-0000-0000AC640000}"/>
    <cellStyle name="Calculation 17 5 6 3" xfId="25804" xr:uid="{00000000-0005-0000-0000-0000AD640000}"/>
    <cellStyle name="Calculation 17 5 6 4" xfId="25805" xr:uid="{00000000-0005-0000-0000-0000AE640000}"/>
    <cellStyle name="Calculation 17 5 6 5" xfId="25806" xr:uid="{00000000-0005-0000-0000-0000AF640000}"/>
    <cellStyle name="Calculation 17 5 6 6" xfId="25807" xr:uid="{00000000-0005-0000-0000-0000B0640000}"/>
    <cellStyle name="Calculation 17 5 7" xfId="25808" xr:uid="{00000000-0005-0000-0000-0000B1640000}"/>
    <cellStyle name="Calculation 17 5 7 2" xfId="25809" xr:uid="{00000000-0005-0000-0000-0000B2640000}"/>
    <cellStyle name="Calculation 17 5 7 3" xfId="25810" xr:uid="{00000000-0005-0000-0000-0000B3640000}"/>
    <cellStyle name="Calculation 17 5 7 4" xfId="25811" xr:uid="{00000000-0005-0000-0000-0000B4640000}"/>
    <cellStyle name="Calculation 17 5 7 5" xfId="25812" xr:uid="{00000000-0005-0000-0000-0000B5640000}"/>
    <cellStyle name="Calculation 17 5 7 6" xfId="25813" xr:uid="{00000000-0005-0000-0000-0000B6640000}"/>
    <cellStyle name="Calculation 17 5 8" xfId="25814" xr:uid="{00000000-0005-0000-0000-0000B7640000}"/>
    <cellStyle name="Calculation 17 5 9" xfId="25815" xr:uid="{00000000-0005-0000-0000-0000B8640000}"/>
    <cellStyle name="Calculation 17 6" xfId="25816" xr:uid="{00000000-0005-0000-0000-0000B9640000}"/>
    <cellStyle name="Calculation 17 6 10" xfId="25817" xr:uid="{00000000-0005-0000-0000-0000BA640000}"/>
    <cellStyle name="Calculation 17 6 2" xfId="25818" xr:uid="{00000000-0005-0000-0000-0000BB640000}"/>
    <cellStyle name="Calculation 17 6 2 2" xfId="25819" xr:uid="{00000000-0005-0000-0000-0000BC640000}"/>
    <cellStyle name="Calculation 17 6 2 3" xfId="25820" xr:uid="{00000000-0005-0000-0000-0000BD640000}"/>
    <cellStyle name="Calculation 17 6 2 4" xfId="25821" xr:uid="{00000000-0005-0000-0000-0000BE640000}"/>
    <cellStyle name="Calculation 17 6 2 5" xfId="25822" xr:uid="{00000000-0005-0000-0000-0000BF640000}"/>
    <cellStyle name="Calculation 17 6 2 6" xfId="25823" xr:uid="{00000000-0005-0000-0000-0000C0640000}"/>
    <cellStyle name="Calculation 17 6 3" xfId="25824" xr:uid="{00000000-0005-0000-0000-0000C1640000}"/>
    <cellStyle name="Calculation 17 6 3 2" xfId="25825" xr:uid="{00000000-0005-0000-0000-0000C2640000}"/>
    <cellStyle name="Calculation 17 6 3 3" xfId="25826" xr:uid="{00000000-0005-0000-0000-0000C3640000}"/>
    <cellStyle name="Calculation 17 6 3 4" xfId="25827" xr:uid="{00000000-0005-0000-0000-0000C4640000}"/>
    <cellStyle name="Calculation 17 6 3 5" xfId="25828" xr:uid="{00000000-0005-0000-0000-0000C5640000}"/>
    <cellStyle name="Calculation 17 6 3 6" xfId="25829" xr:uid="{00000000-0005-0000-0000-0000C6640000}"/>
    <cellStyle name="Calculation 17 6 4" xfId="25830" xr:uid="{00000000-0005-0000-0000-0000C7640000}"/>
    <cellStyle name="Calculation 17 6 4 2" xfId="25831" xr:uid="{00000000-0005-0000-0000-0000C8640000}"/>
    <cellStyle name="Calculation 17 6 4 3" xfId="25832" xr:uid="{00000000-0005-0000-0000-0000C9640000}"/>
    <cellStyle name="Calculation 17 6 4 4" xfId="25833" xr:uid="{00000000-0005-0000-0000-0000CA640000}"/>
    <cellStyle name="Calculation 17 6 4 5" xfId="25834" xr:uid="{00000000-0005-0000-0000-0000CB640000}"/>
    <cellStyle name="Calculation 17 6 4 6" xfId="25835" xr:uid="{00000000-0005-0000-0000-0000CC640000}"/>
    <cellStyle name="Calculation 17 6 5" xfId="25836" xr:uid="{00000000-0005-0000-0000-0000CD640000}"/>
    <cellStyle name="Calculation 17 6 5 2" xfId="25837" xr:uid="{00000000-0005-0000-0000-0000CE640000}"/>
    <cellStyle name="Calculation 17 6 5 3" xfId="25838" xr:uid="{00000000-0005-0000-0000-0000CF640000}"/>
    <cellStyle name="Calculation 17 6 5 4" xfId="25839" xr:uid="{00000000-0005-0000-0000-0000D0640000}"/>
    <cellStyle name="Calculation 17 6 5 5" xfId="25840" xr:uid="{00000000-0005-0000-0000-0000D1640000}"/>
    <cellStyle name="Calculation 17 6 5 6" xfId="25841" xr:uid="{00000000-0005-0000-0000-0000D2640000}"/>
    <cellStyle name="Calculation 17 6 6" xfId="25842" xr:uid="{00000000-0005-0000-0000-0000D3640000}"/>
    <cellStyle name="Calculation 17 6 6 2" xfId="25843" xr:uid="{00000000-0005-0000-0000-0000D4640000}"/>
    <cellStyle name="Calculation 17 6 6 3" xfId="25844" xr:uid="{00000000-0005-0000-0000-0000D5640000}"/>
    <cellStyle name="Calculation 17 6 6 4" xfId="25845" xr:uid="{00000000-0005-0000-0000-0000D6640000}"/>
    <cellStyle name="Calculation 17 6 6 5" xfId="25846" xr:uid="{00000000-0005-0000-0000-0000D7640000}"/>
    <cellStyle name="Calculation 17 6 6 6" xfId="25847" xr:uid="{00000000-0005-0000-0000-0000D8640000}"/>
    <cellStyle name="Calculation 17 6 7" xfId="25848" xr:uid="{00000000-0005-0000-0000-0000D9640000}"/>
    <cellStyle name="Calculation 17 6 7 2" xfId="25849" xr:uid="{00000000-0005-0000-0000-0000DA640000}"/>
    <cellStyle name="Calculation 17 6 7 3" xfId="25850" xr:uid="{00000000-0005-0000-0000-0000DB640000}"/>
    <cellStyle name="Calculation 17 6 7 4" xfId="25851" xr:uid="{00000000-0005-0000-0000-0000DC640000}"/>
    <cellStyle name="Calculation 17 6 7 5" xfId="25852" xr:uid="{00000000-0005-0000-0000-0000DD640000}"/>
    <cellStyle name="Calculation 17 6 7 6" xfId="25853" xr:uid="{00000000-0005-0000-0000-0000DE640000}"/>
    <cellStyle name="Calculation 17 6 8" xfId="25854" xr:uid="{00000000-0005-0000-0000-0000DF640000}"/>
    <cellStyle name="Calculation 17 6 9" xfId="25855" xr:uid="{00000000-0005-0000-0000-0000E0640000}"/>
    <cellStyle name="Calculation 17 7" xfId="25856" xr:uid="{00000000-0005-0000-0000-0000E1640000}"/>
    <cellStyle name="Calculation 17 7 10" xfId="25857" xr:uid="{00000000-0005-0000-0000-0000E2640000}"/>
    <cellStyle name="Calculation 17 7 2" xfId="25858" xr:uid="{00000000-0005-0000-0000-0000E3640000}"/>
    <cellStyle name="Calculation 17 7 2 2" xfId="25859" xr:uid="{00000000-0005-0000-0000-0000E4640000}"/>
    <cellStyle name="Calculation 17 7 2 3" xfId="25860" xr:uid="{00000000-0005-0000-0000-0000E5640000}"/>
    <cellStyle name="Calculation 17 7 2 4" xfId="25861" xr:uid="{00000000-0005-0000-0000-0000E6640000}"/>
    <cellStyle name="Calculation 17 7 2 5" xfId="25862" xr:uid="{00000000-0005-0000-0000-0000E7640000}"/>
    <cellStyle name="Calculation 17 7 2 6" xfId="25863" xr:uid="{00000000-0005-0000-0000-0000E8640000}"/>
    <cellStyle name="Calculation 17 7 3" xfId="25864" xr:uid="{00000000-0005-0000-0000-0000E9640000}"/>
    <cellStyle name="Calculation 17 7 3 2" xfId="25865" xr:uid="{00000000-0005-0000-0000-0000EA640000}"/>
    <cellStyle name="Calculation 17 7 3 3" xfId="25866" xr:uid="{00000000-0005-0000-0000-0000EB640000}"/>
    <cellStyle name="Calculation 17 7 3 4" xfId="25867" xr:uid="{00000000-0005-0000-0000-0000EC640000}"/>
    <cellStyle name="Calculation 17 7 3 5" xfId="25868" xr:uid="{00000000-0005-0000-0000-0000ED640000}"/>
    <cellStyle name="Calculation 17 7 3 6" xfId="25869" xr:uid="{00000000-0005-0000-0000-0000EE640000}"/>
    <cellStyle name="Calculation 17 7 4" xfId="25870" xr:uid="{00000000-0005-0000-0000-0000EF640000}"/>
    <cellStyle name="Calculation 17 7 4 2" xfId="25871" xr:uid="{00000000-0005-0000-0000-0000F0640000}"/>
    <cellStyle name="Calculation 17 7 4 3" xfId="25872" xr:uid="{00000000-0005-0000-0000-0000F1640000}"/>
    <cellStyle name="Calculation 17 7 4 4" xfId="25873" xr:uid="{00000000-0005-0000-0000-0000F2640000}"/>
    <cellStyle name="Calculation 17 7 4 5" xfId="25874" xr:uid="{00000000-0005-0000-0000-0000F3640000}"/>
    <cellStyle name="Calculation 17 7 4 6" xfId="25875" xr:uid="{00000000-0005-0000-0000-0000F4640000}"/>
    <cellStyle name="Calculation 17 7 5" xfId="25876" xr:uid="{00000000-0005-0000-0000-0000F5640000}"/>
    <cellStyle name="Calculation 17 7 5 2" xfId="25877" xr:uid="{00000000-0005-0000-0000-0000F6640000}"/>
    <cellStyle name="Calculation 17 7 5 3" xfId="25878" xr:uid="{00000000-0005-0000-0000-0000F7640000}"/>
    <cellStyle name="Calculation 17 7 5 4" xfId="25879" xr:uid="{00000000-0005-0000-0000-0000F8640000}"/>
    <cellStyle name="Calculation 17 7 5 5" xfId="25880" xr:uid="{00000000-0005-0000-0000-0000F9640000}"/>
    <cellStyle name="Calculation 17 7 5 6" xfId="25881" xr:uid="{00000000-0005-0000-0000-0000FA640000}"/>
    <cellStyle name="Calculation 17 7 6" xfId="25882" xr:uid="{00000000-0005-0000-0000-0000FB640000}"/>
    <cellStyle name="Calculation 17 7 6 2" xfId="25883" xr:uid="{00000000-0005-0000-0000-0000FC640000}"/>
    <cellStyle name="Calculation 17 7 6 3" xfId="25884" xr:uid="{00000000-0005-0000-0000-0000FD640000}"/>
    <cellStyle name="Calculation 17 7 6 4" xfId="25885" xr:uid="{00000000-0005-0000-0000-0000FE640000}"/>
    <cellStyle name="Calculation 17 7 6 5" xfId="25886" xr:uid="{00000000-0005-0000-0000-0000FF640000}"/>
    <cellStyle name="Calculation 17 7 6 6" xfId="25887" xr:uid="{00000000-0005-0000-0000-000000650000}"/>
    <cellStyle name="Calculation 17 7 7" xfId="25888" xr:uid="{00000000-0005-0000-0000-000001650000}"/>
    <cellStyle name="Calculation 17 7 7 2" xfId="25889" xr:uid="{00000000-0005-0000-0000-000002650000}"/>
    <cellStyle name="Calculation 17 7 7 3" xfId="25890" xr:uid="{00000000-0005-0000-0000-000003650000}"/>
    <cellStyle name="Calculation 17 7 7 4" xfId="25891" xr:uid="{00000000-0005-0000-0000-000004650000}"/>
    <cellStyle name="Calculation 17 7 7 5" xfId="25892" xr:uid="{00000000-0005-0000-0000-000005650000}"/>
    <cellStyle name="Calculation 17 7 7 6" xfId="25893" xr:uid="{00000000-0005-0000-0000-000006650000}"/>
    <cellStyle name="Calculation 17 7 8" xfId="25894" xr:uid="{00000000-0005-0000-0000-000007650000}"/>
    <cellStyle name="Calculation 17 7 9" xfId="25895" xr:uid="{00000000-0005-0000-0000-000008650000}"/>
    <cellStyle name="Calculation 17 8" xfId="25896" xr:uid="{00000000-0005-0000-0000-000009650000}"/>
    <cellStyle name="Calculation 17 8 10" xfId="25897" xr:uid="{00000000-0005-0000-0000-00000A650000}"/>
    <cellStyle name="Calculation 17 8 2" xfId="25898" xr:uid="{00000000-0005-0000-0000-00000B650000}"/>
    <cellStyle name="Calculation 17 8 2 2" xfId="25899" xr:uid="{00000000-0005-0000-0000-00000C650000}"/>
    <cellStyle name="Calculation 17 8 2 3" xfId="25900" xr:uid="{00000000-0005-0000-0000-00000D650000}"/>
    <cellStyle name="Calculation 17 8 2 4" xfId="25901" xr:uid="{00000000-0005-0000-0000-00000E650000}"/>
    <cellStyle name="Calculation 17 8 2 5" xfId="25902" xr:uid="{00000000-0005-0000-0000-00000F650000}"/>
    <cellStyle name="Calculation 17 8 2 6" xfId="25903" xr:uid="{00000000-0005-0000-0000-000010650000}"/>
    <cellStyle name="Calculation 17 8 3" xfId="25904" xr:uid="{00000000-0005-0000-0000-000011650000}"/>
    <cellStyle name="Calculation 17 8 3 2" xfId="25905" xr:uid="{00000000-0005-0000-0000-000012650000}"/>
    <cellStyle name="Calculation 17 8 3 3" xfId="25906" xr:uid="{00000000-0005-0000-0000-000013650000}"/>
    <cellStyle name="Calculation 17 8 3 4" xfId="25907" xr:uid="{00000000-0005-0000-0000-000014650000}"/>
    <cellStyle name="Calculation 17 8 3 5" xfId="25908" xr:uid="{00000000-0005-0000-0000-000015650000}"/>
    <cellStyle name="Calculation 17 8 3 6" xfId="25909" xr:uid="{00000000-0005-0000-0000-000016650000}"/>
    <cellStyle name="Calculation 17 8 4" xfId="25910" xr:uid="{00000000-0005-0000-0000-000017650000}"/>
    <cellStyle name="Calculation 17 8 4 2" xfId="25911" xr:uid="{00000000-0005-0000-0000-000018650000}"/>
    <cellStyle name="Calculation 17 8 4 3" xfId="25912" xr:uid="{00000000-0005-0000-0000-000019650000}"/>
    <cellStyle name="Calculation 17 8 4 4" xfId="25913" xr:uid="{00000000-0005-0000-0000-00001A650000}"/>
    <cellStyle name="Calculation 17 8 4 5" xfId="25914" xr:uid="{00000000-0005-0000-0000-00001B650000}"/>
    <cellStyle name="Calculation 17 8 4 6" xfId="25915" xr:uid="{00000000-0005-0000-0000-00001C650000}"/>
    <cellStyle name="Calculation 17 8 5" xfId="25916" xr:uid="{00000000-0005-0000-0000-00001D650000}"/>
    <cellStyle name="Calculation 17 8 5 2" xfId="25917" xr:uid="{00000000-0005-0000-0000-00001E650000}"/>
    <cellStyle name="Calculation 17 8 5 3" xfId="25918" xr:uid="{00000000-0005-0000-0000-00001F650000}"/>
    <cellStyle name="Calculation 17 8 5 4" xfId="25919" xr:uid="{00000000-0005-0000-0000-000020650000}"/>
    <cellStyle name="Calculation 17 8 5 5" xfId="25920" xr:uid="{00000000-0005-0000-0000-000021650000}"/>
    <cellStyle name="Calculation 17 8 5 6" xfId="25921" xr:uid="{00000000-0005-0000-0000-000022650000}"/>
    <cellStyle name="Calculation 17 8 6" xfId="25922" xr:uid="{00000000-0005-0000-0000-000023650000}"/>
    <cellStyle name="Calculation 17 8 6 2" xfId="25923" xr:uid="{00000000-0005-0000-0000-000024650000}"/>
    <cellStyle name="Calculation 17 8 6 3" xfId="25924" xr:uid="{00000000-0005-0000-0000-000025650000}"/>
    <cellStyle name="Calculation 17 8 6 4" xfId="25925" xr:uid="{00000000-0005-0000-0000-000026650000}"/>
    <cellStyle name="Calculation 17 8 6 5" xfId="25926" xr:uid="{00000000-0005-0000-0000-000027650000}"/>
    <cellStyle name="Calculation 17 8 6 6" xfId="25927" xr:uid="{00000000-0005-0000-0000-000028650000}"/>
    <cellStyle name="Calculation 17 8 7" xfId="25928" xr:uid="{00000000-0005-0000-0000-000029650000}"/>
    <cellStyle name="Calculation 17 8 7 2" xfId="25929" xr:uid="{00000000-0005-0000-0000-00002A650000}"/>
    <cellStyle name="Calculation 17 8 7 3" xfId="25930" xr:uid="{00000000-0005-0000-0000-00002B650000}"/>
    <cellStyle name="Calculation 17 8 7 4" xfId="25931" xr:uid="{00000000-0005-0000-0000-00002C650000}"/>
    <cellStyle name="Calculation 17 8 7 5" xfId="25932" xr:uid="{00000000-0005-0000-0000-00002D650000}"/>
    <cellStyle name="Calculation 17 8 7 6" xfId="25933" xr:uid="{00000000-0005-0000-0000-00002E650000}"/>
    <cellStyle name="Calculation 17 8 8" xfId="25934" xr:uid="{00000000-0005-0000-0000-00002F650000}"/>
    <cellStyle name="Calculation 17 8 9" xfId="25935" xr:uid="{00000000-0005-0000-0000-000030650000}"/>
    <cellStyle name="Calculation 17 9" xfId="25936" xr:uid="{00000000-0005-0000-0000-000031650000}"/>
    <cellStyle name="Calculation 17 9 10" xfId="25937" xr:uid="{00000000-0005-0000-0000-000032650000}"/>
    <cellStyle name="Calculation 17 9 2" xfId="25938" xr:uid="{00000000-0005-0000-0000-000033650000}"/>
    <cellStyle name="Calculation 17 9 2 2" xfId="25939" xr:uid="{00000000-0005-0000-0000-000034650000}"/>
    <cellStyle name="Calculation 17 9 2 3" xfId="25940" xr:uid="{00000000-0005-0000-0000-000035650000}"/>
    <cellStyle name="Calculation 17 9 2 4" xfId="25941" xr:uid="{00000000-0005-0000-0000-000036650000}"/>
    <cellStyle name="Calculation 17 9 2 5" xfId="25942" xr:uid="{00000000-0005-0000-0000-000037650000}"/>
    <cellStyle name="Calculation 17 9 2 6" xfId="25943" xr:uid="{00000000-0005-0000-0000-000038650000}"/>
    <cellStyle name="Calculation 17 9 3" xfId="25944" xr:uid="{00000000-0005-0000-0000-000039650000}"/>
    <cellStyle name="Calculation 17 9 3 2" xfId="25945" xr:uid="{00000000-0005-0000-0000-00003A650000}"/>
    <cellStyle name="Calculation 17 9 3 3" xfId="25946" xr:uid="{00000000-0005-0000-0000-00003B650000}"/>
    <cellStyle name="Calculation 17 9 3 4" xfId="25947" xr:uid="{00000000-0005-0000-0000-00003C650000}"/>
    <cellStyle name="Calculation 17 9 3 5" xfId="25948" xr:uid="{00000000-0005-0000-0000-00003D650000}"/>
    <cellStyle name="Calculation 17 9 3 6" xfId="25949" xr:uid="{00000000-0005-0000-0000-00003E650000}"/>
    <cellStyle name="Calculation 17 9 4" xfId="25950" xr:uid="{00000000-0005-0000-0000-00003F650000}"/>
    <cellStyle name="Calculation 17 9 4 2" xfId="25951" xr:uid="{00000000-0005-0000-0000-000040650000}"/>
    <cellStyle name="Calculation 17 9 4 3" xfId="25952" xr:uid="{00000000-0005-0000-0000-000041650000}"/>
    <cellStyle name="Calculation 17 9 4 4" xfId="25953" xr:uid="{00000000-0005-0000-0000-000042650000}"/>
    <cellStyle name="Calculation 17 9 4 5" xfId="25954" xr:uid="{00000000-0005-0000-0000-000043650000}"/>
    <cellStyle name="Calculation 17 9 4 6" xfId="25955" xr:uid="{00000000-0005-0000-0000-000044650000}"/>
    <cellStyle name="Calculation 17 9 5" xfId="25956" xr:uid="{00000000-0005-0000-0000-000045650000}"/>
    <cellStyle name="Calculation 17 9 5 2" xfId="25957" xr:uid="{00000000-0005-0000-0000-000046650000}"/>
    <cellStyle name="Calculation 17 9 5 3" xfId="25958" xr:uid="{00000000-0005-0000-0000-000047650000}"/>
    <cellStyle name="Calculation 17 9 5 4" xfId="25959" xr:uid="{00000000-0005-0000-0000-000048650000}"/>
    <cellStyle name="Calculation 17 9 5 5" xfId="25960" xr:uid="{00000000-0005-0000-0000-000049650000}"/>
    <cellStyle name="Calculation 17 9 5 6" xfId="25961" xr:uid="{00000000-0005-0000-0000-00004A650000}"/>
    <cellStyle name="Calculation 17 9 6" xfId="25962" xr:uid="{00000000-0005-0000-0000-00004B650000}"/>
    <cellStyle name="Calculation 17 9 6 2" xfId="25963" xr:uid="{00000000-0005-0000-0000-00004C650000}"/>
    <cellStyle name="Calculation 17 9 6 3" xfId="25964" xr:uid="{00000000-0005-0000-0000-00004D650000}"/>
    <cellStyle name="Calculation 17 9 6 4" xfId="25965" xr:uid="{00000000-0005-0000-0000-00004E650000}"/>
    <cellStyle name="Calculation 17 9 6 5" xfId="25966" xr:uid="{00000000-0005-0000-0000-00004F650000}"/>
    <cellStyle name="Calculation 17 9 6 6" xfId="25967" xr:uid="{00000000-0005-0000-0000-000050650000}"/>
    <cellStyle name="Calculation 17 9 7" xfId="25968" xr:uid="{00000000-0005-0000-0000-000051650000}"/>
    <cellStyle name="Calculation 17 9 7 2" xfId="25969" xr:uid="{00000000-0005-0000-0000-000052650000}"/>
    <cellStyle name="Calculation 17 9 7 3" xfId="25970" xr:uid="{00000000-0005-0000-0000-000053650000}"/>
    <cellStyle name="Calculation 17 9 7 4" xfId="25971" xr:uid="{00000000-0005-0000-0000-000054650000}"/>
    <cellStyle name="Calculation 17 9 7 5" xfId="25972" xr:uid="{00000000-0005-0000-0000-000055650000}"/>
    <cellStyle name="Calculation 17 9 7 6" xfId="25973" xr:uid="{00000000-0005-0000-0000-000056650000}"/>
    <cellStyle name="Calculation 17 9 8" xfId="25974" xr:uid="{00000000-0005-0000-0000-000057650000}"/>
    <cellStyle name="Calculation 17 9 9" xfId="25975" xr:uid="{00000000-0005-0000-0000-000058650000}"/>
    <cellStyle name="Calculation 2" xfId="25976" xr:uid="{00000000-0005-0000-0000-000059650000}"/>
    <cellStyle name="Calculation 2 10" xfId="25977" xr:uid="{00000000-0005-0000-0000-00005A650000}"/>
    <cellStyle name="Calculation 2 10 10" xfId="25978" xr:uid="{00000000-0005-0000-0000-00005B650000}"/>
    <cellStyle name="Calculation 2 10 2" xfId="25979" xr:uid="{00000000-0005-0000-0000-00005C650000}"/>
    <cellStyle name="Calculation 2 10 2 2" xfId="25980" xr:uid="{00000000-0005-0000-0000-00005D650000}"/>
    <cellStyle name="Calculation 2 10 2 3" xfId="25981" xr:uid="{00000000-0005-0000-0000-00005E650000}"/>
    <cellStyle name="Calculation 2 10 2 4" xfId="25982" xr:uid="{00000000-0005-0000-0000-00005F650000}"/>
    <cellStyle name="Calculation 2 10 2 5" xfId="25983" xr:uid="{00000000-0005-0000-0000-000060650000}"/>
    <cellStyle name="Calculation 2 10 2 6" xfId="25984" xr:uid="{00000000-0005-0000-0000-000061650000}"/>
    <cellStyle name="Calculation 2 10 3" xfId="25985" xr:uid="{00000000-0005-0000-0000-000062650000}"/>
    <cellStyle name="Calculation 2 10 3 2" xfId="25986" xr:uid="{00000000-0005-0000-0000-000063650000}"/>
    <cellStyle name="Calculation 2 10 3 3" xfId="25987" xr:uid="{00000000-0005-0000-0000-000064650000}"/>
    <cellStyle name="Calculation 2 10 3 4" xfId="25988" xr:uid="{00000000-0005-0000-0000-000065650000}"/>
    <cellStyle name="Calculation 2 10 3 5" xfId="25989" xr:uid="{00000000-0005-0000-0000-000066650000}"/>
    <cellStyle name="Calculation 2 10 3 6" xfId="25990" xr:uid="{00000000-0005-0000-0000-000067650000}"/>
    <cellStyle name="Calculation 2 10 4" xfId="25991" xr:uid="{00000000-0005-0000-0000-000068650000}"/>
    <cellStyle name="Calculation 2 10 4 2" xfId="25992" xr:uid="{00000000-0005-0000-0000-000069650000}"/>
    <cellStyle name="Calculation 2 10 4 3" xfId="25993" xr:uid="{00000000-0005-0000-0000-00006A650000}"/>
    <cellStyle name="Calculation 2 10 4 4" xfId="25994" xr:uid="{00000000-0005-0000-0000-00006B650000}"/>
    <cellStyle name="Calculation 2 10 4 5" xfId="25995" xr:uid="{00000000-0005-0000-0000-00006C650000}"/>
    <cellStyle name="Calculation 2 10 4 6" xfId="25996" xr:uid="{00000000-0005-0000-0000-00006D650000}"/>
    <cellStyle name="Calculation 2 10 5" xfId="25997" xr:uid="{00000000-0005-0000-0000-00006E650000}"/>
    <cellStyle name="Calculation 2 10 5 2" xfId="25998" xr:uid="{00000000-0005-0000-0000-00006F650000}"/>
    <cellStyle name="Calculation 2 10 5 3" xfId="25999" xr:uid="{00000000-0005-0000-0000-000070650000}"/>
    <cellStyle name="Calculation 2 10 5 4" xfId="26000" xr:uid="{00000000-0005-0000-0000-000071650000}"/>
    <cellStyle name="Calculation 2 10 5 5" xfId="26001" xr:uid="{00000000-0005-0000-0000-000072650000}"/>
    <cellStyle name="Calculation 2 10 5 6" xfId="26002" xr:uid="{00000000-0005-0000-0000-000073650000}"/>
    <cellStyle name="Calculation 2 10 6" xfId="26003" xr:uid="{00000000-0005-0000-0000-000074650000}"/>
    <cellStyle name="Calculation 2 10 6 2" xfId="26004" xr:uid="{00000000-0005-0000-0000-000075650000}"/>
    <cellStyle name="Calculation 2 10 6 3" xfId="26005" xr:uid="{00000000-0005-0000-0000-000076650000}"/>
    <cellStyle name="Calculation 2 10 6 4" xfId="26006" xr:uid="{00000000-0005-0000-0000-000077650000}"/>
    <cellStyle name="Calculation 2 10 6 5" xfId="26007" xr:uid="{00000000-0005-0000-0000-000078650000}"/>
    <cellStyle name="Calculation 2 10 6 6" xfId="26008" xr:uid="{00000000-0005-0000-0000-000079650000}"/>
    <cellStyle name="Calculation 2 10 7" xfId="26009" xr:uid="{00000000-0005-0000-0000-00007A650000}"/>
    <cellStyle name="Calculation 2 10 7 2" xfId="26010" xr:uid="{00000000-0005-0000-0000-00007B650000}"/>
    <cellStyle name="Calculation 2 10 7 3" xfId="26011" xr:uid="{00000000-0005-0000-0000-00007C650000}"/>
    <cellStyle name="Calculation 2 10 7 4" xfId="26012" xr:uid="{00000000-0005-0000-0000-00007D650000}"/>
    <cellStyle name="Calculation 2 10 7 5" xfId="26013" xr:uid="{00000000-0005-0000-0000-00007E650000}"/>
    <cellStyle name="Calculation 2 10 7 6" xfId="26014" xr:uid="{00000000-0005-0000-0000-00007F650000}"/>
    <cellStyle name="Calculation 2 10 8" xfId="26015" xr:uid="{00000000-0005-0000-0000-000080650000}"/>
    <cellStyle name="Calculation 2 10 9" xfId="26016" xr:uid="{00000000-0005-0000-0000-000081650000}"/>
    <cellStyle name="Calculation 2 11" xfId="26017" xr:uid="{00000000-0005-0000-0000-000082650000}"/>
    <cellStyle name="Calculation 2 11 10" xfId="26018" xr:uid="{00000000-0005-0000-0000-000083650000}"/>
    <cellStyle name="Calculation 2 11 2" xfId="26019" xr:uid="{00000000-0005-0000-0000-000084650000}"/>
    <cellStyle name="Calculation 2 11 2 2" xfId="26020" xr:uid="{00000000-0005-0000-0000-000085650000}"/>
    <cellStyle name="Calculation 2 11 2 3" xfId="26021" xr:uid="{00000000-0005-0000-0000-000086650000}"/>
    <cellStyle name="Calculation 2 11 2 4" xfId="26022" xr:uid="{00000000-0005-0000-0000-000087650000}"/>
    <cellStyle name="Calculation 2 11 2 5" xfId="26023" xr:uid="{00000000-0005-0000-0000-000088650000}"/>
    <cellStyle name="Calculation 2 11 2 6" xfId="26024" xr:uid="{00000000-0005-0000-0000-000089650000}"/>
    <cellStyle name="Calculation 2 11 3" xfId="26025" xr:uid="{00000000-0005-0000-0000-00008A650000}"/>
    <cellStyle name="Calculation 2 11 3 2" xfId="26026" xr:uid="{00000000-0005-0000-0000-00008B650000}"/>
    <cellStyle name="Calculation 2 11 3 3" xfId="26027" xr:uid="{00000000-0005-0000-0000-00008C650000}"/>
    <cellStyle name="Calculation 2 11 3 4" xfId="26028" xr:uid="{00000000-0005-0000-0000-00008D650000}"/>
    <cellStyle name="Calculation 2 11 3 5" xfId="26029" xr:uid="{00000000-0005-0000-0000-00008E650000}"/>
    <cellStyle name="Calculation 2 11 3 6" xfId="26030" xr:uid="{00000000-0005-0000-0000-00008F650000}"/>
    <cellStyle name="Calculation 2 11 4" xfId="26031" xr:uid="{00000000-0005-0000-0000-000090650000}"/>
    <cellStyle name="Calculation 2 11 4 2" xfId="26032" xr:uid="{00000000-0005-0000-0000-000091650000}"/>
    <cellStyle name="Calculation 2 11 4 3" xfId="26033" xr:uid="{00000000-0005-0000-0000-000092650000}"/>
    <cellStyle name="Calculation 2 11 4 4" xfId="26034" xr:uid="{00000000-0005-0000-0000-000093650000}"/>
    <cellStyle name="Calculation 2 11 4 5" xfId="26035" xr:uid="{00000000-0005-0000-0000-000094650000}"/>
    <cellStyle name="Calculation 2 11 4 6" xfId="26036" xr:uid="{00000000-0005-0000-0000-000095650000}"/>
    <cellStyle name="Calculation 2 11 5" xfId="26037" xr:uid="{00000000-0005-0000-0000-000096650000}"/>
    <cellStyle name="Calculation 2 11 5 2" xfId="26038" xr:uid="{00000000-0005-0000-0000-000097650000}"/>
    <cellStyle name="Calculation 2 11 5 3" xfId="26039" xr:uid="{00000000-0005-0000-0000-000098650000}"/>
    <cellStyle name="Calculation 2 11 5 4" xfId="26040" xr:uid="{00000000-0005-0000-0000-000099650000}"/>
    <cellStyle name="Calculation 2 11 5 5" xfId="26041" xr:uid="{00000000-0005-0000-0000-00009A650000}"/>
    <cellStyle name="Calculation 2 11 5 6" xfId="26042" xr:uid="{00000000-0005-0000-0000-00009B650000}"/>
    <cellStyle name="Calculation 2 11 6" xfId="26043" xr:uid="{00000000-0005-0000-0000-00009C650000}"/>
    <cellStyle name="Calculation 2 11 6 2" xfId="26044" xr:uid="{00000000-0005-0000-0000-00009D650000}"/>
    <cellStyle name="Calculation 2 11 6 3" xfId="26045" xr:uid="{00000000-0005-0000-0000-00009E650000}"/>
    <cellStyle name="Calculation 2 11 6 4" xfId="26046" xr:uid="{00000000-0005-0000-0000-00009F650000}"/>
    <cellStyle name="Calculation 2 11 6 5" xfId="26047" xr:uid="{00000000-0005-0000-0000-0000A0650000}"/>
    <cellStyle name="Calculation 2 11 6 6" xfId="26048" xr:uid="{00000000-0005-0000-0000-0000A1650000}"/>
    <cellStyle name="Calculation 2 11 7" xfId="26049" xr:uid="{00000000-0005-0000-0000-0000A2650000}"/>
    <cellStyle name="Calculation 2 11 7 2" xfId="26050" xr:uid="{00000000-0005-0000-0000-0000A3650000}"/>
    <cellStyle name="Calculation 2 11 7 3" xfId="26051" xr:uid="{00000000-0005-0000-0000-0000A4650000}"/>
    <cellStyle name="Calculation 2 11 7 4" xfId="26052" xr:uid="{00000000-0005-0000-0000-0000A5650000}"/>
    <cellStyle name="Calculation 2 11 7 5" xfId="26053" xr:uid="{00000000-0005-0000-0000-0000A6650000}"/>
    <cellStyle name="Calculation 2 11 7 6" xfId="26054" xr:uid="{00000000-0005-0000-0000-0000A7650000}"/>
    <cellStyle name="Calculation 2 11 8" xfId="26055" xr:uid="{00000000-0005-0000-0000-0000A8650000}"/>
    <cellStyle name="Calculation 2 11 9" xfId="26056" xr:uid="{00000000-0005-0000-0000-0000A9650000}"/>
    <cellStyle name="Calculation 2 12" xfId="26057" xr:uid="{00000000-0005-0000-0000-0000AA650000}"/>
    <cellStyle name="Calculation 2 12 10" xfId="26058" xr:uid="{00000000-0005-0000-0000-0000AB650000}"/>
    <cellStyle name="Calculation 2 12 2" xfId="26059" xr:uid="{00000000-0005-0000-0000-0000AC650000}"/>
    <cellStyle name="Calculation 2 12 2 2" xfId="26060" xr:uid="{00000000-0005-0000-0000-0000AD650000}"/>
    <cellStyle name="Calculation 2 12 2 3" xfId="26061" xr:uid="{00000000-0005-0000-0000-0000AE650000}"/>
    <cellStyle name="Calculation 2 12 2 4" xfId="26062" xr:uid="{00000000-0005-0000-0000-0000AF650000}"/>
    <cellStyle name="Calculation 2 12 2 5" xfId="26063" xr:uid="{00000000-0005-0000-0000-0000B0650000}"/>
    <cellStyle name="Calculation 2 12 2 6" xfId="26064" xr:uid="{00000000-0005-0000-0000-0000B1650000}"/>
    <cellStyle name="Calculation 2 12 3" xfId="26065" xr:uid="{00000000-0005-0000-0000-0000B2650000}"/>
    <cellStyle name="Calculation 2 12 3 2" xfId="26066" xr:uid="{00000000-0005-0000-0000-0000B3650000}"/>
    <cellStyle name="Calculation 2 12 3 3" xfId="26067" xr:uid="{00000000-0005-0000-0000-0000B4650000}"/>
    <cellStyle name="Calculation 2 12 3 4" xfId="26068" xr:uid="{00000000-0005-0000-0000-0000B5650000}"/>
    <cellStyle name="Calculation 2 12 3 5" xfId="26069" xr:uid="{00000000-0005-0000-0000-0000B6650000}"/>
    <cellStyle name="Calculation 2 12 3 6" xfId="26070" xr:uid="{00000000-0005-0000-0000-0000B7650000}"/>
    <cellStyle name="Calculation 2 12 4" xfId="26071" xr:uid="{00000000-0005-0000-0000-0000B8650000}"/>
    <cellStyle name="Calculation 2 12 4 2" xfId="26072" xr:uid="{00000000-0005-0000-0000-0000B9650000}"/>
    <cellStyle name="Calculation 2 12 4 3" xfId="26073" xr:uid="{00000000-0005-0000-0000-0000BA650000}"/>
    <cellStyle name="Calculation 2 12 4 4" xfId="26074" xr:uid="{00000000-0005-0000-0000-0000BB650000}"/>
    <cellStyle name="Calculation 2 12 4 5" xfId="26075" xr:uid="{00000000-0005-0000-0000-0000BC650000}"/>
    <cellStyle name="Calculation 2 12 4 6" xfId="26076" xr:uid="{00000000-0005-0000-0000-0000BD650000}"/>
    <cellStyle name="Calculation 2 12 5" xfId="26077" xr:uid="{00000000-0005-0000-0000-0000BE650000}"/>
    <cellStyle name="Calculation 2 12 5 2" xfId="26078" xr:uid="{00000000-0005-0000-0000-0000BF650000}"/>
    <cellStyle name="Calculation 2 12 5 3" xfId="26079" xr:uid="{00000000-0005-0000-0000-0000C0650000}"/>
    <cellStyle name="Calculation 2 12 5 4" xfId="26080" xr:uid="{00000000-0005-0000-0000-0000C1650000}"/>
    <cellStyle name="Calculation 2 12 5 5" xfId="26081" xr:uid="{00000000-0005-0000-0000-0000C2650000}"/>
    <cellStyle name="Calculation 2 12 5 6" xfId="26082" xr:uid="{00000000-0005-0000-0000-0000C3650000}"/>
    <cellStyle name="Calculation 2 12 6" xfId="26083" xr:uid="{00000000-0005-0000-0000-0000C4650000}"/>
    <cellStyle name="Calculation 2 12 6 2" xfId="26084" xr:uid="{00000000-0005-0000-0000-0000C5650000}"/>
    <cellStyle name="Calculation 2 12 6 3" xfId="26085" xr:uid="{00000000-0005-0000-0000-0000C6650000}"/>
    <cellStyle name="Calculation 2 12 6 4" xfId="26086" xr:uid="{00000000-0005-0000-0000-0000C7650000}"/>
    <cellStyle name="Calculation 2 12 6 5" xfId="26087" xr:uid="{00000000-0005-0000-0000-0000C8650000}"/>
    <cellStyle name="Calculation 2 12 6 6" xfId="26088" xr:uid="{00000000-0005-0000-0000-0000C9650000}"/>
    <cellStyle name="Calculation 2 12 7" xfId="26089" xr:uid="{00000000-0005-0000-0000-0000CA650000}"/>
    <cellStyle name="Calculation 2 12 7 2" xfId="26090" xr:uid="{00000000-0005-0000-0000-0000CB650000}"/>
    <cellStyle name="Calculation 2 12 7 3" xfId="26091" xr:uid="{00000000-0005-0000-0000-0000CC650000}"/>
    <cellStyle name="Calculation 2 12 7 4" xfId="26092" xr:uid="{00000000-0005-0000-0000-0000CD650000}"/>
    <cellStyle name="Calculation 2 12 7 5" xfId="26093" xr:uid="{00000000-0005-0000-0000-0000CE650000}"/>
    <cellStyle name="Calculation 2 12 7 6" xfId="26094" xr:uid="{00000000-0005-0000-0000-0000CF650000}"/>
    <cellStyle name="Calculation 2 12 8" xfId="26095" xr:uid="{00000000-0005-0000-0000-0000D0650000}"/>
    <cellStyle name="Calculation 2 12 9" xfId="26096" xr:uid="{00000000-0005-0000-0000-0000D1650000}"/>
    <cellStyle name="Calculation 2 13" xfId="26097" xr:uid="{00000000-0005-0000-0000-0000D2650000}"/>
    <cellStyle name="Calculation 2 13 10" xfId="26098" xr:uid="{00000000-0005-0000-0000-0000D3650000}"/>
    <cellStyle name="Calculation 2 13 2" xfId="26099" xr:uid="{00000000-0005-0000-0000-0000D4650000}"/>
    <cellStyle name="Calculation 2 13 2 2" xfId="26100" xr:uid="{00000000-0005-0000-0000-0000D5650000}"/>
    <cellStyle name="Calculation 2 13 2 3" xfId="26101" xr:uid="{00000000-0005-0000-0000-0000D6650000}"/>
    <cellStyle name="Calculation 2 13 2 4" xfId="26102" xr:uid="{00000000-0005-0000-0000-0000D7650000}"/>
    <cellStyle name="Calculation 2 13 2 5" xfId="26103" xr:uid="{00000000-0005-0000-0000-0000D8650000}"/>
    <cellStyle name="Calculation 2 13 2 6" xfId="26104" xr:uid="{00000000-0005-0000-0000-0000D9650000}"/>
    <cellStyle name="Calculation 2 13 3" xfId="26105" xr:uid="{00000000-0005-0000-0000-0000DA650000}"/>
    <cellStyle name="Calculation 2 13 3 2" xfId="26106" xr:uid="{00000000-0005-0000-0000-0000DB650000}"/>
    <cellStyle name="Calculation 2 13 3 3" xfId="26107" xr:uid="{00000000-0005-0000-0000-0000DC650000}"/>
    <cellStyle name="Calculation 2 13 3 4" xfId="26108" xr:uid="{00000000-0005-0000-0000-0000DD650000}"/>
    <cellStyle name="Calculation 2 13 3 5" xfId="26109" xr:uid="{00000000-0005-0000-0000-0000DE650000}"/>
    <cellStyle name="Calculation 2 13 3 6" xfId="26110" xr:uid="{00000000-0005-0000-0000-0000DF650000}"/>
    <cellStyle name="Calculation 2 13 4" xfId="26111" xr:uid="{00000000-0005-0000-0000-0000E0650000}"/>
    <cellStyle name="Calculation 2 13 4 2" xfId="26112" xr:uid="{00000000-0005-0000-0000-0000E1650000}"/>
    <cellStyle name="Calculation 2 13 4 3" xfId="26113" xr:uid="{00000000-0005-0000-0000-0000E2650000}"/>
    <cellStyle name="Calculation 2 13 4 4" xfId="26114" xr:uid="{00000000-0005-0000-0000-0000E3650000}"/>
    <cellStyle name="Calculation 2 13 4 5" xfId="26115" xr:uid="{00000000-0005-0000-0000-0000E4650000}"/>
    <cellStyle name="Calculation 2 13 4 6" xfId="26116" xr:uid="{00000000-0005-0000-0000-0000E5650000}"/>
    <cellStyle name="Calculation 2 13 5" xfId="26117" xr:uid="{00000000-0005-0000-0000-0000E6650000}"/>
    <cellStyle name="Calculation 2 13 5 2" xfId="26118" xr:uid="{00000000-0005-0000-0000-0000E7650000}"/>
    <cellStyle name="Calculation 2 13 5 3" xfId="26119" xr:uid="{00000000-0005-0000-0000-0000E8650000}"/>
    <cellStyle name="Calculation 2 13 5 4" xfId="26120" xr:uid="{00000000-0005-0000-0000-0000E9650000}"/>
    <cellStyle name="Calculation 2 13 5 5" xfId="26121" xr:uid="{00000000-0005-0000-0000-0000EA650000}"/>
    <cellStyle name="Calculation 2 13 5 6" xfId="26122" xr:uid="{00000000-0005-0000-0000-0000EB650000}"/>
    <cellStyle name="Calculation 2 13 6" xfId="26123" xr:uid="{00000000-0005-0000-0000-0000EC650000}"/>
    <cellStyle name="Calculation 2 13 6 2" xfId="26124" xr:uid="{00000000-0005-0000-0000-0000ED650000}"/>
    <cellStyle name="Calculation 2 13 6 3" xfId="26125" xr:uid="{00000000-0005-0000-0000-0000EE650000}"/>
    <cellStyle name="Calculation 2 13 6 4" xfId="26126" xr:uid="{00000000-0005-0000-0000-0000EF650000}"/>
    <cellStyle name="Calculation 2 13 6 5" xfId="26127" xr:uid="{00000000-0005-0000-0000-0000F0650000}"/>
    <cellStyle name="Calculation 2 13 6 6" xfId="26128" xr:uid="{00000000-0005-0000-0000-0000F1650000}"/>
    <cellStyle name="Calculation 2 13 7" xfId="26129" xr:uid="{00000000-0005-0000-0000-0000F2650000}"/>
    <cellStyle name="Calculation 2 13 7 2" xfId="26130" xr:uid="{00000000-0005-0000-0000-0000F3650000}"/>
    <cellStyle name="Calculation 2 13 7 3" xfId="26131" xr:uid="{00000000-0005-0000-0000-0000F4650000}"/>
    <cellStyle name="Calculation 2 13 7 4" xfId="26132" xr:uid="{00000000-0005-0000-0000-0000F5650000}"/>
    <cellStyle name="Calculation 2 13 7 5" xfId="26133" xr:uid="{00000000-0005-0000-0000-0000F6650000}"/>
    <cellStyle name="Calculation 2 13 7 6" xfId="26134" xr:uid="{00000000-0005-0000-0000-0000F7650000}"/>
    <cellStyle name="Calculation 2 13 8" xfId="26135" xr:uid="{00000000-0005-0000-0000-0000F8650000}"/>
    <cellStyle name="Calculation 2 13 9" xfId="26136" xr:uid="{00000000-0005-0000-0000-0000F9650000}"/>
    <cellStyle name="Calculation 2 14" xfId="26137" xr:uid="{00000000-0005-0000-0000-0000FA650000}"/>
    <cellStyle name="Calculation 2 14 10" xfId="26138" xr:uid="{00000000-0005-0000-0000-0000FB650000}"/>
    <cellStyle name="Calculation 2 14 2" xfId="26139" xr:uid="{00000000-0005-0000-0000-0000FC650000}"/>
    <cellStyle name="Calculation 2 14 2 2" xfId="26140" xr:uid="{00000000-0005-0000-0000-0000FD650000}"/>
    <cellStyle name="Calculation 2 14 2 3" xfId="26141" xr:uid="{00000000-0005-0000-0000-0000FE650000}"/>
    <cellStyle name="Calculation 2 14 2 4" xfId="26142" xr:uid="{00000000-0005-0000-0000-0000FF650000}"/>
    <cellStyle name="Calculation 2 14 2 5" xfId="26143" xr:uid="{00000000-0005-0000-0000-000000660000}"/>
    <cellStyle name="Calculation 2 14 2 6" xfId="26144" xr:uid="{00000000-0005-0000-0000-000001660000}"/>
    <cellStyle name="Calculation 2 14 3" xfId="26145" xr:uid="{00000000-0005-0000-0000-000002660000}"/>
    <cellStyle name="Calculation 2 14 3 2" xfId="26146" xr:uid="{00000000-0005-0000-0000-000003660000}"/>
    <cellStyle name="Calculation 2 14 3 3" xfId="26147" xr:uid="{00000000-0005-0000-0000-000004660000}"/>
    <cellStyle name="Calculation 2 14 3 4" xfId="26148" xr:uid="{00000000-0005-0000-0000-000005660000}"/>
    <cellStyle name="Calculation 2 14 3 5" xfId="26149" xr:uid="{00000000-0005-0000-0000-000006660000}"/>
    <cellStyle name="Calculation 2 14 3 6" xfId="26150" xr:uid="{00000000-0005-0000-0000-000007660000}"/>
    <cellStyle name="Calculation 2 14 4" xfId="26151" xr:uid="{00000000-0005-0000-0000-000008660000}"/>
    <cellStyle name="Calculation 2 14 4 2" xfId="26152" xr:uid="{00000000-0005-0000-0000-000009660000}"/>
    <cellStyle name="Calculation 2 14 4 3" xfId="26153" xr:uid="{00000000-0005-0000-0000-00000A660000}"/>
    <cellStyle name="Calculation 2 14 4 4" xfId="26154" xr:uid="{00000000-0005-0000-0000-00000B660000}"/>
    <cellStyle name="Calculation 2 14 4 5" xfId="26155" xr:uid="{00000000-0005-0000-0000-00000C660000}"/>
    <cellStyle name="Calculation 2 14 4 6" xfId="26156" xr:uid="{00000000-0005-0000-0000-00000D660000}"/>
    <cellStyle name="Calculation 2 14 5" xfId="26157" xr:uid="{00000000-0005-0000-0000-00000E660000}"/>
    <cellStyle name="Calculation 2 14 5 2" xfId="26158" xr:uid="{00000000-0005-0000-0000-00000F660000}"/>
    <cellStyle name="Calculation 2 14 5 3" xfId="26159" xr:uid="{00000000-0005-0000-0000-000010660000}"/>
    <cellStyle name="Calculation 2 14 5 4" xfId="26160" xr:uid="{00000000-0005-0000-0000-000011660000}"/>
    <cellStyle name="Calculation 2 14 5 5" xfId="26161" xr:uid="{00000000-0005-0000-0000-000012660000}"/>
    <cellStyle name="Calculation 2 14 5 6" xfId="26162" xr:uid="{00000000-0005-0000-0000-000013660000}"/>
    <cellStyle name="Calculation 2 14 6" xfId="26163" xr:uid="{00000000-0005-0000-0000-000014660000}"/>
    <cellStyle name="Calculation 2 14 6 2" xfId="26164" xr:uid="{00000000-0005-0000-0000-000015660000}"/>
    <cellStyle name="Calculation 2 14 6 3" xfId="26165" xr:uid="{00000000-0005-0000-0000-000016660000}"/>
    <cellStyle name="Calculation 2 14 6 4" xfId="26166" xr:uid="{00000000-0005-0000-0000-000017660000}"/>
    <cellStyle name="Calculation 2 14 6 5" xfId="26167" xr:uid="{00000000-0005-0000-0000-000018660000}"/>
    <cellStyle name="Calculation 2 14 6 6" xfId="26168" xr:uid="{00000000-0005-0000-0000-000019660000}"/>
    <cellStyle name="Calculation 2 14 7" xfId="26169" xr:uid="{00000000-0005-0000-0000-00001A660000}"/>
    <cellStyle name="Calculation 2 14 7 2" xfId="26170" xr:uid="{00000000-0005-0000-0000-00001B660000}"/>
    <cellStyle name="Calculation 2 14 7 3" xfId="26171" xr:uid="{00000000-0005-0000-0000-00001C660000}"/>
    <cellStyle name="Calculation 2 14 7 4" xfId="26172" xr:uid="{00000000-0005-0000-0000-00001D660000}"/>
    <cellStyle name="Calculation 2 14 7 5" xfId="26173" xr:uid="{00000000-0005-0000-0000-00001E660000}"/>
    <cellStyle name="Calculation 2 14 7 6" xfId="26174" xr:uid="{00000000-0005-0000-0000-00001F660000}"/>
    <cellStyle name="Calculation 2 14 8" xfId="26175" xr:uid="{00000000-0005-0000-0000-000020660000}"/>
    <cellStyle name="Calculation 2 14 9" xfId="26176" xr:uid="{00000000-0005-0000-0000-000021660000}"/>
    <cellStyle name="Calculation 2 15" xfId="26177" xr:uid="{00000000-0005-0000-0000-000022660000}"/>
    <cellStyle name="Calculation 2 15 10" xfId="26178" xr:uid="{00000000-0005-0000-0000-000023660000}"/>
    <cellStyle name="Calculation 2 15 2" xfId="26179" xr:uid="{00000000-0005-0000-0000-000024660000}"/>
    <cellStyle name="Calculation 2 15 2 2" xfId="26180" xr:uid="{00000000-0005-0000-0000-000025660000}"/>
    <cellStyle name="Calculation 2 15 2 3" xfId="26181" xr:uid="{00000000-0005-0000-0000-000026660000}"/>
    <cellStyle name="Calculation 2 15 2 4" xfId="26182" xr:uid="{00000000-0005-0000-0000-000027660000}"/>
    <cellStyle name="Calculation 2 15 2 5" xfId="26183" xr:uid="{00000000-0005-0000-0000-000028660000}"/>
    <cellStyle name="Calculation 2 15 2 6" xfId="26184" xr:uid="{00000000-0005-0000-0000-000029660000}"/>
    <cellStyle name="Calculation 2 15 3" xfId="26185" xr:uid="{00000000-0005-0000-0000-00002A660000}"/>
    <cellStyle name="Calculation 2 15 3 2" xfId="26186" xr:uid="{00000000-0005-0000-0000-00002B660000}"/>
    <cellStyle name="Calculation 2 15 3 3" xfId="26187" xr:uid="{00000000-0005-0000-0000-00002C660000}"/>
    <cellStyle name="Calculation 2 15 3 4" xfId="26188" xr:uid="{00000000-0005-0000-0000-00002D660000}"/>
    <cellStyle name="Calculation 2 15 3 5" xfId="26189" xr:uid="{00000000-0005-0000-0000-00002E660000}"/>
    <cellStyle name="Calculation 2 15 3 6" xfId="26190" xr:uid="{00000000-0005-0000-0000-00002F660000}"/>
    <cellStyle name="Calculation 2 15 4" xfId="26191" xr:uid="{00000000-0005-0000-0000-000030660000}"/>
    <cellStyle name="Calculation 2 15 4 2" xfId="26192" xr:uid="{00000000-0005-0000-0000-000031660000}"/>
    <cellStyle name="Calculation 2 15 4 3" xfId="26193" xr:uid="{00000000-0005-0000-0000-000032660000}"/>
    <cellStyle name="Calculation 2 15 4 4" xfId="26194" xr:uid="{00000000-0005-0000-0000-000033660000}"/>
    <cellStyle name="Calculation 2 15 4 5" xfId="26195" xr:uid="{00000000-0005-0000-0000-000034660000}"/>
    <cellStyle name="Calculation 2 15 4 6" xfId="26196" xr:uid="{00000000-0005-0000-0000-000035660000}"/>
    <cellStyle name="Calculation 2 15 5" xfId="26197" xr:uid="{00000000-0005-0000-0000-000036660000}"/>
    <cellStyle name="Calculation 2 15 5 2" xfId="26198" xr:uid="{00000000-0005-0000-0000-000037660000}"/>
    <cellStyle name="Calculation 2 15 5 3" xfId="26199" xr:uid="{00000000-0005-0000-0000-000038660000}"/>
    <cellStyle name="Calculation 2 15 5 4" xfId="26200" xr:uid="{00000000-0005-0000-0000-000039660000}"/>
    <cellStyle name="Calculation 2 15 5 5" xfId="26201" xr:uid="{00000000-0005-0000-0000-00003A660000}"/>
    <cellStyle name="Calculation 2 15 5 6" xfId="26202" xr:uid="{00000000-0005-0000-0000-00003B660000}"/>
    <cellStyle name="Calculation 2 15 6" xfId="26203" xr:uid="{00000000-0005-0000-0000-00003C660000}"/>
    <cellStyle name="Calculation 2 15 6 2" xfId="26204" xr:uid="{00000000-0005-0000-0000-00003D660000}"/>
    <cellStyle name="Calculation 2 15 6 3" xfId="26205" xr:uid="{00000000-0005-0000-0000-00003E660000}"/>
    <cellStyle name="Calculation 2 15 6 4" xfId="26206" xr:uid="{00000000-0005-0000-0000-00003F660000}"/>
    <cellStyle name="Calculation 2 15 6 5" xfId="26207" xr:uid="{00000000-0005-0000-0000-000040660000}"/>
    <cellStyle name="Calculation 2 15 6 6" xfId="26208" xr:uid="{00000000-0005-0000-0000-000041660000}"/>
    <cellStyle name="Calculation 2 15 7" xfId="26209" xr:uid="{00000000-0005-0000-0000-000042660000}"/>
    <cellStyle name="Calculation 2 15 7 2" xfId="26210" xr:uid="{00000000-0005-0000-0000-000043660000}"/>
    <cellStyle name="Calculation 2 15 7 3" xfId="26211" xr:uid="{00000000-0005-0000-0000-000044660000}"/>
    <cellStyle name="Calculation 2 15 7 4" xfId="26212" xr:uid="{00000000-0005-0000-0000-000045660000}"/>
    <cellStyle name="Calculation 2 15 7 5" xfId="26213" xr:uid="{00000000-0005-0000-0000-000046660000}"/>
    <cellStyle name="Calculation 2 15 7 6" xfId="26214" xr:uid="{00000000-0005-0000-0000-000047660000}"/>
    <cellStyle name="Calculation 2 15 8" xfId="26215" xr:uid="{00000000-0005-0000-0000-000048660000}"/>
    <cellStyle name="Calculation 2 15 9" xfId="26216" xr:uid="{00000000-0005-0000-0000-000049660000}"/>
    <cellStyle name="Calculation 2 16" xfId="26217" xr:uid="{00000000-0005-0000-0000-00004A660000}"/>
    <cellStyle name="Calculation 2 16 10" xfId="26218" xr:uid="{00000000-0005-0000-0000-00004B660000}"/>
    <cellStyle name="Calculation 2 16 2" xfId="26219" xr:uid="{00000000-0005-0000-0000-00004C660000}"/>
    <cellStyle name="Calculation 2 16 2 2" xfId="26220" xr:uid="{00000000-0005-0000-0000-00004D660000}"/>
    <cellStyle name="Calculation 2 16 2 3" xfId="26221" xr:uid="{00000000-0005-0000-0000-00004E660000}"/>
    <cellStyle name="Calculation 2 16 2 4" xfId="26222" xr:uid="{00000000-0005-0000-0000-00004F660000}"/>
    <cellStyle name="Calculation 2 16 2 5" xfId="26223" xr:uid="{00000000-0005-0000-0000-000050660000}"/>
    <cellStyle name="Calculation 2 16 2 6" xfId="26224" xr:uid="{00000000-0005-0000-0000-000051660000}"/>
    <cellStyle name="Calculation 2 16 3" xfId="26225" xr:uid="{00000000-0005-0000-0000-000052660000}"/>
    <cellStyle name="Calculation 2 16 3 2" xfId="26226" xr:uid="{00000000-0005-0000-0000-000053660000}"/>
    <cellStyle name="Calculation 2 16 3 3" xfId="26227" xr:uid="{00000000-0005-0000-0000-000054660000}"/>
    <cellStyle name="Calculation 2 16 3 4" xfId="26228" xr:uid="{00000000-0005-0000-0000-000055660000}"/>
    <cellStyle name="Calculation 2 16 3 5" xfId="26229" xr:uid="{00000000-0005-0000-0000-000056660000}"/>
    <cellStyle name="Calculation 2 16 3 6" xfId="26230" xr:uid="{00000000-0005-0000-0000-000057660000}"/>
    <cellStyle name="Calculation 2 16 4" xfId="26231" xr:uid="{00000000-0005-0000-0000-000058660000}"/>
    <cellStyle name="Calculation 2 16 4 2" xfId="26232" xr:uid="{00000000-0005-0000-0000-000059660000}"/>
    <cellStyle name="Calculation 2 16 4 3" xfId="26233" xr:uid="{00000000-0005-0000-0000-00005A660000}"/>
    <cellStyle name="Calculation 2 16 4 4" xfId="26234" xr:uid="{00000000-0005-0000-0000-00005B660000}"/>
    <cellStyle name="Calculation 2 16 4 5" xfId="26235" xr:uid="{00000000-0005-0000-0000-00005C660000}"/>
    <cellStyle name="Calculation 2 16 4 6" xfId="26236" xr:uid="{00000000-0005-0000-0000-00005D660000}"/>
    <cellStyle name="Calculation 2 16 5" xfId="26237" xr:uid="{00000000-0005-0000-0000-00005E660000}"/>
    <cellStyle name="Calculation 2 16 5 2" xfId="26238" xr:uid="{00000000-0005-0000-0000-00005F660000}"/>
    <cellStyle name="Calculation 2 16 5 3" xfId="26239" xr:uid="{00000000-0005-0000-0000-000060660000}"/>
    <cellStyle name="Calculation 2 16 5 4" xfId="26240" xr:uid="{00000000-0005-0000-0000-000061660000}"/>
    <cellStyle name="Calculation 2 16 5 5" xfId="26241" xr:uid="{00000000-0005-0000-0000-000062660000}"/>
    <cellStyle name="Calculation 2 16 5 6" xfId="26242" xr:uid="{00000000-0005-0000-0000-000063660000}"/>
    <cellStyle name="Calculation 2 16 6" xfId="26243" xr:uid="{00000000-0005-0000-0000-000064660000}"/>
    <cellStyle name="Calculation 2 16 6 2" xfId="26244" xr:uid="{00000000-0005-0000-0000-000065660000}"/>
    <cellStyle name="Calculation 2 16 6 3" xfId="26245" xr:uid="{00000000-0005-0000-0000-000066660000}"/>
    <cellStyle name="Calculation 2 16 6 4" xfId="26246" xr:uid="{00000000-0005-0000-0000-000067660000}"/>
    <cellStyle name="Calculation 2 16 6 5" xfId="26247" xr:uid="{00000000-0005-0000-0000-000068660000}"/>
    <cellStyle name="Calculation 2 16 6 6" xfId="26248" xr:uid="{00000000-0005-0000-0000-000069660000}"/>
    <cellStyle name="Calculation 2 16 7" xfId="26249" xr:uid="{00000000-0005-0000-0000-00006A660000}"/>
    <cellStyle name="Calculation 2 16 7 2" xfId="26250" xr:uid="{00000000-0005-0000-0000-00006B660000}"/>
    <cellStyle name="Calculation 2 16 7 3" xfId="26251" xr:uid="{00000000-0005-0000-0000-00006C660000}"/>
    <cellStyle name="Calculation 2 16 7 4" xfId="26252" xr:uid="{00000000-0005-0000-0000-00006D660000}"/>
    <cellStyle name="Calculation 2 16 7 5" xfId="26253" xr:uid="{00000000-0005-0000-0000-00006E660000}"/>
    <cellStyle name="Calculation 2 16 7 6" xfId="26254" xr:uid="{00000000-0005-0000-0000-00006F660000}"/>
    <cellStyle name="Calculation 2 16 8" xfId="26255" xr:uid="{00000000-0005-0000-0000-000070660000}"/>
    <cellStyle name="Calculation 2 16 9" xfId="26256" xr:uid="{00000000-0005-0000-0000-000071660000}"/>
    <cellStyle name="Calculation 2 17" xfId="26257" xr:uid="{00000000-0005-0000-0000-000072660000}"/>
    <cellStyle name="Calculation 2 17 10" xfId="26258" xr:uid="{00000000-0005-0000-0000-000073660000}"/>
    <cellStyle name="Calculation 2 17 2" xfId="26259" xr:uid="{00000000-0005-0000-0000-000074660000}"/>
    <cellStyle name="Calculation 2 17 2 2" xfId="26260" xr:uid="{00000000-0005-0000-0000-000075660000}"/>
    <cellStyle name="Calculation 2 17 2 3" xfId="26261" xr:uid="{00000000-0005-0000-0000-000076660000}"/>
    <cellStyle name="Calculation 2 17 2 4" xfId="26262" xr:uid="{00000000-0005-0000-0000-000077660000}"/>
    <cellStyle name="Calculation 2 17 2 5" xfId="26263" xr:uid="{00000000-0005-0000-0000-000078660000}"/>
    <cellStyle name="Calculation 2 17 2 6" xfId="26264" xr:uid="{00000000-0005-0000-0000-000079660000}"/>
    <cellStyle name="Calculation 2 17 3" xfId="26265" xr:uid="{00000000-0005-0000-0000-00007A660000}"/>
    <cellStyle name="Calculation 2 17 3 2" xfId="26266" xr:uid="{00000000-0005-0000-0000-00007B660000}"/>
    <cellStyle name="Calculation 2 17 3 3" xfId="26267" xr:uid="{00000000-0005-0000-0000-00007C660000}"/>
    <cellStyle name="Calculation 2 17 3 4" xfId="26268" xr:uid="{00000000-0005-0000-0000-00007D660000}"/>
    <cellStyle name="Calculation 2 17 3 5" xfId="26269" xr:uid="{00000000-0005-0000-0000-00007E660000}"/>
    <cellStyle name="Calculation 2 17 3 6" xfId="26270" xr:uid="{00000000-0005-0000-0000-00007F660000}"/>
    <cellStyle name="Calculation 2 17 4" xfId="26271" xr:uid="{00000000-0005-0000-0000-000080660000}"/>
    <cellStyle name="Calculation 2 17 4 2" xfId="26272" xr:uid="{00000000-0005-0000-0000-000081660000}"/>
    <cellStyle name="Calculation 2 17 4 3" xfId="26273" xr:uid="{00000000-0005-0000-0000-000082660000}"/>
    <cellStyle name="Calculation 2 17 4 4" xfId="26274" xr:uid="{00000000-0005-0000-0000-000083660000}"/>
    <cellStyle name="Calculation 2 17 4 5" xfId="26275" xr:uid="{00000000-0005-0000-0000-000084660000}"/>
    <cellStyle name="Calculation 2 17 4 6" xfId="26276" xr:uid="{00000000-0005-0000-0000-000085660000}"/>
    <cellStyle name="Calculation 2 17 5" xfId="26277" xr:uid="{00000000-0005-0000-0000-000086660000}"/>
    <cellStyle name="Calculation 2 17 5 2" xfId="26278" xr:uid="{00000000-0005-0000-0000-000087660000}"/>
    <cellStyle name="Calculation 2 17 5 3" xfId="26279" xr:uid="{00000000-0005-0000-0000-000088660000}"/>
    <cellStyle name="Calculation 2 17 5 4" xfId="26280" xr:uid="{00000000-0005-0000-0000-000089660000}"/>
    <cellStyle name="Calculation 2 17 5 5" xfId="26281" xr:uid="{00000000-0005-0000-0000-00008A660000}"/>
    <cellStyle name="Calculation 2 17 5 6" xfId="26282" xr:uid="{00000000-0005-0000-0000-00008B660000}"/>
    <cellStyle name="Calculation 2 17 6" xfId="26283" xr:uid="{00000000-0005-0000-0000-00008C660000}"/>
    <cellStyle name="Calculation 2 17 6 2" xfId="26284" xr:uid="{00000000-0005-0000-0000-00008D660000}"/>
    <cellStyle name="Calculation 2 17 6 3" xfId="26285" xr:uid="{00000000-0005-0000-0000-00008E660000}"/>
    <cellStyle name="Calculation 2 17 6 4" xfId="26286" xr:uid="{00000000-0005-0000-0000-00008F660000}"/>
    <cellStyle name="Calculation 2 17 6 5" xfId="26287" xr:uid="{00000000-0005-0000-0000-000090660000}"/>
    <cellStyle name="Calculation 2 17 6 6" xfId="26288" xr:uid="{00000000-0005-0000-0000-000091660000}"/>
    <cellStyle name="Calculation 2 17 7" xfId="26289" xr:uid="{00000000-0005-0000-0000-000092660000}"/>
    <cellStyle name="Calculation 2 17 7 2" xfId="26290" xr:uid="{00000000-0005-0000-0000-000093660000}"/>
    <cellStyle name="Calculation 2 17 7 3" xfId="26291" xr:uid="{00000000-0005-0000-0000-000094660000}"/>
    <cellStyle name="Calculation 2 17 7 4" xfId="26292" xr:uid="{00000000-0005-0000-0000-000095660000}"/>
    <cellStyle name="Calculation 2 17 7 5" xfId="26293" xr:uid="{00000000-0005-0000-0000-000096660000}"/>
    <cellStyle name="Calculation 2 17 7 6" xfId="26294" xr:uid="{00000000-0005-0000-0000-000097660000}"/>
    <cellStyle name="Calculation 2 17 8" xfId="26295" xr:uid="{00000000-0005-0000-0000-000098660000}"/>
    <cellStyle name="Calculation 2 17 9" xfId="26296" xr:uid="{00000000-0005-0000-0000-000099660000}"/>
    <cellStyle name="Calculation 2 18" xfId="26297" xr:uid="{00000000-0005-0000-0000-00009A660000}"/>
    <cellStyle name="Calculation 2 18 10" xfId="26298" xr:uid="{00000000-0005-0000-0000-00009B660000}"/>
    <cellStyle name="Calculation 2 18 2" xfId="26299" xr:uid="{00000000-0005-0000-0000-00009C660000}"/>
    <cellStyle name="Calculation 2 18 2 2" xfId="26300" xr:uid="{00000000-0005-0000-0000-00009D660000}"/>
    <cellStyle name="Calculation 2 18 2 3" xfId="26301" xr:uid="{00000000-0005-0000-0000-00009E660000}"/>
    <cellStyle name="Calculation 2 18 2 4" xfId="26302" xr:uid="{00000000-0005-0000-0000-00009F660000}"/>
    <cellStyle name="Calculation 2 18 2 5" xfId="26303" xr:uid="{00000000-0005-0000-0000-0000A0660000}"/>
    <cellStyle name="Calculation 2 18 2 6" xfId="26304" xr:uid="{00000000-0005-0000-0000-0000A1660000}"/>
    <cellStyle name="Calculation 2 18 3" xfId="26305" xr:uid="{00000000-0005-0000-0000-0000A2660000}"/>
    <cellStyle name="Calculation 2 18 3 2" xfId="26306" xr:uid="{00000000-0005-0000-0000-0000A3660000}"/>
    <cellStyle name="Calculation 2 18 3 3" xfId="26307" xr:uid="{00000000-0005-0000-0000-0000A4660000}"/>
    <cellStyle name="Calculation 2 18 3 4" xfId="26308" xr:uid="{00000000-0005-0000-0000-0000A5660000}"/>
    <cellStyle name="Calculation 2 18 3 5" xfId="26309" xr:uid="{00000000-0005-0000-0000-0000A6660000}"/>
    <cellStyle name="Calculation 2 18 3 6" xfId="26310" xr:uid="{00000000-0005-0000-0000-0000A7660000}"/>
    <cellStyle name="Calculation 2 18 4" xfId="26311" xr:uid="{00000000-0005-0000-0000-0000A8660000}"/>
    <cellStyle name="Calculation 2 18 4 2" xfId="26312" xr:uid="{00000000-0005-0000-0000-0000A9660000}"/>
    <cellStyle name="Calculation 2 18 4 3" xfId="26313" xr:uid="{00000000-0005-0000-0000-0000AA660000}"/>
    <cellStyle name="Calculation 2 18 4 4" xfId="26314" xr:uid="{00000000-0005-0000-0000-0000AB660000}"/>
    <cellStyle name="Calculation 2 18 4 5" xfId="26315" xr:uid="{00000000-0005-0000-0000-0000AC660000}"/>
    <cellStyle name="Calculation 2 18 4 6" xfId="26316" xr:uid="{00000000-0005-0000-0000-0000AD660000}"/>
    <cellStyle name="Calculation 2 18 5" xfId="26317" xr:uid="{00000000-0005-0000-0000-0000AE660000}"/>
    <cellStyle name="Calculation 2 18 5 2" xfId="26318" xr:uid="{00000000-0005-0000-0000-0000AF660000}"/>
    <cellStyle name="Calculation 2 18 5 3" xfId="26319" xr:uid="{00000000-0005-0000-0000-0000B0660000}"/>
    <cellStyle name="Calculation 2 18 5 4" xfId="26320" xr:uid="{00000000-0005-0000-0000-0000B1660000}"/>
    <cellStyle name="Calculation 2 18 5 5" xfId="26321" xr:uid="{00000000-0005-0000-0000-0000B2660000}"/>
    <cellStyle name="Calculation 2 18 5 6" xfId="26322" xr:uid="{00000000-0005-0000-0000-0000B3660000}"/>
    <cellStyle name="Calculation 2 18 6" xfId="26323" xr:uid="{00000000-0005-0000-0000-0000B4660000}"/>
    <cellStyle name="Calculation 2 18 6 2" xfId="26324" xr:uid="{00000000-0005-0000-0000-0000B5660000}"/>
    <cellStyle name="Calculation 2 18 6 3" xfId="26325" xr:uid="{00000000-0005-0000-0000-0000B6660000}"/>
    <cellStyle name="Calculation 2 18 6 4" xfId="26326" xr:uid="{00000000-0005-0000-0000-0000B7660000}"/>
    <cellStyle name="Calculation 2 18 6 5" xfId="26327" xr:uid="{00000000-0005-0000-0000-0000B8660000}"/>
    <cellStyle name="Calculation 2 18 6 6" xfId="26328" xr:uid="{00000000-0005-0000-0000-0000B9660000}"/>
    <cellStyle name="Calculation 2 18 7" xfId="26329" xr:uid="{00000000-0005-0000-0000-0000BA660000}"/>
    <cellStyle name="Calculation 2 18 7 2" xfId="26330" xr:uid="{00000000-0005-0000-0000-0000BB660000}"/>
    <cellStyle name="Calculation 2 18 7 3" xfId="26331" xr:uid="{00000000-0005-0000-0000-0000BC660000}"/>
    <cellStyle name="Calculation 2 18 7 4" xfId="26332" xr:uid="{00000000-0005-0000-0000-0000BD660000}"/>
    <cellStyle name="Calculation 2 18 7 5" xfId="26333" xr:uid="{00000000-0005-0000-0000-0000BE660000}"/>
    <cellStyle name="Calculation 2 18 7 6" xfId="26334" xr:uid="{00000000-0005-0000-0000-0000BF660000}"/>
    <cellStyle name="Calculation 2 18 8" xfId="26335" xr:uid="{00000000-0005-0000-0000-0000C0660000}"/>
    <cellStyle name="Calculation 2 18 9" xfId="26336" xr:uid="{00000000-0005-0000-0000-0000C1660000}"/>
    <cellStyle name="Calculation 2 19" xfId="26337" xr:uid="{00000000-0005-0000-0000-0000C2660000}"/>
    <cellStyle name="Calculation 2 19 10" xfId="26338" xr:uid="{00000000-0005-0000-0000-0000C3660000}"/>
    <cellStyle name="Calculation 2 19 2" xfId="26339" xr:uid="{00000000-0005-0000-0000-0000C4660000}"/>
    <cellStyle name="Calculation 2 19 2 2" xfId="26340" xr:uid="{00000000-0005-0000-0000-0000C5660000}"/>
    <cellStyle name="Calculation 2 19 2 3" xfId="26341" xr:uid="{00000000-0005-0000-0000-0000C6660000}"/>
    <cellStyle name="Calculation 2 19 2 4" xfId="26342" xr:uid="{00000000-0005-0000-0000-0000C7660000}"/>
    <cellStyle name="Calculation 2 19 2 5" xfId="26343" xr:uid="{00000000-0005-0000-0000-0000C8660000}"/>
    <cellStyle name="Calculation 2 19 2 6" xfId="26344" xr:uid="{00000000-0005-0000-0000-0000C9660000}"/>
    <cellStyle name="Calculation 2 19 3" xfId="26345" xr:uid="{00000000-0005-0000-0000-0000CA660000}"/>
    <cellStyle name="Calculation 2 19 3 2" xfId="26346" xr:uid="{00000000-0005-0000-0000-0000CB660000}"/>
    <cellStyle name="Calculation 2 19 3 3" xfId="26347" xr:uid="{00000000-0005-0000-0000-0000CC660000}"/>
    <cellStyle name="Calculation 2 19 3 4" xfId="26348" xr:uid="{00000000-0005-0000-0000-0000CD660000}"/>
    <cellStyle name="Calculation 2 19 3 5" xfId="26349" xr:uid="{00000000-0005-0000-0000-0000CE660000}"/>
    <cellStyle name="Calculation 2 19 3 6" xfId="26350" xr:uid="{00000000-0005-0000-0000-0000CF660000}"/>
    <cellStyle name="Calculation 2 19 4" xfId="26351" xr:uid="{00000000-0005-0000-0000-0000D0660000}"/>
    <cellStyle name="Calculation 2 19 4 2" xfId="26352" xr:uid="{00000000-0005-0000-0000-0000D1660000}"/>
    <cellStyle name="Calculation 2 19 4 3" xfId="26353" xr:uid="{00000000-0005-0000-0000-0000D2660000}"/>
    <cellStyle name="Calculation 2 19 4 4" xfId="26354" xr:uid="{00000000-0005-0000-0000-0000D3660000}"/>
    <cellStyle name="Calculation 2 19 4 5" xfId="26355" xr:uid="{00000000-0005-0000-0000-0000D4660000}"/>
    <cellStyle name="Calculation 2 19 4 6" xfId="26356" xr:uid="{00000000-0005-0000-0000-0000D5660000}"/>
    <cellStyle name="Calculation 2 19 5" xfId="26357" xr:uid="{00000000-0005-0000-0000-0000D6660000}"/>
    <cellStyle name="Calculation 2 19 5 2" xfId="26358" xr:uid="{00000000-0005-0000-0000-0000D7660000}"/>
    <cellStyle name="Calculation 2 19 5 3" xfId="26359" xr:uid="{00000000-0005-0000-0000-0000D8660000}"/>
    <cellStyle name="Calculation 2 19 5 4" xfId="26360" xr:uid="{00000000-0005-0000-0000-0000D9660000}"/>
    <cellStyle name="Calculation 2 19 5 5" xfId="26361" xr:uid="{00000000-0005-0000-0000-0000DA660000}"/>
    <cellStyle name="Calculation 2 19 5 6" xfId="26362" xr:uid="{00000000-0005-0000-0000-0000DB660000}"/>
    <cellStyle name="Calculation 2 19 6" xfId="26363" xr:uid="{00000000-0005-0000-0000-0000DC660000}"/>
    <cellStyle name="Calculation 2 19 6 2" xfId="26364" xr:uid="{00000000-0005-0000-0000-0000DD660000}"/>
    <cellStyle name="Calculation 2 19 6 3" xfId="26365" xr:uid="{00000000-0005-0000-0000-0000DE660000}"/>
    <cellStyle name="Calculation 2 19 6 4" xfId="26366" xr:uid="{00000000-0005-0000-0000-0000DF660000}"/>
    <cellStyle name="Calculation 2 19 6 5" xfId="26367" xr:uid="{00000000-0005-0000-0000-0000E0660000}"/>
    <cellStyle name="Calculation 2 19 6 6" xfId="26368" xr:uid="{00000000-0005-0000-0000-0000E1660000}"/>
    <cellStyle name="Calculation 2 19 7" xfId="26369" xr:uid="{00000000-0005-0000-0000-0000E2660000}"/>
    <cellStyle name="Calculation 2 19 7 2" xfId="26370" xr:uid="{00000000-0005-0000-0000-0000E3660000}"/>
    <cellStyle name="Calculation 2 19 7 3" xfId="26371" xr:uid="{00000000-0005-0000-0000-0000E4660000}"/>
    <cellStyle name="Calculation 2 19 7 4" xfId="26372" xr:uid="{00000000-0005-0000-0000-0000E5660000}"/>
    <cellStyle name="Calculation 2 19 7 5" xfId="26373" xr:uid="{00000000-0005-0000-0000-0000E6660000}"/>
    <cellStyle name="Calculation 2 19 7 6" xfId="26374" xr:uid="{00000000-0005-0000-0000-0000E7660000}"/>
    <cellStyle name="Calculation 2 19 8" xfId="26375" xr:uid="{00000000-0005-0000-0000-0000E8660000}"/>
    <cellStyle name="Calculation 2 19 9" xfId="26376" xr:uid="{00000000-0005-0000-0000-0000E9660000}"/>
    <cellStyle name="Calculation 2 2" xfId="26377" xr:uid="{00000000-0005-0000-0000-0000EA660000}"/>
    <cellStyle name="Calculation 2 2 10" xfId="26378" xr:uid="{00000000-0005-0000-0000-0000EB660000}"/>
    <cellStyle name="Calculation 2 2 10 10" xfId="26379" xr:uid="{00000000-0005-0000-0000-0000EC660000}"/>
    <cellStyle name="Calculation 2 2 10 2" xfId="26380" xr:uid="{00000000-0005-0000-0000-0000ED660000}"/>
    <cellStyle name="Calculation 2 2 10 2 2" xfId="26381" xr:uid="{00000000-0005-0000-0000-0000EE660000}"/>
    <cellStyle name="Calculation 2 2 10 2 3" xfId="26382" xr:uid="{00000000-0005-0000-0000-0000EF660000}"/>
    <cellStyle name="Calculation 2 2 10 2 4" xfId="26383" xr:uid="{00000000-0005-0000-0000-0000F0660000}"/>
    <cellStyle name="Calculation 2 2 10 2 5" xfId="26384" xr:uid="{00000000-0005-0000-0000-0000F1660000}"/>
    <cellStyle name="Calculation 2 2 10 2 6" xfId="26385" xr:uid="{00000000-0005-0000-0000-0000F2660000}"/>
    <cellStyle name="Calculation 2 2 10 3" xfId="26386" xr:uid="{00000000-0005-0000-0000-0000F3660000}"/>
    <cellStyle name="Calculation 2 2 10 3 2" xfId="26387" xr:uid="{00000000-0005-0000-0000-0000F4660000}"/>
    <cellStyle name="Calculation 2 2 10 3 3" xfId="26388" xr:uid="{00000000-0005-0000-0000-0000F5660000}"/>
    <cellStyle name="Calculation 2 2 10 3 4" xfId="26389" xr:uid="{00000000-0005-0000-0000-0000F6660000}"/>
    <cellStyle name="Calculation 2 2 10 3 5" xfId="26390" xr:uid="{00000000-0005-0000-0000-0000F7660000}"/>
    <cellStyle name="Calculation 2 2 10 3 6" xfId="26391" xr:uid="{00000000-0005-0000-0000-0000F8660000}"/>
    <cellStyle name="Calculation 2 2 10 4" xfId="26392" xr:uid="{00000000-0005-0000-0000-0000F9660000}"/>
    <cellStyle name="Calculation 2 2 10 4 2" xfId="26393" xr:uid="{00000000-0005-0000-0000-0000FA660000}"/>
    <cellStyle name="Calculation 2 2 10 4 3" xfId="26394" xr:uid="{00000000-0005-0000-0000-0000FB660000}"/>
    <cellStyle name="Calculation 2 2 10 4 4" xfId="26395" xr:uid="{00000000-0005-0000-0000-0000FC660000}"/>
    <cellStyle name="Calculation 2 2 10 4 5" xfId="26396" xr:uid="{00000000-0005-0000-0000-0000FD660000}"/>
    <cellStyle name="Calculation 2 2 10 4 6" xfId="26397" xr:uid="{00000000-0005-0000-0000-0000FE660000}"/>
    <cellStyle name="Calculation 2 2 10 5" xfId="26398" xr:uid="{00000000-0005-0000-0000-0000FF660000}"/>
    <cellStyle name="Calculation 2 2 10 5 2" xfId="26399" xr:uid="{00000000-0005-0000-0000-000000670000}"/>
    <cellStyle name="Calculation 2 2 10 5 3" xfId="26400" xr:uid="{00000000-0005-0000-0000-000001670000}"/>
    <cellStyle name="Calculation 2 2 10 5 4" xfId="26401" xr:uid="{00000000-0005-0000-0000-000002670000}"/>
    <cellStyle name="Calculation 2 2 10 5 5" xfId="26402" xr:uid="{00000000-0005-0000-0000-000003670000}"/>
    <cellStyle name="Calculation 2 2 10 5 6" xfId="26403" xr:uid="{00000000-0005-0000-0000-000004670000}"/>
    <cellStyle name="Calculation 2 2 10 6" xfId="26404" xr:uid="{00000000-0005-0000-0000-000005670000}"/>
    <cellStyle name="Calculation 2 2 10 6 2" xfId="26405" xr:uid="{00000000-0005-0000-0000-000006670000}"/>
    <cellStyle name="Calculation 2 2 10 6 3" xfId="26406" xr:uid="{00000000-0005-0000-0000-000007670000}"/>
    <cellStyle name="Calculation 2 2 10 6 4" xfId="26407" xr:uid="{00000000-0005-0000-0000-000008670000}"/>
    <cellStyle name="Calculation 2 2 10 6 5" xfId="26408" xr:uid="{00000000-0005-0000-0000-000009670000}"/>
    <cellStyle name="Calculation 2 2 10 6 6" xfId="26409" xr:uid="{00000000-0005-0000-0000-00000A670000}"/>
    <cellStyle name="Calculation 2 2 10 7" xfId="26410" xr:uid="{00000000-0005-0000-0000-00000B670000}"/>
    <cellStyle name="Calculation 2 2 10 7 2" xfId="26411" xr:uid="{00000000-0005-0000-0000-00000C670000}"/>
    <cellStyle name="Calculation 2 2 10 7 3" xfId="26412" xr:uid="{00000000-0005-0000-0000-00000D670000}"/>
    <cellStyle name="Calculation 2 2 10 7 4" xfId="26413" xr:uid="{00000000-0005-0000-0000-00000E670000}"/>
    <cellStyle name="Calculation 2 2 10 7 5" xfId="26414" xr:uid="{00000000-0005-0000-0000-00000F670000}"/>
    <cellStyle name="Calculation 2 2 10 7 6" xfId="26415" xr:uid="{00000000-0005-0000-0000-000010670000}"/>
    <cellStyle name="Calculation 2 2 10 8" xfId="26416" xr:uid="{00000000-0005-0000-0000-000011670000}"/>
    <cellStyle name="Calculation 2 2 10 9" xfId="26417" xr:uid="{00000000-0005-0000-0000-000012670000}"/>
    <cellStyle name="Calculation 2 2 11" xfId="26418" xr:uid="{00000000-0005-0000-0000-000013670000}"/>
    <cellStyle name="Calculation 2 2 11 10" xfId="26419" xr:uid="{00000000-0005-0000-0000-000014670000}"/>
    <cellStyle name="Calculation 2 2 11 2" xfId="26420" xr:uid="{00000000-0005-0000-0000-000015670000}"/>
    <cellStyle name="Calculation 2 2 11 2 2" xfId="26421" xr:uid="{00000000-0005-0000-0000-000016670000}"/>
    <cellStyle name="Calculation 2 2 11 2 3" xfId="26422" xr:uid="{00000000-0005-0000-0000-000017670000}"/>
    <cellStyle name="Calculation 2 2 11 2 4" xfId="26423" xr:uid="{00000000-0005-0000-0000-000018670000}"/>
    <cellStyle name="Calculation 2 2 11 2 5" xfId="26424" xr:uid="{00000000-0005-0000-0000-000019670000}"/>
    <cellStyle name="Calculation 2 2 11 2 6" xfId="26425" xr:uid="{00000000-0005-0000-0000-00001A670000}"/>
    <cellStyle name="Calculation 2 2 11 3" xfId="26426" xr:uid="{00000000-0005-0000-0000-00001B670000}"/>
    <cellStyle name="Calculation 2 2 11 3 2" xfId="26427" xr:uid="{00000000-0005-0000-0000-00001C670000}"/>
    <cellStyle name="Calculation 2 2 11 3 3" xfId="26428" xr:uid="{00000000-0005-0000-0000-00001D670000}"/>
    <cellStyle name="Calculation 2 2 11 3 4" xfId="26429" xr:uid="{00000000-0005-0000-0000-00001E670000}"/>
    <cellStyle name="Calculation 2 2 11 3 5" xfId="26430" xr:uid="{00000000-0005-0000-0000-00001F670000}"/>
    <cellStyle name="Calculation 2 2 11 3 6" xfId="26431" xr:uid="{00000000-0005-0000-0000-000020670000}"/>
    <cellStyle name="Calculation 2 2 11 4" xfId="26432" xr:uid="{00000000-0005-0000-0000-000021670000}"/>
    <cellStyle name="Calculation 2 2 11 4 2" xfId="26433" xr:uid="{00000000-0005-0000-0000-000022670000}"/>
    <cellStyle name="Calculation 2 2 11 4 3" xfId="26434" xr:uid="{00000000-0005-0000-0000-000023670000}"/>
    <cellStyle name="Calculation 2 2 11 4 4" xfId="26435" xr:uid="{00000000-0005-0000-0000-000024670000}"/>
    <cellStyle name="Calculation 2 2 11 4 5" xfId="26436" xr:uid="{00000000-0005-0000-0000-000025670000}"/>
    <cellStyle name="Calculation 2 2 11 4 6" xfId="26437" xr:uid="{00000000-0005-0000-0000-000026670000}"/>
    <cellStyle name="Calculation 2 2 11 5" xfId="26438" xr:uid="{00000000-0005-0000-0000-000027670000}"/>
    <cellStyle name="Calculation 2 2 11 5 2" xfId="26439" xr:uid="{00000000-0005-0000-0000-000028670000}"/>
    <cellStyle name="Calculation 2 2 11 5 3" xfId="26440" xr:uid="{00000000-0005-0000-0000-000029670000}"/>
    <cellStyle name="Calculation 2 2 11 5 4" xfId="26441" xr:uid="{00000000-0005-0000-0000-00002A670000}"/>
    <cellStyle name="Calculation 2 2 11 5 5" xfId="26442" xr:uid="{00000000-0005-0000-0000-00002B670000}"/>
    <cellStyle name="Calculation 2 2 11 5 6" xfId="26443" xr:uid="{00000000-0005-0000-0000-00002C670000}"/>
    <cellStyle name="Calculation 2 2 11 6" xfId="26444" xr:uid="{00000000-0005-0000-0000-00002D670000}"/>
    <cellStyle name="Calculation 2 2 11 6 2" xfId="26445" xr:uid="{00000000-0005-0000-0000-00002E670000}"/>
    <cellStyle name="Calculation 2 2 11 6 3" xfId="26446" xr:uid="{00000000-0005-0000-0000-00002F670000}"/>
    <cellStyle name="Calculation 2 2 11 6 4" xfId="26447" xr:uid="{00000000-0005-0000-0000-000030670000}"/>
    <cellStyle name="Calculation 2 2 11 6 5" xfId="26448" xr:uid="{00000000-0005-0000-0000-000031670000}"/>
    <cellStyle name="Calculation 2 2 11 6 6" xfId="26449" xr:uid="{00000000-0005-0000-0000-000032670000}"/>
    <cellStyle name="Calculation 2 2 11 7" xfId="26450" xr:uid="{00000000-0005-0000-0000-000033670000}"/>
    <cellStyle name="Calculation 2 2 11 7 2" xfId="26451" xr:uid="{00000000-0005-0000-0000-000034670000}"/>
    <cellStyle name="Calculation 2 2 11 7 3" xfId="26452" xr:uid="{00000000-0005-0000-0000-000035670000}"/>
    <cellStyle name="Calculation 2 2 11 7 4" xfId="26453" xr:uid="{00000000-0005-0000-0000-000036670000}"/>
    <cellStyle name="Calculation 2 2 11 7 5" xfId="26454" xr:uid="{00000000-0005-0000-0000-000037670000}"/>
    <cellStyle name="Calculation 2 2 11 7 6" xfId="26455" xr:uid="{00000000-0005-0000-0000-000038670000}"/>
    <cellStyle name="Calculation 2 2 11 8" xfId="26456" xr:uid="{00000000-0005-0000-0000-000039670000}"/>
    <cellStyle name="Calculation 2 2 11 9" xfId="26457" xr:uid="{00000000-0005-0000-0000-00003A670000}"/>
    <cellStyle name="Calculation 2 2 12" xfId="26458" xr:uid="{00000000-0005-0000-0000-00003B670000}"/>
    <cellStyle name="Calculation 2 2 12 10" xfId="26459" xr:uid="{00000000-0005-0000-0000-00003C670000}"/>
    <cellStyle name="Calculation 2 2 12 2" xfId="26460" xr:uid="{00000000-0005-0000-0000-00003D670000}"/>
    <cellStyle name="Calculation 2 2 12 2 2" xfId="26461" xr:uid="{00000000-0005-0000-0000-00003E670000}"/>
    <cellStyle name="Calculation 2 2 12 2 3" xfId="26462" xr:uid="{00000000-0005-0000-0000-00003F670000}"/>
    <cellStyle name="Calculation 2 2 12 2 4" xfId="26463" xr:uid="{00000000-0005-0000-0000-000040670000}"/>
    <cellStyle name="Calculation 2 2 12 2 5" xfId="26464" xr:uid="{00000000-0005-0000-0000-000041670000}"/>
    <cellStyle name="Calculation 2 2 12 2 6" xfId="26465" xr:uid="{00000000-0005-0000-0000-000042670000}"/>
    <cellStyle name="Calculation 2 2 12 3" xfId="26466" xr:uid="{00000000-0005-0000-0000-000043670000}"/>
    <cellStyle name="Calculation 2 2 12 3 2" xfId="26467" xr:uid="{00000000-0005-0000-0000-000044670000}"/>
    <cellStyle name="Calculation 2 2 12 3 3" xfId="26468" xr:uid="{00000000-0005-0000-0000-000045670000}"/>
    <cellStyle name="Calculation 2 2 12 3 4" xfId="26469" xr:uid="{00000000-0005-0000-0000-000046670000}"/>
    <cellStyle name="Calculation 2 2 12 3 5" xfId="26470" xr:uid="{00000000-0005-0000-0000-000047670000}"/>
    <cellStyle name="Calculation 2 2 12 3 6" xfId="26471" xr:uid="{00000000-0005-0000-0000-000048670000}"/>
    <cellStyle name="Calculation 2 2 12 4" xfId="26472" xr:uid="{00000000-0005-0000-0000-000049670000}"/>
    <cellStyle name="Calculation 2 2 12 4 2" xfId="26473" xr:uid="{00000000-0005-0000-0000-00004A670000}"/>
    <cellStyle name="Calculation 2 2 12 4 3" xfId="26474" xr:uid="{00000000-0005-0000-0000-00004B670000}"/>
    <cellStyle name="Calculation 2 2 12 4 4" xfId="26475" xr:uid="{00000000-0005-0000-0000-00004C670000}"/>
    <cellStyle name="Calculation 2 2 12 4 5" xfId="26476" xr:uid="{00000000-0005-0000-0000-00004D670000}"/>
    <cellStyle name="Calculation 2 2 12 4 6" xfId="26477" xr:uid="{00000000-0005-0000-0000-00004E670000}"/>
    <cellStyle name="Calculation 2 2 12 5" xfId="26478" xr:uid="{00000000-0005-0000-0000-00004F670000}"/>
    <cellStyle name="Calculation 2 2 12 5 2" xfId="26479" xr:uid="{00000000-0005-0000-0000-000050670000}"/>
    <cellStyle name="Calculation 2 2 12 5 3" xfId="26480" xr:uid="{00000000-0005-0000-0000-000051670000}"/>
    <cellStyle name="Calculation 2 2 12 5 4" xfId="26481" xr:uid="{00000000-0005-0000-0000-000052670000}"/>
    <cellStyle name="Calculation 2 2 12 5 5" xfId="26482" xr:uid="{00000000-0005-0000-0000-000053670000}"/>
    <cellStyle name="Calculation 2 2 12 5 6" xfId="26483" xr:uid="{00000000-0005-0000-0000-000054670000}"/>
    <cellStyle name="Calculation 2 2 12 6" xfId="26484" xr:uid="{00000000-0005-0000-0000-000055670000}"/>
    <cellStyle name="Calculation 2 2 12 6 2" xfId="26485" xr:uid="{00000000-0005-0000-0000-000056670000}"/>
    <cellStyle name="Calculation 2 2 12 6 3" xfId="26486" xr:uid="{00000000-0005-0000-0000-000057670000}"/>
    <cellStyle name="Calculation 2 2 12 6 4" xfId="26487" xr:uid="{00000000-0005-0000-0000-000058670000}"/>
    <cellStyle name="Calculation 2 2 12 6 5" xfId="26488" xr:uid="{00000000-0005-0000-0000-000059670000}"/>
    <cellStyle name="Calculation 2 2 12 6 6" xfId="26489" xr:uid="{00000000-0005-0000-0000-00005A670000}"/>
    <cellStyle name="Calculation 2 2 12 7" xfId="26490" xr:uid="{00000000-0005-0000-0000-00005B670000}"/>
    <cellStyle name="Calculation 2 2 12 7 2" xfId="26491" xr:uid="{00000000-0005-0000-0000-00005C670000}"/>
    <cellStyle name="Calculation 2 2 12 7 3" xfId="26492" xr:uid="{00000000-0005-0000-0000-00005D670000}"/>
    <cellStyle name="Calculation 2 2 12 7 4" xfId="26493" xr:uid="{00000000-0005-0000-0000-00005E670000}"/>
    <cellStyle name="Calculation 2 2 12 7 5" xfId="26494" xr:uid="{00000000-0005-0000-0000-00005F670000}"/>
    <cellStyle name="Calculation 2 2 12 7 6" xfId="26495" xr:uid="{00000000-0005-0000-0000-000060670000}"/>
    <cellStyle name="Calculation 2 2 12 8" xfId="26496" xr:uid="{00000000-0005-0000-0000-000061670000}"/>
    <cellStyle name="Calculation 2 2 12 9" xfId="26497" xr:uid="{00000000-0005-0000-0000-000062670000}"/>
    <cellStyle name="Calculation 2 2 13" xfId="26498" xr:uid="{00000000-0005-0000-0000-000063670000}"/>
    <cellStyle name="Calculation 2 2 13 10" xfId="26499" xr:uid="{00000000-0005-0000-0000-000064670000}"/>
    <cellStyle name="Calculation 2 2 13 2" xfId="26500" xr:uid="{00000000-0005-0000-0000-000065670000}"/>
    <cellStyle name="Calculation 2 2 13 2 2" xfId="26501" xr:uid="{00000000-0005-0000-0000-000066670000}"/>
    <cellStyle name="Calculation 2 2 13 2 3" xfId="26502" xr:uid="{00000000-0005-0000-0000-000067670000}"/>
    <cellStyle name="Calculation 2 2 13 2 4" xfId="26503" xr:uid="{00000000-0005-0000-0000-000068670000}"/>
    <cellStyle name="Calculation 2 2 13 2 5" xfId="26504" xr:uid="{00000000-0005-0000-0000-000069670000}"/>
    <cellStyle name="Calculation 2 2 13 2 6" xfId="26505" xr:uid="{00000000-0005-0000-0000-00006A670000}"/>
    <cellStyle name="Calculation 2 2 13 3" xfId="26506" xr:uid="{00000000-0005-0000-0000-00006B670000}"/>
    <cellStyle name="Calculation 2 2 13 3 2" xfId="26507" xr:uid="{00000000-0005-0000-0000-00006C670000}"/>
    <cellStyle name="Calculation 2 2 13 3 3" xfId="26508" xr:uid="{00000000-0005-0000-0000-00006D670000}"/>
    <cellStyle name="Calculation 2 2 13 3 4" xfId="26509" xr:uid="{00000000-0005-0000-0000-00006E670000}"/>
    <cellStyle name="Calculation 2 2 13 3 5" xfId="26510" xr:uid="{00000000-0005-0000-0000-00006F670000}"/>
    <cellStyle name="Calculation 2 2 13 3 6" xfId="26511" xr:uid="{00000000-0005-0000-0000-000070670000}"/>
    <cellStyle name="Calculation 2 2 13 4" xfId="26512" xr:uid="{00000000-0005-0000-0000-000071670000}"/>
    <cellStyle name="Calculation 2 2 13 4 2" xfId="26513" xr:uid="{00000000-0005-0000-0000-000072670000}"/>
    <cellStyle name="Calculation 2 2 13 4 3" xfId="26514" xr:uid="{00000000-0005-0000-0000-000073670000}"/>
    <cellStyle name="Calculation 2 2 13 4 4" xfId="26515" xr:uid="{00000000-0005-0000-0000-000074670000}"/>
    <cellStyle name="Calculation 2 2 13 4 5" xfId="26516" xr:uid="{00000000-0005-0000-0000-000075670000}"/>
    <cellStyle name="Calculation 2 2 13 4 6" xfId="26517" xr:uid="{00000000-0005-0000-0000-000076670000}"/>
    <cellStyle name="Calculation 2 2 13 5" xfId="26518" xr:uid="{00000000-0005-0000-0000-000077670000}"/>
    <cellStyle name="Calculation 2 2 13 5 2" xfId="26519" xr:uid="{00000000-0005-0000-0000-000078670000}"/>
    <cellStyle name="Calculation 2 2 13 5 3" xfId="26520" xr:uid="{00000000-0005-0000-0000-000079670000}"/>
    <cellStyle name="Calculation 2 2 13 5 4" xfId="26521" xr:uid="{00000000-0005-0000-0000-00007A670000}"/>
    <cellStyle name="Calculation 2 2 13 5 5" xfId="26522" xr:uid="{00000000-0005-0000-0000-00007B670000}"/>
    <cellStyle name="Calculation 2 2 13 5 6" xfId="26523" xr:uid="{00000000-0005-0000-0000-00007C670000}"/>
    <cellStyle name="Calculation 2 2 13 6" xfId="26524" xr:uid="{00000000-0005-0000-0000-00007D670000}"/>
    <cellStyle name="Calculation 2 2 13 6 2" xfId="26525" xr:uid="{00000000-0005-0000-0000-00007E670000}"/>
    <cellStyle name="Calculation 2 2 13 6 3" xfId="26526" xr:uid="{00000000-0005-0000-0000-00007F670000}"/>
    <cellStyle name="Calculation 2 2 13 6 4" xfId="26527" xr:uid="{00000000-0005-0000-0000-000080670000}"/>
    <cellStyle name="Calculation 2 2 13 6 5" xfId="26528" xr:uid="{00000000-0005-0000-0000-000081670000}"/>
    <cellStyle name="Calculation 2 2 13 6 6" xfId="26529" xr:uid="{00000000-0005-0000-0000-000082670000}"/>
    <cellStyle name="Calculation 2 2 13 7" xfId="26530" xr:uid="{00000000-0005-0000-0000-000083670000}"/>
    <cellStyle name="Calculation 2 2 13 7 2" xfId="26531" xr:uid="{00000000-0005-0000-0000-000084670000}"/>
    <cellStyle name="Calculation 2 2 13 7 3" xfId="26532" xr:uid="{00000000-0005-0000-0000-000085670000}"/>
    <cellStyle name="Calculation 2 2 13 7 4" xfId="26533" xr:uid="{00000000-0005-0000-0000-000086670000}"/>
    <cellStyle name="Calculation 2 2 13 7 5" xfId="26534" xr:uid="{00000000-0005-0000-0000-000087670000}"/>
    <cellStyle name="Calculation 2 2 13 7 6" xfId="26535" xr:uid="{00000000-0005-0000-0000-000088670000}"/>
    <cellStyle name="Calculation 2 2 13 8" xfId="26536" xr:uid="{00000000-0005-0000-0000-000089670000}"/>
    <cellStyle name="Calculation 2 2 13 9" xfId="26537" xr:uid="{00000000-0005-0000-0000-00008A670000}"/>
    <cellStyle name="Calculation 2 2 14" xfId="26538" xr:uid="{00000000-0005-0000-0000-00008B670000}"/>
    <cellStyle name="Calculation 2 2 14 10" xfId="26539" xr:uid="{00000000-0005-0000-0000-00008C670000}"/>
    <cellStyle name="Calculation 2 2 14 2" xfId="26540" xr:uid="{00000000-0005-0000-0000-00008D670000}"/>
    <cellStyle name="Calculation 2 2 14 2 2" xfId="26541" xr:uid="{00000000-0005-0000-0000-00008E670000}"/>
    <cellStyle name="Calculation 2 2 14 2 3" xfId="26542" xr:uid="{00000000-0005-0000-0000-00008F670000}"/>
    <cellStyle name="Calculation 2 2 14 2 4" xfId="26543" xr:uid="{00000000-0005-0000-0000-000090670000}"/>
    <cellStyle name="Calculation 2 2 14 2 5" xfId="26544" xr:uid="{00000000-0005-0000-0000-000091670000}"/>
    <cellStyle name="Calculation 2 2 14 2 6" xfId="26545" xr:uid="{00000000-0005-0000-0000-000092670000}"/>
    <cellStyle name="Calculation 2 2 14 3" xfId="26546" xr:uid="{00000000-0005-0000-0000-000093670000}"/>
    <cellStyle name="Calculation 2 2 14 3 2" xfId="26547" xr:uid="{00000000-0005-0000-0000-000094670000}"/>
    <cellStyle name="Calculation 2 2 14 3 3" xfId="26548" xr:uid="{00000000-0005-0000-0000-000095670000}"/>
    <cellStyle name="Calculation 2 2 14 3 4" xfId="26549" xr:uid="{00000000-0005-0000-0000-000096670000}"/>
    <cellStyle name="Calculation 2 2 14 3 5" xfId="26550" xr:uid="{00000000-0005-0000-0000-000097670000}"/>
    <cellStyle name="Calculation 2 2 14 3 6" xfId="26551" xr:uid="{00000000-0005-0000-0000-000098670000}"/>
    <cellStyle name="Calculation 2 2 14 4" xfId="26552" xr:uid="{00000000-0005-0000-0000-000099670000}"/>
    <cellStyle name="Calculation 2 2 14 4 2" xfId="26553" xr:uid="{00000000-0005-0000-0000-00009A670000}"/>
    <cellStyle name="Calculation 2 2 14 4 3" xfId="26554" xr:uid="{00000000-0005-0000-0000-00009B670000}"/>
    <cellStyle name="Calculation 2 2 14 4 4" xfId="26555" xr:uid="{00000000-0005-0000-0000-00009C670000}"/>
    <cellStyle name="Calculation 2 2 14 4 5" xfId="26556" xr:uid="{00000000-0005-0000-0000-00009D670000}"/>
    <cellStyle name="Calculation 2 2 14 4 6" xfId="26557" xr:uid="{00000000-0005-0000-0000-00009E670000}"/>
    <cellStyle name="Calculation 2 2 14 5" xfId="26558" xr:uid="{00000000-0005-0000-0000-00009F670000}"/>
    <cellStyle name="Calculation 2 2 14 5 2" xfId="26559" xr:uid="{00000000-0005-0000-0000-0000A0670000}"/>
    <cellStyle name="Calculation 2 2 14 5 3" xfId="26560" xr:uid="{00000000-0005-0000-0000-0000A1670000}"/>
    <cellStyle name="Calculation 2 2 14 5 4" xfId="26561" xr:uid="{00000000-0005-0000-0000-0000A2670000}"/>
    <cellStyle name="Calculation 2 2 14 5 5" xfId="26562" xr:uid="{00000000-0005-0000-0000-0000A3670000}"/>
    <cellStyle name="Calculation 2 2 14 5 6" xfId="26563" xr:uid="{00000000-0005-0000-0000-0000A4670000}"/>
    <cellStyle name="Calculation 2 2 14 6" xfId="26564" xr:uid="{00000000-0005-0000-0000-0000A5670000}"/>
    <cellStyle name="Calculation 2 2 14 6 2" xfId="26565" xr:uid="{00000000-0005-0000-0000-0000A6670000}"/>
    <cellStyle name="Calculation 2 2 14 6 3" xfId="26566" xr:uid="{00000000-0005-0000-0000-0000A7670000}"/>
    <cellStyle name="Calculation 2 2 14 6 4" xfId="26567" xr:uid="{00000000-0005-0000-0000-0000A8670000}"/>
    <cellStyle name="Calculation 2 2 14 6 5" xfId="26568" xr:uid="{00000000-0005-0000-0000-0000A9670000}"/>
    <cellStyle name="Calculation 2 2 14 6 6" xfId="26569" xr:uid="{00000000-0005-0000-0000-0000AA670000}"/>
    <cellStyle name="Calculation 2 2 14 7" xfId="26570" xr:uid="{00000000-0005-0000-0000-0000AB670000}"/>
    <cellStyle name="Calculation 2 2 14 7 2" xfId="26571" xr:uid="{00000000-0005-0000-0000-0000AC670000}"/>
    <cellStyle name="Calculation 2 2 14 7 3" xfId="26572" xr:uid="{00000000-0005-0000-0000-0000AD670000}"/>
    <cellStyle name="Calculation 2 2 14 7 4" xfId="26573" xr:uid="{00000000-0005-0000-0000-0000AE670000}"/>
    <cellStyle name="Calculation 2 2 14 7 5" xfId="26574" xr:uid="{00000000-0005-0000-0000-0000AF670000}"/>
    <cellStyle name="Calculation 2 2 14 7 6" xfId="26575" xr:uid="{00000000-0005-0000-0000-0000B0670000}"/>
    <cellStyle name="Calculation 2 2 14 8" xfId="26576" xr:uid="{00000000-0005-0000-0000-0000B1670000}"/>
    <cellStyle name="Calculation 2 2 14 9" xfId="26577" xr:uid="{00000000-0005-0000-0000-0000B2670000}"/>
    <cellStyle name="Calculation 2 2 15" xfId="26578" xr:uid="{00000000-0005-0000-0000-0000B3670000}"/>
    <cellStyle name="Calculation 2 2 15 10" xfId="26579" xr:uid="{00000000-0005-0000-0000-0000B4670000}"/>
    <cellStyle name="Calculation 2 2 15 2" xfId="26580" xr:uid="{00000000-0005-0000-0000-0000B5670000}"/>
    <cellStyle name="Calculation 2 2 15 2 2" xfId="26581" xr:uid="{00000000-0005-0000-0000-0000B6670000}"/>
    <cellStyle name="Calculation 2 2 15 2 3" xfId="26582" xr:uid="{00000000-0005-0000-0000-0000B7670000}"/>
    <cellStyle name="Calculation 2 2 15 2 4" xfId="26583" xr:uid="{00000000-0005-0000-0000-0000B8670000}"/>
    <cellStyle name="Calculation 2 2 15 2 5" xfId="26584" xr:uid="{00000000-0005-0000-0000-0000B9670000}"/>
    <cellStyle name="Calculation 2 2 15 2 6" xfId="26585" xr:uid="{00000000-0005-0000-0000-0000BA670000}"/>
    <cellStyle name="Calculation 2 2 15 3" xfId="26586" xr:uid="{00000000-0005-0000-0000-0000BB670000}"/>
    <cellStyle name="Calculation 2 2 15 3 2" xfId="26587" xr:uid="{00000000-0005-0000-0000-0000BC670000}"/>
    <cellStyle name="Calculation 2 2 15 3 3" xfId="26588" xr:uid="{00000000-0005-0000-0000-0000BD670000}"/>
    <cellStyle name="Calculation 2 2 15 3 4" xfId="26589" xr:uid="{00000000-0005-0000-0000-0000BE670000}"/>
    <cellStyle name="Calculation 2 2 15 3 5" xfId="26590" xr:uid="{00000000-0005-0000-0000-0000BF670000}"/>
    <cellStyle name="Calculation 2 2 15 3 6" xfId="26591" xr:uid="{00000000-0005-0000-0000-0000C0670000}"/>
    <cellStyle name="Calculation 2 2 15 4" xfId="26592" xr:uid="{00000000-0005-0000-0000-0000C1670000}"/>
    <cellStyle name="Calculation 2 2 15 4 2" xfId="26593" xr:uid="{00000000-0005-0000-0000-0000C2670000}"/>
    <cellStyle name="Calculation 2 2 15 4 3" xfId="26594" xr:uid="{00000000-0005-0000-0000-0000C3670000}"/>
    <cellStyle name="Calculation 2 2 15 4 4" xfId="26595" xr:uid="{00000000-0005-0000-0000-0000C4670000}"/>
    <cellStyle name="Calculation 2 2 15 4 5" xfId="26596" xr:uid="{00000000-0005-0000-0000-0000C5670000}"/>
    <cellStyle name="Calculation 2 2 15 4 6" xfId="26597" xr:uid="{00000000-0005-0000-0000-0000C6670000}"/>
    <cellStyle name="Calculation 2 2 15 5" xfId="26598" xr:uid="{00000000-0005-0000-0000-0000C7670000}"/>
    <cellStyle name="Calculation 2 2 15 5 2" xfId="26599" xr:uid="{00000000-0005-0000-0000-0000C8670000}"/>
    <cellStyle name="Calculation 2 2 15 5 3" xfId="26600" xr:uid="{00000000-0005-0000-0000-0000C9670000}"/>
    <cellStyle name="Calculation 2 2 15 5 4" xfId="26601" xr:uid="{00000000-0005-0000-0000-0000CA670000}"/>
    <cellStyle name="Calculation 2 2 15 5 5" xfId="26602" xr:uid="{00000000-0005-0000-0000-0000CB670000}"/>
    <cellStyle name="Calculation 2 2 15 5 6" xfId="26603" xr:uid="{00000000-0005-0000-0000-0000CC670000}"/>
    <cellStyle name="Calculation 2 2 15 6" xfId="26604" xr:uid="{00000000-0005-0000-0000-0000CD670000}"/>
    <cellStyle name="Calculation 2 2 15 6 2" xfId="26605" xr:uid="{00000000-0005-0000-0000-0000CE670000}"/>
    <cellStyle name="Calculation 2 2 15 6 3" xfId="26606" xr:uid="{00000000-0005-0000-0000-0000CF670000}"/>
    <cellStyle name="Calculation 2 2 15 6 4" xfId="26607" xr:uid="{00000000-0005-0000-0000-0000D0670000}"/>
    <cellStyle name="Calculation 2 2 15 6 5" xfId="26608" xr:uid="{00000000-0005-0000-0000-0000D1670000}"/>
    <cellStyle name="Calculation 2 2 15 6 6" xfId="26609" xr:uid="{00000000-0005-0000-0000-0000D2670000}"/>
    <cellStyle name="Calculation 2 2 15 7" xfId="26610" xr:uid="{00000000-0005-0000-0000-0000D3670000}"/>
    <cellStyle name="Calculation 2 2 15 7 2" xfId="26611" xr:uid="{00000000-0005-0000-0000-0000D4670000}"/>
    <cellStyle name="Calculation 2 2 15 7 3" xfId="26612" xr:uid="{00000000-0005-0000-0000-0000D5670000}"/>
    <cellStyle name="Calculation 2 2 15 7 4" xfId="26613" xr:uid="{00000000-0005-0000-0000-0000D6670000}"/>
    <cellStyle name="Calculation 2 2 15 7 5" xfId="26614" xr:uid="{00000000-0005-0000-0000-0000D7670000}"/>
    <cellStyle name="Calculation 2 2 15 7 6" xfId="26615" xr:uid="{00000000-0005-0000-0000-0000D8670000}"/>
    <cellStyle name="Calculation 2 2 15 8" xfId="26616" xr:uid="{00000000-0005-0000-0000-0000D9670000}"/>
    <cellStyle name="Calculation 2 2 15 9" xfId="26617" xr:uid="{00000000-0005-0000-0000-0000DA670000}"/>
    <cellStyle name="Calculation 2 2 16" xfId="26618" xr:uid="{00000000-0005-0000-0000-0000DB670000}"/>
    <cellStyle name="Calculation 2 2 16 10" xfId="26619" xr:uid="{00000000-0005-0000-0000-0000DC670000}"/>
    <cellStyle name="Calculation 2 2 16 2" xfId="26620" xr:uid="{00000000-0005-0000-0000-0000DD670000}"/>
    <cellStyle name="Calculation 2 2 16 2 2" xfId="26621" xr:uid="{00000000-0005-0000-0000-0000DE670000}"/>
    <cellStyle name="Calculation 2 2 16 2 3" xfId="26622" xr:uid="{00000000-0005-0000-0000-0000DF670000}"/>
    <cellStyle name="Calculation 2 2 16 2 4" xfId="26623" xr:uid="{00000000-0005-0000-0000-0000E0670000}"/>
    <cellStyle name="Calculation 2 2 16 2 5" xfId="26624" xr:uid="{00000000-0005-0000-0000-0000E1670000}"/>
    <cellStyle name="Calculation 2 2 16 2 6" xfId="26625" xr:uid="{00000000-0005-0000-0000-0000E2670000}"/>
    <cellStyle name="Calculation 2 2 16 3" xfId="26626" xr:uid="{00000000-0005-0000-0000-0000E3670000}"/>
    <cellStyle name="Calculation 2 2 16 3 2" xfId="26627" xr:uid="{00000000-0005-0000-0000-0000E4670000}"/>
    <cellStyle name="Calculation 2 2 16 3 3" xfId="26628" xr:uid="{00000000-0005-0000-0000-0000E5670000}"/>
    <cellStyle name="Calculation 2 2 16 3 4" xfId="26629" xr:uid="{00000000-0005-0000-0000-0000E6670000}"/>
    <cellStyle name="Calculation 2 2 16 3 5" xfId="26630" xr:uid="{00000000-0005-0000-0000-0000E7670000}"/>
    <cellStyle name="Calculation 2 2 16 3 6" xfId="26631" xr:uid="{00000000-0005-0000-0000-0000E8670000}"/>
    <cellStyle name="Calculation 2 2 16 4" xfId="26632" xr:uid="{00000000-0005-0000-0000-0000E9670000}"/>
    <cellStyle name="Calculation 2 2 16 4 2" xfId="26633" xr:uid="{00000000-0005-0000-0000-0000EA670000}"/>
    <cellStyle name="Calculation 2 2 16 4 3" xfId="26634" xr:uid="{00000000-0005-0000-0000-0000EB670000}"/>
    <cellStyle name="Calculation 2 2 16 4 4" xfId="26635" xr:uid="{00000000-0005-0000-0000-0000EC670000}"/>
    <cellStyle name="Calculation 2 2 16 4 5" xfId="26636" xr:uid="{00000000-0005-0000-0000-0000ED670000}"/>
    <cellStyle name="Calculation 2 2 16 4 6" xfId="26637" xr:uid="{00000000-0005-0000-0000-0000EE670000}"/>
    <cellStyle name="Calculation 2 2 16 5" xfId="26638" xr:uid="{00000000-0005-0000-0000-0000EF670000}"/>
    <cellStyle name="Calculation 2 2 16 5 2" xfId="26639" xr:uid="{00000000-0005-0000-0000-0000F0670000}"/>
    <cellStyle name="Calculation 2 2 16 5 3" xfId="26640" xr:uid="{00000000-0005-0000-0000-0000F1670000}"/>
    <cellStyle name="Calculation 2 2 16 5 4" xfId="26641" xr:uid="{00000000-0005-0000-0000-0000F2670000}"/>
    <cellStyle name="Calculation 2 2 16 5 5" xfId="26642" xr:uid="{00000000-0005-0000-0000-0000F3670000}"/>
    <cellStyle name="Calculation 2 2 16 5 6" xfId="26643" xr:uid="{00000000-0005-0000-0000-0000F4670000}"/>
    <cellStyle name="Calculation 2 2 16 6" xfId="26644" xr:uid="{00000000-0005-0000-0000-0000F5670000}"/>
    <cellStyle name="Calculation 2 2 16 6 2" xfId="26645" xr:uid="{00000000-0005-0000-0000-0000F6670000}"/>
    <cellStyle name="Calculation 2 2 16 6 3" xfId="26646" xr:uid="{00000000-0005-0000-0000-0000F7670000}"/>
    <cellStyle name="Calculation 2 2 16 6 4" xfId="26647" xr:uid="{00000000-0005-0000-0000-0000F8670000}"/>
    <cellStyle name="Calculation 2 2 16 6 5" xfId="26648" xr:uid="{00000000-0005-0000-0000-0000F9670000}"/>
    <cellStyle name="Calculation 2 2 16 6 6" xfId="26649" xr:uid="{00000000-0005-0000-0000-0000FA670000}"/>
    <cellStyle name="Calculation 2 2 16 7" xfId="26650" xr:uid="{00000000-0005-0000-0000-0000FB670000}"/>
    <cellStyle name="Calculation 2 2 16 7 2" xfId="26651" xr:uid="{00000000-0005-0000-0000-0000FC670000}"/>
    <cellStyle name="Calculation 2 2 16 7 3" xfId="26652" xr:uid="{00000000-0005-0000-0000-0000FD670000}"/>
    <cellStyle name="Calculation 2 2 16 7 4" xfId="26653" xr:uid="{00000000-0005-0000-0000-0000FE670000}"/>
    <cellStyle name="Calculation 2 2 16 7 5" xfId="26654" xr:uid="{00000000-0005-0000-0000-0000FF670000}"/>
    <cellStyle name="Calculation 2 2 16 7 6" xfId="26655" xr:uid="{00000000-0005-0000-0000-000000680000}"/>
    <cellStyle name="Calculation 2 2 16 8" xfId="26656" xr:uid="{00000000-0005-0000-0000-000001680000}"/>
    <cellStyle name="Calculation 2 2 16 9" xfId="26657" xr:uid="{00000000-0005-0000-0000-000002680000}"/>
    <cellStyle name="Calculation 2 2 17" xfId="26658" xr:uid="{00000000-0005-0000-0000-000003680000}"/>
    <cellStyle name="Calculation 2 2 17 10" xfId="26659" xr:uid="{00000000-0005-0000-0000-000004680000}"/>
    <cellStyle name="Calculation 2 2 17 2" xfId="26660" xr:uid="{00000000-0005-0000-0000-000005680000}"/>
    <cellStyle name="Calculation 2 2 17 2 2" xfId="26661" xr:uid="{00000000-0005-0000-0000-000006680000}"/>
    <cellStyle name="Calculation 2 2 17 2 3" xfId="26662" xr:uid="{00000000-0005-0000-0000-000007680000}"/>
    <cellStyle name="Calculation 2 2 17 2 4" xfId="26663" xr:uid="{00000000-0005-0000-0000-000008680000}"/>
    <cellStyle name="Calculation 2 2 17 2 5" xfId="26664" xr:uid="{00000000-0005-0000-0000-000009680000}"/>
    <cellStyle name="Calculation 2 2 17 2 6" xfId="26665" xr:uid="{00000000-0005-0000-0000-00000A680000}"/>
    <cellStyle name="Calculation 2 2 17 3" xfId="26666" xr:uid="{00000000-0005-0000-0000-00000B680000}"/>
    <cellStyle name="Calculation 2 2 17 3 2" xfId="26667" xr:uid="{00000000-0005-0000-0000-00000C680000}"/>
    <cellStyle name="Calculation 2 2 17 3 3" xfId="26668" xr:uid="{00000000-0005-0000-0000-00000D680000}"/>
    <cellStyle name="Calculation 2 2 17 3 4" xfId="26669" xr:uid="{00000000-0005-0000-0000-00000E680000}"/>
    <cellStyle name="Calculation 2 2 17 3 5" xfId="26670" xr:uid="{00000000-0005-0000-0000-00000F680000}"/>
    <cellStyle name="Calculation 2 2 17 3 6" xfId="26671" xr:uid="{00000000-0005-0000-0000-000010680000}"/>
    <cellStyle name="Calculation 2 2 17 4" xfId="26672" xr:uid="{00000000-0005-0000-0000-000011680000}"/>
    <cellStyle name="Calculation 2 2 17 4 2" xfId="26673" xr:uid="{00000000-0005-0000-0000-000012680000}"/>
    <cellStyle name="Calculation 2 2 17 4 3" xfId="26674" xr:uid="{00000000-0005-0000-0000-000013680000}"/>
    <cellStyle name="Calculation 2 2 17 4 4" xfId="26675" xr:uid="{00000000-0005-0000-0000-000014680000}"/>
    <cellStyle name="Calculation 2 2 17 4 5" xfId="26676" xr:uid="{00000000-0005-0000-0000-000015680000}"/>
    <cellStyle name="Calculation 2 2 17 4 6" xfId="26677" xr:uid="{00000000-0005-0000-0000-000016680000}"/>
    <cellStyle name="Calculation 2 2 17 5" xfId="26678" xr:uid="{00000000-0005-0000-0000-000017680000}"/>
    <cellStyle name="Calculation 2 2 17 5 2" xfId="26679" xr:uid="{00000000-0005-0000-0000-000018680000}"/>
    <cellStyle name="Calculation 2 2 17 5 3" xfId="26680" xr:uid="{00000000-0005-0000-0000-000019680000}"/>
    <cellStyle name="Calculation 2 2 17 5 4" xfId="26681" xr:uid="{00000000-0005-0000-0000-00001A680000}"/>
    <cellStyle name="Calculation 2 2 17 5 5" xfId="26682" xr:uid="{00000000-0005-0000-0000-00001B680000}"/>
    <cellStyle name="Calculation 2 2 17 5 6" xfId="26683" xr:uid="{00000000-0005-0000-0000-00001C680000}"/>
    <cellStyle name="Calculation 2 2 17 6" xfId="26684" xr:uid="{00000000-0005-0000-0000-00001D680000}"/>
    <cellStyle name="Calculation 2 2 17 6 2" xfId="26685" xr:uid="{00000000-0005-0000-0000-00001E680000}"/>
    <cellStyle name="Calculation 2 2 17 6 3" xfId="26686" xr:uid="{00000000-0005-0000-0000-00001F680000}"/>
    <cellStyle name="Calculation 2 2 17 6 4" xfId="26687" xr:uid="{00000000-0005-0000-0000-000020680000}"/>
    <cellStyle name="Calculation 2 2 17 6 5" xfId="26688" xr:uid="{00000000-0005-0000-0000-000021680000}"/>
    <cellStyle name="Calculation 2 2 17 6 6" xfId="26689" xr:uid="{00000000-0005-0000-0000-000022680000}"/>
    <cellStyle name="Calculation 2 2 17 7" xfId="26690" xr:uid="{00000000-0005-0000-0000-000023680000}"/>
    <cellStyle name="Calculation 2 2 17 7 2" xfId="26691" xr:uid="{00000000-0005-0000-0000-000024680000}"/>
    <cellStyle name="Calculation 2 2 17 7 3" xfId="26692" xr:uid="{00000000-0005-0000-0000-000025680000}"/>
    <cellStyle name="Calculation 2 2 17 7 4" xfId="26693" xr:uid="{00000000-0005-0000-0000-000026680000}"/>
    <cellStyle name="Calculation 2 2 17 7 5" xfId="26694" xr:uid="{00000000-0005-0000-0000-000027680000}"/>
    <cellStyle name="Calculation 2 2 17 7 6" xfId="26695" xr:uid="{00000000-0005-0000-0000-000028680000}"/>
    <cellStyle name="Calculation 2 2 17 8" xfId="26696" xr:uid="{00000000-0005-0000-0000-000029680000}"/>
    <cellStyle name="Calculation 2 2 17 9" xfId="26697" xr:uid="{00000000-0005-0000-0000-00002A680000}"/>
    <cellStyle name="Calculation 2 2 18" xfId="26698" xr:uid="{00000000-0005-0000-0000-00002B680000}"/>
    <cellStyle name="Calculation 2 2 18 10" xfId="26699" xr:uid="{00000000-0005-0000-0000-00002C680000}"/>
    <cellStyle name="Calculation 2 2 18 2" xfId="26700" xr:uid="{00000000-0005-0000-0000-00002D680000}"/>
    <cellStyle name="Calculation 2 2 18 2 2" xfId="26701" xr:uid="{00000000-0005-0000-0000-00002E680000}"/>
    <cellStyle name="Calculation 2 2 18 2 3" xfId="26702" xr:uid="{00000000-0005-0000-0000-00002F680000}"/>
    <cellStyle name="Calculation 2 2 18 2 4" xfId="26703" xr:uid="{00000000-0005-0000-0000-000030680000}"/>
    <cellStyle name="Calculation 2 2 18 2 5" xfId="26704" xr:uid="{00000000-0005-0000-0000-000031680000}"/>
    <cellStyle name="Calculation 2 2 18 2 6" xfId="26705" xr:uid="{00000000-0005-0000-0000-000032680000}"/>
    <cellStyle name="Calculation 2 2 18 3" xfId="26706" xr:uid="{00000000-0005-0000-0000-000033680000}"/>
    <cellStyle name="Calculation 2 2 18 3 2" xfId="26707" xr:uid="{00000000-0005-0000-0000-000034680000}"/>
    <cellStyle name="Calculation 2 2 18 3 3" xfId="26708" xr:uid="{00000000-0005-0000-0000-000035680000}"/>
    <cellStyle name="Calculation 2 2 18 3 4" xfId="26709" xr:uid="{00000000-0005-0000-0000-000036680000}"/>
    <cellStyle name="Calculation 2 2 18 3 5" xfId="26710" xr:uid="{00000000-0005-0000-0000-000037680000}"/>
    <cellStyle name="Calculation 2 2 18 3 6" xfId="26711" xr:uid="{00000000-0005-0000-0000-000038680000}"/>
    <cellStyle name="Calculation 2 2 18 4" xfId="26712" xr:uid="{00000000-0005-0000-0000-000039680000}"/>
    <cellStyle name="Calculation 2 2 18 4 2" xfId="26713" xr:uid="{00000000-0005-0000-0000-00003A680000}"/>
    <cellStyle name="Calculation 2 2 18 4 3" xfId="26714" xr:uid="{00000000-0005-0000-0000-00003B680000}"/>
    <cellStyle name="Calculation 2 2 18 4 4" xfId="26715" xr:uid="{00000000-0005-0000-0000-00003C680000}"/>
    <cellStyle name="Calculation 2 2 18 4 5" xfId="26716" xr:uid="{00000000-0005-0000-0000-00003D680000}"/>
    <cellStyle name="Calculation 2 2 18 4 6" xfId="26717" xr:uid="{00000000-0005-0000-0000-00003E680000}"/>
    <cellStyle name="Calculation 2 2 18 5" xfId="26718" xr:uid="{00000000-0005-0000-0000-00003F680000}"/>
    <cellStyle name="Calculation 2 2 18 5 2" xfId="26719" xr:uid="{00000000-0005-0000-0000-000040680000}"/>
    <cellStyle name="Calculation 2 2 18 5 3" xfId="26720" xr:uid="{00000000-0005-0000-0000-000041680000}"/>
    <cellStyle name="Calculation 2 2 18 5 4" xfId="26721" xr:uid="{00000000-0005-0000-0000-000042680000}"/>
    <cellStyle name="Calculation 2 2 18 5 5" xfId="26722" xr:uid="{00000000-0005-0000-0000-000043680000}"/>
    <cellStyle name="Calculation 2 2 18 5 6" xfId="26723" xr:uid="{00000000-0005-0000-0000-000044680000}"/>
    <cellStyle name="Calculation 2 2 18 6" xfId="26724" xr:uid="{00000000-0005-0000-0000-000045680000}"/>
    <cellStyle name="Calculation 2 2 18 6 2" xfId="26725" xr:uid="{00000000-0005-0000-0000-000046680000}"/>
    <cellStyle name="Calculation 2 2 18 6 3" xfId="26726" xr:uid="{00000000-0005-0000-0000-000047680000}"/>
    <cellStyle name="Calculation 2 2 18 6 4" xfId="26727" xr:uid="{00000000-0005-0000-0000-000048680000}"/>
    <cellStyle name="Calculation 2 2 18 6 5" xfId="26728" xr:uid="{00000000-0005-0000-0000-000049680000}"/>
    <cellStyle name="Calculation 2 2 18 6 6" xfId="26729" xr:uid="{00000000-0005-0000-0000-00004A680000}"/>
    <cellStyle name="Calculation 2 2 18 7" xfId="26730" xr:uid="{00000000-0005-0000-0000-00004B680000}"/>
    <cellStyle name="Calculation 2 2 18 7 2" xfId="26731" xr:uid="{00000000-0005-0000-0000-00004C680000}"/>
    <cellStyle name="Calculation 2 2 18 7 3" xfId="26732" xr:uid="{00000000-0005-0000-0000-00004D680000}"/>
    <cellStyle name="Calculation 2 2 18 7 4" xfId="26733" xr:uid="{00000000-0005-0000-0000-00004E680000}"/>
    <cellStyle name="Calculation 2 2 18 7 5" xfId="26734" xr:uid="{00000000-0005-0000-0000-00004F680000}"/>
    <cellStyle name="Calculation 2 2 18 7 6" xfId="26735" xr:uid="{00000000-0005-0000-0000-000050680000}"/>
    <cellStyle name="Calculation 2 2 18 8" xfId="26736" xr:uid="{00000000-0005-0000-0000-000051680000}"/>
    <cellStyle name="Calculation 2 2 18 9" xfId="26737" xr:uid="{00000000-0005-0000-0000-000052680000}"/>
    <cellStyle name="Calculation 2 2 19" xfId="26738" xr:uid="{00000000-0005-0000-0000-000053680000}"/>
    <cellStyle name="Calculation 2 2 19 10" xfId="26739" xr:uid="{00000000-0005-0000-0000-000054680000}"/>
    <cellStyle name="Calculation 2 2 19 2" xfId="26740" xr:uid="{00000000-0005-0000-0000-000055680000}"/>
    <cellStyle name="Calculation 2 2 19 2 2" xfId="26741" xr:uid="{00000000-0005-0000-0000-000056680000}"/>
    <cellStyle name="Calculation 2 2 19 2 3" xfId="26742" xr:uid="{00000000-0005-0000-0000-000057680000}"/>
    <cellStyle name="Calculation 2 2 19 2 4" xfId="26743" xr:uid="{00000000-0005-0000-0000-000058680000}"/>
    <cellStyle name="Calculation 2 2 19 2 5" xfId="26744" xr:uid="{00000000-0005-0000-0000-000059680000}"/>
    <cellStyle name="Calculation 2 2 19 2 6" xfId="26745" xr:uid="{00000000-0005-0000-0000-00005A680000}"/>
    <cellStyle name="Calculation 2 2 19 3" xfId="26746" xr:uid="{00000000-0005-0000-0000-00005B680000}"/>
    <cellStyle name="Calculation 2 2 19 3 2" xfId="26747" xr:uid="{00000000-0005-0000-0000-00005C680000}"/>
    <cellStyle name="Calculation 2 2 19 3 3" xfId="26748" xr:uid="{00000000-0005-0000-0000-00005D680000}"/>
    <cellStyle name="Calculation 2 2 19 3 4" xfId="26749" xr:uid="{00000000-0005-0000-0000-00005E680000}"/>
    <cellStyle name="Calculation 2 2 19 3 5" xfId="26750" xr:uid="{00000000-0005-0000-0000-00005F680000}"/>
    <cellStyle name="Calculation 2 2 19 3 6" xfId="26751" xr:uid="{00000000-0005-0000-0000-000060680000}"/>
    <cellStyle name="Calculation 2 2 19 4" xfId="26752" xr:uid="{00000000-0005-0000-0000-000061680000}"/>
    <cellStyle name="Calculation 2 2 19 4 2" xfId="26753" xr:uid="{00000000-0005-0000-0000-000062680000}"/>
    <cellStyle name="Calculation 2 2 19 4 3" xfId="26754" xr:uid="{00000000-0005-0000-0000-000063680000}"/>
    <cellStyle name="Calculation 2 2 19 4 4" xfId="26755" xr:uid="{00000000-0005-0000-0000-000064680000}"/>
    <cellStyle name="Calculation 2 2 19 4 5" xfId="26756" xr:uid="{00000000-0005-0000-0000-000065680000}"/>
    <cellStyle name="Calculation 2 2 19 4 6" xfId="26757" xr:uid="{00000000-0005-0000-0000-000066680000}"/>
    <cellStyle name="Calculation 2 2 19 5" xfId="26758" xr:uid="{00000000-0005-0000-0000-000067680000}"/>
    <cellStyle name="Calculation 2 2 19 5 2" xfId="26759" xr:uid="{00000000-0005-0000-0000-000068680000}"/>
    <cellStyle name="Calculation 2 2 19 5 3" xfId="26760" xr:uid="{00000000-0005-0000-0000-000069680000}"/>
    <cellStyle name="Calculation 2 2 19 5 4" xfId="26761" xr:uid="{00000000-0005-0000-0000-00006A680000}"/>
    <cellStyle name="Calculation 2 2 19 5 5" xfId="26762" xr:uid="{00000000-0005-0000-0000-00006B680000}"/>
    <cellStyle name="Calculation 2 2 19 5 6" xfId="26763" xr:uid="{00000000-0005-0000-0000-00006C680000}"/>
    <cellStyle name="Calculation 2 2 19 6" xfId="26764" xr:uid="{00000000-0005-0000-0000-00006D680000}"/>
    <cellStyle name="Calculation 2 2 19 6 2" xfId="26765" xr:uid="{00000000-0005-0000-0000-00006E680000}"/>
    <cellStyle name="Calculation 2 2 19 6 3" xfId="26766" xr:uid="{00000000-0005-0000-0000-00006F680000}"/>
    <cellStyle name="Calculation 2 2 19 6 4" xfId="26767" xr:uid="{00000000-0005-0000-0000-000070680000}"/>
    <cellStyle name="Calculation 2 2 19 6 5" xfId="26768" xr:uid="{00000000-0005-0000-0000-000071680000}"/>
    <cellStyle name="Calculation 2 2 19 6 6" xfId="26769" xr:uid="{00000000-0005-0000-0000-000072680000}"/>
    <cellStyle name="Calculation 2 2 19 7" xfId="26770" xr:uid="{00000000-0005-0000-0000-000073680000}"/>
    <cellStyle name="Calculation 2 2 19 7 2" xfId="26771" xr:uid="{00000000-0005-0000-0000-000074680000}"/>
    <cellStyle name="Calculation 2 2 19 7 3" xfId="26772" xr:uid="{00000000-0005-0000-0000-000075680000}"/>
    <cellStyle name="Calculation 2 2 19 7 4" xfId="26773" xr:uid="{00000000-0005-0000-0000-000076680000}"/>
    <cellStyle name="Calculation 2 2 19 7 5" xfId="26774" xr:uid="{00000000-0005-0000-0000-000077680000}"/>
    <cellStyle name="Calculation 2 2 19 7 6" xfId="26775" xr:uid="{00000000-0005-0000-0000-000078680000}"/>
    <cellStyle name="Calculation 2 2 19 8" xfId="26776" xr:uid="{00000000-0005-0000-0000-000079680000}"/>
    <cellStyle name="Calculation 2 2 19 9" xfId="26777" xr:uid="{00000000-0005-0000-0000-00007A680000}"/>
    <cellStyle name="Calculation 2 2 2" xfId="26778" xr:uid="{00000000-0005-0000-0000-00007B680000}"/>
    <cellStyle name="Calculation 2 2 2 10" xfId="26779" xr:uid="{00000000-0005-0000-0000-00007C680000}"/>
    <cellStyle name="Calculation 2 2 2 2" xfId="26780" xr:uid="{00000000-0005-0000-0000-00007D680000}"/>
    <cellStyle name="Calculation 2 2 2 2 2" xfId="26781" xr:uid="{00000000-0005-0000-0000-00007E680000}"/>
    <cellStyle name="Calculation 2 2 2 2 3" xfId="26782" xr:uid="{00000000-0005-0000-0000-00007F680000}"/>
    <cellStyle name="Calculation 2 2 2 2 4" xfId="26783" xr:uid="{00000000-0005-0000-0000-000080680000}"/>
    <cellStyle name="Calculation 2 2 2 2 5" xfId="26784" xr:uid="{00000000-0005-0000-0000-000081680000}"/>
    <cellStyle name="Calculation 2 2 2 2 6" xfId="26785" xr:uid="{00000000-0005-0000-0000-000082680000}"/>
    <cellStyle name="Calculation 2 2 2 3" xfId="26786" xr:uid="{00000000-0005-0000-0000-000083680000}"/>
    <cellStyle name="Calculation 2 2 2 3 2" xfId="26787" xr:uid="{00000000-0005-0000-0000-000084680000}"/>
    <cellStyle name="Calculation 2 2 2 3 3" xfId="26788" xr:uid="{00000000-0005-0000-0000-000085680000}"/>
    <cellStyle name="Calculation 2 2 2 3 4" xfId="26789" xr:uid="{00000000-0005-0000-0000-000086680000}"/>
    <cellStyle name="Calculation 2 2 2 3 5" xfId="26790" xr:uid="{00000000-0005-0000-0000-000087680000}"/>
    <cellStyle name="Calculation 2 2 2 3 6" xfId="26791" xr:uid="{00000000-0005-0000-0000-000088680000}"/>
    <cellStyle name="Calculation 2 2 2 4" xfId="26792" xr:uid="{00000000-0005-0000-0000-000089680000}"/>
    <cellStyle name="Calculation 2 2 2 4 2" xfId="26793" xr:uid="{00000000-0005-0000-0000-00008A680000}"/>
    <cellStyle name="Calculation 2 2 2 4 3" xfId="26794" xr:uid="{00000000-0005-0000-0000-00008B680000}"/>
    <cellStyle name="Calculation 2 2 2 4 4" xfId="26795" xr:uid="{00000000-0005-0000-0000-00008C680000}"/>
    <cellStyle name="Calculation 2 2 2 4 5" xfId="26796" xr:uid="{00000000-0005-0000-0000-00008D680000}"/>
    <cellStyle name="Calculation 2 2 2 4 6" xfId="26797" xr:uid="{00000000-0005-0000-0000-00008E680000}"/>
    <cellStyle name="Calculation 2 2 2 5" xfId="26798" xr:uid="{00000000-0005-0000-0000-00008F680000}"/>
    <cellStyle name="Calculation 2 2 2 5 2" xfId="26799" xr:uid="{00000000-0005-0000-0000-000090680000}"/>
    <cellStyle name="Calculation 2 2 2 5 3" xfId="26800" xr:uid="{00000000-0005-0000-0000-000091680000}"/>
    <cellStyle name="Calculation 2 2 2 5 4" xfId="26801" xr:uid="{00000000-0005-0000-0000-000092680000}"/>
    <cellStyle name="Calculation 2 2 2 5 5" xfId="26802" xr:uid="{00000000-0005-0000-0000-000093680000}"/>
    <cellStyle name="Calculation 2 2 2 5 6" xfId="26803" xr:uid="{00000000-0005-0000-0000-000094680000}"/>
    <cellStyle name="Calculation 2 2 2 6" xfId="26804" xr:uid="{00000000-0005-0000-0000-000095680000}"/>
    <cellStyle name="Calculation 2 2 2 6 2" xfId="26805" xr:uid="{00000000-0005-0000-0000-000096680000}"/>
    <cellStyle name="Calculation 2 2 2 6 3" xfId="26806" xr:uid="{00000000-0005-0000-0000-000097680000}"/>
    <cellStyle name="Calculation 2 2 2 6 4" xfId="26807" xr:uid="{00000000-0005-0000-0000-000098680000}"/>
    <cellStyle name="Calculation 2 2 2 6 5" xfId="26808" xr:uid="{00000000-0005-0000-0000-000099680000}"/>
    <cellStyle name="Calculation 2 2 2 6 6" xfId="26809" xr:uid="{00000000-0005-0000-0000-00009A680000}"/>
    <cellStyle name="Calculation 2 2 2 7" xfId="26810" xr:uid="{00000000-0005-0000-0000-00009B680000}"/>
    <cellStyle name="Calculation 2 2 2 7 2" xfId="26811" xr:uid="{00000000-0005-0000-0000-00009C680000}"/>
    <cellStyle name="Calculation 2 2 2 7 3" xfId="26812" xr:uid="{00000000-0005-0000-0000-00009D680000}"/>
    <cellStyle name="Calculation 2 2 2 7 4" xfId="26813" xr:uid="{00000000-0005-0000-0000-00009E680000}"/>
    <cellStyle name="Calculation 2 2 2 7 5" xfId="26814" xr:uid="{00000000-0005-0000-0000-00009F680000}"/>
    <cellStyle name="Calculation 2 2 2 7 6" xfId="26815" xr:uid="{00000000-0005-0000-0000-0000A0680000}"/>
    <cellStyle name="Calculation 2 2 2 8" xfId="26816" xr:uid="{00000000-0005-0000-0000-0000A1680000}"/>
    <cellStyle name="Calculation 2 2 2 9" xfId="26817" xr:uid="{00000000-0005-0000-0000-0000A2680000}"/>
    <cellStyle name="Calculation 2 2 20" xfId="26818" xr:uid="{00000000-0005-0000-0000-0000A3680000}"/>
    <cellStyle name="Calculation 2 2 20 10" xfId="26819" xr:uid="{00000000-0005-0000-0000-0000A4680000}"/>
    <cellStyle name="Calculation 2 2 20 2" xfId="26820" xr:uid="{00000000-0005-0000-0000-0000A5680000}"/>
    <cellStyle name="Calculation 2 2 20 2 2" xfId="26821" xr:uid="{00000000-0005-0000-0000-0000A6680000}"/>
    <cellStyle name="Calculation 2 2 20 2 3" xfId="26822" xr:uid="{00000000-0005-0000-0000-0000A7680000}"/>
    <cellStyle name="Calculation 2 2 20 2 4" xfId="26823" xr:uid="{00000000-0005-0000-0000-0000A8680000}"/>
    <cellStyle name="Calculation 2 2 20 2 5" xfId="26824" xr:uid="{00000000-0005-0000-0000-0000A9680000}"/>
    <cellStyle name="Calculation 2 2 20 2 6" xfId="26825" xr:uid="{00000000-0005-0000-0000-0000AA680000}"/>
    <cellStyle name="Calculation 2 2 20 3" xfId="26826" xr:uid="{00000000-0005-0000-0000-0000AB680000}"/>
    <cellStyle name="Calculation 2 2 20 3 2" xfId="26827" xr:uid="{00000000-0005-0000-0000-0000AC680000}"/>
    <cellStyle name="Calculation 2 2 20 3 3" xfId="26828" xr:uid="{00000000-0005-0000-0000-0000AD680000}"/>
    <cellStyle name="Calculation 2 2 20 3 4" xfId="26829" xr:uid="{00000000-0005-0000-0000-0000AE680000}"/>
    <cellStyle name="Calculation 2 2 20 3 5" xfId="26830" xr:uid="{00000000-0005-0000-0000-0000AF680000}"/>
    <cellStyle name="Calculation 2 2 20 3 6" xfId="26831" xr:uid="{00000000-0005-0000-0000-0000B0680000}"/>
    <cellStyle name="Calculation 2 2 20 4" xfId="26832" xr:uid="{00000000-0005-0000-0000-0000B1680000}"/>
    <cellStyle name="Calculation 2 2 20 4 2" xfId="26833" xr:uid="{00000000-0005-0000-0000-0000B2680000}"/>
    <cellStyle name="Calculation 2 2 20 4 3" xfId="26834" xr:uid="{00000000-0005-0000-0000-0000B3680000}"/>
    <cellStyle name="Calculation 2 2 20 4 4" xfId="26835" xr:uid="{00000000-0005-0000-0000-0000B4680000}"/>
    <cellStyle name="Calculation 2 2 20 4 5" xfId="26836" xr:uid="{00000000-0005-0000-0000-0000B5680000}"/>
    <cellStyle name="Calculation 2 2 20 4 6" xfId="26837" xr:uid="{00000000-0005-0000-0000-0000B6680000}"/>
    <cellStyle name="Calculation 2 2 20 5" xfId="26838" xr:uid="{00000000-0005-0000-0000-0000B7680000}"/>
    <cellStyle name="Calculation 2 2 20 5 2" xfId="26839" xr:uid="{00000000-0005-0000-0000-0000B8680000}"/>
    <cellStyle name="Calculation 2 2 20 5 3" xfId="26840" xr:uid="{00000000-0005-0000-0000-0000B9680000}"/>
    <cellStyle name="Calculation 2 2 20 5 4" xfId="26841" xr:uid="{00000000-0005-0000-0000-0000BA680000}"/>
    <cellStyle name="Calculation 2 2 20 5 5" xfId="26842" xr:uid="{00000000-0005-0000-0000-0000BB680000}"/>
    <cellStyle name="Calculation 2 2 20 5 6" xfId="26843" xr:uid="{00000000-0005-0000-0000-0000BC680000}"/>
    <cellStyle name="Calculation 2 2 20 6" xfId="26844" xr:uid="{00000000-0005-0000-0000-0000BD680000}"/>
    <cellStyle name="Calculation 2 2 20 6 2" xfId="26845" xr:uid="{00000000-0005-0000-0000-0000BE680000}"/>
    <cellStyle name="Calculation 2 2 20 6 3" xfId="26846" xr:uid="{00000000-0005-0000-0000-0000BF680000}"/>
    <cellStyle name="Calculation 2 2 20 6 4" xfId="26847" xr:uid="{00000000-0005-0000-0000-0000C0680000}"/>
    <cellStyle name="Calculation 2 2 20 6 5" xfId="26848" xr:uid="{00000000-0005-0000-0000-0000C1680000}"/>
    <cellStyle name="Calculation 2 2 20 6 6" xfId="26849" xr:uid="{00000000-0005-0000-0000-0000C2680000}"/>
    <cellStyle name="Calculation 2 2 20 7" xfId="26850" xr:uid="{00000000-0005-0000-0000-0000C3680000}"/>
    <cellStyle name="Calculation 2 2 20 7 2" xfId="26851" xr:uid="{00000000-0005-0000-0000-0000C4680000}"/>
    <cellStyle name="Calculation 2 2 20 7 3" xfId="26852" xr:uid="{00000000-0005-0000-0000-0000C5680000}"/>
    <cellStyle name="Calculation 2 2 20 7 4" xfId="26853" xr:uid="{00000000-0005-0000-0000-0000C6680000}"/>
    <cellStyle name="Calculation 2 2 20 7 5" xfId="26854" xr:uid="{00000000-0005-0000-0000-0000C7680000}"/>
    <cellStyle name="Calculation 2 2 20 7 6" xfId="26855" xr:uid="{00000000-0005-0000-0000-0000C8680000}"/>
    <cellStyle name="Calculation 2 2 20 8" xfId="26856" xr:uid="{00000000-0005-0000-0000-0000C9680000}"/>
    <cellStyle name="Calculation 2 2 20 9" xfId="26857" xr:uid="{00000000-0005-0000-0000-0000CA680000}"/>
    <cellStyle name="Calculation 2 2 21" xfId="26858" xr:uid="{00000000-0005-0000-0000-0000CB680000}"/>
    <cellStyle name="Calculation 2 2 21 10" xfId="26859" xr:uid="{00000000-0005-0000-0000-0000CC680000}"/>
    <cellStyle name="Calculation 2 2 21 2" xfId="26860" xr:uid="{00000000-0005-0000-0000-0000CD680000}"/>
    <cellStyle name="Calculation 2 2 21 2 2" xfId="26861" xr:uid="{00000000-0005-0000-0000-0000CE680000}"/>
    <cellStyle name="Calculation 2 2 21 2 3" xfId="26862" xr:uid="{00000000-0005-0000-0000-0000CF680000}"/>
    <cellStyle name="Calculation 2 2 21 2 4" xfId="26863" xr:uid="{00000000-0005-0000-0000-0000D0680000}"/>
    <cellStyle name="Calculation 2 2 21 2 5" xfId="26864" xr:uid="{00000000-0005-0000-0000-0000D1680000}"/>
    <cellStyle name="Calculation 2 2 21 2 6" xfId="26865" xr:uid="{00000000-0005-0000-0000-0000D2680000}"/>
    <cellStyle name="Calculation 2 2 21 3" xfId="26866" xr:uid="{00000000-0005-0000-0000-0000D3680000}"/>
    <cellStyle name="Calculation 2 2 21 3 2" xfId="26867" xr:uid="{00000000-0005-0000-0000-0000D4680000}"/>
    <cellStyle name="Calculation 2 2 21 3 3" xfId="26868" xr:uid="{00000000-0005-0000-0000-0000D5680000}"/>
    <cellStyle name="Calculation 2 2 21 3 4" xfId="26869" xr:uid="{00000000-0005-0000-0000-0000D6680000}"/>
    <cellStyle name="Calculation 2 2 21 3 5" xfId="26870" xr:uid="{00000000-0005-0000-0000-0000D7680000}"/>
    <cellStyle name="Calculation 2 2 21 3 6" xfId="26871" xr:uid="{00000000-0005-0000-0000-0000D8680000}"/>
    <cellStyle name="Calculation 2 2 21 4" xfId="26872" xr:uid="{00000000-0005-0000-0000-0000D9680000}"/>
    <cellStyle name="Calculation 2 2 21 4 2" xfId="26873" xr:uid="{00000000-0005-0000-0000-0000DA680000}"/>
    <cellStyle name="Calculation 2 2 21 4 3" xfId="26874" xr:uid="{00000000-0005-0000-0000-0000DB680000}"/>
    <cellStyle name="Calculation 2 2 21 4 4" xfId="26875" xr:uid="{00000000-0005-0000-0000-0000DC680000}"/>
    <cellStyle name="Calculation 2 2 21 4 5" xfId="26876" xr:uid="{00000000-0005-0000-0000-0000DD680000}"/>
    <cellStyle name="Calculation 2 2 21 4 6" xfId="26877" xr:uid="{00000000-0005-0000-0000-0000DE680000}"/>
    <cellStyle name="Calculation 2 2 21 5" xfId="26878" xr:uid="{00000000-0005-0000-0000-0000DF680000}"/>
    <cellStyle name="Calculation 2 2 21 5 2" xfId="26879" xr:uid="{00000000-0005-0000-0000-0000E0680000}"/>
    <cellStyle name="Calculation 2 2 21 5 3" xfId="26880" xr:uid="{00000000-0005-0000-0000-0000E1680000}"/>
    <cellStyle name="Calculation 2 2 21 5 4" xfId="26881" xr:uid="{00000000-0005-0000-0000-0000E2680000}"/>
    <cellStyle name="Calculation 2 2 21 5 5" xfId="26882" xr:uid="{00000000-0005-0000-0000-0000E3680000}"/>
    <cellStyle name="Calculation 2 2 21 5 6" xfId="26883" xr:uid="{00000000-0005-0000-0000-0000E4680000}"/>
    <cellStyle name="Calculation 2 2 21 6" xfId="26884" xr:uid="{00000000-0005-0000-0000-0000E5680000}"/>
    <cellStyle name="Calculation 2 2 21 6 2" xfId="26885" xr:uid="{00000000-0005-0000-0000-0000E6680000}"/>
    <cellStyle name="Calculation 2 2 21 6 3" xfId="26886" xr:uid="{00000000-0005-0000-0000-0000E7680000}"/>
    <cellStyle name="Calculation 2 2 21 6 4" xfId="26887" xr:uid="{00000000-0005-0000-0000-0000E8680000}"/>
    <cellStyle name="Calculation 2 2 21 6 5" xfId="26888" xr:uid="{00000000-0005-0000-0000-0000E9680000}"/>
    <cellStyle name="Calculation 2 2 21 6 6" xfId="26889" xr:uid="{00000000-0005-0000-0000-0000EA680000}"/>
    <cellStyle name="Calculation 2 2 21 7" xfId="26890" xr:uid="{00000000-0005-0000-0000-0000EB680000}"/>
    <cellStyle name="Calculation 2 2 21 7 2" xfId="26891" xr:uid="{00000000-0005-0000-0000-0000EC680000}"/>
    <cellStyle name="Calculation 2 2 21 7 3" xfId="26892" xr:uid="{00000000-0005-0000-0000-0000ED680000}"/>
    <cellStyle name="Calculation 2 2 21 7 4" xfId="26893" xr:uid="{00000000-0005-0000-0000-0000EE680000}"/>
    <cellStyle name="Calculation 2 2 21 7 5" xfId="26894" xr:uid="{00000000-0005-0000-0000-0000EF680000}"/>
    <cellStyle name="Calculation 2 2 21 7 6" xfId="26895" xr:uid="{00000000-0005-0000-0000-0000F0680000}"/>
    <cellStyle name="Calculation 2 2 21 8" xfId="26896" xr:uid="{00000000-0005-0000-0000-0000F1680000}"/>
    <cellStyle name="Calculation 2 2 21 9" xfId="26897" xr:uid="{00000000-0005-0000-0000-0000F2680000}"/>
    <cellStyle name="Calculation 2 2 22" xfId="26898" xr:uid="{00000000-0005-0000-0000-0000F3680000}"/>
    <cellStyle name="Calculation 2 2 22 10" xfId="26899" xr:uid="{00000000-0005-0000-0000-0000F4680000}"/>
    <cellStyle name="Calculation 2 2 22 2" xfId="26900" xr:uid="{00000000-0005-0000-0000-0000F5680000}"/>
    <cellStyle name="Calculation 2 2 22 2 2" xfId="26901" xr:uid="{00000000-0005-0000-0000-0000F6680000}"/>
    <cellStyle name="Calculation 2 2 22 2 3" xfId="26902" xr:uid="{00000000-0005-0000-0000-0000F7680000}"/>
    <cellStyle name="Calculation 2 2 22 2 4" xfId="26903" xr:uid="{00000000-0005-0000-0000-0000F8680000}"/>
    <cellStyle name="Calculation 2 2 22 2 5" xfId="26904" xr:uid="{00000000-0005-0000-0000-0000F9680000}"/>
    <cellStyle name="Calculation 2 2 22 2 6" xfId="26905" xr:uid="{00000000-0005-0000-0000-0000FA680000}"/>
    <cellStyle name="Calculation 2 2 22 3" xfId="26906" xr:uid="{00000000-0005-0000-0000-0000FB680000}"/>
    <cellStyle name="Calculation 2 2 22 3 2" xfId="26907" xr:uid="{00000000-0005-0000-0000-0000FC680000}"/>
    <cellStyle name="Calculation 2 2 22 3 3" xfId="26908" xr:uid="{00000000-0005-0000-0000-0000FD680000}"/>
    <cellStyle name="Calculation 2 2 22 3 4" xfId="26909" xr:uid="{00000000-0005-0000-0000-0000FE680000}"/>
    <cellStyle name="Calculation 2 2 22 3 5" xfId="26910" xr:uid="{00000000-0005-0000-0000-0000FF680000}"/>
    <cellStyle name="Calculation 2 2 22 3 6" xfId="26911" xr:uid="{00000000-0005-0000-0000-000000690000}"/>
    <cellStyle name="Calculation 2 2 22 4" xfId="26912" xr:uid="{00000000-0005-0000-0000-000001690000}"/>
    <cellStyle name="Calculation 2 2 22 4 2" xfId="26913" xr:uid="{00000000-0005-0000-0000-000002690000}"/>
    <cellStyle name="Calculation 2 2 22 4 3" xfId="26914" xr:uid="{00000000-0005-0000-0000-000003690000}"/>
    <cellStyle name="Calculation 2 2 22 4 4" xfId="26915" xr:uid="{00000000-0005-0000-0000-000004690000}"/>
    <cellStyle name="Calculation 2 2 22 4 5" xfId="26916" xr:uid="{00000000-0005-0000-0000-000005690000}"/>
    <cellStyle name="Calculation 2 2 22 4 6" xfId="26917" xr:uid="{00000000-0005-0000-0000-000006690000}"/>
    <cellStyle name="Calculation 2 2 22 5" xfId="26918" xr:uid="{00000000-0005-0000-0000-000007690000}"/>
    <cellStyle name="Calculation 2 2 22 5 2" xfId="26919" xr:uid="{00000000-0005-0000-0000-000008690000}"/>
    <cellStyle name="Calculation 2 2 22 5 3" xfId="26920" xr:uid="{00000000-0005-0000-0000-000009690000}"/>
    <cellStyle name="Calculation 2 2 22 5 4" xfId="26921" xr:uid="{00000000-0005-0000-0000-00000A690000}"/>
    <cellStyle name="Calculation 2 2 22 5 5" xfId="26922" xr:uid="{00000000-0005-0000-0000-00000B690000}"/>
    <cellStyle name="Calculation 2 2 22 5 6" xfId="26923" xr:uid="{00000000-0005-0000-0000-00000C690000}"/>
    <cellStyle name="Calculation 2 2 22 6" xfId="26924" xr:uid="{00000000-0005-0000-0000-00000D690000}"/>
    <cellStyle name="Calculation 2 2 22 6 2" xfId="26925" xr:uid="{00000000-0005-0000-0000-00000E690000}"/>
    <cellStyle name="Calculation 2 2 22 6 3" xfId="26926" xr:uid="{00000000-0005-0000-0000-00000F690000}"/>
    <cellStyle name="Calculation 2 2 22 6 4" xfId="26927" xr:uid="{00000000-0005-0000-0000-000010690000}"/>
    <cellStyle name="Calculation 2 2 22 6 5" xfId="26928" xr:uid="{00000000-0005-0000-0000-000011690000}"/>
    <cellStyle name="Calculation 2 2 22 6 6" xfId="26929" xr:uid="{00000000-0005-0000-0000-000012690000}"/>
    <cellStyle name="Calculation 2 2 22 7" xfId="26930" xr:uid="{00000000-0005-0000-0000-000013690000}"/>
    <cellStyle name="Calculation 2 2 22 7 2" xfId="26931" xr:uid="{00000000-0005-0000-0000-000014690000}"/>
    <cellStyle name="Calculation 2 2 22 7 3" xfId="26932" xr:uid="{00000000-0005-0000-0000-000015690000}"/>
    <cellStyle name="Calculation 2 2 22 7 4" xfId="26933" xr:uid="{00000000-0005-0000-0000-000016690000}"/>
    <cellStyle name="Calculation 2 2 22 7 5" xfId="26934" xr:uid="{00000000-0005-0000-0000-000017690000}"/>
    <cellStyle name="Calculation 2 2 22 7 6" xfId="26935" xr:uid="{00000000-0005-0000-0000-000018690000}"/>
    <cellStyle name="Calculation 2 2 22 8" xfId="26936" xr:uid="{00000000-0005-0000-0000-000019690000}"/>
    <cellStyle name="Calculation 2 2 22 9" xfId="26937" xr:uid="{00000000-0005-0000-0000-00001A690000}"/>
    <cellStyle name="Calculation 2 2 23" xfId="26938" xr:uid="{00000000-0005-0000-0000-00001B690000}"/>
    <cellStyle name="Calculation 2 2 23 10" xfId="26939" xr:uid="{00000000-0005-0000-0000-00001C690000}"/>
    <cellStyle name="Calculation 2 2 23 2" xfId="26940" xr:uid="{00000000-0005-0000-0000-00001D690000}"/>
    <cellStyle name="Calculation 2 2 23 2 2" xfId="26941" xr:uid="{00000000-0005-0000-0000-00001E690000}"/>
    <cellStyle name="Calculation 2 2 23 2 3" xfId="26942" xr:uid="{00000000-0005-0000-0000-00001F690000}"/>
    <cellStyle name="Calculation 2 2 23 2 4" xfId="26943" xr:uid="{00000000-0005-0000-0000-000020690000}"/>
    <cellStyle name="Calculation 2 2 23 2 5" xfId="26944" xr:uid="{00000000-0005-0000-0000-000021690000}"/>
    <cellStyle name="Calculation 2 2 23 2 6" xfId="26945" xr:uid="{00000000-0005-0000-0000-000022690000}"/>
    <cellStyle name="Calculation 2 2 23 3" xfId="26946" xr:uid="{00000000-0005-0000-0000-000023690000}"/>
    <cellStyle name="Calculation 2 2 23 3 2" xfId="26947" xr:uid="{00000000-0005-0000-0000-000024690000}"/>
    <cellStyle name="Calculation 2 2 23 3 3" xfId="26948" xr:uid="{00000000-0005-0000-0000-000025690000}"/>
    <cellStyle name="Calculation 2 2 23 3 4" xfId="26949" xr:uid="{00000000-0005-0000-0000-000026690000}"/>
    <cellStyle name="Calculation 2 2 23 3 5" xfId="26950" xr:uid="{00000000-0005-0000-0000-000027690000}"/>
    <cellStyle name="Calculation 2 2 23 3 6" xfId="26951" xr:uid="{00000000-0005-0000-0000-000028690000}"/>
    <cellStyle name="Calculation 2 2 23 4" xfId="26952" xr:uid="{00000000-0005-0000-0000-000029690000}"/>
    <cellStyle name="Calculation 2 2 23 4 2" xfId="26953" xr:uid="{00000000-0005-0000-0000-00002A690000}"/>
    <cellStyle name="Calculation 2 2 23 4 3" xfId="26954" xr:uid="{00000000-0005-0000-0000-00002B690000}"/>
    <cellStyle name="Calculation 2 2 23 4 4" xfId="26955" xr:uid="{00000000-0005-0000-0000-00002C690000}"/>
    <cellStyle name="Calculation 2 2 23 4 5" xfId="26956" xr:uid="{00000000-0005-0000-0000-00002D690000}"/>
    <cellStyle name="Calculation 2 2 23 4 6" xfId="26957" xr:uid="{00000000-0005-0000-0000-00002E690000}"/>
    <cellStyle name="Calculation 2 2 23 5" xfId="26958" xr:uid="{00000000-0005-0000-0000-00002F690000}"/>
    <cellStyle name="Calculation 2 2 23 5 2" xfId="26959" xr:uid="{00000000-0005-0000-0000-000030690000}"/>
    <cellStyle name="Calculation 2 2 23 5 3" xfId="26960" xr:uid="{00000000-0005-0000-0000-000031690000}"/>
    <cellStyle name="Calculation 2 2 23 5 4" xfId="26961" xr:uid="{00000000-0005-0000-0000-000032690000}"/>
    <cellStyle name="Calculation 2 2 23 5 5" xfId="26962" xr:uid="{00000000-0005-0000-0000-000033690000}"/>
    <cellStyle name="Calculation 2 2 23 5 6" xfId="26963" xr:uid="{00000000-0005-0000-0000-000034690000}"/>
    <cellStyle name="Calculation 2 2 23 6" xfId="26964" xr:uid="{00000000-0005-0000-0000-000035690000}"/>
    <cellStyle name="Calculation 2 2 23 6 2" xfId="26965" xr:uid="{00000000-0005-0000-0000-000036690000}"/>
    <cellStyle name="Calculation 2 2 23 6 3" xfId="26966" xr:uid="{00000000-0005-0000-0000-000037690000}"/>
    <cellStyle name="Calculation 2 2 23 6 4" xfId="26967" xr:uid="{00000000-0005-0000-0000-000038690000}"/>
    <cellStyle name="Calculation 2 2 23 6 5" xfId="26968" xr:uid="{00000000-0005-0000-0000-000039690000}"/>
    <cellStyle name="Calculation 2 2 23 6 6" xfId="26969" xr:uid="{00000000-0005-0000-0000-00003A690000}"/>
    <cellStyle name="Calculation 2 2 23 7" xfId="26970" xr:uid="{00000000-0005-0000-0000-00003B690000}"/>
    <cellStyle name="Calculation 2 2 23 7 2" xfId="26971" xr:uid="{00000000-0005-0000-0000-00003C690000}"/>
    <cellStyle name="Calculation 2 2 23 7 3" xfId="26972" xr:uid="{00000000-0005-0000-0000-00003D690000}"/>
    <cellStyle name="Calculation 2 2 23 7 4" xfId="26973" xr:uid="{00000000-0005-0000-0000-00003E690000}"/>
    <cellStyle name="Calculation 2 2 23 7 5" xfId="26974" xr:uid="{00000000-0005-0000-0000-00003F690000}"/>
    <cellStyle name="Calculation 2 2 23 7 6" xfId="26975" xr:uid="{00000000-0005-0000-0000-000040690000}"/>
    <cellStyle name="Calculation 2 2 23 8" xfId="26976" xr:uid="{00000000-0005-0000-0000-000041690000}"/>
    <cellStyle name="Calculation 2 2 23 9" xfId="26977" xr:uid="{00000000-0005-0000-0000-000042690000}"/>
    <cellStyle name="Calculation 2 2 24" xfId="26978" xr:uid="{00000000-0005-0000-0000-000043690000}"/>
    <cellStyle name="Calculation 2 2 24 10" xfId="26979" xr:uid="{00000000-0005-0000-0000-000044690000}"/>
    <cellStyle name="Calculation 2 2 24 2" xfId="26980" xr:uid="{00000000-0005-0000-0000-000045690000}"/>
    <cellStyle name="Calculation 2 2 24 2 2" xfId="26981" xr:uid="{00000000-0005-0000-0000-000046690000}"/>
    <cellStyle name="Calculation 2 2 24 2 3" xfId="26982" xr:uid="{00000000-0005-0000-0000-000047690000}"/>
    <cellStyle name="Calculation 2 2 24 2 4" xfId="26983" xr:uid="{00000000-0005-0000-0000-000048690000}"/>
    <cellStyle name="Calculation 2 2 24 2 5" xfId="26984" xr:uid="{00000000-0005-0000-0000-000049690000}"/>
    <cellStyle name="Calculation 2 2 24 2 6" xfId="26985" xr:uid="{00000000-0005-0000-0000-00004A690000}"/>
    <cellStyle name="Calculation 2 2 24 3" xfId="26986" xr:uid="{00000000-0005-0000-0000-00004B690000}"/>
    <cellStyle name="Calculation 2 2 24 3 2" xfId="26987" xr:uid="{00000000-0005-0000-0000-00004C690000}"/>
    <cellStyle name="Calculation 2 2 24 3 3" xfId="26988" xr:uid="{00000000-0005-0000-0000-00004D690000}"/>
    <cellStyle name="Calculation 2 2 24 3 4" xfId="26989" xr:uid="{00000000-0005-0000-0000-00004E690000}"/>
    <cellStyle name="Calculation 2 2 24 3 5" xfId="26990" xr:uid="{00000000-0005-0000-0000-00004F690000}"/>
    <cellStyle name="Calculation 2 2 24 3 6" xfId="26991" xr:uid="{00000000-0005-0000-0000-000050690000}"/>
    <cellStyle name="Calculation 2 2 24 4" xfId="26992" xr:uid="{00000000-0005-0000-0000-000051690000}"/>
    <cellStyle name="Calculation 2 2 24 4 2" xfId="26993" xr:uid="{00000000-0005-0000-0000-000052690000}"/>
    <cellStyle name="Calculation 2 2 24 4 3" xfId="26994" xr:uid="{00000000-0005-0000-0000-000053690000}"/>
    <cellStyle name="Calculation 2 2 24 4 4" xfId="26995" xr:uid="{00000000-0005-0000-0000-000054690000}"/>
    <cellStyle name="Calculation 2 2 24 4 5" xfId="26996" xr:uid="{00000000-0005-0000-0000-000055690000}"/>
    <cellStyle name="Calculation 2 2 24 4 6" xfId="26997" xr:uid="{00000000-0005-0000-0000-000056690000}"/>
    <cellStyle name="Calculation 2 2 24 5" xfId="26998" xr:uid="{00000000-0005-0000-0000-000057690000}"/>
    <cellStyle name="Calculation 2 2 24 5 2" xfId="26999" xr:uid="{00000000-0005-0000-0000-000058690000}"/>
    <cellStyle name="Calculation 2 2 24 5 3" xfId="27000" xr:uid="{00000000-0005-0000-0000-000059690000}"/>
    <cellStyle name="Calculation 2 2 24 5 4" xfId="27001" xr:uid="{00000000-0005-0000-0000-00005A690000}"/>
    <cellStyle name="Calculation 2 2 24 5 5" xfId="27002" xr:uid="{00000000-0005-0000-0000-00005B690000}"/>
    <cellStyle name="Calculation 2 2 24 5 6" xfId="27003" xr:uid="{00000000-0005-0000-0000-00005C690000}"/>
    <cellStyle name="Calculation 2 2 24 6" xfId="27004" xr:uid="{00000000-0005-0000-0000-00005D690000}"/>
    <cellStyle name="Calculation 2 2 24 6 2" xfId="27005" xr:uid="{00000000-0005-0000-0000-00005E690000}"/>
    <cellStyle name="Calculation 2 2 24 6 3" xfId="27006" xr:uid="{00000000-0005-0000-0000-00005F690000}"/>
    <cellStyle name="Calculation 2 2 24 6 4" xfId="27007" xr:uid="{00000000-0005-0000-0000-000060690000}"/>
    <cellStyle name="Calculation 2 2 24 6 5" xfId="27008" xr:uid="{00000000-0005-0000-0000-000061690000}"/>
    <cellStyle name="Calculation 2 2 24 6 6" xfId="27009" xr:uid="{00000000-0005-0000-0000-000062690000}"/>
    <cellStyle name="Calculation 2 2 24 7" xfId="27010" xr:uid="{00000000-0005-0000-0000-000063690000}"/>
    <cellStyle name="Calculation 2 2 24 7 2" xfId="27011" xr:uid="{00000000-0005-0000-0000-000064690000}"/>
    <cellStyle name="Calculation 2 2 24 7 3" xfId="27012" xr:uid="{00000000-0005-0000-0000-000065690000}"/>
    <cellStyle name="Calculation 2 2 24 7 4" xfId="27013" xr:uid="{00000000-0005-0000-0000-000066690000}"/>
    <cellStyle name="Calculation 2 2 24 7 5" xfId="27014" xr:uid="{00000000-0005-0000-0000-000067690000}"/>
    <cellStyle name="Calculation 2 2 24 7 6" xfId="27015" xr:uid="{00000000-0005-0000-0000-000068690000}"/>
    <cellStyle name="Calculation 2 2 24 8" xfId="27016" xr:uid="{00000000-0005-0000-0000-000069690000}"/>
    <cellStyle name="Calculation 2 2 24 9" xfId="27017" xr:uid="{00000000-0005-0000-0000-00006A690000}"/>
    <cellStyle name="Calculation 2 2 25" xfId="27018" xr:uid="{00000000-0005-0000-0000-00006B690000}"/>
    <cellStyle name="Calculation 2 2 25 10" xfId="27019" xr:uid="{00000000-0005-0000-0000-00006C690000}"/>
    <cellStyle name="Calculation 2 2 25 2" xfId="27020" xr:uid="{00000000-0005-0000-0000-00006D690000}"/>
    <cellStyle name="Calculation 2 2 25 2 2" xfId="27021" xr:uid="{00000000-0005-0000-0000-00006E690000}"/>
    <cellStyle name="Calculation 2 2 25 2 3" xfId="27022" xr:uid="{00000000-0005-0000-0000-00006F690000}"/>
    <cellStyle name="Calculation 2 2 25 2 4" xfId="27023" xr:uid="{00000000-0005-0000-0000-000070690000}"/>
    <cellStyle name="Calculation 2 2 25 2 5" xfId="27024" xr:uid="{00000000-0005-0000-0000-000071690000}"/>
    <cellStyle name="Calculation 2 2 25 2 6" xfId="27025" xr:uid="{00000000-0005-0000-0000-000072690000}"/>
    <cellStyle name="Calculation 2 2 25 3" xfId="27026" xr:uid="{00000000-0005-0000-0000-000073690000}"/>
    <cellStyle name="Calculation 2 2 25 3 2" xfId="27027" xr:uid="{00000000-0005-0000-0000-000074690000}"/>
    <cellStyle name="Calculation 2 2 25 3 3" xfId="27028" xr:uid="{00000000-0005-0000-0000-000075690000}"/>
    <cellStyle name="Calculation 2 2 25 3 4" xfId="27029" xr:uid="{00000000-0005-0000-0000-000076690000}"/>
    <cellStyle name="Calculation 2 2 25 3 5" xfId="27030" xr:uid="{00000000-0005-0000-0000-000077690000}"/>
    <cellStyle name="Calculation 2 2 25 3 6" xfId="27031" xr:uid="{00000000-0005-0000-0000-000078690000}"/>
    <cellStyle name="Calculation 2 2 25 4" xfId="27032" xr:uid="{00000000-0005-0000-0000-000079690000}"/>
    <cellStyle name="Calculation 2 2 25 4 2" xfId="27033" xr:uid="{00000000-0005-0000-0000-00007A690000}"/>
    <cellStyle name="Calculation 2 2 25 4 3" xfId="27034" xr:uid="{00000000-0005-0000-0000-00007B690000}"/>
    <cellStyle name="Calculation 2 2 25 4 4" xfId="27035" xr:uid="{00000000-0005-0000-0000-00007C690000}"/>
    <cellStyle name="Calculation 2 2 25 4 5" xfId="27036" xr:uid="{00000000-0005-0000-0000-00007D690000}"/>
    <cellStyle name="Calculation 2 2 25 4 6" xfId="27037" xr:uid="{00000000-0005-0000-0000-00007E690000}"/>
    <cellStyle name="Calculation 2 2 25 5" xfId="27038" xr:uid="{00000000-0005-0000-0000-00007F690000}"/>
    <cellStyle name="Calculation 2 2 25 5 2" xfId="27039" xr:uid="{00000000-0005-0000-0000-000080690000}"/>
    <cellStyle name="Calculation 2 2 25 5 3" xfId="27040" xr:uid="{00000000-0005-0000-0000-000081690000}"/>
    <cellStyle name="Calculation 2 2 25 5 4" xfId="27041" xr:uid="{00000000-0005-0000-0000-000082690000}"/>
    <cellStyle name="Calculation 2 2 25 5 5" xfId="27042" xr:uid="{00000000-0005-0000-0000-000083690000}"/>
    <cellStyle name="Calculation 2 2 25 5 6" xfId="27043" xr:uid="{00000000-0005-0000-0000-000084690000}"/>
    <cellStyle name="Calculation 2 2 25 6" xfId="27044" xr:uid="{00000000-0005-0000-0000-000085690000}"/>
    <cellStyle name="Calculation 2 2 25 6 2" xfId="27045" xr:uid="{00000000-0005-0000-0000-000086690000}"/>
    <cellStyle name="Calculation 2 2 25 6 3" xfId="27046" xr:uid="{00000000-0005-0000-0000-000087690000}"/>
    <cellStyle name="Calculation 2 2 25 6 4" xfId="27047" xr:uid="{00000000-0005-0000-0000-000088690000}"/>
    <cellStyle name="Calculation 2 2 25 6 5" xfId="27048" xr:uid="{00000000-0005-0000-0000-000089690000}"/>
    <cellStyle name="Calculation 2 2 25 6 6" xfId="27049" xr:uid="{00000000-0005-0000-0000-00008A690000}"/>
    <cellStyle name="Calculation 2 2 25 7" xfId="27050" xr:uid="{00000000-0005-0000-0000-00008B690000}"/>
    <cellStyle name="Calculation 2 2 25 7 2" xfId="27051" xr:uid="{00000000-0005-0000-0000-00008C690000}"/>
    <cellStyle name="Calculation 2 2 25 7 3" xfId="27052" xr:uid="{00000000-0005-0000-0000-00008D690000}"/>
    <cellStyle name="Calculation 2 2 25 7 4" xfId="27053" xr:uid="{00000000-0005-0000-0000-00008E690000}"/>
    <cellStyle name="Calculation 2 2 25 7 5" xfId="27054" xr:uid="{00000000-0005-0000-0000-00008F690000}"/>
    <cellStyle name="Calculation 2 2 25 7 6" xfId="27055" xr:uid="{00000000-0005-0000-0000-000090690000}"/>
    <cellStyle name="Calculation 2 2 25 8" xfId="27056" xr:uid="{00000000-0005-0000-0000-000091690000}"/>
    <cellStyle name="Calculation 2 2 25 9" xfId="27057" xr:uid="{00000000-0005-0000-0000-000092690000}"/>
    <cellStyle name="Calculation 2 2 26" xfId="27058" xr:uid="{00000000-0005-0000-0000-000093690000}"/>
    <cellStyle name="Calculation 2 2 26 10" xfId="27059" xr:uid="{00000000-0005-0000-0000-000094690000}"/>
    <cellStyle name="Calculation 2 2 26 2" xfId="27060" xr:uid="{00000000-0005-0000-0000-000095690000}"/>
    <cellStyle name="Calculation 2 2 26 2 2" xfId="27061" xr:uid="{00000000-0005-0000-0000-000096690000}"/>
    <cellStyle name="Calculation 2 2 26 2 3" xfId="27062" xr:uid="{00000000-0005-0000-0000-000097690000}"/>
    <cellStyle name="Calculation 2 2 26 2 4" xfId="27063" xr:uid="{00000000-0005-0000-0000-000098690000}"/>
    <cellStyle name="Calculation 2 2 26 2 5" xfId="27064" xr:uid="{00000000-0005-0000-0000-000099690000}"/>
    <cellStyle name="Calculation 2 2 26 2 6" xfId="27065" xr:uid="{00000000-0005-0000-0000-00009A690000}"/>
    <cellStyle name="Calculation 2 2 26 3" xfId="27066" xr:uid="{00000000-0005-0000-0000-00009B690000}"/>
    <cellStyle name="Calculation 2 2 26 3 2" xfId="27067" xr:uid="{00000000-0005-0000-0000-00009C690000}"/>
    <cellStyle name="Calculation 2 2 26 3 3" xfId="27068" xr:uid="{00000000-0005-0000-0000-00009D690000}"/>
    <cellStyle name="Calculation 2 2 26 3 4" xfId="27069" xr:uid="{00000000-0005-0000-0000-00009E690000}"/>
    <cellStyle name="Calculation 2 2 26 3 5" xfId="27070" xr:uid="{00000000-0005-0000-0000-00009F690000}"/>
    <cellStyle name="Calculation 2 2 26 3 6" xfId="27071" xr:uid="{00000000-0005-0000-0000-0000A0690000}"/>
    <cellStyle name="Calculation 2 2 26 4" xfId="27072" xr:uid="{00000000-0005-0000-0000-0000A1690000}"/>
    <cellStyle name="Calculation 2 2 26 4 2" xfId="27073" xr:uid="{00000000-0005-0000-0000-0000A2690000}"/>
    <cellStyle name="Calculation 2 2 26 4 3" xfId="27074" xr:uid="{00000000-0005-0000-0000-0000A3690000}"/>
    <cellStyle name="Calculation 2 2 26 4 4" xfId="27075" xr:uid="{00000000-0005-0000-0000-0000A4690000}"/>
    <cellStyle name="Calculation 2 2 26 4 5" xfId="27076" xr:uid="{00000000-0005-0000-0000-0000A5690000}"/>
    <cellStyle name="Calculation 2 2 26 4 6" xfId="27077" xr:uid="{00000000-0005-0000-0000-0000A6690000}"/>
    <cellStyle name="Calculation 2 2 26 5" xfId="27078" xr:uid="{00000000-0005-0000-0000-0000A7690000}"/>
    <cellStyle name="Calculation 2 2 26 5 2" xfId="27079" xr:uid="{00000000-0005-0000-0000-0000A8690000}"/>
    <cellStyle name="Calculation 2 2 26 5 3" xfId="27080" xr:uid="{00000000-0005-0000-0000-0000A9690000}"/>
    <cellStyle name="Calculation 2 2 26 5 4" xfId="27081" xr:uid="{00000000-0005-0000-0000-0000AA690000}"/>
    <cellStyle name="Calculation 2 2 26 5 5" xfId="27082" xr:uid="{00000000-0005-0000-0000-0000AB690000}"/>
    <cellStyle name="Calculation 2 2 26 5 6" xfId="27083" xr:uid="{00000000-0005-0000-0000-0000AC690000}"/>
    <cellStyle name="Calculation 2 2 26 6" xfId="27084" xr:uid="{00000000-0005-0000-0000-0000AD690000}"/>
    <cellStyle name="Calculation 2 2 26 6 2" xfId="27085" xr:uid="{00000000-0005-0000-0000-0000AE690000}"/>
    <cellStyle name="Calculation 2 2 26 6 3" xfId="27086" xr:uid="{00000000-0005-0000-0000-0000AF690000}"/>
    <cellStyle name="Calculation 2 2 26 6 4" xfId="27087" xr:uid="{00000000-0005-0000-0000-0000B0690000}"/>
    <cellStyle name="Calculation 2 2 26 6 5" xfId="27088" xr:uid="{00000000-0005-0000-0000-0000B1690000}"/>
    <cellStyle name="Calculation 2 2 26 6 6" xfId="27089" xr:uid="{00000000-0005-0000-0000-0000B2690000}"/>
    <cellStyle name="Calculation 2 2 26 7" xfId="27090" xr:uid="{00000000-0005-0000-0000-0000B3690000}"/>
    <cellStyle name="Calculation 2 2 26 7 2" xfId="27091" xr:uid="{00000000-0005-0000-0000-0000B4690000}"/>
    <cellStyle name="Calculation 2 2 26 7 3" xfId="27092" xr:uid="{00000000-0005-0000-0000-0000B5690000}"/>
    <cellStyle name="Calculation 2 2 26 7 4" xfId="27093" xr:uid="{00000000-0005-0000-0000-0000B6690000}"/>
    <cellStyle name="Calculation 2 2 26 7 5" xfId="27094" xr:uid="{00000000-0005-0000-0000-0000B7690000}"/>
    <cellStyle name="Calculation 2 2 26 7 6" xfId="27095" xr:uid="{00000000-0005-0000-0000-0000B8690000}"/>
    <cellStyle name="Calculation 2 2 26 8" xfId="27096" xr:uid="{00000000-0005-0000-0000-0000B9690000}"/>
    <cellStyle name="Calculation 2 2 26 9" xfId="27097" xr:uid="{00000000-0005-0000-0000-0000BA690000}"/>
    <cellStyle name="Calculation 2 2 27" xfId="27098" xr:uid="{00000000-0005-0000-0000-0000BB690000}"/>
    <cellStyle name="Calculation 2 2 27 2" xfId="27099" xr:uid="{00000000-0005-0000-0000-0000BC690000}"/>
    <cellStyle name="Calculation 2 2 27 3" xfId="27100" xr:uid="{00000000-0005-0000-0000-0000BD690000}"/>
    <cellStyle name="Calculation 2 2 27 4" xfId="27101" xr:uid="{00000000-0005-0000-0000-0000BE690000}"/>
    <cellStyle name="Calculation 2 2 27 5" xfId="27102" xr:uid="{00000000-0005-0000-0000-0000BF690000}"/>
    <cellStyle name="Calculation 2 2 27 6" xfId="27103" xr:uid="{00000000-0005-0000-0000-0000C0690000}"/>
    <cellStyle name="Calculation 2 2 28" xfId="27104" xr:uid="{00000000-0005-0000-0000-0000C1690000}"/>
    <cellStyle name="Calculation 2 2 28 2" xfId="27105" xr:uid="{00000000-0005-0000-0000-0000C2690000}"/>
    <cellStyle name="Calculation 2 2 28 3" xfId="27106" xr:uid="{00000000-0005-0000-0000-0000C3690000}"/>
    <cellStyle name="Calculation 2 2 28 4" xfId="27107" xr:uid="{00000000-0005-0000-0000-0000C4690000}"/>
    <cellStyle name="Calculation 2 2 28 5" xfId="27108" xr:uid="{00000000-0005-0000-0000-0000C5690000}"/>
    <cellStyle name="Calculation 2 2 28 6" xfId="27109" xr:uid="{00000000-0005-0000-0000-0000C6690000}"/>
    <cellStyle name="Calculation 2 2 29" xfId="27110" xr:uid="{00000000-0005-0000-0000-0000C7690000}"/>
    <cellStyle name="Calculation 2 2 29 2" xfId="27111" xr:uid="{00000000-0005-0000-0000-0000C8690000}"/>
    <cellStyle name="Calculation 2 2 29 3" xfId="27112" xr:uid="{00000000-0005-0000-0000-0000C9690000}"/>
    <cellStyle name="Calculation 2 2 29 4" xfId="27113" xr:uid="{00000000-0005-0000-0000-0000CA690000}"/>
    <cellStyle name="Calculation 2 2 29 5" xfId="27114" xr:uid="{00000000-0005-0000-0000-0000CB690000}"/>
    <cellStyle name="Calculation 2 2 29 6" xfId="27115" xr:uid="{00000000-0005-0000-0000-0000CC690000}"/>
    <cellStyle name="Calculation 2 2 3" xfId="27116" xr:uid="{00000000-0005-0000-0000-0000CD690000}"/>
    <cellStyle name="Calculation 2 2 3 10" xfId="27117" xr:uid="{00000000-0005-0000-0000-0000CE690000}"/>
    <cellStyle name="Calculation 2 2 3 2" xfId="27118" xr:uid="{00000000-0005-0000-0000-0000CF690000}"/>
    <cellStyle name="Calculation 2 2 3 2 2" xfId="27119" xr:uid="{00000000-0005-0000-0000-0000D0690000}"/>
    <cellStyle name="Calculation 2 2 3 2 3" xfId="27120" xr:uid="{00000000-0005-0000-0000-0000D1690000}"/>
    <cellStyle name="Calculation 2 2 3 2 4" xfId="27121" xr:uid="{00000000-0005-0000-0000-0000D2690000}"/>
    <cellStyle name="Calculation 2 2 3 2 5" xfId="27122" xr:uid="{00000000-0005-0000-0000-0000D3690000}"/>
    <cellStyle name="Calculation 2 2 3 2 6" xfId="27123" xr:uid="{00000000-0005-0000-0000-0000D4690000}"/>
    <cellStyle name="Calculation 2 2 3 3" xfId="27124" xr:uid="{00000000-0005-0000-0000-0000D5690000}"/>
    <cellStyle name="Calculation 2 2 3 3 2" xfId="27125" xr:uid="{00000000-0005-0000-0000-0000D6690000}"/>
    <cellStyle name="Calculation 2 2 3 3 3" xfId="27126" xr:uid="{00000000-0005-0000-0000-0000D7690000}"/>
    <cellStyle name="Calculation 2 2 3 3 4" xfId="27127" xr:uid="{00000000-0005-0000-0000-0000D8690000}"/>
    <cellStyle name="Calculation 2 2 3 3 5" xfId="27128" xr:uid="{00000000-0005-0000-0000-0000D9690000}"/>
    <cellStyle name="Calculation 2 2 3 3 6" xfId="27129" xr:uid="{00000000-0005-0000-0000-0000DA690000}"/>
    <cellStyle name="Calculation 2 2 3 4" xfId="27130" xr:uid="{00000000-0005-0000-0000-0000DB690000}"/>
    <cellStyle name="Calculation 2 2 3 4 2" xfId="27131" xr:uid="{00000000-0005-0000-0000-0000DC690000}"/>
    <cellStyle name="Calculation 2 2 3 4 3" xfId="27132" xr:uid="{00000000-0005-0000-0000-0000DD690000}"/>
    <cellStyle name="Calculation 2 2 3 4 4" xfId="27133" xr:uid="{00000000-0005-0000-0000-0000DE690000}"/>
    <cellStyle name="Calculation 2 2 3 4 5" xfId="27134" xr:uid="{00000000-0005-0000-0000-0000DF690000}"/>
    <cellStyle name="Calculation 2 2 3 4 6" xfId="27135" xr:uid="{00000000-0005-0000-0000-0000E0690000}"/>
    <cellStyle name="Calculation 2 2 3 5" xfId="27136" xr:uid="{00000000-0005-0000-0000-0000E1690000}"/>
    <cellStyle name="Calculation 2 2 3 5 2" xfId="27137" xr:uid="{00000000-0005-0000-0000-0000E2690000}"/>
    <cellStyle name="Calculation 2 2 3 5 3" xfId="27138" xr:uid="{00000000-0005-0000-0000-0000E3690000}"/>
    <cellStyle name="Calculation 2 2 3 5 4" xfId="27139" xr:uid="{00000000-0005-0000-0000-0000E4690000}"/>
    <cellStyle name="Calculation 2 2 3 5 5" xfId="27140" xr:uid="{00000000-0005-0000-0000-0000E5690000}"/>
    <cellStyle name="Calculation 2 2 3 5 6" xfId="27141" xr:uid="{00000000-0005-0000-0000-0000E6690000}"/>
    <cellStyle name="Calculation 2 2 3 6" xfId="27142" xr:uid="{00000000-0005-0000-0000-0000E7690000}"/>
    <cellStyle name="Calculation 2 2 3 6 2" xfId="27143" xr:uid="{00000000-0005-0000-0000-0000E8690000}"/>
    <cellStyle name="Calculation 2 2 3 6 3" xfId="27144" xr:uid="{00000000-0005-0000-0000-0000E9690000}"/>
    <cellStyle name="Calculation 2 2 3 6 4" xfId="27145" xr:uid="{00000000-0005-0000-0000-0000EA690000}"/>
    <cellStyle name="Calculation 2 2 3 6 5" xfId="27146" xr:uid="{00000000-0005-0000-0000-0000EB690000}"/>
    <cellStyle name="Calculation 2 2 3 6 6" xfId="27147" xr:uid="{00000000-0005-0000-0000-0000EC690000}"/>
    <cellStyle name="Calculation 2 2 3 7" xfId="27148" xr:uid="{00000000-0005-0000-0000-0000ED690000}"/>
    <cellStyle name="Calculation 2 2 3 7 2" xfId="27149" xr:uid="{00000000-0005-0000-0000-0000EE690000}"/>
    <cellStyle name="Calculation 2 2 3 7 3" xfId="27150" xr:uid="{00000000-0005-0000-0000-0000EF690000}"/>
    <cellStyle name="Calculation 2 2 3 7 4" xfId="27151" xr:uid="{00000000-0005-0000-0000-0000F0690000}"/>
    <cellStyle name="Calculation 2 2 3 7 5" xfId="27152" xr:uid="{00000000-0005-0000-0000-0000F1690000}"/>
    <cellStyle name="Calculation 2 2 3 7 6" xfId="27153" xr:uid="{00000000-0005-0000-0000-0000F2690000}"/>
    <cellStyle name="Calculation 2 2 3 8" xfId="27154" xr:uid="{00000000-0005-0000-0000-0000F3690000}"/>
    <cellStyle name="Calculation 2 2 3 9" xfId="27155" xr:uid="{00000000-0005-0000-0000-0000F4690000}"/>
    <cellStyle name="Calculation 2 2 30" xfId="27156" xr:uid="{00000000-0005-0000-0000-0000F5690000}"/>
    <cellStyle name="Calculation 2 2 30 2" xfId="27157" xr:uid="{00000000-0005-0000-0000-0000F6690000}"/>
    <cellStyle name="Calculation 2 2 30 3" xfId="27158" xr:uid="{00000000-0005-0000-0000-0000F7690000}"/>
    <cellStyle name="Calculation 2 2 30 4" xfId="27159" xr:uid="{00000000-0005-0000-0000-0000F8690000}"/>
    <cellStyle name="Calculation 2 2 30 5" xfId="27160" xr:uid="{00000000-0005-0000-0000-0000F9690000}"/>
    <cellStyle name="Calculation 2 2 30 6" xfId="27161" xr:uid="{00000000-0005-0000-0000-0000FA690000}"/>
    <cellStyle name="Calculation 2 2 31" xfId="27162" xr:uid="{00000000-0005-0000-0000-0000FB690000}"/>
    <cellStyle name="Calculation 2 2 31 2" xfId="27163" xr:uid="{00000000-0005-0000-0000-0000FC690000}"/>
    <cellStyle name="Calculation 2 2 31 3" xfId="27164" xr:uid="{00000000-0005-0000-0000-0000FD690000}"/>
    <cellStyle name="Calculation 2 2 31 4" xfId="27165" xr:uid="{00000000-0005-0000-0000-0000FE690000}"/>
    <cellStyle name="Calculation 2 2 31 5" xfId="27166" xr:uid="{00000000-0005-0000-0000-0000FF690000}"/>
    <cellStyle name="Calculation 2 2 31 6" xfId="27167" xr:uid="{00000000-0005-0000-0000-0000006A0000}"/>
    <cellStyle name="Calculation 2 2 32" xfId="27168" xr:uid="{00000000-0005-0000-0000-0000016A0000}"/>
    <cellStyle name="Calculation 2 2 32 2" xfId="27169" xr:uid="{00000000-0005-0000-0000-0000026A0000}"/>
    <cellStyle name="Calculation 2 2 32 3" xfId="27170" xr:uid="{00000000-0005-0000-0000-0000036A0000}"/>
    <cellStyle name="Calculation 2 2 32 4" xfId="27171" xr:uid="{00000000-0005-0000-0000-0000046A0000}"/>
    <cellStyle name="Calculation 2 2 32 5" xfId="27172" xr:uid="{00000000-0005-0000-0000-0000056A0000}"/>
    <cellStyle name="Calculation 2 2 32 6" xfId="27173" xr:uid="{00000000-0005-0000-0000-0000066A0000}"/>
    <cellStyle name="Calculation 2 2 33" xfId="27174" xr:uid="{00000000-0005-0000-0000-0000076A0000}"/>
    <cellStyle name="Calculation 2 2 34" xfId="27175" xr:uid="{00000000-0005-0000-0000-0000086A0000}"/>
    <cellStyle name="Calculation 2 2 35" xfId="27176" xr:uid="{00000000-0005-0000-0000-0000096A0000}"/>
    <cellStyle name="Calculation 2 2 4" xfId="27177" xr:uid="{00000000-0005-0000-0000-00000A6A0000}"/>
    <cellStyle name="Calculation 2 2 4 10" xfId="27178" xr:uid="{00000000-0005-0000-0000-00000B6A0000}"/>
    <cellStyle name="Calculation 2 2 4 2" xfId="27179" xr:uid="{00000000-0005-0000-0000-00000C6A0000}"/>
    <cellStyle name="Calculation 2 2 4 2 2" xfId="27180" xr:uid="{00000000-0005-0000-0000-00000D6A0000}"/>
    <cellStyle name="Calculation 2 2 4 2 3" xfId="27181" xr:uid="{00000000-0005-0000-0000-00000E6A0000}"/>
    <cellStyle name="Calculation 2 2 4 2 4" xfId="27182" xr:uid="{00000000-0005-0000-0000-00000F6A0000}"/>
    <cellStyle name="Calculation 2 2 4 2 5" xfId="27183" xr:uid="{00000000-0005-0000-0000-0000106A0000}"/>
    <cellStyle name="Calculation 2 2 4 2 6" xfId="27184" xr:uid="{00000000-0005-0000-0000-0000116A0000}"/>
    <cellStyle name="Calculation 2 2 4 3" xfId="27185" xr:uid="{00000000-0005-0000-0000-0000126A0000}"/>
    <cellStyle name="Calculation 2 2 4 3 2" xfId="27186" xr:uid="{00000000-0005-0000-0000-0000136A0000}"/>
    <cellStyle name="Calculation 2 2 4 3 3" xfId="27187" xr:uid="{00000000-0005-0000-0000-0000146A0000}"/>
    <cellStyle name="Calculation 2 2 4 3 4" xfId="27188" xr:uid="{00000000-0005-0000-0000-0000156A0000}"/>
    <cellStyle name="Calculation 2 2 4 3 5" xfId="27189" xr:uid="{00000000-0005-0000-0000-0000166A0000}"/>
    <cellStyle name="Calculation 2 2 4 3 6" xfId="27190" xr:uid="{00000000-0005-0000-0000-0000176A0000}"/>
    <cellStyle name="Calculation 2 2 4 4" xfId="27191" xr:uid="{00000000-0005-0000-0000-0000186A0000}"/>
    <cellStyle name="Calculation 2 2 4 4 2" xfId="27192" xr:uid="{00000000-0005-0000-0000-0000196A0000}"/>
    <cellStyle name="Calculation 2 2 4 4 3" xfId="27193" xr:uid="{00000000-0005-0000-0000-00001A6A0000}"/>
    <cellStyle name="Calculation 2 2 4 4 4" xfId="27194" xr:uid="{00000000-0005-0000-0000-00001B6A0000}"/>
    <cellStyle name="Calculation 2 2 4 4 5" xfId="27195" xr:uid="{00000000-0005-0000-0000-00001C6A0000}"/>
    <cellStyle name="Calculation 2 2 4 4 6" xfId="27196" xr:uid="{00000000-0005-0000-0000-00001D6A0000}"/>
    <cellStyle name="Calculation 2 2 4 5" xfId="27197" xr:uid="{00000000-0005-0000-0000-00001E6A0000}"/>
    <cellStyle name="Calculation 2 2 4 5 2" xfId="27198" xr:uid="{00000000-0005-0000-0000-00001F6A0000}"/>
    <cellStyle name="Calculation 2 2 4 5 3" xfId="27199" xr:uid="{00000000-0005-0000-0000-0000206A0000}"/>
    <cellStyle name="Calculation 2 2 4 5 4" xfId="27200" xr:uid="{00000000-0005-0000-0000-0000216A0000}"/>
    <cellStyle name="Calculation 2 2 4 5 5" xfId="27201" xr:uid="{00000000-0005-0000-0000-0000226A0000}"/>
    <cellStyle name="Calculation 2 2 4 5 6" xfId="27202" xr:uid="{00000000-0005-0000-0000-0000236A0000}"/>
    <cellStyle name="Calculation 2 2 4 6" xfId="27203" xr:uid="{00000000-0005-0000-0000-0000246A0000}"/>
    <cellStyle name="Calculation 2 2 4 6 2" xfId="27204" xr:uid="{00000000-0005-0000-0000-0000256A0000}"/>
    <cellStyle name="Calculation 2 2 4 6 3" xfId="27205" xr:uid="{00000000-0005-0000-0000-0000266A0000}"/>
    <cellStyle name="Calculation 2 2 4 6 4" xfId="27206" xr:uid="{00000000-0005-0000-0000-0000276A0000}"/>
    <cellStyle name="Calculation 2 2 4 6 5" xfId="27207" xr:uid="{00000000-0005-0000-0000-0000286A0000}"/>
    <cellStyle name="Calculation 2 2 4 6 6" xfId="27208" xr:uid="{00000000-0005-0000-0000-0000296A0000}"/>
    <cellStyle name="Calculation 2 2 4 7" xfId="27209" xr:uid="{00000000-0005-0000-0000-00002A6A0000}"/>
    <cellStyle name="Calculation 2 2 4 7 2" xfId="27210" xr:uid="{00000000-0005-0000-0000-00002B6A0000}"/>
    <cellStyle name="Calculation 2 2 4 7 3" xfId="27211" xr:uid="{00000000-0005-0000-0000-00002C6A0000}"/>
    <cellStyle name="Calculation 2 2 4 7 4" xfId="27212" xr:uid="{00000000-0005-0000-0000-00002D6A0000}"/>
    <cellStyle name="Calculation 2 2 4 7 5" xfId="27213" xr:uid="{00000000-0005-0000-0000-00002E6A0000}"/>
    <cellStyle name="Calculation 2 2 4 7 6" xfId="27214" xr:uid="{00000000-0005-0000-0000-00002F6A0000}"/>
    <cellStyle name="Calculation 2 2 4 8" xfId="27215" xr:uid="{00000000-0005-0000-0000-0000306A0000}"/>
    <cellStyle name="Calculation 2 2 4 9" xfId="27216" xr:uid="{00000000-0005-0000-0000-0000316A0000}"/>
    <cellStyle name="Calculation 2 2 5" xfId="27217" xr:uid="{00000000-0005-0000-0000-0000326A0000}"/>
    <cellStyle name="Calculation 2 2 5 10" xfId="27218" xr:uid="{00000000-0005-0000-0000-0000336A0000}"/>
    <cellStyle name="Calculation 2 2 5 2" xfId="27219" xr:uid="{00000000-0005-0000-0000-0000346A0000}"/>
    <cellStyle name="Calculation 2 2 5 2 2" xfId="27220" xr:uid="{00000000-0005-0000-0000-0000356A0000}"/>
    <cellStyle name="Calculation 2 2 5 2 3" xfId="27221" xr:uid="{00000000-0005-0000-0000-0000366A0000}"/>
    <cellStyle name="Calculation 2 2 5 2 4" xfId="27222" xr:uid="{00000000-0005-0000-0000-0000376A0000}"/>
    <cellStyle name="Calculation 2 2 5 2 5" xfId="27223" xr:uid="{00000000-0005-0000-0000-0000386A0000}"/>
    <cellStyle name="Calculation 2 2 5 2 6" xfId="27224" xr:uid="{00000000-0005-0000-0000-0000396A0000}"/>
    <cellStyle name="Calculation 2 2 5 3" xfId="27225" xr:uid="{00000000-0005-0000-0000-00003A6A0000}"/>
    <cellStyle name="Calculation 2 2 5 3 2" xfId="27226" xr:uid="{00000000-0005-0000-0000-00003B6A0000}"/>
    <cellStyle name="Calculation 2 2 5 3 3" xfId="27227" xr:uid="{00000000-0005-0000-0000-00003C6A0000}"/>
    <cellStyle name="Calculation 2 2 5 3 4" xfId="27228" xr:uid="{00000000-0005-0000-0000-00003D6A0000}"/>
    <cellStyle name="Calculation 2 2 5 3 5" xfId="27229" xr:uid="{00000000-0005-0000-0000-00003E6A0000}"/>
    <cellStyle name="Calculation 2 2 5 3 6" xfId="27230" xr:uid="{00000000-0005-0000-0000-00003F6A0000}"/>
    <cellStyle name="Calculation 2 2 5 4" xfId="27231" xr:uid="{00000000-0005-0000-0000-0000406A0000}"/>
    <cellStyle name="Calculation 2 2 5 4 2" xfId="27232" xr:uid="{00000000-0005-0000-0000-0000416A0000}"/>
    <cellStyle name="Calculation 2 2 5 4 3" xfId="27233" xr:uid="{00000000-0005-0000-0000-0000426A0000}"/>
    <cellStyle name="Calculation 2 2 5 4 4" xfId="27234" xr:uid="{00000000-0005-0000-0000-0000436A0000}"/>
    <cellStyle name="Calculation 2 2 5 4 5" xfId="27235" xr:uid="{00000000-0005-0000-0000-0000446A0000}"/>
    <cellStyle name="Calculation 2 2 5 4 6" xfId="27236" xr:uid="{00000000-0005-0000-0000-0000456A0000}"/>
    <cellStyle name="Calculation 2 2 5 5" xfId="27237" xr:uid="{00000000-0005-0000-0000-0000466A0000}"/>
    <cellStyle name="Calculation 2 2 5 5 2" xfId="27238" xr:uid="{00000000-0005-0000-0000-0000476A0000}"/>
    <cellStyle name="Calculation 2 2 5 5 3" xfId="27239" xr:uid="{00000000-0005-0000-0000-0000486A0000}"/>
    <cellStyle name="Calculation 2 2 5 5 4" xfId="27240" xr:uid="{00000000-0005-0000-0000-0000496A0000}"/>
    <cellStyle name="Calculation 2 2 5 5 5" xfId="27241" xr:uid="{00000000-0005-0000-0000-00004A6A0000}"/>
    <cellStyle name="Calculation 2 2 5 5 6" xfId="27242" xr:uid="{00000000-0005-0000-0000-00004B6A0000}"/>
    <cellStyle name="Calculation 2 2 5 6" xfId="27243" xr:uid="{00000000-0005-0000-0000-00004C6A0000}"/>
    <cellStyle name="Calculation 2 2 5 6 2" xfId="27244" xr:uid="{00000000-0005-0000-0000-00004D6A0000}"/>
    <cellStyle name="Calculation 2 2 5 6 3" xfId="27245" xr:uid="{00000000-0005-0000-0000-00004E6A0000}"/>
    <cellStyle name="Calculation 2 2 5 6 4" xfId="27246" xr:uid="{00000000-0005-0000-0000-00004F6A0000}"/>
    <cellStyle name="Calculation 2 2 5 6 5" xfId="27247" xr:uid="{00000000-0005-0000-0000-0000506A0000}"/>
    <cellStyle name="Calculation 2 2 5 6 6" xfId="27248" xr:uid="{00000000-0005-0000-0000-0000516A0000}"/>
    <cellStyle name="Calculation 2 2 5 7" xfId="27249" xr:uid="{00000000-0005-0000-0000-0000526A0000}"/>
    <cellStyle name="Calculation 2 2 5 7 2" xfId="27250" xr:uid="{00000000-0005-0000-0000-0000536A0000}"/>
    <cellStyle name="Calculation 2 2 5 7 3" xfId="27251" xr:uid="{00000000-0005-0000-0000-0000546A0000}"/>
    <cellStyle name="Calculation 2 2 5 7 4" xfId="27252" xr:uid="{00000000-0005-0000-0000-0000556A0000}"/>
    <cellStyle name="Calculation 2 2 5 7 5" xfId="27253" xr:uid="{00000000-0005-0000-0000-0000566A0000}"/>
    <cellStyle name="Calculation 2 2 5 7 6" xfId="27254" xr:uid="{00000000-0005-0000-0000-0000576A0000}"/>
    <cellStyle name="Calculation 2 2 5 8" xfId="27255" xr:uid="{00000000-0005-0000-0000-0000586A0000}"/>
    <cellStyle name="Calculation 2 2 5 9" xfId="27256" xr:uid="{00000000-0005-0000-0000-0000596A0000}"/>
    <cellStyle name="Calculation 2 2 6" xfId="27257" xr:uid="{00000000-0005-0000-0000-00005A6A0000}"/>
    <cellStyle name="Calculation 2 2 6 10" xfId="27258" xr:uid="{00000000-0005-0000-0000-00005B6A0000}"/>
    <cellStyle name="Calculation 2 2 6 2" xfId="27259" xr:uid="{00000000-0005-0000-0000-00005C6A0000}"/>
    <cellStyle name="Calculation 2 2 6 2 2" xfId="27260" xr:uid="{00000000-0005-0000-0000-00005D6A0000}"/>
    <cellStyle name="Calculation 2 2 6 2 3" xfId="27261" xr:uid="{00000000-0005-0000-0000-00005E6A0000}"/>
    <cellStyle name="Calculation 2 2 6 2 4" xfId="27262" xr:uid="{00000000-0005-0000-0000-00005F6A0000}"/>
    <cellStyle name="Calculation 2 2 6 2 5" xfId="27263" xr:uid="{00000000-0005-0000-0000-0000606A0000}"/>
    <cellStyle name="Calculation 2 2 6 2 6" xfId="27264" xr:uid="{00000000-0005-0000-0000-0000616A0000}"/>
    <cellStyle name="Calculation 2 2 6 3" xfId="27265" xr:uid="{00000000-0005-0000-0000-0000626A0000}"/>
    <cellStyle name="Calculation 2 2 6 3 2" xfId="27266" xr:uid="{00000000-0005-0000-0000-0000636A0000}"/>
    <cellStyle name="Calculation 2 2 6 3 3" xfId="27267" xr:uid="{00000000-0005-0000-0000-0000646A0000}"/>
    <cellStyle name="Calculation 2 2 6 3 4" xfId="27268" xr:uid="{00000000-0005-0000-0000-0000656A0000}"/>
    <cellStyle name="Calculation 2 2 6 3 5" xfId="27269" xr:uid="{00000000-0005-0000-0000-0000666A0000}"/>
    <cellStyle name="Calculation 2 2 6 3 6" xfId="27270" xr:uid="{00000000-0005-0000-0000-0000676A0000}"/>
    <cellStyle name="Calculation 2 2 6 4" xfId="27271" xr:uid="{00000000-0005-0000-0000-0000686A0000}"/>
    <cellStyle name="Calculation 2 2 6 4 2" xfId="27272" xr:uid="{00000000-0005-0000-0000-0000696A0000}"/>
    <cellStyle name="Calculation 2 2 6 4 3" xfId="27273" xr:uid="{00000000-0005-0000-0000-00006A6A0000}"/>
    <cellStyle name="Calculation 2 2 6 4 4" xfId="27274" xr:uid="{00000000-0005-0000-0000-00006B6A0000}"/>
    <cellStyle name="Calculation 2 2 6 4 5" xfId="27275" xr:uid="{00000000-0005-0000-0000-00006C6A0000}"/>
    <cellStyle name="Calculation 2 2 6 4 6" xfId="27276" xr:uid="{00000000-0005-0000-0000-00006D6A0000}"/>
    <cellStyle name="Calculation 2 2 6 5" xfId="27277" xr:uid="{00000000-0005-0000-0000-00006E6A0000}"/>
    <cellStyle name="Calculation 2 2 6 5 2" xfId="27278" xr:uid="{00000000-0005-0000-0000-00006F6A0000}"/>
    <cellStyle name="Calculation 2 2 6 5 3" xfId="27279" xr:uid="{00000000-0005-0000-0000-0000706A0000}"/>
    <cellStyle name="Calculation 2 2 6 5 4" xfId="27280" xr:uid="{00000000-0005-0000-0000-0000716A0000}"/>
    <cellStyle name="Calculation 2 2 6 5 5" xfId="27281" xr:uid="{00000000-0005-0000-0000-0000726A0000}"/>
    <cellStyle name="Calculation 2 2 6 5 6" xfId="27282" xr:uid="{00000000-0005-0000-0000-0000736A0000}"/>
    <cellStyle name="Calculation 2 2 6 6" xfId="27283" xr:uid="{00000000-0005-0000-0000-0000746A0000}"/>
    <cellStyle name="Calculation 2 2 6 6 2" xfId="27284" xr:uid="{00000000-0005-0000-0000-0000756A0000}"/>
    <cellStyle name="Calculation 2 2 6 6 3" xfId="27285" xr:uid="{00000000-0005-0000-0000-0000766A0000}"/>
    <cellStyle name="Calculation 2 2 6 6 4" xfId="27286" xr:uid="{00000000-0005-0000-0000-0000776A0000}"/>
    <cellStyle name="Calculation 2 2 6 6 5" xfId="27287" xr:uid="{00000000-0005-0000-0000-0000786A0000}"/>
    <cellStyle name="Calculation 2 2 6 6 6" xfId="27288" xr:uid="{00000000-0005-0000-0000-0000796A0000}"/>
    <cellStyle name="Calculation 2 2 6 7" xfId="27289" xr:uid="{00000000-0005-0000-0000-00007A6A0000}"/>
    <cellStyle name="Calculation 2 2 6 7 2" xfId="27290" xr:uid="{00000000-0005-0000-0000-00007B6A0000}"/>
    <cellStyle name="Calculation 2 2 6 7 3" xfId="27291" xr:uid="{00000000-0005-0000-0000-00007C6A0000}"/>
    <cellStyle name="Calculation 2 2 6 7 4" xfId="27292" xr:uid="{00000000-0005-0000-0000-00007D6A0000}"/>
    <cellStyle name="Calculation 2 2 6 7 5" xfId="27293" xr:uid="{00000000-0005-0000-0000-00007E6A0000}"/>
    <cellStyle name="Calculation 2 2 6 7 6" xfId="27294" xr:uid="{00000000-0005-0000-0000-00007F6A0000}"/>
    <cellStyle name="Calculation 2 2 6 8" xfId="27295" xr:uid="{00000000-0005-0000-0000-0000806A0000}"/>
    <cellStyle name="Calculation 2 2 6 9" xfId="27296" xr:uid="{00000000-0005-0000-0000-0000816A0000}"/>
    <cellStyle name="Calculation 2 2 7" xfId="27297" xr:uid="{00000000-0005-0000-0000-0000826A0000}"/>
    <cellStyle name="Calculation 2 2 7 10" xfId="27298" xr:uid="{00000000-0005-0000-0000-0000836A0000}"/>
    <cellStyle name="Calculation 2 2 7 2" xfId="27299" xr:uid="{00000000-0005-0000-0000-0000846A0000}"/>
    <cellStyle name="Calculation 2 2 7 2 2" xfId="27300" xr:uid="{00000000-0005-0000-0000-0000856A0000}"/>
    <cellStyle name="Calculation 2 2 7 2 3" xfId="27301" xr:uid="{00000000-0005-0000-0000-0000866A0000}"/>
    <cellStyle name="Calculation 2 2 7 2 4" xfId="27302" xr:uid="{00000000-0005-0000-0000-0000876A0000}"/>
    <cellStyle name="Calculation 2 2 7 2 5" xfId="27303" xr:uid="{00000000-0005-0000-0000-0000886A0000}"/>
    <cellStyle name="Calculation 2 2 7 2 6" xfId="27304" xr:uid="{00000000-0005-0000-0000-0000896A0000}"/>
    <cellStyle name="Calculation 2 2 7 3" xfId="27305" xr:uid="{00000000-0005-0000-0000-00008A6A0000}"/>
    <cellStyle name="Calculation 2 2 7 3 2" xfId="27306" xr:uid="{00000000-0005-0000-0000-00008B6A0000}"/>
    <cellStyle name="Calculation 2 2 7 3 3" xfId="27307" xr:uid="{00000000-0005-0000-0000-00008C6A0000}"/>
    <cellStyle name="Calculation 2 2 7 3 4" xfId="27308" xr:uid="{00000000-0005-0000-0000-00008D6A0000}"/>
    <cellStyle name="Calculation 2 2 7 3 5" xfId="27309" xr:uid="{00000000-0005-0000-0000-00008E6A0000}"/>
    <cellStyle name="Calculation 2 2 7 3 6" xfId="27310" xr:uid="{00000000-0005-0000-0000-00008F6A0000}"/>
    <cellStyle name="Calculation 2 2 7 4" xfId="27311" xr:uid="{00000000-0005-0000-0000-0000906A0000}"/>
    <cellStyle name="Calculation 2 2 7 4 2" xfId="27312" xr:uid="{00000000-0005-0000-0000-0000916A0000}"/>
    <cellStyle name="Calculation 2 2 7 4 3" xfId="27313" xr:uid="{00000000-0005-0000-0000-0000926A0000}"/>
    <cellStyle name="Calculation 2 2 7 4 4" xfId="27314" xr:uid="{00000000-0005-0000-0000-0000936A0000}"/>
    <cellStyle name="Calculation 2 2 7 4 5" xfId="27315" xr:uid="{00000000-0005-0000-0000-0000946A0000}"/>
    <cellStyle name="Calculation 2 2 7 4 6" xfId="27316" xr:uid="{00000000-0005-0000-0000-0000956A0000}"/>
    <cellStyle name="Calculation 2 2 7 5" xfId="27317" xr:uid="{00000000-0005-0000-0000-0000966A0000}"/>
    <cellStyle name="Calculation 2 2 7 5 2" xfId="27318" xr:uid="{00000000-0005-0000-0000-0000976A0000}"/>
    <cellStyle name="Calculation 2 2 7 5 3" xfId="27319" xr:uid="{00000000-0005-0000-0000-0000986A0000}"/>
    <cellStyle name="Calculation 2 2 7 5 4" xfId="27320" xr:uid="{00000000-0005-0000-0000-0000996A0000}"/>
    <cellStyle name="Calculation 2 2 7 5 5" xfId="27321" xr:uid="{00000000-0005-0000-0000-00009A6A0000}"/>
    <cellStyle name="Calculation 2 2 7 5 6" xfId="27322" xr:uid="{00000000-0005-0000-0000-00009B6A0000}"/>
    <cellStyle name="Calculation 2 2 7 6" xfId="27323" xr:uid="{00000000-0005-0000-0000-00009C6A0000}"/>
    <cellStyle name="Calculation 2 2 7 6 2" xfId="27324" xr:uid="{00000000-0005-0000-0000-00009D6A0000}"/>
    <cellStyle name="Calculation 2 2 7 6 3" xfId="27325" xr:uid="{00000000-0005-0000-0000-00009E6A0000}"/>
    <cellStyle name="Calculation 2 2 7 6 4" xfId="27326" xr:uid="{00000000-0005-0000-0000-00009F6A0000}"/>
    <cellStyle name="Calculation 2 2 7 6 5" xfId="27327" xr:uid="{00000000-0005-0000-0000-0000A06A0000}"/>
    <cellStyle name="Calculation 2 2 7 6 6" xfId="27328" xr:uid="{00000000-0005-0000-0000-0000A16A0000}"/>
    <cellStyle name="Calculation 2 2 7 7" xfId="27329" xr:uid="{00000000-0005-0000-0000-0000A26A0000}"/>
    <cellStyle name="Calculation 2 2 7 7 2" xfId="27330" xr:uid="{00000000-0005-0000-0000-0000A36A0000}"/>
    <cellStyle name="Calculation 2 2 7 7 3" xfId="27331" xr:uid="{00000000-0005-0000-0000-0000A46A0000}"/>
    <cellStyle name="Calculation 2 2 7 7 4" xfId="27332" xr:uid="{00000000-0005-0000-0000-0000A56A0000}"/>
    <cellStyle name="Calculation 2 2 7 7 5" xfId="27333" xr:uid="{00000000-0005-0000-0000-0000A66A0000}"/>
    <cellStyle name="Calculation 2 2 7 7 6" xfId="27334" xr:uid="{00000000-0005-0000-0000-0000A76A0000}"/>
    <cellStyle name="Calculation 2 2 7 8" xfId="27335" xr:uid="{00000000-0005-0000-0000-0000A86A0000}"/>
    <cellStyle name="Calculation 2 2 7 9" xfId="27336" xr:uid="{00000000-0005-0000-0000-0000A96A0000}"/>
    <cellStyle name="Calculation 2 2 8" xfId="27337" xr:uid="{00000000-0005-0000-0000-0000AA6A0000}"/>
    <cellStyle name="Calculation 2 2 8 10" xfId="27338" xr:uid="{00000000-0005-0000-0000-0000AB6A0000}"/>
    <cellStyle name="Calculation 2 2 8 2" xfId="27339" xr:uid="{00000000-0005-0000-0000-0000AC6A0000}"/>
    <cellStyle name="Calculation 2 2 8 2 2" xfId="27340" xr:uid="{00000000-0005-0000-0000-0000AD6A0000}"/>
    <cellStyle name="Calculation 2 2 8 2 3" xfId="27341" xr:uid="{00000000-0005-0000-0000-0000AE6A0000}"/>
    <cellStyle name="Calculation 2 2 8 2 4" xfId="27342" xr:uid="{00000000-0005-0000-0000-0000AF6A0000}"/>
    <cellStyle name="Calculation 2 2 8 2 5" xfId="27343" xr:uid="{00000000-0005-0000-0000-0000B06A0000}"/>
    <cellStyle name="Calculation 2 2 8 2 6" xfId="27344" xr:uid="{00000000-0005-0000-0000-0000B16A0000}"/>
    <cellStyle name="Calculation 2 2 8 3" xfId="27345" xr:uid="{00000000-0005-0000-0000-0000B26A0000}"/>
    <cellStyle name="Calculation 2 2 8 3 2" xfId="27346" xr:uid="{00000000-0005-0000-0000-0000B36A0000}"/>
    <cellStyle name="Calculation 2 2 8 3 3" xfId="27347" xr:uid="{00000000-0005-0000-0000-0000B46A0000}"/>
    <cellStyle name="Calculation 2 2 8 3 4" xfId="27348" xr:uid="{00000000-0005-0000-0000-0000B56A0000}"/>
    <cellStyle name="Calculation 2 2 8 3 5" xfId="27349" xr:uid="{00000000-0005-0000-0000-0000B66A0000}"/>
    <cellStyle name="Calculation 2 2 8 3 6" xfId="27350" xr:uid="{00000000-0005-0000-0000-0000B76A0000}"/>
    <cellStyle name="Calculation 2 2 8 4" xfId="27351" xr:uid="{00000000-0005-0000-0000-0000B86A0000}"/>
    <cellStyle name="Calculation 2 2 8 4 2" xfId="27352" xr:uid="{00000000-0005-0000-0000-0000B96A0000}"/>
    <cellStyle name="Calculation 2 2 8 4 3" xfId="27353" xr:uid="{00000000-0005-0000-0000-0000BA6A0000}"/>
    <cellStyle name="Calculation 2 2 8 4 4" xfId="27354" xr:uid="{00000000-0005-0000-0000-0000BB6A0000}"/>
    <cellStyle name="Calculation 2 2 8 4 5" xfId="27355" xr:uid="{00000000-0005-0000-0000-0000BC6A0000}"/>
    <cellStyle name="Calculation 2 2 8 4 6" xfId="27356" xr:uid="{00000000-0005-0000-0000-0000BD6A0000}"/>
    <cellStyle name="Calculation 2 2 8 5" xfId="27357" xr:uid="{00000000-0005-0000-0000-0000BE6A0000}"/>
    <cellStyle name="Calculation 2 2 8 5 2" xfId="27358" xr:uid="{00000000-0005-0000-0000-0000BF6A0000}"/>
    <cellStyle name="Calculation 2 2 8 5 3" xfId="27359" xr:uid="{00000000-0005-0000-0000-0000C06A0000}"/>
    <cellStyle name="Calculation 2 2 8 5 4" xfId="27360" xr:uid="{00000000-0005-0000-0000-0000C16A0000}"/>
    <cellStyle name="Calculation 2 2 8 5 5" xfId="27361" xr:uid="{00000000-0005-0000-0000-0000C26A0000}"/>
    <cellStyle name="Calculation 2 2 8 5 6" xfId="27362" xr:uid="{00000000-0005-0000-0000-0000C36A0000}"/>
    <cellStyle name="Calculation 2 2 8 6" xfId="27363" xr:uid="{00000000-0005-0000-0000-0000C46A0000}"/>
    <cellStyle name="Calculation 2 2 8 6 2" xfId="27364" xr:uid="{00000000-0005-0000-0000-0000C56A0000}"/>
    <cellStyle name="Calculation 2 2 8 6 3" xfId="27365" xr:uid="{00000000-0005-0000-0000-0000C66A0000}"/>
    <cellStyle name="Calculation 2 2 8 6 4" xfId="27366" xr:uid="{00000000-0005-0000-0000-0000C76A0000}"/>
    <cellStyle name="Calculation 2 2 8 6 5" xfId="27367" xr:uid="{00000000-0005-0000-0000-0000C86A0000}"/>
    <cellStyle name="Calculation 2 2 8 6 6" xfId="27368" xr:uid="{00000000-0005-0000-0000-0000C96A0000}"/>
    <cellStyle name="Calculation 2 2 8 7" xfId="27369" xr:uid="{00000000-0005-0000-0000-0000CA6A0000}"/>
    <cellStyle name="Calculation 2 2 8 7 2" xfId="27370" xr:uid="{00000000-0005-0000-0000-0000CB6A0000}"/>
    <cellStyle name="Calculation 2 2 8 7 3" xfId="27371" xr:uid="{00000000-0005-0000-0000-0000CC6A0000}"/>
    <cellStyle name="Calculation 2 2 8 7 4" xfId="27372" xr:uid="{00000000-0005-0000-0000-0000CD6A0000}"/>
    <cellStyle name="Calculation 2 2 8 7 5" xfId="27373" xr:uid="{00000000-0005-0000-0000-0000CE6A0000}"/>
    <cellStyle name="Calculation 2 2 8 7 6" xfId="27374" xr:uid="{00000000-0005-0000-0000-0000CF6A0000}"/>
    <cellStyle name="Calculation 2 2 8 8" xfId="27375" xr:uid="{00000000-0005-0000-0000-0000D06A0000}"/>
    <cellStyle name="Calculation 2 2 8 9" xfId="27376" xr:uid="{00000000-0005-0000-0000-0000D16A0000}"/>
    <cellStyle name="Calculation 2 2 9" xfId="27377" xr:uid="{00000000-0005-0000-0000-0000D26A0000}"/>
    <cellStyle name="Calculation 2 2 9 10" xfId="27378" xr:uid="{00000000-0005-0000-0000-0000D36A0000}"/>
    <cellStyle name="Calculation 2 2 9 2" xfId="27379" xr:uid="{00000000-0005-0000-0000-0000D46A0000}"/>
    <cellStyle name="Calculation 2 2 9 2 2" xfId="27380" xr:uid="{00000000-0005-0000-0000-0000D56A0000}"/>
    <cellStyle name="Calculation 2 2 9 2 3" xfId="27381" xr:uid="{00000000-0005-0000-0000-0000D66A0000}"/>
    <cellStyle name="Calculation 2 2 9 2 4" xfId="27382" xr:uid="{00000000-0005-0000-0000-0000D76A0000}"/>
    <cellStyle name="Calculation 2 2 9 2 5" xfId="27383" xr:uid="{00000000-0005-0000-0000-0000D86A0000}"/>
    <cellStyle name="Calculation 2 2 9 2 6" xfId="27384" xr:uid="{00000000-0005-0000-0000-0000D96A0000}"/>
    <cellStyle name="Calculation 2 2 9 3" xfId="27385" xr:uid="{00000000-0005-0000-0000-0000DA6A0000}"/>
    <cellStyle name="Calculation 2 2 9 3 2" xfId="27386" xr:uid="{00000000-0005-0000-0000-0000DB6A0000}"/>
    <cellStyle name="Calculation 2 2 9 3 3" xfId="27387" xr:uid="{00000000-0005-0000-0000-0000DC6A0000}"/>
    <cellStyle name="Calculation 2 2 9 3 4" xfId="27388" xr:uid="{00000000-0005-0000-0000-0000DD6A0000}"/>
    <cellStyle name="Calculation 2 2 9 3 5" xfId="27389" xr:uid="{00000000-0005-0000-0000-0000DE6A0000}"/>
    <cellStyle name="Calculation 2 2 9 3 6" xfId="27390" xr:uid="{00000000-0005-0000-0000-0000DF6A0000}"/>
    <cellStyle name="Calculation 2 2 9 4" xfId="27391" xr:uid="{00000000-0005-0000-0000-0000E06A0000}"/>
    <cellStyle name="Calculation 2 2 9 4 2" xfId="27392" xr:uid="{00000000-0005-0000-0000-0000E16A0000}"/>
    <cellStyle name="Calculation 2 2 9 4 3" xfId="27393" xr:uid="{00000000-0005-0000-0000-0000E26A0000}"/>
    <cellStyle name="Calculation 2 2 9 4 4" xfId="27394" xr:uid="{00000000-0005-0000-0000-0000E36A0000}"/>
    <cellStyle name="Calculation 2 2 9 4 5" xfId="27395" xr:uid="{00000000-0005-0000-0000-0000E46A0000}"/>
    <cellStyle name="Calculation 2 2 9 4 6" xfId="27396" xr:uid="{00000000-0005-0000-0000-0000E56A0000}"/>
    <cellStyle name="Calculation 2 2 9 5" xfId="27397" xr:uid="{00000000-0005-0000-0000-0000E66A0000}"/>
    <cellStyle name="Calculation 2 2 9 5 2" xfId="27398" xr:uid="{00000000-0005-0000-0000-0000E76A0000}"/>
    <cellStyle name="Calculation 2 2 9 5 3" xfId="27399" xr:uid="{00000000-0005-0000-0000-0000E86A0000}"/>
    <cellStyle name="Calculation 2 2 9 5 4" xfId="27400" xr:uid="{00000000-0005-0000-0000-0000E96A0000}"/>
    <cellStyle name="Calculation 2 2 9 5 5" xfId="27401" xr:uid="{00000000-0005-0000-0000-0000EA6A0000}"/>
    <cellStyle name="Calculation 2 2 9 5 6" xfId="27402" xr:uid="{00000000-0005-0000-0000-0000EB6A0000}"/>
    <cellStyle name="Calculation 2 2 9 6" xfId="27403" xr:uid="{00000000-0005-0000-0000-0000EC6A0000}"/>
    <cellStyle name="Calculation 2 2 9 6 2" xfId="27404" xr:uid="{00000000-0005-0000-0000-0000ED6A0000}"/>
    <cellStyle name="Calculation 2 2 9 6 3" xfId="27405" xr:uid="{00000000-0005-0000-0000-0000EE6A0000}"/>
    <cellStyle name="Calculation 2 2 9 6 4" xfId="27406" xr:uid="{00000000-0005-0000-0000-0000EF6A0000}"/>
    <cellStyle name="Calculation 2 2 9 6 5" xfId="27407" xr:uid="{00000000-0005-0000-0000-0000F06A0000}"/>
    <cellStyle name="Calculation 2 2 9 6 6" xfId="27408" xr:uid="{00000000-0005-0000-0000-0000F16A0000}"/>
    <cellStyle name="Calculation 2 2 9 7" xfId="27409" xr:uid="{00000000-0005-0000-0000-0000F26A0000}"/>
    <cellStyle name="Calculation 2 2 9 7 2" xfId="27410" xr:uid="{00000000-0005-0000-0000-0000F36A0000}"/>
    <cellStyle name="Calculation 2 2 9 7 3" xfId="27411" xr:uid="{00000000-0005-0000-0000-0000F46A0000}"/>
    <cellStyle name="Calculation 2 2 9 7 4" xfId="27412" xr:uid="{00000000-0005-0000-0000-0000F56A0000}"/>
    <cellStyle name="Calculation 2 2 9 7 5" xfId="27413" xr:uid="{00000000-0005-0000-0000-0000F66A0000}"/>
    <cellStyle name="Calculation 2 2 9 7 6" xfId="27414" xr:uid="{00000000-0005-0000-0000-0000F76A0000}"/>
    <cellStyle name="Calculation 2 2 9 8" xfId="27415" xr:uid="{00000000-0005-0000-0000-0000F86A0000}"/>
    <cellStyle name="Calculation 2 2 9 9" xfId="27416" xr:uid="{00000000-0005-0000-0000-0000F96A0000}"/>
    <cellStyle name="Calculation 2 20" xfId="27417" xr:uid="{00000000-0005-0000-0000-0000FA6A0000}"/>
    <cellStyle name="Calculation 2 20 10" xfId="27418" xr:uid="{00000000-0005-0000-0000-0000FB6A0000}"/>
    <cellStyle name="Calculation 2 20 2" xfId="27419" xr:uid="{00000000-0005-0000-0000-0000FC6A0000}"/>
    <cellStyle name="Calculation 2 20 2 2" xfId="27420" xr:uid="{00000000-0005-0000-0000-0000FD6A0000}"/>
    <cellStyle name="Calculation 2 20 2 3" xfId="27421" xr:uid="{00000000-0005-0000-0000-0000FE6A0000}"/>
    <cellStyle name="Calculation 2 20 2 4" xfId="27422" xr:uid="{00000000-0005-0000-0000-0000FF6A0000}"/>
    <cellStyle name="Calculation 2 20 2 5" xfId="27423" xr:uid="{00000000-0005-0000-0000-0000006B0000}"/>
    <cellStyle name="Calculation 2 20 2 6" xfId="27424" xr:uid="{00000000-0005-0000-0000-0000016B0000}"/>
    <cellStyle name="Calculation 2 20 3" xfId="27425" xr:uid="{00000000-0005-0000-0000-0000026B0000}"/>
    <cellStyle name="Calculation 2 20 3 2" xfId="27426" xr:uid="{00000000-0005-0000-0000-0000036B0000}"/>
    <cellStyle name="Calculation 2 20 3 3" xfId="27427" xr:uid="{00000000-0005-0000-0000-0000046B0000}"/>
    <cellStyle name="Calculation 2 20 3 4" xfId="27428" xr:uid="{00000000-0005-0000-0000-0000056B0000}"/>
    <cellStyle name="Calculation 2 20 3 5" xfId="27429" xr:uid="{00000000-0005-0000-0000-0000066B0000}"/>
    <cellStyle name="Calculation 2 20 3 6" xfId="27430" xr:uid="{00000000-0005-0000-0000-0000076B0000}"/>
    <cellStyle name="Calculation 2 20 4" xfId="27431" xr:uid="{00000000-0005-0000-0000-0000086B0000}"/>
    <cellStyle name="Calculation 2 20 4 2" xfId="27432" xr:uid="{00000000-0005-0000-0000-0000096B0000}"/>
    <cellStyle name="Calculation 2 20 4 3" xfId="27433" xr:uid="{00000000-0005-0000-0000-00000A6B0000}"/>
    <cellStyle name="Calculation 2 20 4 4" xfId="27434" xr:uid="{00000000-0005-0000-0000-00000B6B0000}"/>
    <cellStyle name="Calculation 2 20 4 5" xfId="27435" xr:uid="{00000000-0005-0000-0000-00000C6B0000}"/>
    <cellStyle name="Calculation 2 20 4 6" xfId="27436" xr:uid="{00000000-0005-0000-0000-00000D6B0000}"/>
    <cellStyle name="Calculation 2 20 5" xfId="27437" xr:uid="{00000000-0005-0000-0000-00000E6B0000}"/>
    <cellStyle name="Calculation 2 20 5 2" xfId="27438" xr:uid="{00000000-0005-0000-0000-00000F6B0000}"/>
    <cellStyle name="Calculation 2 20 5 3" xfId="27439" xr:uid="{00000000-0005-0000-0000-0000106B0000}"/>
    <cellStyle name="Calculation 2 20 5 4" xfId="27440" xr:uid="{00000000-0005-0000-0000-0000116B0000}"/>
    <cellStyle name="Calculation 2 20 5 5" xfId="27441" xr:uid="{00000000-0005-0000-0000-0000126B0000}"/>
    <cellStyle name="Calculation 2 20 5 6" xfId="27442" xr:uid="{00000000-0005-0000-0000-0000136B0000}"/>
    <cellStyle name="Calculation 2 20 6" xfId="27443" xr:uid="{00000000-0005-0000-0000-0000146B0000}"/>
    <cellStyle name="Calculation 2 20 6 2" xfId="27444" xr:uid="{00000000-0005-0000-0000-0000156B0000}"/>
    <cellStyle name="Calculation 2 20 6 3" xfId="27445" xr:uid="{00000000-0005-0000-0000-0000166B0000}"/>
    <cellStyle name="Calculation 2 20 6 4" xfId="27446" xr:uid="{00000000-0005-0000-0000-0000176B0000}"/>
    <cellStyle name="Calculation 2 20 6 5" xfId="27447" xr:uid="{00000000-0005-0000-0000-0000186B0000}"/>
    <cellStyle name="Calculation 2 20 6 6" xfId="27448" xr:uid="{00000000-0005-0000-0000-0000196B0000}"/>
    <cellStyle name="Calculation 2 20 7" xfId="27449" xr:uid="{00000000-0005-0000-0000-00001A6B0000}"/>
    <cellStyle name="Calculation 2 20 7 2" xfId="27450" xr:uid="{00000000-0005-0000-0000-00001B6B0000}"/>
    <cellStyle name="Calculation 2 20 7 3" xfId="27451" xr:uid="{00000000-0005-0000-0000-00001C6B0000}"/>
    <cellStyle name="Calculation 2 20 7 4" xfId="27452" xr:uid="{00000000-0005-0000-0000-00001D6B0000}"/>
    <cellStyle name="Calculation 2 20 7 5" xfId="27453" xr:uid="{00000000-0005-0000-0000-00001E6B0000}"/>
    <cellStyle name="Calculation 2 20 7 6" xfId="27454" xr:uid="{00000000-0005-0000-0000-00001F6B0000}"/>
    <cellStyle name="Calculation 2 20 8" xfId="27455" xr:uid="{00000000-0005-0000-0000-0000206B0000}"/>
    <cellStyle name="Calculation 2 20 9" xfId="27456" xr:uid="{00000000-0005-0000-0000-0000216B0000}"/>
    <cellStyle name="Calculation 2 21" xfId="27457" xr:uid="{00000000-0005-0000-0000-0000226B0000}"/>
    <cellStyle name="Calculation 2 21 10" xfId="27458" xr:uid="{00000000-0005-0000-0000-0000236B0000}"/>
    <cellStyle name="Calculation 2 21 2" xfId="27459" xr:uid="{00000000-0005-0000-0000-0000246B0000}"/>
    <cellStyle name="Calculation 2 21 2 2" xfId="27460" xr:uid="{00000000-0005-0000-0000-0000256B0000}"/>
    <cellStyle name="Calculation 2 21 2 3" xfId="27461" xr:uid="{00000000-0005-0000-0000-0000266B0000}"/>
    <cellStyle name="Calculation 2 21 2 4" xfId="27462" xr:uid="{00000000-0005-0000-0000-0000276B0000}"/>
    <cellStyle name="Calculation 2 21 2 5" xfId="27463" xr:uid="{00000000-0005-0000-0000-0000286B0000}"/>
    <cellStyle name="Calculation 2 21 2 6" xfId="27464" xr:uid="{00000000-0005-0000-0000-0000296B0000}"/>
    <cellStyle name="Calculation 2 21 3" xfId="27465" xr:uid="{00000000-0005-0000-0000-00002A6B0000}"/>
    <cellStyle name="Calculation 2 21 3 2" xfId="27466" xr:uid="{00000000-0005-0000-0000-00002B6B0000}"/>
    <cellStyle name="Calculation 2 21 3 3" xfId="27467" xr:uid="{00000000-0005-0000-0000-00002C6B0000}"/>
    <cellStyle name="Calculation 2 21 3 4" xfId="27468" xr:uid="{00000000-0005-0000-0000-00002D6B0000}"/>
    <cellStyle name="Calculation 2 21 3 5" xfId="27469" xr:uid="{00000000-0005-0000-0000-00002E6B0000}"/>
    <cellStyle name="Calculation 2 21 3 6" xfId="27470" xr:uid="{00000000-0005-0000-0000-00002F6B0000}"/>
    <cellStyle name="Calculation 2 21 4" xfId="27471" xr:uid="{00000000-0005-0000-0000-0000306B0000}"/>
    <cellStyle name="Calculation 2 21 4 2" xfId="27472" xr:uid="{00000000-0005-0000-0000-0000316B0000}"/>
    <cellStyle name="Calculation 2 21 4 3" xfId="27473" xr:uid="{00000000-0005-0000-0000-0000326B0000}"/>
    <cellStyle name="Calculation 2 21 4 4" xfId="27474" xr:uid="{00000000-0005-0000-0000-0000336B0000}"/>
    <cellStyle name="Calculation 2 21 4 5" xfId="27475" xr:uid="{00000000-0005-0000-0000-0000346B0000}"/>
    <cellStyle name="Calculation 2 21 4 6" xfId="27476" xr:uid="{00000000-0005-0000-0000-0000356B0000}"/>
    <cellStyle name="Calculation 2 21 5" xfId="27477" xr:uid="{00000000-0005-0000-0000-0000366B0000}"/>
    <cellStyle name="Calculation 2 21 5 2" xfId="27478" xr:uid="{00000000-0005-0000-0000-0000376B0000}"/>
    <cellStyle name="Calculation 2 21 5 3" xfId="27479" xr:uid="{00000000-0005-0000-0000-0000386B0000}"/>
    <cellStyle name="Calculation 2 21 5 4" xfId="27480" xr:uid="{00000000-0005-0000-0000-0000396B0000}"/>
    <cellStyle name="Calculation 2 21 5 5" xfId="27481" xr:uid="{00000000-0005-0000-0000-00003A6B0000}"/>
    <cellStyle name="Calculation 2 21 5 6" xfId="27482" xr:uid="{00000000-0005-0000-0000-00003B6B0000}"/>
    <cellStyle name="Calculation 2 21 6" xfId="27483" xr:uid="{00000000-0005-0000-0000-00003C6B0000}"/>
    <cellStyle name="Calculation 2 21 6 2" xfId="27484" xr:uid="{00000000-0005-0000-0000-00003D6B0000}"/>
    <cellStyle name="Calculation 2 21 6 3" xfId="27485" xr:uid="{00000000-0005-0000-0000-00003E6B0000}"/>
    <cellStyle name="Calculation 2 21 6 4" xfId="27486" xr:uid="{00000000-0005-0000-0000-00003F6B0000}"/>
    <cellStyle name="Calculation 2 21 6 5" xfId="27487" xr:uid="{00000000-0005-0000-0000-0000406B0000}"/>
    <cellStyle name="Calculation 2 21 6 6" xfId="27488" xr:uid="{00000000-0005-0000-0000-0000416B0000}"/>
    <cellStyle name="Calculation 2 21 7" xfId="27489" xr:uid="{00000000-0005-0000-0000-0000426B0000}"/>
    <cellStyle name="Calculation 2 21 7 2" xfId="27490" xr:uid="{00000000-0005-0000-0000-0000436B0000}"/>
    <cellStyle name="Calculation 2 21 7 3" xfId="27491" xr:uid="{00000000-0005-0000-0000-0000446B0000}"/>
    <cellStyle name="Calculation 2 21 7 4" xfId="27492" xr:uid="{00000000-0005-0000-0000-0000456B0000}"/>
    <cellStyle name="Calculation 2 21 7 5" xfId="27493" xr:uid="{00000000-0005-0000-0000-0000466B0000}"/>
    <cellStyle name="Calculation 2 21 7 6" xfId="27494" xr:uid="{00000000-0005-0000-0000-0000476B0000}"/>
    <cellStyle name="Calculation 2 21 8" xfId="27495" xr:uid="{00000000-0005-0000-0000-0000486B0000}"/>
    <cellStyle name="Calculation 2 21 9" xfId="27496" xr:uid="{00000000-0005-0000-0000-0000496B0000}"/>
    <cellStyle name="Calculation 2 22" xfId="27497" xr:uid="{00000000-0005-0000-0000-00004A6B0000}"/>
    <cellStyle name="Calculation 2 22 10" xfId="27498" xr:uid="{00000000-0005-0000-0000-00004B6B0000}"/>
    <cellStyle name="Calculation 2 22 2" xfId="27499" xr:uid="{00000000-0005-0000-0000-00004C6B0000}"/>
    <cellStyle name="Calculation 2 22 2 2" xfId="27500" xr:uid="{00000000-0005-0000-0000-00004D6B0000}"/>
    <cellStyle name="Calculation 2 22 2 3" xfId="27501" xr:uid="{00000000-0005-0000-0000-00004E6B0000}"/>
    <cellStyle name="Calculation 2 22 2 4" xfId="27502" xr:uid="{00000000-0005-0000-0000-00004F6B0000}"/>
    <cellStyle name="Calculation 2 22 2 5" xfId="27503" xr:uid="{00000000-0005-0000-0000-0000506B0000}"/>
    <cellStyle name="Calculation 2 22 2 6" xfId="27504" xr:uid="{00000000-0005-0000-0000-0000516B0000}"/>
    <cellStyle name="Calculation 2 22 3" xfId="27505" xr:uid="{00000000-0005-0000-0000-0000526B0000}"/>
    <cellStyle name="Calculation 2 22 3 2" xfId="27506" xr:uid="{00000000-0005-0000-0000-0000536B0000}"/>
    <cellStyle name="Calculation 2 22 3 3" xfId="27507" xr:uid="{00000000-0005-0000-0000-0000546B0000}"/>
    <cellStyle name="Calculation 2 22 3 4" xfId="27508" xr:uid="{00000000-0005-0000-0000-0000556B0000}"/>
    <cellStyle name="Calculation 2 22 3 5" xfId="27509" xr:uid="{00000000-0005-0000-0000-0000566B0000}"/>
    <cellStyle name="Calculation 2 22 3 6" xfId="27510" xr:uid="{00000000-0005-0000-0000-0000576B0000}"/>
    <cellStyle name="Calculation 2 22 4" xfId="27511" xr:uid="{00000000-0005-0000-0000-0000586B0000}"/>
    <cellStyle name="Calculation 2 22 4 2" xfId="27512" xr:uid="{00000000-0005-0000-0000-0000596B0000}"/>
    <cellStyle name="Calculation 2 22 4 3" xfId="27513" xr:uid="{00000000-0005-0000-0000-00005A6B0000}"/>
    <cellStyle name="Calculation 2 22 4 4" xfId="27514" xr:uid="{00000000-0005-0000-0000-00005B6B0000}"/>
    <cellStyle name="Calculation 2 22 4 5" xfId="27515" xr:uid="{00000000-0005-0000-0000-00005C6B0000}"/>
    <cellStyle name="Calculation 2 22 4 6" xfId="27516" xr:uid="{00000000-0005-0000-0000-00005D6B0000}"/>
    <cellStyle name="Calculation 2 22 5" xfId="27517" xr:uid="{00000000-0005-0000-0000-00005E6B0000}"/>
    <cellStyle name="Calculation 2 22 5 2" xfId="27518" xr:uid="{00000000-0005-0000-0000-00005F6B0000}"/>
    <cellStyle name="Calculation 2 22 5 3" xfId="27519" xr:uid="{00000000-0005-0000-0000-0000606B0000}"/>
    <cellStyle name="Calculation 2 22 5 4" xfId="27520" xr:uid="{00000000-0005-0000-0000-0000616B0000}"/>
    <cellStyle name="Calculation 2 22 5 5" xfId="27521" xr:uid="{00000000-0005-0000-0000-0000626B0000}"/>
    <cellStyle name="Calculation 2 22 5 6" xfId="27522" xr:uid="{00000000-0005-0000-0000-0000636B0000}"/>
    <cellStyle name="Calculation 2 22 6" xfId="27523" xr:uid="{00000000-0005-0000-0000-0000646B0000}"/>
    <cellStyle name="Calculation 2 22 6 2" xfId="27524" xr:uid="{00000000-0005-0000-0000-0000656B0000}"/>
    <cellStyle name="Calculation 2 22 6 3" xfId="27525" xr:uid="{00000000-0005-0000-0000-0000666B0000}"/>
    <cellStyle name="Calculation 2 22 6 4" xfId="27526" xr:uid="{00000000-0005-0000-0000-0000676B0000}"/>
    <cellStyle name="Calculation 2 22 6 5" xfId="27527" xr:uid="{00000000-0005-0000-0000-0000686B0000}"/>
    <cellStyle name="Calculation 2 22 6 6" xfId="27528" xr:uid="{00000000-0005-0000-0000-0000696B0000}"/>
    <cellStyle name="Calculation 2 22 7" xfId="27529" xr:uid="{00000000-0005-0000-0000-00006A6B0000}"/>
    <cellStyle name="Calculation 2 22 7 2" xfId="27530" xr:uid="{00000000-0005-0000-0000-00006B6B0000}"/>
    <cellStyle name="Calculation 2 22 7 3" xfId="27531" xr:uid="{00000000-0005-0000-0000-00006C6B0000}"/>
    <cellStyle name="Calculation 2 22 7 4" xfId="27532" xr:uid="{00000000-0005-0000-0000-00006D6B0000}"/>
    <cellStyle name="Calculation 2 22 7 5" xfId="27533" xr:uid="{00000000-0005-0000-0000-00006E6B0000}"/>
    <cellStyle name="Calculation 2 22 7 6" xfId="27534" xr:uid="{00000000-0005-0000-0000-00006F6B0000}"/>
    <cellStyle name="Calculation 2 22 8" xfId="27535" xr:uid="{00000000-0005-0000-0000-0000706B0000}"/>
    <cellStyle name="Calculation 2 22 9" xfId="27536" xr:uid="{00000000-0005-0000-0000-0000716B0000}"/>
    <cellStyle name="Calculation 2 23" xfId="27537" xr:uid="{00000000-0005-0000-0000-0000726B0000}"/>
    <cellStyle name="Calculation 2 23 10" xfId="27538" xr:uid="{00000000-0005-0000-0000-0000736B0000}"/>
    <cellStyle name="Calculation 2 23 2" xfId="27539" xr:uid="{00000000-0005-0000-0000-0000746B0000}"/>
    <cellStyle name="Calculation 2 23 2 2" xfId="27540" xr:uid="{00000000-0005-0000-0000-0000756B0000}"/>
    <cellStyle name="Calculation 2 23 2 3" xfId="27541" xr:uid="{00000000-0005-0000-0000-0000766B0000}"/>
    <cellStyle name="Calculation 2 23 2 4" xfId="27542" xr:uid="{00000000-0005-0000-0000-0000776B0000}"/>
    <cellStyle name="Calculation 2 23 2 5" xfId="27543" xr:uid="{00000000-0005-0000-0000-0000786B0000}"/>
    <cellStyle name="Calculation 2 23 2 6" xfId="27544" xr:uid="{00000000-0005-0000-0000-0000796B0000}"/>
    <cellStyle name="Calculation 2 23 3" xfId="27545" xr:uid="{00000000-0005-0000-0000-00007A6B0000}"/>
    <cellStyle name="Calculation 2 23 3 2" xfId="27546" xr:uid="{00000000-0005-0000-0000-00007B6B0000}"/>
    <cellStyle name="Calculation 2 23 3 3" xfId="27547" xr:uid="{00000000-0005-0000-0000-00007C6B0000}"/>
    <cellStyle name="Calculation 2 23 3 4" xfId="27548" xr:uid="{00000000-0005-0000-0000-00007D6B0000}"/>
    <cellStyle name="Calculation 2 23 3 5" xfId="27549" xr:uid="{00000000-0005-0000-0000-00007E6B0000}"/>
    <cellStyle name="Calculation 2 23 3 6" xfId="27550" xr:uid="{00000000-0005-0000-0000-00007F6B0000}"/>
    <cellStyle name="Calculation 2 23 4" xfId="27551" xr:uid="{00000000-0005-0000-0000-0000806B0000}"/>
    <cellStyle name="Calculation 2 23 4 2" xfId="27552" xr:uid="{00000000-0005-0000-0000-0000816B0000}"/>
    <cellStyle name="Calculation 2 23 4 3" xfId="27553" xr:uid="{00000000-0005-0000-0000-0000826B0000}"/>
    <cellStyle name="Calculation 2 23 4 4" xfId="27554" xr:uid="{00000000-0005-0000-0000-0000836B0000}"/>
    <cellStyle name="Calculation 2 23 4 5" xfId="27555" xr:uid="{00000000-0005-0000-0000-0000846B0000}"/>
    <cellStyle name="Calculation 2 23 4 6" xfId="27556" xr:uid="{00000000-0005-0000-0000-0000856B0000}"/>
    <cellStyle name="Calculation 2 23 5" xfId="27557" xr:uid="{00000000-0005-0000-0000-0000866B0000}"/>
    <cellStyle name="Calculation 2 23 5 2" xfId="27558" xr:uid="{00000000-0005-0000-0000-0000876B0000}"/>
    <cellStyle name="Calculation 2 23 5 3" xfId="27559" xr:uid="{00000000-0005-0000-0000-0000886B0000}"/>
    <cellStyle name="Calculation 2 23 5 4" xfId="27560" xr:uid="{00000000-0005-0000-0000-0000896B0000}"/>
    <cellStyle name="Calculation 2 23 5 5" xfId="27561" xr:uid="{00000000-0005-0000-0000-00008A6B0000}"/>
    <cellStyle name="Calculation 2 23 5 6" xfId="27562" xr:uid="{00000000-0005-0000-0000-00008B6B0000}"/>
    <cellStyle name="Calculation 2 23 6" xfId="27563" xr:uid="{00000000-0005-0000-0000-00008C6B0000}"/>
    <cellStyle name="Calculation 2 23 6 2" xfId="27564" xr:uid="{00000000-0005-0000-0000-00008D6B0000}"/>
    <cellStyle name="Calculation 2 23 6 3" xfId="27565" xr:uid="{00000000-0005-0000-0000-00008E6B0000}"/>
    <cellStyle name="Calculation 2 23 6 4" xfId="27566" xr:uid="{00000000-0005-0000-0000-00008F6B0000}"/>
    <cellStyle name="Calculation 2 23 6 5" xfId="27567" xr:uid="{00000000-0005-0000-0000-0000906B0000}"/>
    <cellStyle name="Calculation 2 23 6 6" xfId="27568" xr:uid="{00000000-0005-0000-0000-0000916B0000}"/>
    <cellStyle name="Calculation 2 23 7" xfId="27569" xr:uid="{00000000-0005-0000-0000-0000926B0000}"/>
    <cellStyle name="Calculation 2 23 7 2" xfId="27570" xr:uid="{00000000-0005-0000-0000-0000936B0000}"/>
    <cellStyle name="Calculation 2 23 7 3" xfId="27571" xr:uid="{00000000-0005-0000-0000-0000946B0000}"/>
    <cellStyle name="Calculation 2 23 7 4" xfId="27572" xr:uid="{00000000-0005-0000-0000-0000956B0000}"/>
    <cellStyle name="Calculation 2 23 7 5" xfId="27573" xr:uid="{00000000-0005-0000-0000-0000966B0000}"/>
    <cellStyle name="Calculation 2 23 7 6" xfId="27574" xr:uid="{00000000-0005-0000-0000-0000976B0000}"/>
    <cellStyle name="Calculation 2 23 8" xfId="27575" xr:uid="{00000000-0005-0000-0000-0000986B0000}"/>
    <cellStyle name="Calculation 2 23 9" xfId="27576" xr:uid="{00000000-0005-0000-0000-0000996B0000}"/>
    <cellStyle name="Calculation 2 24" xfId="27577" xr:uid="{00000000-0005-0000-0000-00009A6B0000}"/>
    <cellStyle name="Calculation 2 24 10" xfId="27578" xr:uid="{00000000-0005-0000-0000-00009B6B0000}"/>
    <cellStyle name="Calculation 2 24 2" xfId="27579" xr:uid="{00000000-0005-0000-0000-00009C6B0000}"/>
    <cellStyle name="Calculation 2 24 2 2" xfId="27580" xr:uid="{00000000-0005-0000-0000-00009D6B0000}"/>
    <cellStyle name="Calculation 2 24 2 3" xfId="27581" xr:uid="{00000000-0005-0000-0000-00009E6B0000}"/>
    <cellStyle name="Calculation 2 24 2 4" xfId="27582" xr:uid="{00000000-0005-0000-0000-00009F6B0000}"/>
    <cellStyle name="Calculation 2 24 2 5" xfId="27583" xr:uid="{00000000-0005-0000-0000-0000A06B0000}"/>
    <cellStyle name="Calculation 2 24 2 6" xfId="27584" xr:uid="{00000000-0005-0000-0000-0000A16B0000}"/>
    <cellStyle name="Calculation 2 24 3" xfId="27585" xr:uid="{00000000-0005-0000-0000-0000A26B0000}"/>
    <cellStyle name="Calculation 2 24 3 2" xfId="27586" xr:uid="{00000000-0005-0000-0000-0000A36B0000}"/>
    <cellStyle name="Calculation 2 24 3 3" xfId="27587" xr:uid="{00000000-0005-0000-0000-0000A46B0000}"/>
    <cellStyle name="Calculation 2 24 3 4" xfId="27588" xr:uid="{00000000-0005-0000-0000-0000A56B0000}"/>
    <cellStyle name="Calculation 2 24 3 5" xfId="27589" xr:uid="{00000000-0005-0000-0000-0000A66B0000}"/>
    <cellStyle name="Calculation 2 24 3 6" xfId="27590" xr:uid="{00000000-0005-0000-0000-0000A76B0000}"/>
    <cellStyle name="Calculation 2 24 4" xfId="27591" xr:uid="{00000000-0005-0000-0000-0000A86B0000}"/>
    <cellStyle name="Calculation 2 24 4 2" xfId="27592" xr:uid="{00000000-0005-0000-0000-0000A96B0000}"/>
    <cellStyle name="Calculation 2 24 4 3" xfId="27593" xr:uid="{00000000-0005-0000-0000-0000AA6B0000}"/>
    <cellStyle name="Calculation 2 24 4 4" xfId="27594" xr:uid="{00000000-0005-0000-0000-0000AB6B0000}"/>
    <cellStyle name="Calculation 2 24 4 5" xfId="27595" xr:uid="{00000000-0005-0000-0000-0000AC6B0000}"/>
    <cellStyle name="Calculation 2 24 4 6" xfId="27596" xr:uid="{00000000-0005-0000-0000-0000AD6B0000}"/>
    <cellStyle name="Calculation 2 24 5" xfId="27597" xr:uid="{00000000-0005-0000-0000-0000AE6B0000}"/>
    <cellStyle name="Calculation 2 24 5 2" xfId="27598" xr:uid="{00000000-0005-0000-0000-0000AF6B0000}"/>
    <cellStyle name="Calculation 2 24 5 3" xfId="27599" xr:uid="{00000000-0005-0000-0000-0000B06B0000}"/>
    <cellStyle name="Calculation 2 24 5 4" xfId="27600" xr:uid="{00000000-0005-0000-0000-0000B16B0000}"/>
    <cellStyle name="Calculation 2 24 5 5" xfId="27601" xr:uid="{00000000-0005-0000-0000-0000B26B0000}"/>
    <cellStyle name="Calculation 2 24 5 6" xfId="27602" xr:uid="{00000000-0005-0000-0000-0000B36B0000}"/>
    <cellStyle name="Calculation 2 24 6" xfId="27603" xr:uid="{00000000-0005-0000-0000-0000B46B0000}"/>
    <cellStyle name="Calculation 2 24 6 2" xfId="27604" xr:uid="{00000000-0005-0000-0000-0000B56B0000}"/>
    <cellStyle name="Calculation 2 24 6 3" xfId="27605" xr:uid="{00000000-0005-0000-0000-0000B66B0000}"/>
    <cellStyle name="Calculation 2 24 6 4" xfId="27606" xr:uid="{00000000-0005-0000-0000-0000B76B0000}"/>
    <cellStyle name="Calculation 2 24 6 5" xfId="27607" xr:uid="{00000000-0005-0000-0000-0000B86B0000}"/>
    <cellStyle name="Calculation 2 24 6 6" xfId="27608" xr:uid="{00000000-0005-0000-0000-0000B96B0000}"/>
    <cellStyle name="Calculation 2 24 7" xfId="27609" xr:uid="{00000000-0005-0000-0000-0000BA6B0000}"/>
    <cellStyle name="Calculation 2 24 7 2" xfId="27610" xr:uid="{00000000-0005-0000-0000-0000BB6B0000}"/>
    <cellStyle name="Calculation 2 24 7 3" xfId="27611" xr:uid="{00000000-0005-0000-0000-0000BC6B0000}"/>
    <cellStyle name="Calculation 2 24 7 4" xfId="27612" xr:uid="{00000000-0005-0000-0000-0000BD6B0000}"/>
    <cellStyle name="Calculation 2 24 7 5" xfId="27613" xr:uid="{00000000-0005-0000-0000-0000BE6B0000}"/>
    <cellStyle name="Calculation 2 24 7 6" xfId="27614" xr:uid="{00000000-0005-0000-0000-0000BF6B0000}"/>
    <cellStyle name="Calculation 2 24 8" xfId="27615" xr:uid="{00000000-0005-0000-0000-0000C06B0000}"/>
    <cellStyle name="Calculation 2 24 9" xfId="27616" xr:uid="{00000000-0005-0000-0000-0000C16B0000}"/>
    <cellStyle name="Calculation 2 25" xfId="27617" xr:uid="{00000000-0005-0000-0000-0000C26B0000}"/>
    <cellStyle name="Calculation 2 25 10" xfId="27618" xr:uid="{00000000-0005-0000-0000-0000C36B0000}"/>
    <cellStyle name="Calculation 2 25 2" xfId="27619" xr:uid="{00000000-0005-0000-0000-0000C46B0000}"/>
    <cellStyle name="Calculation 2 25 2 2" xfId="27620" xr:uid="{00000000-0005-0000-0000-0000C56B0000}"/>
    <cellStyle name="Calculation 2 25 2 3" xfId="27621" xr:uid="{00000000-0005-0000-0000-0000C66B0000}"/>
    <cellStyle name="Calculation 2 25 2 4" xfId="27622" xr:uid="{00000000-0005-0000-0000-0000C76B0000}"/>
    <cellStyle name="Calculation 2 25 2 5" xfId="27623" xr:uid="{00000000-0005-0000-0000-0000C86B0000}"/>
    <cellStyle name="Calculation 2 25 2 6" xfId="27624" xr:uid="{00000000-0005-0000-0000-0000C96B0000}"/>
    <cellStyle name="Calculation 2 25 3" xfId="27625" xr:uid="{00000000-0005-0000-0000-0000CA6B0000}"/>
    <cellStyle name="Calculation 2 25 3 2" xfId="27626" xr:uid="{00000000-0005-0000-0000-0000CB6B0000}"/>
    <cellStyle name="Calculation 2 25 3 3" xfId="27627" xr:uid="{00000000-0005-0000-0000-0000CC6B0000}"/>
    <cellStyle name="Calculation 2 25 3 4" xfId="27628" xr:uid="{00000000-0005-0000-0000-0000CD6B0000}"/>
    <cellStyle name="Calculation 2 25 3 5" xfId="27629" xr:uid="{00000000-0005-0000-0000-0000CE6B0000}"/>
    <cellStyle name="Calculation 2 25 3 6" xfId="27630" xr:uid="{00000000-0005-0000-0000-0000CF6B0000}"/>
    <cellStyle name="Calculation 2 25 4" xfId="27631" xr:uid="{00000000-0005-0000-0000-0000D06B0000}"/>
    <cellStyle name="Calculation 2 25 4 2" xfId="27632" xr:uid="{00000000-0005-0000-0000-0000D16B0000}"/>
    <cellStyle name="Calculation 2 25 4 3" xfId="27633" xr:uid="{00000000-0005-0000-0000-0000D26B0000}"/>
    <cellStyle name="Calculation 2 25 4 4" xfId="27634" xr:uid="{00000000-0005-0000-0000-0000D36B0000}"/>
    <cellStyle name="Calculation 2 25 4 5" xfId="27635" xr:uid="{00000000-0005-0000-0000-0000D46B0000}"/>
    <cellStyle name="Calculation 2 25 4 6" xfId="27636" xr:uid="{00000000-0005-0000-0000-0000D56B0000}"/>
    <cellStyle name="Calculation 2 25 5" xfId="27637" xr:uid="{00000000-0005-0000-0000-0000D66B0000}"/>
    <cellStyle name="Calculation 2 25 5 2" xfId="27638" xr:uid="{00000000-0005-0000-0000-0000D76B0000}"/>
    <cellStyle name="Calculation 2 25 5 3" xfId="27639" xr:uid="{00000000-0005-0000-0000-0000D86B0000}"/>
    <cellStyle name="Calculation 2 25 5 4" xfId="27640" xr:uid="{00000000-0005-0000-0000-0000D96B0000}"/>
    <cellStyle name="Calculation 2 25 5 5" xfId="27641" xr:uid="{00000000-0005-0000-0000-0000DA6B0000}"/>
    <cellStyle name="Calculation 2 25 5 6" xfId="27642" xr:uid="{00000000-0005-0000-0000-0000DB6B0000}"/>
    <cellStyle name="Calculation 2 25 6" xfId="27643" xr:uid="{00000000-0005-0000-0000-0000DC6B0000}"/>
    <cellStyle name="Calculation 2 25 6 2" xfId="27644" xr:uid="{00000000-0005-0000-0000-0000DD6B0000}"/>
    <cellStyle name="Calculation 2 25 6 3" xfId="27645" xr:uid="{00000000-0005-0000-0000-0000DE6B0000}"/>
    <cellStyle name="Calculation 2 25 6 4" xfId="27646" xr:uid="{00000000-0005-0000-0000-0000DF6B0000}"/>
    <cellStyle name="Calculation 2 25 6 5" xfId="27647" xr:uid="{00000000-0005-0000-0000-0000E06B0000}"/>
    <cellStyle name="Calculation 2 25 6 6" xfId="27648" xr:uid="{00000000-0005-0000-0000-0000E16B0000}"/>
    <cellStyle name="Calculation 2 25 7" xfId="27649" xr:uid="{00000000-0005-0000-0000-0000E26B0000}"/>
    <cellStyle name="Calculation 2 25 7 2" xfId="27650" xr:uid="{00000000-0005-0000-0000-0000E36B0000}"/>
    <cellStyle name="Calculation 2 25 7 3" xfId="27651" xr:uid="{00000000-0005-0000-0000-0000E46B0000}"/>
    <cellStyle name="Calculation 2 25 7 4" xfId="27652" xr:uid="{00000000-0005-0000-0000-0000E56B0000}"/>
    <cellStyle name="Calculation 2 25 7 5" xfId="27653" xr:uid="{00000000-0005-0000-0000-0000E66B0000}"/>
    <cellStyle name="Calculation 2 25 7 6" xfId="27654" xr:uid="{00000000-0005-0000-0000-0000E76B0000}"/>
    <cellStyle name="Calculation 2 25 8" xfId="27655" xr:uid="{00000000-0005-0000-0000-0000E86B0000}"/>
    <cellStyle name="Calculation 2 25 9" xfId="27656" xr:uid="{00000000-0005-0000-0000-0000E96B0000}"/>
    <cellStyle name="Calculation 2 26" xfId="27657" xr:uid="{00000000-0005-0000-0000-0000EA6B0000}"/>
    <cellStyle name="Calculation 2 26 10" xfId="27658" xr:uid="{00000000-0005-0000-0000-0000EB6B0000}"/>
    <cellStyle name="Calculation 2 26 2" xfId="27659" xr:uid="{00000000-0005-0000-0000-0000EC6B0000}"/>
    <cellStyle name="Calculation 2 26 2 2" xfId="27660" xr:uid="{00000000-0005-0000-0000-0000ED6B0000}"/>
    <cellStyle name="Calculation 2 26 2 3" xfId="27661" xr:uid="{00000000-0005-0000-0000-0000EE6B0000}"/>
    <cellStyle name="Calculation 2 26 2 4" xfId="27662" xr:uid="{00000000-0005-0000-0000-0000EF6B0000}"/>
    <cellStyle name="Calculation 2 26 2 5" xfId="27663" xr:uid="{00000000-0005-0000-0000-0000F06B0000}"/>
    <cellStyle name="Calculation 2 26 2 6" xfId="27664" xr:uid="{00000000-0005-0000-0000-0000F16B0000}"/>
    <cellStyle name="Calculation 2 26 3" xfId="27665" xr:uid="{00000000-0005-0000-0000-0000F26B0000}"/>
    <cellStyle name="Calculation 2 26 3 2" xfId="27666" xr:uid="{00000000-0005-0000-0000-0000F36B0000}"/>
    <cellStyle name="Calculation 2 26 3 3" xfId="27667" xr:uid="{00000000-0005-0000-0000-0000F46B0000}"/>
    <cellStyle name="Calculation 2 26 3 4" xfId="27668" xr:uid="{00000000-0005-0000-0000-0000F56B0000}"/>
    <cellStyle name="Calculation 2 26 3 5" xfId="27669" xr:uid="{00000000-0005-0000-0000-0000F66B0000}"/>
    <cellStyle name="Calculation 2 26 3 6" xfId="27670" xr:uid="{00000000-0005-0000-0000-0000F76B0000}"/>
    <cellStyle name="Calculation 2 26 4" xfId="27671" xr:uid="{00000000-0005-0000-0000-0000F86B0000}"/>
    <cellStyle name="Calculation 2 26 4 2" xfId="27672" xr:uid="{00000000-0005-0000-0000-0000F96B0000}"/>
    <cellStyle name="Calculation 2 26 4 3" xfId="27673" xr:uid="{00000000-0005-0000-0000-0000FA6B0000}"/>
    <cellStyle name="Calculation 2 26 4 4" xfId="27674" xr:uid="{00000000-0005-0000-0000-0000FB6B0000}"/>
    <cellStyle name="Calculation 2 26 4 5" xfId="27675" xr:uid="{00000000-0005-0000-0000-0000FC6B0000}"/>
    <cellStyle name="Calculation 2 26 4 6" xfId="27676" xr:uid="{00000000-0005-0000-0000-0000FD6B0000}"/>
    <cellStyle name="Calculation 2 26 5" xfId="27677" xr:uid="{00000000-0005-0000-0000-0000FE6B0000}"/>
    <cellStyle name="Calculation 2 26 5 2" xfId="27678" xr:uid="{00000000-0005-0000-0000-0000FF6B0000}"/>
    <cellStyle name="Calculation 2 26 5 3" xfId="27679" xr:uid="{00000000-0005-0000-0000-0000006C0000}"/>
    <cellStyle name="Calculation 2 26 5 4" xfId="27680" xr:uid="{00000000-0005-0000-0000-0000016C0000}"/>
    <cellStyle name="Calculation 2 26 5 5" xfId="27681" xr:uid="{00000000-0005-0000-0000-0000026C0000}"/>
    <cellStyle name="Calculation 2 26 5 6" xfId="27682" xr:uid="{00000000-0005-0000-0000-0000036C0000}"/>
    <cellStyle name="Calculation 2 26 6" xfId="27683" xr:uid="{00000000-0005-0000-0000-0000046C0000}"/>
    <cellStyle name="Calculation 2 26 6 2" xfId="27684" xr:uid="{00000000-0005-0000-0000-0000056C0000}"/>
    <cellStyle name="Calculation 2 26 6 3" xfId="27685" xr:uid="{00000000-0005-0000-0000-0000066C0000}"/>
    <cellStyle name="Calculation 2 26 6 4" xfId="27686" xr:uid="{00000000-0005-0000-0000-0000076C0000}"/>
    <cellStyle name="Calculation 2 26 6 5" xfId="27687" xr:uid="{00000000-0005-0000-0000-0000086C0000}"/>
    <cellStyle name="Calculation 2 26 6 6" xfId="27688" xr:uid="{00000000-0005-0000-0000-0000096C0000}"/>
    <cellStyle name="Calculation 2 26 7" xfId="27689" xr:uid="{00000000-0005-0000-0000-00000A6C0000}"/>
    <cellStyle name="Calculation 2 26 7 2" xfId="27690" xr:uid="{00000000-0005-0000-0000-00000B6C0000}"/>
    <cellStyle name="Calculation 2 26 7 3" xfId="27691" xr:uid="{00000000-0005-0000-0000-00000C6C0000}"/>
    <cellStyle name="Calculation 2 26 7 4" xfId="27692" xr:uid="{00000000-0005-0000-0000-00000D6C0000}"/>
    <cellStyle name="Calculation 2 26 7 5" xfId="27693" xr:uid="{00000000-0005-0000-0000-00000E6C0000}"/>
    <cellStyle name="Calculation 2 26 7 6" xfId="27694" xr:uid="{00000000-0005-0000-0000-00000F6C0000}"/>
    <cellStyle name="Calculation 2 26 8" xfId="27695" xr:uid="{00000000-0005-0000-0000-0000106C0000}"/>
    <cellStyle name="Calculation 2 26 9" xfId="27696" xr:uid="{00000000-0005-0000-0000-0000116C0000}"/>
    <cellStyle name="Calculation 2 27" xfId="27697" xr:uid="{00000000-0005-0000-0000-0000126C0000}"/>
    <cellStyle name="Calculation 2 27 10" xfId="27698" xr:uid="{00000000-0005-0000-0000-0000136C0000}"/>
    <cellStyle name="Calculation 2 27 2" xfId="27699" xr:uid="{00000000-0005-0000-0000-0000146C0000}"/>
    <cellStyle name="Calculation 2 27 2 2" xfId="27700" xr:uid="{00000000-0005-0000-0000-0000156C0000}"/>
    <cellStyle name="Calculation 2 27 2 3" xfId="27701" xr:uid="{00000000-0005-0000-0000-0000166C0000}"/>
    <cellStyle name="Calculation 2 27 2 4" xfId="27702" xr:uid="{00000000-0005-0000-0000-0000176C0000}"/>
    <cellStyle name="Calculation 2 27 2 5" xfId="27703" xr:uid="{00000000-0005-0000-0000-0000186C0000}"/>
    <cellStyle name="Calculation 2 27 2 6" xfId="27704" xr:uid="{00000000-0005-0000-0000-0000196C0000}"/>
    <cellStyle name="Calculation 2 27 3" xfId="27705" xr:uid="{00000000-0005-0000-0000-00001A6C0000}"/>
    <cellStyle name="Calculation 2 27 3 2" xfId="27706" xr:uid="{00000000-0005-0000-0000-00001B6C0000}"/>
    <cellStyle name="Calculation 2 27 3 3" xfId="27707" xr:uid="{00000000-0005-0000-0000-00001C6C0000}"/>
    <cellStyle name="Calculation 2 27 3 4" xfId="27708" xr:uid="{00000000-0005-0000-0000-00001D6C0000}"/>
    <cellStyle name="Calculation 2 27 3 5" xfId="27709" xr:uid="{00000000-0005-0000-0000-00001E6C0000}"/>
    <cellStyle name="Calculation 2 27 3 6" xfId="27710" xr:uid="{00000000-0005-0000-0000-00001F6C0000}"/>
    <cellStyle name="Calculation 2 27 4" xfId="27711" xr:uid="{00000000-0005-0000-0000-0000206C0000}"/>
    <cellStyle name="Calculation 2 27 4 2" xfId="27712" xr:uid="{00000000-0005-0000-0000-0000216C0000}"/>
    <cellStyle name="Calculation 2 27 4 3" xfId="27713" xr:uid="{00000000-0005-0000-0000-0000226C0000}"/>
    <cellStyle name="Calculation 2 27 4 4" xfId="27714" xr:uid="{00000000-0005-0000-0000-0000236C0000}"/>
    <cellStyle name="Calculation 2 27 4 5" xfId="27715" xr:uid="{00000000-0005-0000-0000-0000246C0000}"/>
    <cellStyle name="Calculation 2 27 4 6" xfId="27716" xr:uid="{00000000-0005-0000-0000-0000256C0000}"/>
    <cellStyle name="Calculation 2 27 5" xfId="27717" xr:uid="{00000000-0005-0000-0000-0000266C0000}"/>
    <cellStyle name="Calculation 2 27 5 2" xfId="27718" xr:uid="{00000000-0005-0000-0000-0000276C0000}"/>
    <cellStyle name="Calculation 2 27 5 3" xfId="27719" xr:uid="{00000000-0005-0000-0000-0000286C0000}"/>
    <cellStyle name="Calculation 2 27 5 4" xfId="27720" xr:uid="{00000000-0005-0000-0000-0000296C0000}"/>
    <cellStyle name="Calculation 2 27 5 5" xfId="27721" xr:uid="{00000000-0005-0000-0000-00002A6C0000}"/>
    <cellStyle name="Calculation 2 27 5 6" xfId="27722" xr:uid="{00000000-0005-0000-0000-00002B6C0000}"/>
    <cellStyle name="Calculation 2 27 6" xfId="27723" xr:uid="{00000000-0005-0000-0000-00002C6C0000}"/>
    <cellStyle name="Calculation 2 27 6 2" xfId="27724" xr:uid="{00000000-0005-0000-0000-00002D6C0000}"/>
    <cellStyle name="Calculation 2 27 6 3" xfId="27725" xr:uid="{00000000-0005-0000-0000-00002E6C0000}"/>
    <cellStyle name="Calculation 2 27 6 4" xfId="27726" xr:uid="{00000000-0005-0000-0000-00002F6C0000}"/>
    <cellStyle name="Calculation 2 27 6 5" xfId="27727" xr:uid="{00000000-0005-0000-0000-0000306C0000}"/>
    <cellStyle name="Calculation 2 27 6 6" xfId="27728" xr:uid="{00000000-0005-0000-0000-0000316C0000}"/>
    <cellStyle name="Calculation 2 27 7" xfId="27729" xr:uid="{00000000-0005-0000-0000-0000326C0000}"/>
    <cellStyle name="Calculation 2 27 7 2" xfId="27730" xr:uid="{00000000-0005-0000-0000-0000336C0000}"/>
    <cellStyle name="Calculation 2 27 7 3" xfId="27731" xr:uid="{00000000-0005-0000-0000-0000346C0000}"/>
    <cellStyle name="Calculation 2 27 7 4" xfId="27732" xr:uid="{00000000-0005-0000-0000-0000356C0000}"/>
    <cellStyle name="Calculation 2 27 7 5" xfId="27733" xr:uid="{00000000-0005-0000-0000-0000366C0000}"/>
    <cellStyle name="Calculation 2 27 7 6" xfId="27734" xr:uid="{00000000-0005-0000-0000-0000376C0000}"/>
    <cellStyle name="Calculation 2 27 8" xfId="27735" xr:uid="{00000000-0005-0000-0000-0000386C0000}"/>
    <cellStyle name="Calculation 2 27 9" xfId="27736" xr:uid="{00000000-0005-0000-0000-0000396C0000}"/>
    <cellStyle name="Calculation 2 28" xfId="27737" xr:uid="{00000000-0005-0000-0000-00003A6C0000}"/>
    <cellStyle name="Calculation 2 28 2" xfId="27738" xr:uid="{00000000-0005-0000-0000-00003B6C0000}"/>
    <cellStyle name="Calculation 2 28 3" xfId="27739" xr:uid="{00000000-0005-0000-0000-00003C6C0000}"/>
    <cellStyle name="Calculation 2 28 4" xfId="27740" xr:uid="{00000000-0005-0000-0000-00003D6C0000}"/>
    <cellStyle name="Calculation 2 28 5" xfId="27741" xr:uid="{00000000-0005-0000-0000-00003E6C0000}"/>
    <cellStyle name="Calculation 2 28 6" xfId="27742" xr:uid="{00000000-0005-0000-0000-00003F6C0000}"/>
    <cellStyle name="Calculation 2 29" xfId="27743" xr:uid="{00000000-0005-0000-0000-0000406C0000}"/>
    <cellStyle name="Calculation 2 29 2" xfId="27744" xr:uid="{00000000-0005-0000-0000-0000416C0000}"/>
    <cellStyle name="Calculation 2 29 3" xfId="27745" xr:uid="{00000000-0005-0000-0000-0000426C0000}"/>
    <cellStyle name="Calculation 2 29 4" xfId="27746" xr:uid="{00000000-0005-0000-0000-0000436C0000}"/>
    <cellStyle name="Calculation 2 29 5" xfId="27747" xr:uid="{00000000-0005-0000-0000-0000446C0000}"/>
    <cellStyle name="Calculation 2 29 6" xfId="27748" xr:uid="{00000000-0005-0000-0000-0000456C0000}"/>
    <cellStyle name="Calculation 2 3" xfId="27749" xr:uid="{00000000-0005-0000-0000-0000466C0000}"/>
    <cellStyle name="Calculation 2 3 10" xfId="27750" xr:uid="{00000000-0005-0000-0000-0000476C0000}"/>
    <cellStyle name="Calculation 2 3 10 10" xfId="27751" xr:uid="{00000000-0005-0000-0000-0000486C0000}"/>
    <cellStyle name="Calculation 2 3 10 2" xfId="27752" xr:uid="{00000000-0005-0000-0000-0000496C0000}"/>
    <cellStyle name="Calculation 2 3 10 2 2" xfId="27753" xr:uid="{00000000-0005-0000-0000-00004A6C0000}"/>
    <cellStyle name="Calculation 2 3 10 2 3" xfId="27754" xr:uid="{00000000-0005-0000-0000-00004B6C0000}"/>
    <cellStyle name="Calculation 2 3 10 2 4" xfId="27755" xr:uid="{00000000-0005-0000-0000-00004C6C0000}"/>
    <cellStyle name="Calculation 2 3 10 2 5" xfId="27756" xr:uid="{00000000-0005-0000-0000-00004D6C0000}"/>
    <cellStyle name="Calculation 2 3 10 2 6" xfId="27757" xr:uid="{00000000-0005-0000-0000-00004E6C0000}"/>
    <cellStyle name="Calculation 2 3 10 3" xfId="27758" xr:uid="{00000000-0005-0000-0000-00004F6C0000}"/>
    <cellStyle name="Calculation 2 3 10 3 2" xfId="27759" xr:uid="{00000000-0005-0000-0000-0000506C0000}"/>
    <cellStyle name="Calculation 2 3 10 3 3" xfId="27760" xr:uid="{00000000-0005-0000-0000-0000516C0000}"/>
    <cellStyle name="Calculation 2 3 10 3 4" xfId="27761" xr:uid="{00000000-0005-0000-0000-0000526C0000}"/>
    <cellStyle name="Calculation 2 3 10 3 5" xfId="27762" xr:uid="{00000000-0005-0000-0000-0000536C0000}"/>
    <cellStyle name="Calculation 2 3 10 3 6" xfId="27763" xr:uid="{00000000-0005-0000-0000-0000546C0000}"/>
    <cellStyle name="Calculation 2 3 10 4" xfId="27764" xr:uid="{00000000-0005-0000-0000-0000556C0000}"/>
    <cellStyle name="Calculation 2 3 10 4 2" xfId="27765" xr:uid="{00000000-0005-0000-0000-0000566C0000}"/>
    <cellStyle name="Calculation 2 3 10 4 3" xfId="27766" xr:uid="{00000000-0005-0000-0000-0000576C0000}"/>
    <cellStyle name="Calculation 2 3 10 4 4" xfId="27767" xr:uid="{00000000-0005-0000-0000-0000586C0000}"/>
    <cellStyle name="Calculation 2 3 10 4 5" xfId="27768" xr:uid="{00000000-0005-0000-0000-0000596C0000}"/>
    <cellStyle name="Calculation 2 3 10 4 6" xfId="27769" xr:uid="{00000000-0005-0000-0000-00005A6C0000}"/>
    <cellStyle name="Calculation 2 3 10 5" xfId="27770" xr:uid="{00000000-0005-0000-0000-00005B6C0000}"/>
    <cellStyle name="Calculation 2 3 10 5 2" xfId="27771" xr:uid="{00000000-0005-0000-0000-00005C6C0000}"/>
    <cellStyle name="Calculation 2 3 10 5 3" xfId="27772" xr:uid="{00000000-0005-0000-0000-00005D6C0000}"/>
    <cellStyle name="Calculation 2 3 10 5 4" xfId="27773" xr:uid="{00000000-0005-0000-0000-00005E6C0000}"/>
    <cellStyle name="Calculation 2 3 10 5 5" xfId="27774" xr:uid="{00000000-0005-0000-0000-00005F6C0000}"/>
    <cellStyle name="Calculation 2 3 10 5 6" xfId="27775" xr:uid="{00000000-0005-0000-0000-0000606C0000}"/>
    <cellStyle name="Calculation 2 3 10 6" xfId="27776" xr:uid="{00000000-0005-0000-0000-0000616C0000}"/>
    <cellStyle name="Calculation 2 3 10 6 2" xfId="27777" xr:uid="{00000000-0005-0000-0000-0000626C0000}"/>
    <cellStyle name="Calculation 2 3 10 6 3" xfId="27778" xr:uid="{00000000-0005-0000-0000-0000636C0000}"/>
    <cellStyle name="Calculation 2 3 10 6 4" xfId="27779" xr:uid="{00000000-0005-0000-0000-0000646C0000}"/>
    <cellStyle name="Calculation 2 3 10 6 5" xfId="27780" xr:uid="{00000000-0005-0000-0000-0000656C0000}"/>
    <cellStyle name="Calculation 2 3 10 6 6" xfId="27781" xr:uid="{00000000-0005-0000-0000-0000666C0000}"/>
    <cellStyle name="Calculation 2 3 10 7" xfId="27782" xr:uid="{00000000-0005-0000-0000-0000676C0000}"/>
    <cellStyle name="Calculation 2 3 10 7 2" xfId="27783" xr:uid="{00000000-0005-0000-0000-0000686C0000}"/>
    <cellStyle name="Calculation 2 3 10 7 3" xfId="27784" xr:uid="{00000000-0005-0000-0000-0000696C0000}"/>
    <cellStyle name="Calculation 2 3 10 7 4" xfId="27785" xr:uid="{00000000-0005-0000-0000-00006A6C0000}"/>
    <cellStyle name="Calculation 2 3 10 7 5" xfId="27786" xr:uid="{00000000-0005-0000-0000-00006B6C0000}"/>
    <cellStyle name="Calculation 2 3 10 7 6" xfId="27787" xr:uid="{00000000-0005-0000-0000-00006C6C0000}"/>
    <cellStyle name="Calculation 2 3 10 8" xfId="27788" xr:uid="{00000000-0005-0000-0000-00006D6C0000}"/>
    <cellStyle name="Calculation 2 3 10 9" xfId="27789" xr:uid="{00000000-0005-0000-0000-00006E6C0000}"/>
    <cellStyle name="Calculation 2 3 11" xfId="27790" xr:uid="{00000000-0005-0000-0000-00006F6C0000}"/>
    <cellStyle name="Calculation 2 3 11 10" xfId="27791" xr:uid="{00000000-0005-0000-0000-0000706C0000}"/>
    <cellStyle name="Calculation 2 3 11 2" xfId="27792" xr:uid="{00000000-0005-0000-0000-0000716C0000}"/>
    <cellStyle name="Calculation 2 3 11 2 2" xfId="27793" xr:uid="{00000000-0005-0000-0000-0000726C0000}"/>
    <cellStyle name="Calculation 2 3 11 2 3" xfId="27794" xr:uid="{00000000-0005-0000-0000-0000736C0000}"/>
    <cellStyle name="Calculation 2 3 11 2 4" xfId="27795" xr:uid="{00000000-0005-0000-0000-0000746C0000}"/>
    <cellStyle name="Calculation 2 3 11 2 5" xfId="27796" xr:uid="{00000000-0005-0000-0000-0000756C0000}"/>
    <cellStyle name="Calculation 2 3 11 2 6" xfId="27797" xr:uid="{00000000-0005-0000-0000-0000766C0000}"/>
    <cellStyle name="Calculation 2 3 11 3" xfId="27798" xr:uid="{00000000-0005-0000-0000-0000776C0000}"/>
    <cellStyle name="Calculation 2 3 11 3 2" xfId="27799" xr:uid="{00000000-0005-0000-0000-0000786C0000}"/>
    <cellStyle name="Calculation 2 3 11 3 3" xfId="27800" xr:uid="{00000000-0005-0000-0000-0000796C0000}"/>
    <cellStyle name="Calculation 2 3 11 3 4" xfId="27801" xr:uid="{00000000-0005-0000-0000-00007A6C0000}"/>
    <cellStyle name="Calculation 2 3 11 3 5" xfId="27802" xr:uid="{00000000-0005-0000-0000-00007B6C0000}"/>
    <cellStyle name="Calculation 2 3 11 3 6" xfId="27803" xr:uid="{00000000-0005-0000-0000-00007C6C0000}"/>
    <cellStyle name="Calculation 2 3 11 4" xfId="27804" xr:uid="{00000000-0005-0000-0000-00007D6C0000}"/>
    <cellStyle name="Calculation 2 3 11 4 2" xfId="27805" xr:uid="{00000000-0005-0000-0000-00007E6C0000}"/>
    <cellStyle name="Calculation 2 3 11 4 3" xfId="27806" xr:uid="{00000000-0005-0000-0000-00007F6C0000}"/>
    <cellStyle name="Calculation 2 3 11 4 4" xfId="27807" xr:uid="{00000000-0005-0000-0000-0000806C0000}"/>
    <cellStyle name="Calculation 2 3 11 4 5" xfId="27808" xr:uid="{00000000-0005-0000-0000-0000816C0000}"/>
    <cellStyle name="Calculation 2 3 11 4 6" xfId="27809" xr:uid="{00000000-0005-0000-0000-0000826C0000}"/>
    <cellStyle name="Calculation 2 3 11 5" xfId="27810" xr:uid="{00000000-0005-0000-0000-0000836C0000}"/>
    <cellStyle name="Calculation 2 3 11 5 2" xfId="27811" xr:uid="{00000000-0005-0000-0000-0000846C0000}"/>
    <cellStyle name="Calculation 2 3 11 5 3" xfId="27812" xr:uid="{00000000-0005-0000-0000-0000856C0000}"/>
    <cellStyle name="Calculation 2 3 11 5 4" xfId="27813" xr:uid="{00000000-0005-0000-0000-0000866C0000}"/>
    <cellStyle name="Calculation 2 3 11 5 5" xfId="27814" xr:uid="{00000000-0005-0000-0000-0000876C0000}"/>
    <cellStyle name="Calculation 2 3 11 5 6" xfId="27815" xr:uid="{00000000-0005-0000-0000-0000886C0000}"/>
    <cellStyle name="Calculation 2 3 11 6" xfId="27816" xr:uid="{00000000-0005-0000-0000-0000896C0000}"/>
    <cellStyle name="Calculation 2 3 11 6 2" xfId="27817" xr:uid="{00000000-0005-0000-0000-00008A6C0000}"/>
    <cellStyle name="Calculation 2 3 11 6 3" xfId="27818" xr:uid="{00000000-0005-0000-0000-00008B6C0000}"/>
    <cellStyle name="Calculation 2 3 11 6 4" xfId="27819" xr:uid="{00000000-0005-0000-0000-00008C6C0000}"/>
    <cellStyle name="Calculation 2 3 11 6 5" xfId="27820" xr:uid="{00000000-0005-0000-0000-00008D6C0000}"/>
    <cellStyle name="Calculation 2 3 11 6 6" xfId="27821" xr:uid="{00000000-0005-0000-0000-00008E6C0000}"/>
    <cellStyle name="Calculation 2 3 11 7" xfId="27822" xr:uid="{00000000-0005-0000-0000-00008F6C0000}"/>
    <cellStyle name="Calculation 2 3 11 7 2" xfId="27823" xr:uid="{00000000-0005-0000-0000-0000906C0000}"/>
    <cellStyle name="Calculation 2 3 11 7 3" xfId="27824" xr:uid="{00000000-0005-0000-0000-0000916C0000}"/>
    <cellStyle name="Calculation 2 3 11 7 4" xfId="27825" xr:uid="{00000000-0005-0000-0000-0000926C0000}"/>
    <cellStyle name="Calculation 2 3 11 7 5" xfId="27826" xr:uid="{00000000-0005-0000-0000-0000936C0000}"/>
    <cellStyle name="Calculation 2 3 11 7 6" xfId="27827" xr:uid="{00000000-0005-0000-0000-0000946C0000}"/>
    <cellStyle name="Calculation 2 3 11 8" xfId="27828" xr:uid="{00000000-0005-0000-0000-0000956C0000}"/>
    <cellStyle name="Calculation 2 3 11 9" xfId="27829" xr:uid="{00000000-0005-0000-0000-0000966C0000}"/>
    <cellStyle name="Calculation 2 3 12" xfId="27830" xr:uid="{00000000-0005-0000-0000-0000976C0000}"/>
    <cellStyle name="Calculation 2 3 12 10" xfId="27831" xr:uid="{00000000-0005-0000-0000-0000986C0000}"/>
    <cellStyle name="Calculation 2 3 12 2" xfId="27832" xr:uid="{00000000-0005-0000-0000-0000996C0000}"/>
    <cellStyle name="Calculation 2 3 12 2 2" xfId="27833" xr:uid="{00000000-0005-0000-0000-00009A6C0000}"/>
    <cellStyle name="Calculation 2 3 12 2 3" xfId="27834" xr:uid="{00000000-0005-0000-0000-00009B6C0000}"/>
    <cellStyle name="Calculation 2 3 12 2 4" xfId="27835" xr:uid="{00000000-0005-0000-0000-00009C6C0000}"/>
    <cellStyle name="Calculation 2 3 12 2 5" xfId="27836" xr:uid="{00000000-0005-0000-0000-00009D6C0000}"/>
    <cellStyle name="Calculation 2 3 12 2 6" xfId="27837" xr:uid="{00000000-0005-0000-0000-00009E6C0000}"/>
    <cellStyle name="Calculation 2 3 12 3" xfId="27838" xr:uid="{00000000-0005-0000-0000-00009F6C0000}"/>
    <cellStyle name="Calculation 2 3 12 3 2" xfId="27839" xr:uid="{00000000-0005-0000-0000-0000A06C0000}"/>
    <cellStyle name="Calculation 2 3 12 3 3" xfId="27840" xr:uid="{00000000-0005-0000-0000-0000A16C0000}"/>
    <cellStyle name="Calculation 2 3 12 3 4" xfId="27841" xr:uid="{00000000-0005-0000-0000-0000A26C0000}"/>
    <cellStyle name="Calculation 2 3 12 3 5" xfId="27842" xr:uid="{00000000-0005-0000-0000-0000A36C0000}"/>
    <cellStyle name="Calculation 2 3 12 3 6" xfId="27843" xr:uid="{00000000-0005-0000-0000-0000A46C0000}"/>
    <cellStyle name="Calculation 2 3 12 4" xfId="27844" xr:uid="{00000000-0005-0000-0000-0000A56C0000}"/>
    <cellStyle name="Calculation 2 3 12 4 2" xfId="27845" xr:uid="{00000000-0005-0000-0000-0000A66C0000}"/>
    <cellStyle name="Calculation 2 3 12 4 3" xfId="27846" xr:uid="{00000000-0005-0000-0000-0000A76C0000}"/>
    <cellStyle name="Calculation 2 3 12 4 4" xfId="27847" xr:uid="{00000000-0005-0000-0000-0000A86C0000}"/>
    <cellStyle name="Calculation 2 3 12 4 5" xfId="27848" xr:uid="{00000000-0005-0000-0000-0000A96C0000}"/>
    <cellStyle name="Calculation 2 3 12 4 6" xfId="27849" xr:uid="{00000000-0005-0000-0000-0000AA6C0000}"/>
    <cellStyle name="Calculation 2 3 12 5" xfId="27850" xr:uid="{00000000-0005-0000-0000-0000AB6C0000}"/>
    <cellStyle name="Calculation 2 3 12 5 2" xfId="27851" xr:uid="{00000000-0005-0000-0000-0000AC6C0000}"/>
    <cellStyle name="Calculation 2 3 12 5 3" xfId="27852" xr:uid="{00000000-0005-0000-0000-0000AD6C0000}"/>
    <cellStyle name="Calculation 2 3 12 5 4" xfId="27853" xr:uid="{00000000-0005-0000-0000-0000AE6C0000}"/>
    <cellStyle name="Calculation 2 3 12 5 5" xfId="27854" xr:uid="{00000000-0005-0000-0000-0000AF6C0000}"/>
    <cellStyle name="Calculation 2 3 12 5 6" xfId="27855" xr:uid="{00000000-0005-0000-0000-0000B06C0000}"/>
    <cellStyle name="Calculation 2 3 12 6" xfId="27856" xr:uid="{00000000-0005-0000-0000-0000B16C0000}"/>
    <cellStyle name="Calculation 2 3 12 6 2" xfId="27857" xr:uid="{00000000-0005-0000-0000-0000B26C0000}"/>
    <cellStyle name="Calculation 2 3 12 6 3" xfId="27858" xr:uid="{00000000-0005-0000-0000-0000B36C0000}"/>
    <cellStyle name="Calculation 2 3 12 6 4" xfId="27859" xr:uid="{00000000-0005-0000-0000-0000B46C0000}"/>
    <cellStyle name="Calculation 2 3 12 6 5" xfId="27860" xr:uid="{00000000-0005-0000-0000-0000B56C0000}"/>
    <cellStyle name="Calculation 2 3 12 6 6" xfId="27861" xr:uid="{00000000-0005-0000-0000-0000B66C0000}"/>
    <cellStyle name="Calculation 2 3 12 7" xfId="27862" xr:uid="{00000000-0005-0000-0000-0000B76C0000}"/>
    <cellStyle name="Calculation 2 3 12 7 2" xfId="27863" xr:uid="{00000000-0005-0000-0000-0000B86C0000}"/>
    <cellStyle name="Calculation 2 3 12 7 3" xfId="27864" xr:uid="{00000000-0005-0000-0000-0000B96C0000}"/>
    <cellStyle name="Calculation 2 3 12 7 4" xfId="27865" xr:uid="{00000000-0005-0000-0000-0000BA6C0000}"/>
    <cellStyle name="Calculation 2 3 12 7 5" xfId="27866" xr:uid="{00000000-0005-0000-0000-0000BB6C0000}"/>
    <cellStyle name="Calculation 2 3 12 7 6" xfId="27867" xr:uid="{00000000-0005-0000-0000-0000BC6C0000}"/>
    <cellStyle name="Calculation 2 3 12 8" xfId="27868" xr:uid="{00000000-0005-0000-0000-0000BD6C0000}"/>
    <cellStyle name="Calculation 2 3 12 9" xfId="27869" xr:uid="{00000000-0005-0000-0000-0000BE6C0000}"/>
    <cellStyle name="Calculation 2 3 13" xfId="27870" xr:uid="{00000000-0005-0000-0000-0000BF6C0000}"/>
    <cellStyle name="Calculation 2 3 13 10" xfId="27871" xr:uid="{00000000-0005-0000-0000-0000C06C0000}"/>
    <cellStyle name="Calculation 2 3 13 2" xfId="27872" xr:uid="{00000000-0005-0000-0000-0000C16C0000}"/>
    <cellStyle name="Calculation 2 3 13 2 2" xfId="27873" xr:uid="{00000000-0005-0000-0000-0000C26C0000}"/>
    <cellStyle name="Calculation 2 3 13 2 3" xfId="27874" xr:uid="{00000000-0005-0000-0000-0000C36C0000}"/>
    <cellStyle name="Calculation 2 3 13 2 4" xfId="27875" xr:uid="{00000000-0005-0000-0000-0000C46C0000}"/>
    <cellStyle name="Calculation 2 3 13 2 5" xfId="27876" xr:uid="{00000000-0005-0000-0000-0000C56C0000}"/>
    <cellStyle name="Calculation 2 3 13 2 6" xfId="27877" xr:uid="{00000000-0005-0000-0000-0000C66C0000}"/>
    <cellStyle name="Calculation 2 3 13 3" xfId="27878" xr:uid="{00000000-0005-0000-0000-0000C76C0000}"/>
    <cellStyle name="Calculation 2 3 13 3 2" xfId="27879" xr:uid="{00000000-0005-0000-0000-0000C86C0000}"/>
    <cellStyle name="Calculation 2 3 13 3 3" xfId="27880" xr:uid="{00000000-0005-0000-0000-0000C96C0000}"/>
    <cellStyle name="Calculation 2 3 13 3 4" xfId="27881" xr:uid="{00000000-0005-0000-0000-0000CA6C0000}"/>
    <cellStyle name="Calculation 2 3 13 3 5" xfId="27882" xr:uid="{00000000-0005-0000-0000-0000CB6C0000}"/>
    <cellStyle name="Calculation 2 3 13 3 6" xfId="27883" xr:uid="{00000000-0005-0000-0000-0000CC6C0000}"/>
    <cellStyle name="Calculation 2 3 13 4" xfId="27884" xr:uid="{00000000-0005-0000-0000-0000CD6C0000}"/>
    <cellStyle name="Calculation 2 3 13 4 2" xfId="27885" xr:uid="{00000000-0005-0000-0000-0000CE6C0000}"/>
    <cellStyle name="Calculation 2 3 13 4 3" xfId="27886" xr:uid="{00000000-0005-0000-0000-0000CF6C0000}"/>
    <cellStyle name="Calculation 2 3 13 4 4" xfId="27887" xr:uid="{00000000-0005-0000-0000-0000D06C0000}"/>
    <cellStyle name="Calculation 2 3 13 4 5" xfId="27888" xr:uid="{00000000-0005-0000-0000-0000D16C0000}"/>
    <cellStyle name="Calculation 2 3 13 4 6" xfId="27889" xr:uid="{00000000-0005-0000-0000-0000D26C0000}"/>
    <cellStyle name="Calculation 2 3 13 5" xfId="27890" xr:uid="{00000000-0005-0000-0000-0000D36C0000}"/>
    <cellStyle name="Calculation 2 3 13 5 2" xfId="27891" xr:uid="{00000000-0005-0000-0000-0000D46C0000}"/>
    <cellStyle name="Calculation 2 3 13 5 3" xfId="27892" xr:uid="{00000000-0005-0000-0000-0000D56C0000}"/>
    <cellStyle name="Calculation 2 3 13 5 4" xfId="27893" xr:uid="{00000000-0005-0000-0000-0000D66C0000}"/>
    <cellStyle name="Calculation 2 3 13 5 5" xfId="27894" xr:uid="{00000000-0005-0000-0000-0000D76C0000}"/>
    <cellStyle name="Calculation 2 3 13 5 6" xfId="27895" xr:uid="{00000000-0005-0000-0000-0000D86C0000}"/>
    <cellStyle name="Calculation 2 3 13 6" xfId="27896" xr:uid="{00000000-0005-0000-0000-0000D96C0000}"/>
    <cellStyle name="Calculation 2 3 13 6 2" xfId="27897" xr:uid="{00000000-0005-0000-0000-0000DA6C0000}"/>
    <cellStyle name="Calculation 2 3 13 6 3" xfId="27898" xr:uid="{00000000-0005-0000-0000-0000DB6C0000}"/>
    <cellStyle name="Calculation 2 3 13 6 4" xfId="27899" xr:uid="{00000000-0005-0000-0000-0000DC6C0000}"/>
    <cellStyle name="Calculation 2 3 13 6 5" xfId="27900" xr:uid="{00000000-0005-0000-0000-0000DD6C0000}"/>
    <cellStyle name="Calculation 2 3 13 6 6" xfId="27901" xr:uid="{00000000-0005-0000-0000-0000DE6C0000}"/>
    <cellStyle name="Calculation 2 3 13 7" xfId="27902" xr:uid="{00000000-0005-0000-0000-0000DF6C0000}"/>
    <cellStyle name="Calculation 2 3 13 7 2" xfId="27903" xr:uid="{00000000-0005-0000-0000-0000E06C0000}"/>
    <cellStyle name="Calculation 2 3 13 7 3" xfId="27904" xr:uid="{00000000-0005-0000-0000-0000E16C0000}"/>
    <cellStyle name="Calculation 2 3 13 7 4" xfId="27905" xr:uid="{00000000-0005-0000-0000-0000E26C0000}"/>
    <cellStyle name="Calculation 2 3 13 7 5" xfId="27906" xr:uid="{00000000-0005-0000-0000-0000E36C0000}"/>
    <cellStyle name="Calculation 2 3 13 7 6" xfId="27907" xr:uid="{00000000-0005-0000-0000-0000E46C0000}"/>
    <cellStyle name="Calculation 2 3 13 8" xfId="27908" xr:uid="{00000000-0005-0000-0000-0000E56C0000}"/>
    <cellStyle name="Calculation 2 3 13 9" xfId="27909" xr:uid="{00000000-0005-0000-0000-0000E66C0000}"/>
    <cellStyle name="Calculation 2 3 14" xfId="27910" xr:uid="{00000000-0005-0000-0000-0000E76C0000}"/>
    <cellStyle name="Calculation 2 3 14 10" xfId="27911" xr:uid="{00000000-0005-0000-0000-0000E86C0000}"/>
    <cellStyle name="Calculation 2 3 14 2" xfId="27912" xr:uid="{00000000-0005-0000-0000-0000E96C0000}"/>
    <cellStyle name="Calculation 2 3 14 2 2" xfId="27913" xr:uid="{00000000-0005-0000-0000-0000EA6C0000}"/>
    <cellStyle name="Calculation 2 3 14 2 3" xfId="27914" xr:uid="{00000000-0005-0000-0000-0000EB6C0000}"/>
    <cellStyle name="Calculation 2 3 14 2 4" xfId="27915" xr:uid="{00000000-0005-0000-0000-0000EC6C0000}"/>
    <cellStyle name="Calculation 2 3 14 2 5" xfId="27916" xr:uid="{00000000-0005-0000-0000-0000ED6C0000}"/>
    <cellStyle name="Calculation 2 3 14 2 6" xfId="27917" xr:uid="{00000000-0005-0000-0000-0000EE6C0000}"/>
    <cellStyle name="Calculation 2 3 14 3" xfId="27918" xr:uid="{00000000-0005-0000-0000-0000EF6C0000}"/>
    <cellStyle name="Calculation 2 3 14 3 2" xfId="27919" xr:uid="{00000000-0005-0000-0000-0000F06C0000}"/>
    <cellStyle name="Calculation 2 3 14 3 3" xfId="27920" xr:uid="{00000000-0005-0000-0000-0000F16C0000}"/>
    <cellStyle name="Calculation 2 3 14 3 4" xfId="27921" xr:uid="{00000000-0005-0000-0000-0000F26C0000}"/>
    <cellStyle name="Calculation 2 3 14 3 5" xfId="27922" xr:uid="{00000000-0005-0000-0000-0000F36C0000}"/>
    <cellStyle name="Calculation 2 3 14 3 6" xfId="27923" xr:uid="{00000000-0005-0000-0000-0000F46C0000}"/>
    <cellStyle name="Calculation 2 3 14 4" xfId="27924" xr:uid="{00000000-0005-0000-0000-0000F56C0000}"/>
    <cellStyle name="Calculation 2 3 14 4 2" xfId="27925" xr:uid="{00000000-0005-0000-0000-0000F66C0000}"/>
    <cellStyle name="Calculation 2 3 14 4 3" xfId="27926" xr:uid="{00000000-0005-0000-0000-0000F76C0000}"/>
    <cellStyle name="Calculation 2 3 14 4 4" xfId="27927" xr:uid="{00000000-0005-0000-0000-0000F86C0000}"/>
    <cellStyle name="Calculation 2 3 14 4 5" xfId="27928" xr:uid="{00000000-0005-0000-0000-0000F96C0000}"/>
    <cellStyle name="Calculation 2 3 14 4 6" xfId="27929" xr:uid="{00000000-0005-0000-0000-0000FA6C0000}"/>
    <cellStyle name="Calculation 2 3 14 5" xfId="27930" xr:uid="{00000000-0005-0000-0000-0000FB6C0000}"/>
    <cellStyle name="Calculation 2 3 14 5 2" xfId="27931" xr:uid="{00000000-0005-0000-0000-0000FC6C0000}"/>
    <cellStyle name="Calculation 2 3 14 5 3" xfId="27932" xr:uid="{00000000-0005-0000-0000-0000FD6C0000}"/>
    <cellStyle name="Calculation 2 3 14 5 4" xfId="27933" xr:uid="{00000000-0005-0000-0000-0000FE6C0000}"/>
    <cellStyle name="Calculation 2 3 14 5 5" xfId="27934" xr:uid="{00000000-0005-0000-0000-0000FF6C0000}"/>
    <cellStyle name="Calculation 2 3 14 5 6" xfId="27935" xr:uid="{00000000-0005-0000-0000-0000006D0000}"/>
    <cellStyle name="Calculation 2 3 14 6" xfId="27936" xr:uid="{00000000-0005-0000-0000-0000016D0000}"/>
    <cellStyle name="Calculation 2 3 14 6 2" xfId="27937" xr:uid="{00000000-0005-0000-0000-0000026D0000}"/>
    <cellStyle name="Calculation 2 3 14 6 3" xfId="27938" xr:uid="{00000000-0005-0000-0000-0000036D0000}"/>
    <cellStyle name="Calculation 2 3 14 6 4" xfId="27939" xr:uid="{00000000-0005-0000-0000-0000046D0000}"/>
    <cellStyle name="Calculation 2 3 14 6 5" xfId="27940" xr:uid="{00000000-0005-0000-0000-0000056D0000}"/>
    <cellStyle name="Calculation 2 3 14 6 6" xfId="27941" xr:uid="{00000000-0005-0000-0000-0000066D0000}"/>
    <cellStyle name="Calculation 2 3 14 7" xfId="27942" xr:uid="{00000000-0005-0000-0000-0000076D0000}"/>
    <cellStyle name="Calculation 2 3 14 7 2" xfId="27943" xr:uid="{00000000-0005-0000-0000-0000086D0000}"/>
    <cellStyle name="Calculation 2 3 14 7 3" xfId="27944" xr:uid="{00000000-0005-0000-0000-0000096D0000}"/>
    <cellStyle name="Calculation 2 3 14 7 4" xfId="27945" xr:uid="{00000000-0005-0000-0000-00000A6D0000}"/>
    <cellStyle name="Calculation 2 3 14 7 5" xfId="27946" xr:uid="{00000000-0005-0000-0000-00000B6D0000}"/>
    <cellStyle name="Calculation 2 3 14 7 6" xfId="27947" xr:uid="{00000000-0005-0000-0000-00000C6D0000}"/>
    <cellStyle name="Calculation 2 3 14 8" xfId="27948" xr:uid="{00000000-0005-0000-0000-00000D6D0000}"/>
    <cellStyle name="Calculation 2 3 14 9" xfId="27949" xr:uid="{00000000-0005-0000-0000-00000E6D0000}"/>
    <cellStyle name="Calculation 2 3 15" xfId="27950" xr:uid="{00000000-0005-0000-0000-00000F6D0000}"/>
    <cellStyle name="Calculation 2 3 15 10" xfId="27951" xr:uid="{00000000-0005-0000-0000-0000106D0000}"/>
    <cellStyle name="Calculation 2 3 15 2" xfId="27952" xr:uid="{00000000-0005-0000-0000-0000116D0000}"/>
    <cellStyle name="Calculation 2 3 15 2 2" xfId="27953" xr:uid="{00000000-0005-0000-0000-0000126D0000}"/>
    <cellStyle name="Calculation 2 3 15 2 3" xfId="27954" xr:uid="{00000000-0005-0000-0000-0000136D0000}"/>
    <cellStyle name="Calculation 2 3 15 2 4" xfId="27955" xr:uid="{00000000-0005-0000-0000-0000146D0000}"/>
    <cellStyle name="Calculation 2 3 15 2 5" xfId="27956" xr:uid="{00000000-0005-0000-0000-0000156D0000}"/>
    <cellStyle name="Calculation 2 3 15 2 6" xfId="27957" xr:uid="{00000000-0005-0000-0000-0000166D0000}"/>
    <cellStyle name="Calculation 2 3 15 3" xfId="27958" xr:uid="{00000000-0005-0000-0000-0000176D0000}"/>
    <cellStyle name="Calculation 2 3 15 3 2" xfId="27959" xr:uid="{00000000-0005-0000-0000-0000186D0000}"/>
    <cellStyle name="Calculation 2 3 15 3 3" xfId="27960" xr:uid="{00000000-0005-0000-0000-0000196D0000}"/>
    <cellStyle name="Calculation 2 3 15 3 4" xfId="27961" xr:uid="{00000000-0005-0000-0000-00001A6D0000}"/>
    <cellStyle name="Calculation 2 3 15 3 5" xfId="27962" xr:uid="{00000000-0005-0000-0000-00001B6D0000}"/>
    <cellStyle name="Calculation 2 3 15 3 6" xfId="27963" xr:uid="{00000000-0005-0000-0000-00001C6D0000}"/>
    <cellStyle name="Calculation 2 3 15 4" xfId="27964" xr:uid="{00000000-0005-0000-0000-00001D6D0000}"/>
    <cellStyle name="Calculation 2 3 15 4 2" xfId="27965" xr:uid="{00000000-0005-0000-0000-00001E6D0000}"/>
    <cellStyle name="Calculation 2 3 15 4 3" xfId="27966" xr:uid="{00000000-0005-0000-0000-00001F6D0000}"/>
    <cellStyle name="Calculation 2 3 15 4 4" xfId="27967" xr:uid="{00000000-0005-0000-0000-0000206D0000}"/>
    <cellStyle name="Calculation 2 3 15 4 5" xfId="27968" xr:uid="{00000000-0005-0000-0000-0000216D0000}"/>
    <cellStyle name="Calculation 2 3 15 4 6" xfId="27969" xr:uid="{00000000-0005-0000-0000-0000226D0000}"/>
    <cellStyle name="Calculation 2 3 15 5" xfId="27970" xr:uid="{00000000-0005-0000-0000-0000236D0000}"/>
    <cellStyle name="Calculation 2 3 15 5 2" xfId="27971" xr:uid="{00000000-0005-0000-0000-0000246D0000}"/>
    <cellStyle name="Calculation 2 3 15 5 3" xfId="27972" xr:uid="{00000000-0005-0000-0000-0000256D0000}"/>
    <cellStyle name="Calculation 2 3 15 5 4" xfId="27973" xr:uid="{00000000-0005-0000-0000-0000266D0000}"/>
    <cellStyle name="Calculation 2 3 15 5 5" xfId="27974" xr:uid="{00000000-0005-0000-0000-0000276D0000}"/>
    <cellStyle name="Calculation 2 3 15 5 6" xfId="27975" xr:uid="{00000000-0005-0000-0000-0000286D0000}"/>
    <cellStyle name="Calculation 2 3 15 6" xfId="27976" xr:uid="{00000000-0005-0000-0000-0000296D0000}"/>
    <cellStyle name="Calculation 2 3 15 6 2" xfId="27977" xr:uid="{00000000-0005-0000-0000-00002A6D0000}"/>
    <cellStyle name="Calculation 2 3 15 6 3" xfId="27978" xr:uid="{00000000-0005-0000-0000-00002B6D0000}"/>
    <cellStyle name="Calculation 2 3 15 6 4" xfId="27979" xr:uid="{00000000-0005-0000-0000-00002C6D0000}"/>
    <cellStyle name="Calculation 2 3 15 6 5" xfId="27980" xr:uid="{00000000-0005-0000-0000-00002D6D0000}"/>
    <cellStyle name="Calculation 2 3 15 6 6" xfId="27981" xr:uid="{00000000-0005-0000-0000-00002E6D0000}"/>
    <cellStyle name="Calculation 2 3 15 7" xfId="27982" xr:uid="{00000000-0005-0000-0000-00002F6D0000}"/>
    <cellStyle name="Calculation 2 3 15 7 2" xfId="27983" xr:uid="{00000000-0005-0000-0000-0000306D0000}"/>
    <cellStyle name="Calculation 2 3 15 7 3" xfId="27984" xr:uid="{00000000-0005-0000-0000-0000316D0000}"/>
    <cellStyle name="Calculation 2 3 15 7 4" xfId="27985" xr:uid="{00000000-0005-0000-0000-0000326D0000}"/>
    <cellStyle name="Calculation 2 3 15 7 5" xfId="27986" xr:uid="{00000000-0005-0000-0000-0000336D0000}"/>
    <cellStyle name="Calculation 2 3 15 7 6" xfId="27987" xr:uid="{00000000-0005-0000-0000-0000346D0000}"/>
    <cellStyle name="Calculation 2 3 15 8" xfId="27988" xr:uid="{00000000-0005-0000-0000-0000356D0000}"/>
    <cellStyle name="Calculation 2 3 15 9" xfId="27989" xr:uid="{00000000-0005-0000-0000-0000366D0000}"/>
    <cellStyle name="Calculation 2 3 16" xfId="27990" xr:uid="{00000000-0005-0000-0000-0000376D0000}"/>
    <cellStyle name="Calculation 2 3 16 10" xfId="27991" xr:uid="{00000000-0005-0000-0000-0000386D0000}"/>
    <cellStyle name="Calculation 2 3 16 2" xfId="27992" xr:uid="{00000000-0005-0000-0000-0000396D0000}"/>
    <cellStyle name="Calculation 2 3 16 2 2" xfId="27993" xr:uid="{00000000-0005-0000-0000-00003A6D0000}"/>
    <cellStyle name="Calculation 2 3 16 2 3" xfId="27994" xr:uid="{00000000-0005-0000-0000-00003B6D0000}"/>
    <cellStyle name="Calculation 2 3 16 2 4" xfId="27995" xr:uid="{00000000-0005-0000-0000-00003C6D0000}"/>
    <cellStyle name="Calculation 2 3 16 2 5" xfId="27996" xr:uid="{00000000-0005-0000-0000-00003D6D0000}"/>
    <cellStyle name="Calculation 2 3 16 2 6" xfId="27997" xr:uid="{00000000-0005-0000-0000-00003E6D0000}"/>
    <cellStyle name="Calculation 2 3 16 3" xfId="27998" xr:uid="{00000000-0005-0000-0000-00003F6D0000}"/>
    <cellStyle name="Calculation 2 3 16 3 2" xfId="27999" xr:uid="{00000000-0005-0000-0000-0000406D0000}"/>
    <cellStyle name="Calculation 2 3 16 3 3" xfId="28000" xr:uid="{00000000-0005-0000-0000-0000416D0000}"/>
    <cellStyle name="Calculation 2 3 16 3 4" xfId="28001" xr:uid="{00000000-0005-0000-0000-0000426D0000}"/>
    <cellStyle name="Calculation 2 3 16 3 5" xfId="28002" xr:uid="{00000000-0005-0000-0000-0000436D0000}"/>
    <cellStyle name="Calculation 2 3 16 3 6" xfId="28003" xr:uid="{00000000-0005-0000-0000-0000446D0000}"/>
    <cellStyle name="Calculation 2 3 16 4" xfId="28004" xr:uid="{00000000-0005-0000-0000-0000456D0000}"/>
    <cellStyle name="Calculation 2 3 16 4 2" xfId="28005" xr:uid="{00000000-0005-0000-0000-0000466D0000}"/>
    <cellStyle name="Calculation 2 3 16 4 3" xfId="28006" xr:uid="{00000000-0005-0000-0000-0000476D0000}"/>
    <cellStyle name="Calculation 2 3 16 4 4" xfId="28007" xr:uid="{00000000-0005-0000-0000-0000486D0000}"/>
    <cellStyle name="Calculation 2 3 16 4 5" xfId="28008" xr:uid="{00000000-0005-0000-0000-0000496D0000}"/>
    <cellStyle name="Calculation 2 3 16 4 6" xfId="28009" xr:uid="{00000000-0005-0000-0000-00004A6D0000}"/>
    <cellStyle name="Calculation 2 3 16 5" xfId="28010" xr:uid="{00000000-0005-0000-0000-00004B6D0000}"/>
    <cellStyle name="Calculation 2 3 16 5 2" xfId="28011" xr:uid="{00000000-0005-0000-0000-00004C6D0000}"/>
    <cellStyle name="Calculation 2 3 16 5 3" xfId="28012" xr:uid="{00000000-0005-0000-0000-00004D6D0000}"/>
    <cellStyle name="Calculation 2 3 16 5 4" xfId="28013" xr:uid="{00000000-0005-0000-0000-00004E6D0000}"/>
    <cellStyle name="Calculation 2 3 16 5 5" xfId="28014" xr:uid="{00000000-0005-0000-0000-00004F6D0000}"/>
    <cellStyle name="Calculation 2 3 16 5 6" xfId="28015" xr:uid="{00000000-0005-0000-0000-0000506D0000}"/>
    <cellStyle name="Calculation 2 3 16 6" xfId="28016" xr:uid="{00000000-0005-0000-0000-0000516D0000}"/>
    <cellStyle name="Calculation 2 3 16 6 2" xfId="28017" xr:uid="{00000000-0005-0000-0000-0000526D0000}"/>
    <cellStyle name="Calculation 2 3 16 6 3" xfId="28018" xr:uid="{00000000-0005-0000-0000-0000536D0000}"/>
    <cellStyle name="Calculation 2 3 16 6 4" xfId="28019" xr:uid="{00000000-0005-0000-0000-0000546D0000}"/>
    <cellStyle name="Calculation 2 3 16 6 5" xfId="28020" xr:uid="{00000000-0005-0000-0000-0000556D0000}"/>
    <cellStyle name="Calculation 2 3 16 6 6" xfId="28021" xr:uid="{00000000-0005-0000-0000-0000566D0000}"/>
    <cellStyle name="Calculation 2 3 16 7" xfId="28022" xr:uid="{00000000-0005-0000-0000-0000576D0000}"/>
    <cellStyle name="Calculation 2 3 16 7 2" xfId="28023" xr:uid="{00000000-0005-0000-0000-0000586D0000}"/>
    <cellStyle name="Calculation 2 3 16 7 3" xfId="28024" xr:uid="{00000000-0005-0000-0000-0000596D0000}"/>
    <cellStyle name="Calculation 2 3 16 7 4" xfId="28025" xr:uid="{00000000-0005-0000-0000-00005A6D0000}"/>
    <cellStyle name="Calculation 2 3 16 7 5" xfId="28026" xr:uid="{00000000-0005-0000-0000-00005B6D0000}"/>
    <cellStyle name="Calculation 2 3 16 7 6" xfId="28027" xr:uid="{00000000-0005-0000-0000-00005C6D0000}"/>
    <cellStyle name="Calculation 2 3 16 8" xfId="28028" xr:uid="{00000000-0005-0000-0000-00005D6D0000}"/>
    <cellStyle name="Calculation 2 3 16 9" xfId="28029" xr:uid="{00000000-0005-0000-0000-00005E6D0000}"/>
    <cellStyle name="Calculation 2 3 17" xfId="28030" xr:uid="{00000000-0005-0000-0000-00005F6D0000}"/>
    <cellStyle name="Calculation 2 3 17 10" xfId="28031" xr:uid="{00000000-0005-0000-0000-0000606D0000}"/>
    <cellStyle name="Calculation 2 3 17 2" xfId="28032" xr:uid="{00000000-0005-0000-0000-0000616D0000}"/>
    <cellStyle name="Calculation 2 3 17 2 2" xfId="28033" xr:uid="{00000000-0005-0000-0000-0000626D0000}"/>
    <cellStyle name="Calculation 2 3 17 2 3" xfId="28034" xr:uid="{00000000-0005-0000-0000-0000636D0000}"/>
    <cellStyle name="Calculation 2 3 17 2 4" xfId="28035" xr:uid="{00000000-0005-0000-0000-0000646D0000}"/>
    <cellStyle name="Calculation 2 3 17 2 5" xfId="28036" xr:uid="{00000000-0005-0000-0000-0000656D0000}"/>
    <cellStyle name="Calculation 2 3 17 2 6" xfId="28037" xr:uid="{00000000-0005-0000-0000-0000666D0000}"/>
    <cellStyle name="Calculation 2 3 17 3" xfId="28038" xr:uid="{00000000-0005-0000-0000-0000676D0000}"/>
    <cellStyle name="Calculation 2 3 17 3 2" xfId="28039" xr:uid="{00000000-0005-0000-0000-0000686D0000}"/>
    <cellStyle name="Calculation 2 3 17 3 3" xfId="28040" xr:uid="{00000000-0005-0000-0000-0000696D0000}"/>
    <cellStyle name="Calculation 2 3 17 3 4" xfId="28041" xr:uid="{00000000-0005-0000-0000-00006A6D0000}"/>
    <cellStyle name="Calculation 2 3 17 3 5" xfId="28042" xr:uid="{00000000-0005-0000-0000-00006B6D0000}"/>
    <cellStyle name="Calculation 2 3 17 3 6" xfId="28043" xr:uid="{00000000-0005-0000-0000-00006C6D0000}"/>
    <cellStyle name="Calculation 2 3 17 4" xfId="28044" xr:uid="{00000000-0005-0000-0000-00006D6D0000}"/>
    <cellStyle name="Calculation 2 3 17 4 2" xfId="28045" xr:uid="{00000000-0005-0000-0000-00006E6D0000}"/>
    <cellStyle name="Calculation 2 3 17 4 3" xfId="28046" xr:uid="{00000000-0005-0000-0000-00006F6D0000}"/>
    <cellStyle name="Calculation 2 3 17 4 4" xfId="28047" xr:uid="{00000000-0005-0000-0000-0000706D0000}"/>
    <cellStyle name="Calculation 2 3 17 4 5" xfId="28048" xr:uid="{00000000-0005-0000-0000-0000716D0000}"/>
    <cellStyle name="Calculation 2 3 17 4 6" xfId="28049" xr:uid="{00000000-0005-0000-0000-0000726D0000}"/>
    <cellStyle name="Calculation 2 3 17 5" xfId="28050" xr:uid="{00000000-0005-0000-0000-0000736D0000}"/>
    <cellStyle name="Calculation 2 3 17 5 2" xfId="28051" xr:uid="{00000000-0005-0000-0000-0000746D0000}"/>
    <cellStyle name="Calculation 2 3 17 5 3" xfId="28052" xr:uid="{00000000-0005-0000-0000-0000756D0000}"/>
    <cellStyle name="Calculation 2 3 17 5 4" xfId="28053" xr:uid="{00000000-0005-0000-0000-0000766D0000}"/>
    <cellStyle name="Calculation 2 3 17 5 5" xfId="28054" xr:uid="{00000000-0005-0000-0000-0000776D0000}"/>
    <cellStyle name="Calculation 2 3 17 5 6" xfId="28055" xr:uid="{00000000-0005-0000-0000-0000786D0000}"/>
    <cellStyle name="Calculation 2 3 17 6" xfId="28056" xr:uid="{00000000-0005-0000-0000-0000796D0000}"/>
    <cellStyle name="Calculation 2 3 17 6 2" xfId="28057" xr:uid="{00000000-0005-0000-0000-00007A6D0000}"/>
    <cellStyle name="Calculation 2 3 17 6 3" xfId="28058" xr:uid="{00000000-0005-0000-0000-00007B6D0000}"/>
    <cellStyle name="Calculation 2 3 17 6 4" xfId="28059" xr:uid="{00000000-0005-0000-0000-00007C6D0000}"/>
    <cellStyle name="Calculation 2 3 17 6 5" xfId="28060" xr:uid="{00000000-0005-0000-0000-00007D6D0000}"/>
    <cellStyle name="Calculation 2 3 17 6 6" xfId="28061" xr:uid="{00000000-0005-0000-0000-00007E6D0000}"/>
    <cellStyle name="Calculation 2 3 17 7" xfId="28062" xr:uid="{00000000-0005-0000-0000-00007F6D0000}"/>
    <cellStyle name="Calculation 2 3 17 7 2" xfId="28063" xr:uid="{00000000-0005-0000-0000-0000806D0000}"/>
    <cellStyle name="Calculation 2 3 17 7 3" xfId="28064" xr:uid="{00000000-0005-0000-0000-0000816D0000}"/>
    <cellStyle name="Calculation 2 3 17 7 4" xfId="28065" xr:uid="{00000000-0005-0000-0000-0000826D0000}"/>
    <cellStyle name="Calculation 2 3 17 7 5" xfId="28066" xr:uid="{00000000-0005-0000-0000-0000836D0000}"/>
    <cellStyle name="Calculation 2 3 17 7 6" xfId="28067" xr:uid="{00000000-0005-0000-0000-0000846D0000}"/>
    <cellStyle name="Calculation 2 3 17 8" xfId="28068" xr:uid="{00000000-0005-0000-0000-0000856D0000}"/>
    <cellStyle name="Calculation 2 3 17 9" xfId="28069" xr:uid="{00000000-0005-0000-0000-0000866D0000}"/>
    <cellStyle name="Calculation 2 3 18" xfId="28070" xr:uid="{00000000-0005-0000-0000-0000876D0000}"/>
    <cellStyle name="Calculation 2 3 18 10" xfId="28071" xr:uid="{00000000-0005-0000-0000-0000886D0000}"/>
    <cellStyle name="Calculation 2 3 18 2" xfId="28072" xr:uid="{00000000-0005-0000-0000-0000896D0000}"/>
    <cellStyle name="Calculation 2 3 18 2 2" xfId="28073" xr:uid="{00000000-0005-0000-0000-00008A6D0000}"/>
    <cellStyle name="Calculation 2 3 18 2 3" xfId="28074" xr:uid="{00000000-0005-0000-0000-00008B6D0000}"/>
    <cellStyle name="Calculation 2 3 18 2 4" xfId="28075" xr:uid="{00000000-0005-0000-0000-00008C6D0000}"/>
    <cellStyle name="Calculation 2 3 18 2 5" xfId="28076" xr:uid="{00000000-0005-0000-0000-00008D6D0000}"/>
    <cellStyle name="Calculation 2 3 18 2 6" xfId="28077" xr:uid="{00000000-0005-0000-0000-00008E6D0000}"/>
    <cellStyle name="Calculation 2 3 18 3" xfId="28078" xr:uid="{00000000-0005-0000-0000-00008F6D0000}"/>
    <cellStyle name="Calculation 2 3 18 3 2" xfId="28079" xr:uid="{00000000-0005-0000-0000-0000906D0000}"/>
    <cellStyle name="Calculation 2 3 18 3 3" xfId="28080" xr:uid="{00000000-0005-0000-0000-0000916D0000}"/>
    <cellStyle name="Calculation 2 3 18 3 4" xfId="28081" xr:uid="{00000000-0005-0000-0000-0000926D0000}"/>
    <cellStyle name="Calculation 2 3 18 3 5" xfId="28082" xr:uid="{00000000-0005-0000-0000-0000936D0000}"/>
    <cellStyle name="Calculation 2 3 18 3 6" xfId="28083" xr:uid="{00000000-0005-0000-0000-0000946D0000}"/>
    <cellStyle name="Calculation 2 3 18 4" xfId="28084" xr:uid="{00000000-0005-0000-0000-0000956D0000}"/>
    <cellStyle name="Calculation 2 3 18 4 2" xfId="28085" xr:uid="{00000000-0005-0000-0000-0000966D0000}"/>
    <cellStyle name="Calculation 2 3 18 4 3" xfId="28086" xr:uid="{00000000-0005-0000-0000-0000976D0000}"/>
    <cellStyle name="Calculation 2 3 18 4 4" xfId="28087" xr:uid="{00000000-0005-0000-0000-0000986D0000}"/>
    <cellStyle name="Calculation 2 3 18 4 5" xfId="28088" xr:uid="{00000000-0005-0000-0000-0000996D0000}"/>
    <cellStyle name="Calculation 2 3 18 4 6" xfId="28089" xr:uid="{00000000-0005-0000-0000-00009A6D0000}"/>
    <cellStyle name="Calculation 2 3 18 5" xfId="28090" xr:uid="{00000000-0005-0000-0000-00009B6D0000}"/>
    <cellStyle name="Calculation 2 3 18 5 2" xfId="28091" xr:uid="{00000000-0005-0000-0000-00009C6D0000}"/>
    <cellStyle name="Calculation 2 3 18 5 3" xfId="28092" xr:uid="{00000000-0005-0000-0000-00009D6D0000}"/>
    <cellStyle name="Calculation 2 3 18 5 4" xfId="28093" xr:uid="{00000000-0005-0000-0000-00009E6D0000}"/>
    <cellStyle name="Calculation 2 3 18 5 5" xfId="28094" xr:uid="{00000000-0005-0000-0000-00009F6D0000}"/>
    <cellStyle name="Calculation 2 3 18 5 6" xfId="28095" xr:uid="{00000000-0005-0000-0000-0000A06D0000}"/>
    <cellStyle name="Calculation 2 3 18 6" xfId="28096" xr:uid="{00000000-0005-0000-0000-0000A16D0000}"/>
    <cellStyle name="Calculation 2 3 18 6 2" xfId="28097" xr:uid="{00000000-0005-0000-0000-0000A26D0000}"/>
    <cellStyle name="Calculation 2 3 18 6 3" xfId="28098" xr:uid="{00000000-0005-0000-0000-0000A36D0000}"/>
    <cellStyle name="Calculation 2 3 18 6 4" xfId="28099" xr:uid="{00000000-0005-0000-0000-0000A46D0000}"/>
    <cellStyle name="Calculation 2 3 18 6 5" xfId="28100" xr:uid="{00000000-0005-0000-0000-0000A56D0000}"/>
    <cellStyle name="Calculation 2 3 18 6 6" xfId="28101" xr:uid="{00000000-0005-0000-0000-0000A66D0000}"/>
    <cellStyle name="Calculation 2 3 18 7" xfId="28102" xr:uid="{00000000-0005-0000-0000-0000A76D0000}"/>
    <cellStyle name="Calculation 2 3 18 7 2" xfId="28103" xr:uid="{00000000-0005-0000-0000-0000A86D0000}"/>
    <cellStyle name="Calculation 2 3 18 7 3" xfId="28104" xr:uid="{00000000-0005-0000-0000-0000A96D0000}"/>
    <cellStyle name="Calculation 2 3 18 7 4" xfId="28105" xr:uid="{00000000-0005-0000-0000-0000AA6D0000}"/>
    <cellStyle name="Calculation 2 3 18 7 5" xfId="28106" xr:uid="{00000000-0005-0000-0000-0000AB6D0000}"/>
    <cellStyle name="Calculation 2 3 18 7 6" xfId="28107" xr:uid="{00000000-0005-0000-0000-0000AC6D0000}"/>
    <cellStyle name="Calculation 2 3 18 8" xfId="28108" xr:uid="{00000000-0005-0000-0000-0000AD6D0000}"/>
    <cellStyle name="Calculation 2 3 18 9" xfId="28109" xr:uid="{00000000-0005-0000-0000-0000AE6D0000}"/>
    <cellStyle name="Calculation 2 3 19" xfId="28110" xr:uid="{00000000-0005-0000-0000-0000AF6D0000}"/>
    <cellStyle name="Calculation 2 3 19 10" xfId="28111" xr:uid="{00000000-0005-0000-0000-0000B06D0000}"/>
    <cellStyle name="Calculation 2 3 19 2" xfId="28112" xr:uid="{00000000-0005-0000-0000-0000B16D0000}"/>
    <cellStyle name="Calculation 2 3 19 2 2" xfId="28113" xr:uid="{00000000-0005-0000-0000-0000B26D0000}"/>
    <cellStyle name="Calculation 2 3 19 2 3" xfId="28114" xr:uid="{00000000-0005-0000-0000-0000B36D0000}"/>
    <cellStyle name="Calculation 2 3 19 2 4" xfId="28115" xr:uid="{00000000-0005-0000-0000-0000B46D0000}"/>
    <cellStyle name="Calculation 2 3 19 2 5" xfId="28116" xr:uid="{00000000-0005-0000-0000-0000B56D0000}"/>
    <cellStyle name="Calculation 2 3 19 2 6" xfId="28117" xr:uid="{00000000-0005-0000-0000-0000B66D0000}"/>
    <cellStyle name="Calculation 2 3 19 3" xfId="28118" xr:uid="{00000000-0005-0000-0000-0000B76D0000}"/>
    <cellStyle name="Calculation 2 3 19 3 2" xfId="28119" xr:uid="{00000000-0005-0000-0000-0000B86D0000}"/>
    <cellStyle name="Calculation 2 3 19 3 3" xfId="28120" xr:uid="{00000000-0005-0000-0000-0000B96D0000}"/>
    <cellStyle name="Calculation 2 3 19 3 4" xfId="28121" xr:uid="{00000000-0005-0000-0000-0000BA6D0000}"/>
    <cellStyle name="Calculation 2 3 19 3 5" xfId="28122" xr:uid="{00000000-0005-0000-0000-0000BB6D0000}"/>
    <cellStyle name="Calculation 2 3 19 3 6" xfId="28123" xr:uid="{00000000-0005-0000-0000-0000BC6D0000}"/>
    <cellStyle name="Calculation 2 3 19 4" xfId="28124" xr:uid="{00000000-0005-0000-0000-0000BD6D0000}"/>
    <cellStyle name="Calculation 2 3 19 4 2" xfId="28125" xr:uid="{00000000-0005-0000-0000-0000BE6D0000}"/>
    <cellStyle name="Calculation 2 3 19 4 3" xfId="28126" xr:uid="{00000000-0005-0000-0000-0000BF6D0000}"/>
    <cellStyle name="Calculation 2 3 19 4 4" xfId="28127" xr:uid="{00000000-0005-0000-0000-0000C06D0000}"/>
    <cellStyle name="Calculation 2 3 19 4 5" xfId="28128" xr:uid="{00000000-0005-0000-0000-0000C16D0000}"/>
    <cellStyle name="Calculation 2 3 19 4 6" xfId="28129" xr:uid="{00000000-0005-0000-0000-0000C26D0000}"/>
    <cellStyle name="Calculation 2 3 19 5" xfId="28130" xr:uid="{00000000-0005-0000-0000-0000C36D0000}"/>
    <cellStyle name="Calculation 2 3 19 5 2" xfId="28131" xr:uid="{00000000-0005-0000-0000-0000C46D0000}"/>
    <cellStyle name="Calculation 2 3 19 5 3" xfId="28132" xr:uid="{00000000-0005-0000-0000-0000C56D0000}"/>
    <cellStyle name="Calculation 2 3 19 5 4" xfId="28133" xr:uid="{00000000-0005-0000-0000-0000C66D0000}"/>
    <cellStyle name="Calculation 2 3 19 5 5" xfId="28134" xr:uid="{00000000-0005-0000-0000-0000C76D0000}"/>
    <cellStyle name="Calculation 2 3 19 5 6" xfId="28135" xr:uid="{00000000-0005-0000-0000-0000C86D0000}"/>
    <cellStyle name="Calculation 2 3 19 6" xfId="28136" xr:uid="{00000000-0005-0000-0000-0000C96D0000}"/>
    <cellStyle name="Calculation 2 3 19 6 2" xfId="28137" xr:uid="{00000000-0005-0000-0000-0000CA6D0000}"/>
    <cellStyle name="Calculation 2 3 19 6 3" xfId="28138" xr:uid="{00000000-0005-0000-0000-0000CB6D0000}"/>
    <cellStyle name="Calculation 2 3 19 6 4" xfId="28139" xr:uid="{00000000-0005-0000-0000-0000CC6D0000}"/>
    <cellStyle name="Calculation 2 3 19 6 5" xfId="28140" xr:uid="{00000000-0005-0000-0000-0000CD6D0000}"/>
    <cellStyle name="Calculation 2 3 19 6 6" xfId="28141" xr:uid="{00000000-0005-0000-0000-0000CE6D0000}"/>
    <cellStyle name="Calculation 2 3 19 7" xfId="28142" xr:uid="{00000000-0005-0000-0000-0000CF6D0000}"/>
    <cellStyle name="Calculation 2 3 19 7 2" xfId="28143" xr:uid="{00000000-0005-0000-0000-0000D06D0000}"/>
    <cellStyle name="Calculation 2 3 19 7 3" xfId="28144" xr:uid="{00000000-0005-0000-0000-0000D16D0000}"/>
    <cellStyle name="Calculation 2 3 19 7 4" xfId="28145" xr:uid="{00000000-0005-0000-0000-0000D26D0000}"/>
    <cellStyle name="Calculation 2 3 19 7 5" xfId="28146" xr:uid="{00000000-0005-0000-0000-0000D36D0000}"/>
    <cellStyle name="Calculation 2 3 19 7 6" xfId="28147" xr:uid="{00000000-0005-0000-0000-0000D46D0000}"/>
    <cellStyle name="Calculation 2 3 19 8" xfId="28148" xr:uid="{00000000-0005-0000-0000-0000D56D0000}"/>
    <cellStyle name="Calculation 2 3 19 9" xfId="28149" xr:uid="{00000000-0005-0000-0000-0000D66D0000}"/>
    <cellStyle name="Calculation 2 3 2" xfId="28150" xr:uid="{00000000-0005-0000-0000-0000D76D0000}"/>
    <cellStyle name="Calculation 2 3 2 10" xfId="28151" xr:uid="{00000000-0005-0000-0000-0000D86D0000}"/>
    <cellStyle name="Calculation 2 3 2 2" xfId="28152" xr:uid="{00000000-0005-0000-0000-0000D96D0000}"/>
    <cellStyle name="Calculation 2 3 2 2 2" xfId="28153" xr:uid="{00000000-0005-0000-0000-0000DA6D0000}"/>
    <cellStyle name="Calculation 2 3 2 2 3" xfId="28154" xr:uid="{00000000-0005-0000-0000-0000DB6D0000}"/>
    <cellStyle name="Calculation 2 3 2 2 4" xfId="28155" xr:uid="{00000000-0005-0000-0000-0000DC6D0000}"/>
    <cellStyle name="Calculation 2 3 2 2 5" xfId="28156" xr:uid="{00000000-0005-0000-0000-0000DD6D0000}"/>
    <cellStyle name="Calculation 2 3 2 2 6" xfId="28157" xr:uid="{00000000-0005-0000-0000-0000DE6D0000}"/>
    <cellStyle name="Calculation 2 3 2 3" xfId="28158" xr:uid="{00000000-0005-0000-0000-0000DF6D0000}"/>
    <cellStyle name="Calculation 2 3 2 3 2" xfId="28159" xr:uid="{00000000-0005-0000-0000-0000E06D0000}"/>
    <cellStyle name="Calculation 2 3 2 3 3" xfId="28160" xr:uid="{00000000-0005-0000-0000-0000E16D0000}"/>
    <cellStyle name="Calculation 2 3 2 3 4" xfId="28161" xr:uid="{00000000-0005-0000-0000-0000E26D0000}"/>
    <cellStyle name="Calculation 2 3 2 3 5" xfId="28162" xr:uid="{00000000-0005-0000-0000-0000E36D0000}"/>
    <cellStyle name="Calculation 2 3 2 3 6" xfId="28163" xr:uid="{00000000-0005-0000-0000-0000E46D0000}"/>
    <cellStyle name="Calculation 2 3 2 4" xfId="28164" xr:uid="{00000000-0005-0000-0000-0000E56D0000}"/>
    <cellStyle name="Calculation 2 3 2 4 2" xfId="28165" xr:uid="{00000000-0005-0000-0000-0000E66D0000}"/>
    <cellStyle name="Calculation 2 3 2 4 3" xfId="28166" xr:uid="{00000000-0005-0000-0000-0000E76D0000}"/>
    <cellStyle name="Calculation 2 3 2 4 4" xfId="28167" xr:uid="{00000000-0005-0000-0000-0000E86D0000}"/>
    <cellStyle name="Calculation 2 3 2 4 5" xfId="28168" xr:uid="{00000000-0005-0000-0000-0000E96D0000}"/>
    <cellStyle name="Calculation 2 3 2 4 6" xfId="28169" xr:uid="{00000000-0005-0000-0000-0000EA6D0000}"/>
    <cellStyle name="Calculation 2 3 2 5" xfId="28170" xr:uid="{00000000-0005-0000-0000-0000EB6D0000}"/>
    <cellStyle name="Calculation 2 3 2 5 2" xfId="28171" xr:uid="{00000000-0005-0000-0000-0000EC6D0000}"/>
    <cellStyle name="Calculation 2 3 2 5 3" xfId="28172" xr:uid="{00000000-0005-0000-0000-0000ED6D0000}"/>
    <cellStyle name="Calculation 2 3 2 5 4" xfId="28173" xr:uid="{00000000-0005-0000-0000-0000EE6D0000}"/>
    <cellStyle name="Calculation 2 3 2 5 5" xfId="28174" xr:uid="{00000000-0005-0000-0000-0000EF6D0000}"/>
    <cellStyle name="Calculation 2 3 2 5 6" xfId="28175" xr:uid="{00000000-0005-0000-0000-0000F06D0000}"/>
    <cellStyle name="Calculation 2 3 2 6" xfId="28176" xr:uid="{00000000-0005-0000-0000-0000F16D0000}"/>
    <cellStyle name="Calculation 2 3 2 6 2" xfId="28177" xr:uid="{00000000-0005-0000-0000-0000F26D0000}"/>
    <cellStyle name="Calculation 2 3 2 6 3" xfId="28178" xr:uid="{00000000-0005-0000-0000-0000F36D0000}"/>
    <cellStyle name="Calculation 2 3 2 6 4" xfId="28179" xr:uid="{00000000-0005-0000-0000-0000F46D0000}"/>
    <cellStyle name="Calculation 2 3 2 6 5" xfId="28180" xr:uid="{00000000-0005-0000-0000-0000F56D0000}"/>
    <cellStyle name="Calculation 2 3 2 6 6" xfId="28181" xr:uid="{00000000-0005-0000-0000-0000F66D0000}"/>
    <cellStyle name="Calculation 2 3 2 7" xfId="28182" xr:uid="{00000000-0005-0000-0000-0000F76D0000}"/>
    <cellStyle name="Calculation 2 3 2 7 2" xfId="28183" xr:uid="{00000000-0005-0000-0000-0000F86D0000}"/>
    <cellStyle name="Calculation 2 3 2 7 3" xfId="28184" xr:uid="{00000000-0005-0000-0000-0000F96D0000}"/>
    <cellStyle name="Calculation 2 3 2 7 4" xfId="28185" xr:uid="{00000000-0005-0000-0000-0000FA6D0000}"/>
    <cellStyle name="Calculation 2 3 2 7 5" xfId="28186" xr:uid="{00000000-0005-0000-0000-0000FB6D0000}"/>
    <cellStyle name="Calculation 2 3 2 7 6" xfId="28187" xr:uid="{00000000-0005-0000-0000-0000FC6D0000}"/>
    <cellStyle name="Calculation 2 3 2 8" xfId="28188" xr:uid="{00000000-0005-0000-0000-0000FD6D0000}"/>
    <cellStyle name="Calculation 2 3 2 9" xfId="28189" xr:uid="{00000000-0005-0000-0000-0000FE6D0000}"/>
    <cellStyle name="Calculation 2 3 20" xfId="28190" xr:uid="{00000000-0005-0000-0000-0000FF6D0000}"/>
    <cellStyle name="Calculation 2 3 20 10" xfId="28191" xr:uid="{00000000-0005-0000-0000-0000006E0000}"/>
    <cellStyle name="Calculation 2 3 20 2" xfId="28192" xr:uid="{00000000-0005-0000-0000-0000016E0000}"/>
    <cellStyle name="Calculation 2 3 20 2 2" xfId="28193" xr:uid="{00000000-0005-0000-0000-0000026E0000}"/>
    <cellStyle name="Calculation 2 3 20 2 3" xfId="28194" xr:uid="{00000000-0005-0000-0000-0000036E0000}"/>
    <cellStyle name="Calculation 2 3 20 2 4" xfId="28195" xr:uid="{00000000-0005-0000-0000-0000046E0000}"/>
    <cellStyle name="Calculation 2 3 20 2 5" xfId="28196" xr:uid="{00000000-0005-0000-0000-0000056E0000}"/>
    <cellStyle name="Calculation 2 3 20 2 6" xfId="28197" xr:uid="{00000000-0005-0000-0000-0000066E0000}"/>
    <cellStyle name="Calculation 2 3 20 3" xfId="28198" xr:uid="{00000000-0005-0000-0000-0000076E0000}"/>
    <cellStyle name="Calculation 2 3 20 3 2" xfId="28199" xr:uid="{00000000-0005-0000-0000-0000086E0000}"/>
    <cellStyle name="Calculation 2 3 20 3 3" xfId="28200" xr:uid="{00000000-0005-0000-0000-0000096E0000}"/>
    <cellStyle name="Calculation 2 3 20 3 4" xfId="28201" xr:uid="{00000000-0005-0000-0000-00000A6E0000}"/>
    <cellStyle name="Calculation 2 3 20 3 5" xfId="28202" xr:uid="{00000000-0005-0000-0000-00000B6E0000}"/>
    <cellStyle name="Calculation 2 3 20 3 6" xfId="28203" xr:uid="{00000000-0005-0000-0000-00000C6E0000}"/>
    <cellStyle name="Calculation 2 3 20 4" xfId="28204" xr:uid="{00000000-0005-0000-0000-00000D6E0000}"/>
    <cellStyle name="Calculation 2 3 20 4 2" xfId="28205" xr:uid="{00000000-0005-0000-0000-00000E6E0000}"/>
    <cellStyle name="Calculation 2 3 20 4 3" xfId="28206" xr:uid="{00000000-0005-0000-0000-00000F6E0000}"/>
    <cellStyle name="Calculation 2 3 20 4 4" xfId="28207" xr:uid="{00000000-0005-0000-0000-0000106E0000}"/>
    <cellStyle name="Calculation 2 3 20 4 5" xfId="28208" xr:uid="{00000000-0005-0000-0000-0000116E0000}"/>
    <cellStyle name="Calculation 2 3 20 4 6" xfId="28209" xr:uid="{00000000-0005-0000-0000-0000126E0000}"/>
    <cellStyle name="Calculation 2 3 20 5" xfId="28210" xr:uid="{00000000-0005-0000-0000-0000136E0000}"/>
    <cellStyle name="Calculation 2 3 20 5 2" xfId="28211" xr:uid="{00000000-0005-0000-0000-0000146E0000}"/>
    <cellStyle name="Calculation 2 3 20 5 3" xfId="28212" xr:uid="{00000000-0005-0000-0000-0000156E0000}"/>
    <cellStyle name="Calculation 2 3 20 5 4" xfId="28213" xr:uid="{00000000-0005-0000-0000-0000166E0000}"/>
    <cellStyle name="Calculation 2 3 20 5 5" xfId="28214" xr:uid="{00000000-0005-0000-0000-0000176E0000}"/>
    <cellStyle name="Calculation 2 3 20 5 6" xfId="28215" xr:uid="{00000000-0005-0000-0000-0000186E0000}"/>
    <cellStyle name="Calculation 2 3 20 6" xfId="28216" xr:uid="{00000000-0005-0000-0000-0000196E0000}"/>
    <cellStyle name="Calculation 2 3 20 6 2" xfId="28217" xr:uid="{00000000-0005-0000-0000-00001A6E0000}"/>
    <cellStyle name="Calculation 2 3 20 6 3" xfId="28218" xr:uid="{00000000-0005-0000-0000-00001B6E0000}"/>
    <cellStyle name="Calculation 2 3 20 6 4" xfId="28219" xr:uid="{00000000-0005-0000-0000-00001C6E0000}"/>
    <cellStyle name="Calculation 2 3 20 6 5" xfId="28220" xr:uid="{00000000-0005-0000-0000-00001D6E0000}"/>
    <cellStyle name="Calculation 2 3 20 6 6" xfId="28221" xr:uid="{00000000-0005-0000-0000-00001E6E0000}"/>
    <cellStyle name="Calculation 2 3 20 7" xfId="28222" xr:uid="{00000000-0005-0000-0000-00001F6E0000}"/>
    <cellStyle name="Calculation 2 3 20 7 2" xfId="28223" xr:uid="{00000000-0005-0000-0000-0000206E0000}"/>
    <cellStyle name="Calculation 2 3 20 7 3" xfId="28224" xr:uid="{00000000-0005-0000-0000-0000216E0000}"/>
    <cellStyle name="Calculation 2 3 20 7 4" xfId="28225" xr:uid="{00000000-0005-0000-0000-0000226E0000}"/>
    <cellStyle name="Calculation 2 3 20 7 5" xfId="28226" xr:uid="{00000000-0005-0000-0000-0000236E0000}"/>
    <cellStyle name="Calculation 2 3 20 7 6" xfId="28227" xr:uid="{00000000-0005-0000-0000-0000246E0000}"/>
    <cellStyle name="Calculation 2 3 20 8" xfId="28228" xr:uid="{00000000-0005-0000-0000-0000256E0000}"/>
    <cellStyle name="Calculation 2 3 20 9" xfId="28229" xr:uid="{00000000-0005-0000-0000-0000266E0000}"/>
    <cellStyle name="Calculation 2 3 21" xfId="28230" xr:uid="{00000000-0005-0000-0000-0000276E0000}"/>
    <cellStyle name="Calculation 2 3 21 10" xfId="28231" xr:uid="{00000000-0005-0000-0000-0000286E0000}"/>
    <cellStyle name="Calculation 2 3 21 2" xfId="28232" xr:uid="{00000000-0005-0000-0000-0000296E0000}"/>
    <cellStyle name="Calculation 2 3 21 2 2" xfId="28233" xr:uid="{00000000-0005-0000-0000-00002A6E0000}"/>
    <cellStyle name="Calculation 2 3 21 2 3" xfId="28234" xr:uid="{00000000-0005-0000-0000-00002B6E0000}"/>
    <cellStyle name="Calculation 2 3 21 2 4" xfId="28235" xr:uid="{00000000-0005-0000-0000-00002C6E0000}"/>
    <cellStyle name="Calculation 2 3 21 2 5" xfId="28236" xr:uid="{00000000-0005-0000-0000-00002D6E0000}"/>
    <cellStyle name="Calculation 2 3 21 2 6" xfId="28237" xr:uid="{00000000-0005-0000-0000-00002E6E0000}"/>
    <cellStyle name="Calculation 2 3 21 3" xfId="28238" xr:uid="{00000000-0005-0000-0000-00002F6E0000}"/>
    <cellStyle name="Calculation 2 3 21 3 2" xfId="28239" xr:uid="{00000000-0005-0000-0000-0000306E0000}"/>
    <cellStyle name="Calculation 2 3 21 3 3" xfId="28240" xr:uid="{00000000-0005-0000-0000-0000316E0000}"/>
    <cellStyle name="Calculation 2 3 21 3 4" xfId="28241" xr:uid="{00000000-0005-0000-0000-0000326E0000}"/>
    <cellStyle name="Calculation 2 3 21 3 5" xfId="28242" xr:uid="{00000000-0005-0000-0000-0000336E0000}"/>
    <cellStyle name="Calculation 2 3 21 3 6" xfId="28243" xr:uid="{00000000-0005-0000-0000-0000346E0000}"/>
    <cellStyle name="Calculation 2 3 21 4" xfId="28244" xr:uid="{00000000-0005-0000-0000-0000356E0000}"/>
    <cellStyle name="Calculation 2 3 21 4 2" xfId="28245" xr:uid="{00000000-0005-0000-0000-0000366E0000}"/>
    <cellStyle name="Calculation 2 3 21 4 3" xfId="28246" xr:uid="{00000000-0005-0000-0000-0000376E0000}"/>
    <cellStyle name="Calculation 2 3 21 4 4" xfId="28247" xr:uid="{00000000-0005-0000-0000-0000386E0000}"/>
    <cellStyle name="Calculation 2 3 21 4 5" xfId="28248" xr:uid="{00000000-0005-0000-0000-0000396E0000}"/>
    <cellStyle name="Calculation 2 3 21 4 6" xfId="28249" xr:uid="{00000000-0005-0000-0000-00003A6E0000}"/>
    <cellStyle name="Calculation 2 3 21 5" xfId="28250" xr:uid="{00000000-0005-0000-0000-00003B6E0000}"/>
    <cellStyle name="Calculation 2 3 21 5 2" xfId="28251" xr:uid="{00000000-0005-0000-0000-00003C6E0000}"/>
    <cellStyle name="Calculation 2 3 21 5 3" xfId="28252" xr:uid="{00000000-0005-0000-0000-00003D6E0000}"/>
    <cellStyle name="Calculation 2 3 21 5 4" xfId="28253" xr:uid="{00000000-0005-0000-0000-00003E6E0000}"/>
    <cellStyle name="Calculation 2 3 21 5 5" xfId="28254" xr:uid="{00000000-0005-0000-0000-00003F6E0000}"/>
    <cellStyle name="Calculation 2 3 21 5 6" xfId="28255" xr:uid="{00000000-0005-0000-0000-0000406E0000}"/>
    <cellStyle name="Calculation 2 3 21 6" xfId="28256" xr:uid="{00000000-0005-0000-0000-0000416E0000}"/>
    <cellStyle name="Calculation 2 3 21 6 2" xfId="28257" xr:uid="{00000000-0005-0000-0000-0000426E0000}"/>
    <cellStyle name="Calculation 2 3 21 6 3" xfId="28258" xr:uid="{00000000-0005-0000-0000-0000436E0000}"/>
    <cellStyle name="Calculation 2 3 21 6 4" xfId="28259" xr:uid="{00000000-0005-0000-0000-0000446E0000}"/>
    <cellStyle name="Calculation 2 3 21 6 5" xfId="28260" xr:uid="{00000000-0005-0000-0000-0000456E0000}"/>
    <cellStyle name="Calculation 2 3 21 6 6" xfId="28261" xr:uid="{00000000-0005-0000-0000-0000466E0000}"/>
    <cellStyle name="Calculation 2 3 21 7" xfId="28262" xr:uid="{00000000-0005-0000-0000-0000476E0000}"/>
    <cellStyle name="Calculation 2 3 21 7 2" xfId="28263" xr:uid="{00000000-0005-0000-0000-0000486E0000}"/>
    <cellStyle name="Calculation 2 3 21 7 3" xfId="28264" xr:uid="{00000000-0005-0000-0000-0000496E0000}"/>
    <cellStyle name="Calculation 2 3 21 7 4" xfId="28265" xr:uid="{00000000-0005-0000-0000-00004A6E0000}"/>
    <cellStyle name="Calculation 2 3 21 7 5" xfId="28266" xr:uid="{00000000-0005-0000-0000-00004B6E0000}"/>
    <cellStyle name="Calculation 2 3 21 7 6" xfId="28267" xr:uid="{00000000-0005-0000-0000-00004C6E0000}"/>
    <cellStyle name="Calculation 2 3 21 8" xfId="28268" xr:uid="{00000000-0005-0000-0000-00004D6E0000}"/>
    <cellStyle name="Calculation 2 3 21 9" xfId="28269" xr:uid="{00000000-0005-0000-0000-00004E6E0000}"/>
    <cellStyle name="Calculation 2 3 22" xfId="28270" xr:uid="{00000000-0005-0000-0000-00004F6E0000}"/>
    <cellStyle name="Calculation 2 3 22 10" xfId="28271" xr:uid="{00000000-0005-0000-0000-0000506E0000}"/>
    <cellStyle name="Calculation 2 3 22 2" xfId="28272" xr:uid="{00000000-0005-0000-0000-0000516E0000}"/>
    <cellStyle name="Calculation 2 3 22 2 2" xfId="28273" xr:uid="{00000000-0005-0000-0000-0000526E0000}"/>
    <cellStyle name="Calculation 2 3 22 2 3" xfId="28274" xr:uid="{00000000-0005-0000-0000-0000536E0000}"/>
    <cellStyle name="Calculation 2 3 22 2 4" xfId="28275" xr:uid="{00000000-0005-0000-0000-0000546E0000}"/>
    <cellStyle name="Calculation 2 3 22 2 5" xfId="28276" xr:uid="{00000000-0005-0000-0000-0000556E0000}"/>
    <cellStyle name="Calculation 2 3 22 2 6" xfId="28277" xr:uid="{00000000-0005-0000-0000-0000566E0000}"/>
    <cellStyle name="Calculation 2 3 22 3" xfId="28278" xr:uid="{00000000-0005-0000-0000-0000576E0000}"/>
    <cellStyle name="Calculation 2 3 22 3 2" xfId="28279" xr:uid="{00000000-0005-0000-0000-0000586E0000}"/>
    <cellStyle name="Calculation 2 3 22 3 3" xfId="28280" xr:uid="{00000000-0005-0000-0000-0000596E0000}"/>
    <cellStyle name="Calculation 2 3 22 3 4" xfId="28281" xr:uid="{00000000-0005-0000-0000-00005A6E0000}"/>
    <cellStyle name="Calculation 2 3 22 3 5" xfId="28282" xr:uid="{00000000-0005-0000-0000-00005B6E0000}"/>
    <cellStyle name="Calculation 2 3 22 3 6" xfId="28283" xr:uid="{00000000-0005-0000-0000-00005C6E0000}"/>
    <cellStyle name="Calculation 2 3 22 4" xfId="28284" xr:uid="{00000000-0005-0000-0000-00005D6E0000}"/>
    <cellStyle name="Calculation 2 3 22 4 2" xfId="28285" xr:uid="{00000000-0005-0000-0000-00005E6E0000}"/>
    <cellStyle name="Calculation 2 3 22 4 3" xfId="28286" xr:uid="{00000000-0005-0000-0000-00005F6E0000}"/>
    <cellStyle name="Calculation 2 3 22 4 4" xfId="28287" xr:uid="{00000000-0005-0000-0000-0000606E0000}"/>
    <cellStyle name="Calculation 2 3 22 4 5" xfId="28288" xr:uid="{00000000-0005-0000-0000-0000616E0000}"/>
    <cellStyle name="Calculation 2 3 22 4 6" xfId="28289" xr:uid="{00000000-0005-0000-0000-0000626E0000}"/>
    <cellStyle name="Calculation 2 3 22 5" xfId="28290" xr:uid="{00000000-0005-0000-0000-0000636E0000}"/>
    <cellStyle name="Calculation 2 3 22 5 2" xfId="28291" xr:uid="{00000000-0005-0000-0000-0000646E0000}"/>
    <cellStyle name="Calculation 2 3 22 5 3" xfId="28292" xr:uid="{00000000-0005-0000-0000-0000656E0000}"/>
    <cellStyle name="Calculation 2 3 22 5 4" xfId="28293" xr:uid="{00000000-0005-0000-0000-0000666E0000}"/>
    <cellStyle name="Calculation 2 3 22 5 5" xfId="28294" xr:uid="{00000000-0005-0000-0000-0000676E0000}"/>
    <cellStyle name="Calculation 2 3 22 5 6" xfId="28295" xr:uid="{00000000-0005-0000-0000-0000686E0000}"/>
    <cellStyle name="Calculation 2 3 22 6" xfId="28296" xr:uid="{00000000-0005-0000-0000-0000696E0000}"/>
    <cellStyle name="Calculation 2 3 22 6 2" xfId="28297" xr:uid="{00000000-0005-0000-0000-00006A6E0000}"/>
    <cellStyle name="Calculation 2 3 22 6 3" xfId="28298" xr:uid="{00000000-0005-0000-0000-00006B6E0000}"/>
    <cellStyle name="Calculation 2 3 22 6 4" xfId="28299" xr:uid="{00000000-0005-0000-0000-00006C6E0000}"/>
    <cellStyle name="Calculation 2 3 22 6 5" xfId="28300" xr:uid="{00000000-0005-0000-0000-00006D6E0000}"/>
    <cellStyle name="Calculation 2 3 22 6 6" xfId="28301" xr:uid="{00000000-0005-0000-0000-00006E6E0000}"/>
    <cellStyle name="Calculation 2 3 22 7" xfId="28302" xr:uid="{00000000-0005-0000-0000-00006F6E0000}"/>
    <cellStyle name="Calculation 2 3 22 7 2" xfId="28303" xr:uid="{00000000-0005-0000-0000-0000706E0000}"/>
    <cellStyle name="Calculation 2 3 22 7 3" xfId="28304" xr:uid="{00000000-0005-0000-0000-0000716E0000}"/>
    <cellStyle name="Calculation 2 3 22 7 4" xfId="28305" xr:uid="{00000000-0005-0000-0000-0000726E0000}"/>
    <cellStyle name="Calculation 2 3 22 7 5" xfId="28306" xr:uid="{00000000-0005-0000-0000-0000736E0000}"/>
    <cellStyle name="Calculation 2 3 22 7 6" xfId="28307" xr:uid="{00000000-0005-0000-0000-0000746E0000}"/>
    <cellStyle name="Calculation 2 3 22 8" xfId="28308" xr:uid="{00000000-0005-0000-0000-0000756E0000}"/>
    <cellStyle name="Calculation 2 3 22 9" xfId="28309" xr:uid="{00000000-0005-0000-0000-0000766E0000}"/>
    <cellStyle name="Calculation 2 3 23" xfId="28310" xr:uid="{00000000-0005-0000-0000-0000776E0000}"/>
    <cellStyle name="Calculation 2 3 23 10" xfId="28311" xr:uid="{00000000-0005-0000-0000-0000786E0000}"/>
    <cellStyle name="Calculation 2 3 23 2" xfId="28312" xr:uid="{00000000-0005-0000-0000-0000796E0000}"/>
    <cellStyle name="Calculation 2 3 23 2 2" xfId="28313" xr:uid="{00000000-0005-0000-0000-00007A6E0000}"/>
    <cellStyle name="Calculation 2 3 23 2 3" xfId="28314" xr:uid="{00000000-0005-0000-0000-00007B6E0000}"/>
    <cellStyle name="Calculation 2 3 23 2 4" xfId="28315" xr:uid="{00000000-0005-0000-0000-00007C6E0000}"/>
    <cellStyle name="Calculation 2 3 23 2 5" xfId="28316" xr:uid="{00000000-0005-0000-0000-00007D6E0000}"/>
    <cellStyle name="Calculation 2 3 23 2 6" xfId="28317" xr:uid="{00000000-0005-0000-0000-00007E6E0000}"/>
    <cellStyle name="Calculation 2 3 23 3" xfId="28318" xr:uid="{00000000-0005-0000-0000-00007F6E0000}"/>
    <cellStyle name="Calculation 2 3 23 3 2" xfId="28319" xr:uid="{00000000-0005-0000-0000-0000806E0000}"/>
    <cellStyle name="Calculation 2 3 23 3 3" xfId="28320" xr:uid="{00000000-0005-0000-0000-0000816E0000}"/>
    <cellStyle name="Calculation 2 3 23 3 4" xfId="28321" xr:uid="{00000000-0005-0000-0000-0000826E0000}"/>
    <cellStyle name="Calculation 2 3 23 3 5" xfId="28322" xr:uid="{00000000-0005-0000-0000-0000836E0000}"/>
    <cellStyle name="Calculation 2 3 23 3 6" xfId="28323" xr:uid="{00000000-0005-0000-0000-0000846E0000}"/>
    <cellStyle name="Calculation 2 3 23 4" xfId="28324" xr:uid="{00000000-0005-0000-0000-0000856E0000}"/>
    <cellStyle name="Calculation 2 3 23 4 2" xfId="28325" xr:uid="{00000000-0005-0000-0000-0000866E0000}"/>
    <cellStyle name="Calculation 2 3 23 4 3" xfId="28326" xr:uid="{00000000-0005-0000-0000-0000876E0000}"/>
    <cellStyle name="Calculation 2 3 23 4 4" xfId="28327" xr:uid="{00000000-0005-0000-0000-0000886E0000}"/>
    <cellStyle name="Calculation 2 3 23 4 5" xfId="28328" xr:uid="{00000000-0005-0000-0000-0000896E0000}"/>
    <cellStyle name="Calculation 2 3 23 4 6" xfId="28329" xr:uid="{00000000-0005-0000-0000-00008A6E0000}"/>
    <cellStyle name="Calculation 2 3 23 5" xfId="28330" xr:uid="{00000000-0005-0000-0000-00008B6E0000}"/>
    <cellStyle name="Calculation 2 3 23 5 2" xfId="28331" xr:uid="{00000000-0005-0000-0000-00008C6E0000}"/>
    <cellStyle name="Calculation 2 3 23 5 3" xfId="28332" xr:uid="{00000000-0005-0000-0000-00008D6E0000}"/>
    <cellStyle name="Calculation 2 3 23 5 4" xfId="28333" xr:uid="{00000000-0005-0000-0000-00008E6E0000}"/>
    <cellStyle name="Calculation 2 3 23 5 5" xfId="28334" xr:uid="{00000000-0005-0000-0000-00008F6E0000}"/>
    <cellStyle name="Calculation 2 3 23 5 6" xfId="28335" xr:uid="{00000000-0005-0000-0000-0000906E0000}"/>
    <cellStyle name="Calculation 2 3 23 6" xfId="28336" xr:uid="{00000000-0005-0000-0000-0000916E0000}"/>
    <cellStyle name="Calculation 2 3 23 6 2" xfId="28337" xr:uid="{00000000-0005-0000-0000-0000926E0000}"/>
    <cellStyle name="Calculation 2 3 23 6 3" xfId="28338" xr:uid="{00000000-0005-0000-0000-0000936E0000}"/>
    <cellStyle name="Calculation 2 3 23 6 4" xfId="28339" xr:uid="{00000000-0005-0000-0000-0000946E0000}"/>
    <cellStyle name="Calculation 2 3 23 6 5" xfId="28340" xr:uid="{00000000-0005-0000-0000-0000956E0000}"/>
    <cellStyle name="Calculation 2 3 23 6 6" xfId="28341" xr:uid="{00000000-0005-0000-0000-0000966E0000}"/>
    <cellStyle name="Calculation 2 3 23 7" xfId="28342" xr:uid="{00000000-0005-0000-0000-0000976E0000}"/>
    <cellStyle name="Calculation 2 3 23 7 2" xfId="28343" xr:uid="{00000000-0005-0000-0000-0000986E0000}"/>
    <cellStyle name="Calculation 2 3 23 7 3" xfId="28344" xr:uid="{00000000-0005-0000-0000-0000996E0000}"/>
    <cellStyle name="Calculation 2 3 23 7 4" xfId="28345" xr:uid="{00000000-0005-0000-0000-00009A6E0000}"/>
    <cellStyle name="Calculation 2 3 23 7 5" xfId="28346" xr:uid="{00000000-0005-0000-0000-00009B6E0000}"/>
    <cellStyle name="Calculation 2 3 23 7 6" xfId="28347" xr:uid="{00000000-0005-0000-0000-00009C6E0000}"/>
    <cellStyle name="Calculation 2 3 23 8" xfId="28348" xr:uid="{00000000-0005-0000-0000-00009D6E0000}"/>
    <cellStyle name="Calculation 2 3 23 9" xfId="28349" xr:uid="{00000000-0005-0000-0000-00009E6E0000}"/>
    <cellStyle name="Calculation 2 3 24" xfId="28350" xr:uid="{00000000-0005-0000-0000-00009F6E0000}"/>
    <cellStyle name="Calculation 2 3 24 10" xfId="28351" xr:uid="{00000000-0005-0000-0000-0000A06E0000}"/>
    <cellStyle name="Calculation 2 3 24 2" xfId="28352" xr:uid="{00000000-0005-0000-0000-0000A16E0000}"/>
    <cellStyle name="Calculation 2 3 24 2 2" xfId="28353" xr:uid="{00000000-0005-0000-0000-0000A26E0000}"/>
    <cellStyle name="Calculation 2 3 24 2 3" xfId="28354" xr:uid="{00000000-0005-0000-0000-0000A36E0000}"/>
    <cellStyle name="Calculation 2 3 24 2 4" xfId="28355" xr:uid="{00000000-0005-0000-0000-0000A46E0000}"/>
    <cellStyle name="Calculation 2 3 24 2 5" xfId="28356" xr:uid="{00000000-0005-0000-0000-0000A56E0000}"/>
    <cellStyle name="Calculation 2 3 24 2 6" xfId="28357" xr:uid="{00000000-0005-0000-0000-0000A66E0000}"/>
    <cellStyle name="Calculation 2 3 24 3" xfId="28358" xr:uid="{00000000-0005-0000-0000-0000A76E0000}"/>
    <cellStyle name="Calculation 2 3 24 3 2" xfId="28359" xr:uid="{00000000-0005-0000-0000-0000A86E0000}"/>
    <cellStyle name="Calculation 2 3 24 3 3" xfId="28360" xr:uid="{00000000-0005-0000-0000-0000A96E0000}"/>
    <cellStyle name="Calculation 2 3 24 3 4" xfId="28361" xr:uid="{00000000-0005-0000-0000-0000AA6E0000}"/>
    <cellStyle name="Calculation 2 3 24 3 5" xfId="28362" xr:uid="{00000000-0005-0000-0000-0000AB6E0000}"/>
    <cellStyle name="Calculation 2 3 24 3 6" xfId="28363" xr:uid="{00000000-0005-0000-0000-0000AC6E0000}"/>
    <cellStyle name="Calculation 2 3 24 4" xfId="28364" xr:uid="{00000000-0005-0000-0000-0000AD6E0000}"/>
    <cellStyle name="Calculation 2 3 24 4 2" xfId="28365" xr:uid="{00000000-0005-0000-0000-0000AE6E0000}"/>
    <cellStyle name="Calculation 2 3 24 4 3" xfId="28366" xr:uid="{00000000-0005-0000-0000-0000AF6E0000}"/>
    <cellStyle name="Calculation 2 3 24 4 4" xfId="28367" xr:uid="{00000000-0005-0000-0000-0000B06E0000}"/>
    <cellStyle name="Calculation 2 3 24 4 5" xfId="28368" xr:uid="{00000000-0005-0000-0000-0000B16E0000}"/>
    <cellStyle name="Calculation 2 3 24 4 6" xfId="28369" xr:uid="{00000000-0005-0000-0000-0000B26E0000}"/>
    <cellStyle name="Calculation 2 3 24 5" xfId="28370" xr:uid="{00000000-0005-0000-0000-0000B36E0000}"/>
    <cellStyle name="Calculation 2 3 24 5 2" xfId="28371" xr:uid="{00000000-0005-0000-0000-0000B46E0000}"/>
    <cellStyle name="Calculation 2 3 24 5 3" xfId="28372" xr:uid="{00000000-0005-0000-0000-0000B56E0000}"/>
    <cellStyle name="Calculation 2 3 24 5 4" xfId="28373" xr:uid="{00000000-0005-0000-0000-0000B66E0000}"/>
    <cellStyle name="Calculation 2 3 24 5 5" xfId="28374" xr:uid="{00000000-0005-0000-0000-0000B76E0000}"/>
    <cellStyle name="Calculation 2 3 24 5 6" xfId="28375" xr:uid="{00000000-0005-0000-0000-0000B86E0000}"/>
    <cellStyle name="Calculation 2 3 24 6" xfId="28376" xr:uid="{00000000-0005-0000-0000-0000B96E0000}"/>
    <cellStyle name="Calculation 2 3 24 6 2" xfId="28377" xr:uid="{00000000-0005-0000-0000-0000BA6E0000}"/>
    <cellStyle name="Calculation 2 3 24 6 3" xfId="28378" xr:uid="{00000000-0005-0000-0000-0000BB6E0000}"/>
    <cellStyle name="Calculation 2 3 24 6 4" xfId="28379" xr:uid="{00000000-0005-0000-0000-0000BC6E0000}"/>
    <cellStyle name="Calculation 2 3 24 6 5" xfId="28380" xr:uid="{00000000-0005-0000-0000-0000BD6E0000}"/>
    <cellStyle name="Calculation 2 3 24 6 6" xfId="28381" xr:uid="{00000000-0005-0000-0000-0000BE6E0000}"/>
    <cellStyle name="Calculation 2 3 24 7" xfId="28382" xr:uid="{00000000-0005-0000-0000-0000BF6E0000}"/>
    <cellStyle name="Calculation 2 3 24 7 2" xfId="28383" xr:uid="{00000000-0005-0000-0000-0000C06E0000}"/>
    <cellStyle name="Calculation 2 3 24 7 3" xfId="28384" xr:uid="{00000000-0005-0000-0000-0000C16E0000}"/>
    <cellStyle name="Calculation 2 3 24 7 4" xfId="28385" xr:uid="{00000000-0005-0000-0000-0000C26E0000}"/>
    <cellStyle name="Calculation 2 3 24 7 5" xfId="28386" xr:uid="{00000000-0005-0000-0000-0000C36E0000}"/>
    <cellStyle name="Calculation 2 3 24 7 6" xfId="28387" xr:uid="{00000000-0005-0000-0000-0000C46E0000}"/>
    <cellStyle name="Calculation 2 3 24 8" xfId="28388" xr:uid="{00000000-0005-0000-0000-0000C56E0000}"/>
    <cellStyle name="Calculation 2 3 24 9" xfId="28389" xr:uid="{00000000-0005-0000-0000-0000C66E0000}"/>
    <cellStyle name="Calculation 2 3 25" xfId="28390" xr:uid="{00000000-0005-0000-0000-0000C76E0000}"/>
    <cellStyle name="Calculation 2 3 25 10" xfId="28391" xr:uid="{00000000-0005-0000-0000-0000C86E0000}"/>
    <cellStyle name="Calculation 2 3 25 2" xfId="28392" xr:uid="{00000000-0005-0000-0000-0000C96E0000}"/>
    <cellStyle name="Calculation 2 3 25 2 2" xfId="28393" xr:uid="{00000000-0005-0000-0000-0000CA6E0000}"/>
    <cellStyle name="Calculation 2 3 25 2 3" xfId="28394" xr:uid="{00000000-0005-0000-0000-0000CB6E0000}"/>
    <cellStyle name="Calculation 2 3 25 2 4" xfId="28395" xr:uid="{00000000-0005-0000-0000-0000CC6E0000}"/>
    <cellStyle name="Calculation 2 3 25 2 5" xfId="28396" xr:uid="{00000000-0005-0000-0000-0000CD6E0000}"/>
    <cellStyle name="Calculation 2 3 25 2 6" xfId="28397" xr:uid="{00000000-0005-0000-0000-0000CE6E0000}"/>
    <cellStyle name="Calculation 2 3 25 3" xfId="28398" xr:uid="{00000000-0005-0000-0000-0000CF6E0000}"/>
    <cellStyle name="Calculation 2 3 25 3 2" xfId="28399" xr:uid="{00000000-0005-0000-0000-0000D06E0000}"/>
    <cellStyle name="Calculation 2 3 25 3 3" xfId="28400" xr:uid="{00000000-0005-0000-0000-0000D16E0000}"/>
    <cellStyle name="Calculation 2 3 25 3 4" xfId="28401" xr:uid="{00000000-0005-0000-0000-0000D26E0000}"/>
    <cellStyle name="Calculation 2 3 25 3 5" xfId="28402" xr:uid="{00000000-0005-0000-0000-0000D36E0000}"/>
    <cellStyle name="Calculation 2 3 25 3 6" xfId="28403" xr:uid="{00000000-0005-0000-0000-0000D46E0000}"/>
    <cellStyle name="Calculation 2 3 25 4" xfId="28404" xr:uid="{00000000-0005-0000-0000-0000D56E0000}"/>
    <cellStyle name="Calculation 2 3 25 4 2" xfId="28405" xr:uid="{00000000-0005-0000-0000-0000D66E0000}"/>
    <cellStyle name="Calculation 2 3 25 4 3" xfId="28406" xr:uid="{00000000-0005-0000-0000-0000D76E0000}"/>
    <cellStyle name="Calculation 2 3 25 4 4" xfId="28407" xr:uid="{00000000-0005-0000-0000-0000D86E0000}"/>
    <cellStyle name="Calculation 2 3 25 4 5" xfId="28408" xr:uid="{00000000-0005-0000-0000-0000D96E0000}"/>
    <cellStyle name="Calculation 2 3 25 4 6" xfId="28409" xr:uid="{00000000-0005-0000-0000-0000DA6E0000}"/>
    <cellStyle name="Calculation 2 3 25 5" xfId="28410" xr:uid="{00000000-0005-0000-0000-0000DB6E0000}"/>
    <cellStyle name="Calculation 2 3 25 5 2" xfId="28411" xr:uid="{00000000-0005-0000-0000-0000DC6E0000}"/>
    <cellStyle name="Calculation 2 3 25 5 3" xfId="28412" xr:uid="{00000000-0005-0000-0000-0000DD6E0000}"/>
    <cellStyle name="Calculation 2 3 25 5 4" xfId="28413" xr:uid="{00000000-0005-0000-0000-0000DE6E0000}"/>
    <cellStyle name="Calculation 2 3 25 5 5" xfId="28414" xr:uid="{00000000-0005-0000-0000-0000DF6E0000}"/>
    <cellStyle name="Calculation 2 3 25 5 6" xfId="28415" xr:uid="{00000000-0005-0000-0000-0000E06E0000}"/>
    <cellStyle name="Calculation 2 3 25 6" xfId="28416" xr:uid="{00000000-0005-0000-0000-0000E16E0000}"/>
    <cellStyle name="Calculation 2 3 25 6 2" xfId="28417" xr:uid="{00000000-0005-0000-0000-0000E26E0000}"/>
    <cellStyle name="Calculation 2 3 25 6 3" xfId="28418" xr:uid="{00000000-0005-0000-0000-0000E36E0000}"/>
    <cellStyle name="Calculation 2 3 25 6 4" xfId="28419" xr:uid="{00000000-0005-0000-0000-0000E46E0000}"/>
    <cellStyle name="Calculation 2 3 25 6 5" xfId="28420" xr:uid="{00000000-0005-0000-0000-0000E56E0000}"/>
    <cellStyle name="Calculation 2 3 25 6 6" xfId="28421" xr:uid="{00000000-0005-0000-0000-0000E66E0000}"/>
    <cellStyle name="Calculation 2 3 25 7" xfId="28422" xr:uid="{00000000-0005-0000-0000-0000E76E0000}"/>
    <cellStyle name="Calculation 2 3 25 7 2" xfId="28423" xr:uid="{00000000-0005-0000-0000-0000E86E0000}"/>
    <cellStyle name="Calculation 2 3 25 7 3" xfId="28424" xr:uid="{00000000-0005-0000-0000-0000E96E0000}"/>
    <cellStyle name="Calculation 2 3 25 7 4" xfId="28425" xr:uid="{00000000-0005-0000-0000-0000EA6E0000}"/>
    <cellStyle name="Calculation 2 3 25 7 5" xfId="28426" xr:uid="{00000000-0005-0000-0000-0000EB6E0000}"/>
    <cellStyle name="Calculation 2 3 25 7 6" xfId="28427" xr:uid="{00000000-0005-0000-0000-0000EC6E0000}"/>
    <cellStyle name="Calculation 2 3 25 8" xfId="28428" xr:uid="{00000000-0005-0000-0000-0000ED6E0000}"/>
    <cellStyle name="Calculation 2 3 25 9" xfId="28429" xr:uid="{00000000-0005-0000-0000-0000EE6E0000}"/>
    <cellStyle name="Calculation 2 3 26" xfId="28430" xr:uid="{00000000-0005-0000-0000-0000EF6E0000}"/>
    <cellStyle name="Calculation 2 3 26 10" xfId="28431" xr:uid="{00000000-0005-0000-0000-0000F06E0000}"/>
    <cellStyle name="Calculation 2 3 26 2" xfId="28432" xr:uid="{00000000-0005-0000-0000-0000F16E0000}"/>
    <cellStyle name="Calculation 2 3 26 2 2" xfId="28433" xr:uid="{00000000-0005-0000-0000-0000F26E0000}"/>
    <cellStyle name="Calculation 2 3 26 2 3" xfId="28434" xr:uid="{00000000-0005-0000-0000-0000F36E0000}"/>
    <cellStyle name="Calculation 2 3 26 2 4" xfId="28435" xr:uid="{00000000-0005-0000-0000-0000F46E0000}"/>
    <cellStyle name="Calculation 2 3 26 2 5" xfId="28436" xr:uid="{00000000-0005-0000-0000-0000F56E0000}"/>
    <cellStyle name="Calculation 2 3 26 2 6" xfId="28437" xr:uid="{00000000-0005-0000-0000-0000F66E0000}"/>
    <cellStyle name="Calculation 2 3 26 3" xfId="28438" xr:uid="{00000000-0005-0000-0000-0000F76E0000}"/>
    <cellStyle name="Calculation 2 3 26 3 2" xfId="28439" xr:uid="{00000000-0005-0000-0000-0000F86E0000}"/>
    <cellStyle name="Calculation 2 3 26 3 3" xfId="28440" xr:uid="{00000000-0005-0000-0000-0000F96E0000}"/>
    <cellStyle name="Calculation 2 3 26 3 4" xfId="28441" xr:uid="{00000000-0005-0000-0000-0000FA6E0000}"/>
    <cellStyle name="Calculation 2 3 26 3 5" xfId="28442" xr:uid="{00000000-0005-0000-0000-0000FB6E0000}"/>
    <cellStyle name="Calculation 2 3 26 3 6" xfId="28443" xr:uid="{00000000-0005-0000-0000-0000FC6E0000}"/>
    <cellStyle name="Calculation 2 3 26 4" xfId="28444" xr:uid="{00000000-0005-0000-0000-0000FD6E0000}"/>
    <cellStyle name="Calculation 2 3 26 4 2" xfId="28445" xr:uid="{00000000-0005-0000-0000-0000FE6E0000}"/>
    <cellStyle name="Calculation 2 3 26 4 3" xfId="28446" xr:uid="{00000000-0005-0000-0000-0000FF6E0000}"/>
    <cellStyle name="Calculation 2 3 26 4 4" xfId="28447" xr:uid="{00000000-0005-0000-0000-0000006F0000}"/>
    <cellStyle name="Calculation 2 3 26 4 5" xfId="28448" xr:uid="{00000000-0005-0000-0000-0000016F0000}"/>
    <cellStyle name="Calculation 2 3 26 4 6" xfId="28449" xr:uid="{00000000-0005-0000-0000-0000026F0000}"/>
    <cellStyle name="Calculation 2 3 26 5" xfId="28450" xr:uid="{00000000-0005-0000-0000-0000036F0000}"/>
    <cellStyle name="Calculation 2 3 26 5 2" xfId="28451" xr:uid="{00000000-0005-0000-0000-0000046F0000}"/>
    <cellStyle name="Calculation 2 3 26 5 3" xfId="28452" xr:uid="{00000000-0005-0000-0000-0000056F0000}"/>
    <cellStyle name="Calculation 2 3 26 5 4" xfId="28453" xr:uid="{00000000-0005-0000-0000-0000066F0000}"/>
    <cellStyle name="Calculation 2 3 26 5 5" xfId="28454" xr:uid="{00000000-0005-0000-0000-0000076F0000}"/>
    <cellStyle name="Calculation 2 3 26 5 6" xfId="28455" xr:uid="{00000000-0005-0000-0000-0000086F0000}"/>
    <cellStyle name="Calculation 2 3 26 6" xfId="28456" xr:uid="{00000000-0005-0000-0000-0000096F0000}"/>
    <cellStyle name="Calculation 2 3 26 6 2" xfId="28457" xr:uid="{00000000-0005-0000-0000-00000A6F0000}"/>
    <cellStyle name="Calculation 2 3 26 6 3" xfId="28458" xr:uid="{00000000-0005-0000-0000-00000B6F0000}"/>
    <cellStyle name="Calculation 2 3 26 6 4" xfId="28459" xr:uid="{00000000-0005-0000-0000-00000C6F0000}"/>
    <cellStyle name="Calculation 2 3 26 6 5" xfId="28460" xr:uid="{00000000-0005-0000-0000-00000D6F0000}"/>
    <cellStyle name="Calculation 2 3 26 6 6" xfId="28461" xr:uid="{00000000-0005-0000-0000-00000E6F0000}"/>
    <cellStyle name="Calculation 2 3 26 7" xfId="28462" xr:uid="{00000000-0005-0000-0000-00000F6F0000}"/>
    <cellStyle name="Calculation 2 3 26 7 2" xfId="28463" xr:uid="{00000000-0005-0000-0000-0000106F0000}"/>
    <cellStyle name="Calculation 2 3 26 7 3" xfId="28464" xr:uid="{00000000-0005-0000-0000-0000116F0000}"/>
    <cellStyle name="Calculation 2 3 26 7 4" xfId="28465" xr:uid="{00000000-0005-0000-0000-0000126F0000}"/>
    <cellStyle name="Calculation 2 3 26 7 5" xfId="28466" xr:uid="{00000000-0005-0000-0000-0000136F0000}"/>
    <cellStyle name="Calculation 2 3 26 7 6" xfId="28467" xr:uid="{00000000-0005-0000-0000-0000146F0000}"/>
    <cellStyle name="Calculation 2 3 26 8" xfId="28468" xr:uid="{00000000-0005-0000-0000-0000156F0000}"/>
    <cellStyle name="Calculation 2 3 26 9" xfId="28469" xr:uid="{00000000-0005-0000-0000-0000166F0000}"/>
    <cellStyle name="Calculation 2 3 27" xfId="28470" xr:uid="{00000000-0005-0000-0000-0000176F0000}"/>
    <cellStyle name="Calculation 2 3 27 2" xfId="28471" xr:uid="{00000000-0005-0000-0000-0000186F0000}"/>
    <cellStyle name="Calculation 2 3 27 3" xfId="28472" xr:uid="{00000000-0005-0000-0000-0000196F0000}"/>
    <cellStyle name="Calculation 2 3 27 4" xfId="28473" xr:uid="{00000000-0005-0000-0000-00001A6F0000}"/>
    <cellStyle name="Calculation 2 3 27 5" xfId="28474" xr:uid="{00000000-0005-0000-0000-00001B6F0000}"/>
    <cellStyle name="Calculation 2 3 27 6" xfId="28475" xr:uid="{00000000-0005-0000-0000-00001C6F0000}"/>
    <cellStyle name="Calculation 2 3 28" xfId="28476" xr:uid="{00000000-0005-0000-0000-00001D6F0000}"/>
    <cellStyle name="Calculation 2 3 28 2" xfId="28477" xr:uid="{00000000-0005-0000-0000-00001E6F0000}"/>
    <cellStyle name="Calculation 2 3 28 3" xfId="28478" xr:uid="{00000000-0005-0000-0000-00001F6F0000}"/>
    <cellStyle name="Calculation 2 3 28 4" xfId="28479" xr:uid="{00000000-0005-0000-0000-0000206F0000}"/>
    <cellStyle name="Calculation 2 3 28 5" xfId="28480" xr:uid="{00000000-0005-0000-0000-0000216F0000}"/>
    <cellStyle name="Calculation 2 3 28 6" xfId="28481" xr:uid="{00000000-0005-0000-0000-0000226F0000}"/>
    <cellStyle name="Calculation 2 3 29" xfId="28482" xr:uid="{00000000-0005-0000-0000-0000236F0000}"/>
    <cellStyle name="Calculation 2 3 29 2" xfId="28483" xr:uid="{00000000-0005-0000-0000-0000246F0000}"/>
    <cellStyle name="Calculation 2 3 29 3" xfId="28484" xr:uid="{00000000-0005-0000-0000-0000256F0000}"/>
    <cellStyle name="Calculation 2 3 29 4" xfId="28485" xr:uid="{00000000-0005-0000-0000-0000266F0000}"/>
    <cellStyle name="Calculation 2 3 29 5" xfId="28486" xr:uid="{00000000-0005-0000-0000-0000276F0000}"/>
    <cellStyle name="Calculation 2 3 29 6" xfId="28487" xr:uid="{00000000-0005-0000-0000-0000286F0000}"/>
    <cellStyle name="Calculation 2 3 3" xfId="28488" xr:uid="{00000000-0005-0000-0000-0000296F0000}"/>
    <cellStyle name="Calculation 2 3 3 10" xfId="28489" xr:uid="{00000000-0005-0000-0000-00002A6F0000}"/>
    <cellStyle name="Calculation 2 3 3 2" xfId="28490" xr:uid="{00000000-0005-0000-0000-00002B6F0000}"/>
    <cellStyle name="Calculation 2 3 3 2 2" xfId="28491" xr:uid="{00000000-0005-0000-0000-00002C6F0000}"/>
    <cellStyle name="Calculation 2 3 3 2 3" xfId="28492" xr:uid="{00000000-0005-0000-0000-00002D6F0000}"/>
    <cellStyle name="Calculation 2 3 3 2 4" xfId="28493" xr:uid="{00000000-0005-0000-0000-00002E6F0000}"/>
    <cellStyle name="Calculation 2 3 3 2 5" xfId="28494" xr:uid="{00000000-0005-0000-0000-00002F6F0000}"/>
    <cellStyle name="Calculation 2 3 3 2 6" xfId="28495" xr:uid="{00000000-0005-0000-0000-0000306F0000}"/>
    <cellStyle name="Calculation 2 3 3 3" xfId="28496" xr:uid="{00000000-0005-0000-0000-0000316F0000}"/>
    <cellStyle name="Calculation 2 3 3 3 2" xfId="28497" xr:uid="{00000000-0005-0000-0000-0000326F0000}"/>
    <cellStyle name="Calculation 2 3 3 3 3" xfId="28498" xr:uid="{00000000-0005-0000-0000-0000336F0000}"/>
    <cellStyle name="Calculation 2 3 3 3 4" xfId="28499" xr:uid="{00000000-0005-0000-0000-0000346F0000}"/>
    <cellStyle name="Calculation 2 3 3 3 5" xfId="28500" xr:uid="{00000000-0005-0000-0000-0000356F0000}"/>
    <cellStyle name="Calculation 2 3 3 3 6" xfId="28501" xr:uid="{00000000-0005-0000-0000-0000366F0000}"/>
    <cellStyle name="Calculation 2 3 3 4" xfId="28502" xr:uid="{00000000-0005-0000-0000-0000376F0000}"/>
    <cellStyle name="Calculation 2 3 3 4 2" xfId="28503" xr:uid="{00000000-0005-0000-0000-0000386F0000}"/>
    <cellStyle name="Calculation 2 3 3 4 3" xfId="28504" xr:uid="{00000000-0005-0000-0000-0000396F0000}"/>
    <cellStyle name="Calculation 2 3 3 4 4" xfId="28505" xr:uid="{00000000-0005-0000-0000-00003A6F0000}"/>
    <cellStyle name="Calculation 2 3 3 4 5" xfId="28506" xr:uid="{00000000-0005-0000-0000-00003B6F0000}"/>
    <cellStyle name="Calculation 2 3 3 4 6" xfId="28507" xr:uid="{00000000-0005-0000-0000-00003C6F0000}"/>
    <cellStyle name="Calculation 2 3 3 5" xfId="28508" xr:uid="{00000000-0005-0000-0000-00003D6F0000}"/>
    <cellStyle name="Calculation 2 3 3 5 2" xfId="28509" xr:uid="{00000000-0005-0000-0000-00003E6F0000}"/>
    <cellStyle name="Calculation 2 3 3 5 3" xfId="28510" xr:uid="{00000000-0005-0000-0000-00003F6F0000}"/>
    <cellStyle name="Calculation 2 3 3 5 4" xfId="28511" xr:uid="{00000000-0005-0000-0000-0000406F0000}"/>
    <cellStyle name="Calculation 2 3 3 5 5" xfId="28512" xr:uid="{00000000-0005-0000-0000-0000416F0000}"/>
    <cellStyle name="Calculation 2 3 3 5 6" xfId="28513" xr:uid="{00000000-0005-0000-0000-0000426F0000}"/>
    <cellStyle name="Calculation 2 3 3 6" xfId="28514" xr:uid="{00000000-0005-0000-0000-0000436F0000}"/>
    <cellStyle name="Calculation 2 3 3 6 2" xfId="28515" xr:uid="{00000000-0005-0000-0000-0000446F0000}"/>
    <cellStyle name="Calculation 2 3 3 6 3" xfId="28516" xr:uid="{00000000-0005-0000-0000-0000456F0000}"/>
    <cellStyle name="Calculation 2 3 3 6 4" xfId="28517" xr:uid="{00000000-0005-0000-0000-0000466F0000}"/>
    <cellStyle name="Calculation 2 3 3 6 5" xfId="28518" xr:uid="{00000000-0005-0000-0000-0000476F0000}"/>
    <cellStyle name="Calculation 2 3 3 6 6" xfId="28519" xr:uid="{00000000-0005-0000-0000-0000486F0000}"/>
    <cellStyle name="Calculation 2 3 3 7" xfId="28520" xr:uid="{00000000-0005-0000-0000-0000496F0000}"/>
    <cellStyle name="Calculation 2 3 3 7 2" xfId="28521" xr:uid="{00000000-0005-0000-0000-00004A6F0000}"/>
    <cellStyle name="Calculation 2 3 3 7 3" xfId="28522" xr:uid="{00000000-0005-0000-0000-00004B6F0000}"/>
    <cellStyle name="Calculation 2 3 3 7 4" xfId="28523" xr:uid="{00000000-0005-0000-0000-00004C6F0000}"/>
    <cellStyle name="Calculation 2 3 3 7 5" xfId="28524" xr:uid="{00000000-0005-0000-0000-00004D6F0000}"/>
    <cellStyle name="Calculation 2 3 3 7 6" xfId="28525" xr:uid="{00000000-0005-0000-0000-00004E6F0000}"/>
    <cellStyle name="Calculation 2 3 3 8" xfId="28526" xr:uid="{00000000-0005-0000-0000-00004F6F0000}"/>
    <cellStyle name="Calculation 2 3 3 9" xfId="28527" xr:uid="{00000000-0005-0000-0000-0000506F0000}"/>
    <cellStyle name="Calculation 2 3 30" xfId="28528" xr:uid="{00000000-0005-0000-0000-0000516F0000}"/>
    <cellStyle name="Calculation 2 3 30 2" xfId="28529" xr:uid="{00000000-0005-0000-0000-0000526F0000}"/>
    <cellStyle name="Calculation 2 3 30 3" xfId="28530" xr:uid="{00000000-0005-0000-0000-0000536F0000}"/>
    <cellStyle name="Calculation 2 3 30 4" xfId="28531" xr:uid="{00000000-0005-0000-0000-0000546F0000}"/>
    <cellStyle name="Calculation 2 3 30 5" xfId="28532" xr:uid="{00000000-0005-0000-0000-0000556F0000}"/>
    <cellStyle name="Calculation 2 3 30 6" xfId="28533" xr:uid="{00000000-0005-0000-0000-0000566F0000}"/>
    <cellStyle name="Calculation 2 3 31" xfId="28534" xr:uid="{00000000-0005-0000-0000-0000576F0000}"/>
    <cellStyle name="Calculation 2 3 31 2" xfId="28535" xr:uid="{00000000-0005-0000-0000-0000586F0000}"/>
    <cellStyle name="Calculation 2 3 31 3" xfId="28536" xr:uid="{00000000-0005-0000-0000-0000596F0000}"/>
    <cellStyle name="Calculation 2 3 31 4" xfId="28537" xr:uid="{00000000-0005-0000-0000-00005A6F0000}"/>
    <cellStyle name="Calculation 2 3 31 5" xfId="28538" xr:uid="{00000000-0005-0000-0000-00005B6F0000}"/>
    <cellStyle name="Calculation 2 3 31 6" xfId="28539" xr:uid="{00000000-0005-0000-0000-00005C6F0000}"/>
    <cellStyle name="Calculation 2 3 32" xfId="28540" xr:uid="{00000000-0005-0000-0000-00005D6F0000}"/>
    <cellStyle name="Calculation 2 3 32 2" xfId="28541" xr:uid="{00000000-0005-0000-0000-00005E6F0000}"/>
    <cellStyle name="Calculation 2 3 32 3" xfId="28542" xr:uid="{00000000-0005-0000-0000-00005F6F0000}"/>
    <cellStyle name="Calculation 2 3 32 4" xfId="28543" xr:uid="{00000000-0005-0000-0000-0000606F0000}"/>
    <cellStyle name="Calculation 2 3 32 5" xfId="28544" xr:uid="{00000000-0005-0000-0000-0000616F0000}"/>
    <cellStyle name="Calculation 2 3 32 6" xfId="28545" xr:uid="{00000000-0005-0000-0000-0000626F0000}"/>
    <cellStyle name="Calculation 2 3 33" xfId="28546" xr:uid="{00000000-0005-0000-0000-0000636F0000}"/>
    <cellStyle name="Calculation 2 3 34" xfId="28547" xr:uid="{00000000-0005-0000-0000-0000646F0000}"/>
    <cellStyle name="Calculation 2 3 35" xfId="28548" xr:uid="{00000000-0005-0000-0000-0000656F0000}"/>
    <cellStyle name="Calculation 2 3 4" xfId="28549" xr:uid="{00000000-0005-0000-0000-0000666F0000}"/>
    <cellStyle name="Calculation 2 3 4 10" xfId="28550" xr:uid="{00000000-0005-0000-0000-0000676F0000}"/>
    <cellStyle name="Calculation 2 3 4 2" xfId="28551" xr:uid="{00000000-0005-0000-0000-0000686F0000}"/>
    <cellStyle name="Calculation 2 3 4 2 2" xfId="28552" xr:uid="{00000000-0005-0000-0000-0000696F0000}"/>
    <cellStyle name="Calculation 2 3 4 2 3" xfId="28553" xr:uid="{00000000-0005-0000-0000-00006A6F0000}"/>
    <cellStyle name="Calculation 2 3 4 2 4" xfId="28554" xr:uid="{00000000-0005-0000-0000-00006B6F0000}"/>
    <cellStyle name="Calculation 2 3 4 2 5" xfId="28555" xr:uid="{00000000-0005-0000-0000-00006C6F0000}"/>
    <cellStyle name="Calculation 2 3 4 2 6" xfId="28556" xr:uid="{00000000-0005-0000-0000-00006D6F0000}"/>
    <cellStyle name="Calculation 2 3 4 3" xfId="28557" xr:uid="{00000000-0005-0000-0000-00006E6F0000}"/>
    <cellStyle name="Calculation 2 3 4 3 2" xfId="28558" xr:uid="{00000000-0005-0000-0000-00006F6F0000}"/>
    <cellStyle name="Calculation 2 3 4 3 3" xfId="28559" xr:uid="{00000000-0005-0000-0000-0000706F0000}"/>
    <cellStyle name="Calculation 2 3 4 3 4" xfId="28560" xr:uid="{00000000-0005-0000-0000-0000716F0000}"/>
    <cellStyle name="Calculation 2 3 4 3 5" xfId="28561" xr:uid="{00000000-0005-0000-0000-0000726F0000}"/>
    <cellStyle name="Calculation 2 3 4 3 6" xfId="28562" xr:uid="{00000000-0005-0000-0000-0000736F0000}"/>
    <cellStyle name="Calculation 2 3 4 4" xfId="28563" xr:uid="{00000000-0005-0000-0000-0000746F0000}"/>
    <cellStyle name="Calculation 2 3 4 4 2" xfId="28564" xr:uid="{00000000-0005-0000-0000-0000756F0000}"/>
    <cellStyle name="Calculation 2 3 4 4 3" xfId="28565" xr:uid="{00000000-0005-0000-0000-0000766F0000}"/>
    <cellStyle name="Calculation 2 3 4 4 4" xfId="28566" xr:uid="{00000000-0005-0000-0000-0000776F0000}"/>
    <cellStyle name="Calculation 2 3 4 4 5" xfId="28567" xr:uid="{00000000-0005-0000-0000-0000786F0000}"/>
    <cellStyle name="Calculation 2 3 4 4 6" xfId="28568" xr:uid="{00000000-0005-0000-0000-0000796F0000}"/>
    <cellStyle name="Calculation 2 3 4 5" xfId="28569" xr:uid="{00000000-0005-0000-0000-00007A6F0000}"/>
    <cellStyle name="Calculation 2 3 4 5 2" xfId="28570" xr:uid="{00000000-0005-0000-0000-00007B6F0000}"/>
    <cellStyle name="Calculation 2 3 4 5 3" xfId="28571" xr:uid="{00000000-0005-0000-0000-00007C6F0000}"/>
    <cellStyle name="Calculation 2 3 4 5 4" xfId="28572" xr:uid="{00000000-0005-0000-0000-00007D6F0000}"/>
    <cellStyle name="Calculation 2 3 4 5 5" xfId="28573" xr:uid="{00000000-0005-0000-0000-00007E6F0000}"/>
    <cellStyle name="Calculation 2 3 4 5 6" xfId="28574" xr:uid="{00000000-0005-0000-0000-00007F6F0000}"/>
    <cellStyle name="Calculation 2 3 4 6" xfId="28575" xr:uid="{00000000-0005-0000-0000-0000806F0000}"/>
    <cellStyle name="Calculation 2 3 4 6 2" xfId="28576" xr:uid="{00000000-0005-0000-0000-0000816F0000}"/>
    <cellStyle name="Calculation 2 3 4 6 3" xfId="28577" xr:uid="{00000000-0005-0000-0000-0000826F0000}"/>
    <cellStyle name="Calculation 2 3 4 6 4" xfId="28578" xr:uid="{00000000-0005-0000-0000-0000836F0000}"/>
    <cellStyle name="Calculation 2 3 4 6 5" xfId="28579" xr:uid="{00000000-0005-0000-0000-0000846F0000}"/>
    <cellStyle name="Calculation 2 3 4 6 6" xfId="28580" xr:uid="{00000000-0005-0000-0000-0000856F0000}"/>
    <cellStyle name="Calculation 2 3 4 7" xfId="28581" xr:uid="{00000000-0005-0000-0000-0000866F0000}"/>
    <cellStyle name="Calculation 2 3 4 7 2" xfId="28582" xr:uid="{00000000-0005-0000-0000-0000876F0000}"/>
    <cellStyle name="Calculation 2 3 4 7 3" xfId="28583" xr:uid="{00000000-0005-0000-0000-0000886F0000}"/>
    <cellStyle name="Calculation 2 3 4 7 4" xfId="28584" xr:uid="{00000000-0005-0000-0000-0000896F0000}"/>
    <cellStyle name="Calculation 2 3 4 7 5" xfId="28585" xr:uid="{00000000-0005-0000-0000-00008A6F0000}"/>
    <cellStyle name="Calculation 2 3 4 7 6" xfId="28586" xr:uid="{00000000-0005-0000-0000-00008B6F0000}"/>
    <cellStyle name="Calculation 2 3 4 8" xfId="28587" xr:uid="{00000000-0005-0000-0000-00008C6F0000}"/>
    <cellStyle name="Calculation 2 3 4 9" xfId="28588" xr:uid="{00000000-0005-0000-0000-00008D6F0000}"/>
    <cellStyle name="Calculation 2 3 5" xfId="28589" xr:uid="{00000000-0005-0000-0000-00008E6F0000}"/>
    <cellStyle name="Calculation 2 3 5 10" xfId="28590" xr:uid="{00000000-0005-0000-0000-00008F6F0000}"/>
    <cellStyle name="Calculation 2 3 5 2" xfId="28591" xr:uid="{00000000-0005-0000-0000-0000906F0000}"/>
    <cellStyle name="Calculation 2 3 5 2 2" xfId="28592" xr:uid="{00000000-0005-0000-0000-0000916F0000}"/>
    <cellStyle name="Calculation 2 3 5 2 3" xfId="28593" xr:uid="{00000000-0005-0000-0000-0000926F0000}"/>
    <cellStyle name="Calculation 2 3 5 2 4" xfId="28594" xr:uid="{00000000-0005-0000-0000-0000936F0000}"/>
    <cellStyle name="Calculation 2 3 5 2 5" xfId="28595" xr:uid="{00000000-0005-0000-0000-0000946F0000}"/>
    <cellStyle name="Calculation 2 3 5 2 6" xfId="28596" xr:uid="{00000000-0005-0000-0000-0000956F0000}"/>
    <cellStyle name="Calculation 2 3 5 3" xfId="28597" xr:uid="{00000000-0005-0000-0000-0000966F0000}"/>
    <cellStyle name="Calculation 2 3 5 3 2" xfId="28598" xr:uid="{00000000-0005-0000-0000-0000976F0000}"/>
    <cellStyle name="Calculation 2 3 5 3 3" xfId="28599" xr:uid="{00000000-0005-0000-0000-0000986F0000}"/>
    <cellStyle name="Calculation 2 3 5 3 4" xfId="28600" xr:uid="{00000000-0005-0000-0000-0000996F0000}"/>
    <cellStyle name="Calculation 2 3 5 3 5" xfId="28601" xr:uid="{00000000-0005-0000-0000-00009A6F0000}"/>
    <cellStyle name="Calculation 2 3 5 3 6" xfId="28602" xr:uid="{00000000-0005-0000-0000-00009B6F0000}"/>
    <cellStyle name="Calculation 2 3 5 4" xfId="28603" xr:uid="{00000000-0005-0000-0000-00009C6F0000}"/>
    <cellStyle name="Calculation 2 3 5 4 2" xfId="28604" xr:uid="{00000000-0005-0000-0000-00009D6F0000}"/>
    <cellStyle name="Calculation 2 3 5 4 3" xfId="28605" xr:uid="{00000000-0005-0000-0000-00009E6F0000}"/>
    <cellStyle name="Calculation 2 3 5 4 4" xfId="28606" xr:uid="{00000000-0005-0000-0000-00009F6F0000}"/>
    <cellStyle name="Calculation 2 3 5 4 5" xfId="28607" xr:uid="{00000000-0005-0000-0000-0000A06F0000}"/>
    <cellStyle name="Calculation 2 3 5 4 6" xfId="28608" xr:uid="{00000000-0005-0000-0000-0000A16F0000}"/>
    <cellStyle name="Calculation 2 3 5 5" xfId="28609" xr:uid="{00000000-0005-0000-0000-0000A26F0000}"/>
    <cellStyle name="Calculation 2 3 5 5 2" xfId="28610" xr:uid="{00000000-0005-0000-0000-0000A36F0000}"/>
    <cellStyle name="Calculation 2 3 5 5 3" xfId="28611" xr:uid="{00000000-0005-0000-0000-0000A46F0000}"/>
    <cellStyle name="Calculation 2 3 5 5 4" xfId="28612" xr:uid="{00000000-0005-0000-0000-0000A56F0000}"/>
    <cellStyle name="Calculation 2 3 5 5 5" xfId="28613" xr:uid="{00000000-0005-0000-0000-0000A66F0000}"/>
    <cellStyle name="Calculation 2 3 5 5 6" xfId="28614" xr:uid="{00000000-0005-0000-0000-0000A76F0000}"/>
    <cellStyle name="Calculation 2 3 5 6" xfId="28615" xr:uid="{00000000-0005-0000-0000-0000A86F0000}"/>
    <cellStyle name="Calculation 2 3 5 6 2" xfId="28616" xr:uid="{00000000-0005-0000-0000-0000A96F0000}"/>
    <cellStyle name="Calculation 2 3 5 6 3" xfId="28617" xr:uid="{00000000-0005-0000-0000-0000AA6F0000}"/>
    <cellStyle name="Calculation 2 3 5 6 4" xfId="28618" xr:uid="{00000000-0005-0000-0000-0000AB6F0000}"/>
    <cellStyle name="Calculation 2 3 5 6 5" xfId="28619" xr:uid="{00000000-0005-0000-0000-0000AC6F0000}"/>
    <cellStyle name="Calculation 2 3 5 6 6" xfId="28620" xr:uid="{00000000-0005-0000-0000-0000AD6F0000}"/>
    <cellStyle name="Calculation 2 3 5 7" xfId="28621" xr:uid="{00000000-0005-0000-0000-0000AE6F0000}"/>
    <cellStyle name="Calculation 2 3 5 7 2" xfId="28622" xr:uid="{00000000-0005-0000-0000-0000AF6F0000}"/>
    <cellStyle name="Calculation 2 3 5 7 3" xfId="28623" xr:uid="{00000000-0005-0000-0000-0000B06F0000}"/>
    <cellStyle name="Calculation 2 3 5 7 4" xfId="28624" xr:uid="{00000000-0005-0000-0000-0000B16F0000}"/>
    <cellStyle name="Calculation 2 3 5 7 5" xfId="28625" xr:uid="{00000000-0005-0000-0000-0000B26F0000}"/>
    <cellStyle name="Calculation 2 3 5 7 6" xfId="28626" xr:uid="{00000000-0005-0000-0000-0000B36F0000}"/>
    <cellStyle name="Calculation 2 3 5 8" xfId="28627" xr:uid="{00000000-0005-0000-0000-0000B46F0000}"/>
    <cellStyle name="Calculation 2 3 5 9" xfId="28628" xr:uid="{00000000-0005-0000-0000-0000B56F0000}"/>
    <cellStyle name="Calculation 2 3 6" xfId="28629" xr:uid="{00000000-0005-0000-0000-0000B66F0000}"/>
    <cellStyle name="Calculation 2 3 6 10" xfId="28630" xr:uid="{00000000-0005-0000-0000-0000B76F0000}"/>
    <cellStyle name="Calculation 2 3 6 2" xfId="28631" xr:uid="{00000000-0005-0000-0000-0000B86F0000}"/>
    <cellStyle name="Calculation 2 3 6 2 2" xfId="28632" xr:uid="{00000000-0005-0000-0000-0000B96F0000}"/>
    <cellStyle name="Calculation 2 3 6 2 3" xfId="28633" xr:uid="{00000000-0005-0000-0000-0000BA6F0000}"/>
    <cellStyle name="Calculation 2 3 6 2 4" xfId="28634" xr:uid="{00000000-0005-0000-0000-0000BB6F0000}"/>
    <cellStyle name="Calculation 2 3 6 2 5" xfId="28635" xr:uid="{00000000-0005-0000-0000-0000BC6F0000}"/>
    <cellStyle name="Calculation 2 3 6 2 6" xfId="28636" xr:uid="{00000000-0005-0000-0000-0000BD6F0000}"/>
    <cellStyle name="Calculation 2 3 6 3" xfId="28637" xr:uid="{00000000-0005-0000-0000-0000BE6F0000}"/>
    <cellStyle name="Calculation 2 3 6 3 2" xfId="28638" xr:uid="{00000000-0005-0000-0000-0000BF6F0000}"/>
    <cellStyle name="Calculation 2 3 6 3 3" xfId="28639" xr:uid="{00000000-0005-0000-0000-0000C06F0000}"/>
    <cellStyle name="Calculation 2 3 6 3 4" xfId="28640" xr:uid="{00000000-0005-0000-0000-0000C16F0000}"/>
    <cellStyle name="Calculation 2 3 6 3 5" xfId="28641" xr:uid="{00000000-0005-0000-0000-0000C26F0000}"/>
    <cellStyle name="Calculation 2 3 6 3 6" xfId="28642" xr:uid="{00000000-0005-0000-0000-0000C36F0000}"/>
    <cellStyle name="Calculation 2 3 6 4" xfId="28643" xr:uid="{00000000-0005-0000-0000-0000C46F0000}"/>
    <cellStyle name="Calculation 2 3 6 4 2" xfId="28644" xr:uid="{00000000-0005-0000-0000-0000C56F0000}"/>
    <cellStyle name="Calculation 2 3 6 4 3" xfId="28645" xr:uid="{00000000-0005-0000-0000-0000C66F0000}"/>
    <cellStyle name="Calculation 2 3 6 4 4" xfId="28646" xr:uid="{00000000-0005-0000-0000-0000C76F0000}"/>
    <cellStyle name="Calculation 2 3 6 4 5" xfId="28647" xr:uid="{00000000-0005-0000-0000-0000C86F0000}"/>
    <cellStyle name="Calculation 2 3 6 4 6" xfId="28648" xr:uid="{00000000-0005-0000-0000-0000C96F0000}"/>
    <cellStyle name="Calculation 2 3 6 5" xfId="28649" xr:uid="{00000000-0005-0000-0000-0000CA6F0000}"/>
    <cellStyle name="Calculation 2 3 6 5 2" xfId="28650" xr:uid="{00000000-0005-0000-0000-0000CB6F0000}"/>
    <cellStyle name="Calculation 2 3 6 5 3" xfId="28651" xr:uid="{00000000-0005-0000-0000-0000CC6F0000}"/>
    <cellStyle name="Calculation 2 3 6 5 4" xfId="28652" xr:uid="{00000000-0005-0000-0000-0000CD6F0000}"/>
    <cellStyle name="Calculation 2 3 6 5 5" xfId="28653" xr:uid="{00000000-0005-0000-0000-0000CE6F0000}"/>
    <cellStyle name="Calculation 2 3 6 5 6" xfId="28654" xr:uid="{00000000-0005-0000-0000-0000CF6F0000}"/>
    <cellStyle name="Calculation 2 3 6 6" xfId="28655" xr:uid="{00000000-0005-0000-0000-0000D06F0000}"/>
    <cellStyle name="Calculation 2 3 6 6 2" xfId="28656" xr:uid="{00000000-0005-0000-0000-0000D16F0000}"/>
    <cellStyle name="Calculation 2 3 6 6 3" xfId="28657" xr:uid="{00000000-0005-0000-0000-0000D26F0000}"/>
    <cellStyle name="Calculation 2 3 6 6 4" xfId="28658" xr:uid="{00000000-0005-0000-0000-0000D36F0000}"/>
    <cellStyle name="Calculation 2 3 6 6 5" xfId="28659" xr:uid="{00000000-0005-0000-0000-0000D46F0000}"/>
    <cellStyle name="Calculation 2 3 6 6 6" xfId="28660" xr:uid="{00000000-0005-0000-0000-0000D56F0000}"/>
    <cellStyle name="Calculation 2 3 6 7" xfId="28661" xr:uid="{00000000-0005-0000-0000-0000D66F0000}"/>
    <cellStyle name="Calculation 2 3 6 7 2" xfId="28662" xr:uid="{00000000-0005-0000-0000-0000D76F0000}"/>
    <cellStyle name="Calculation 2 3 6 7 3" xfId="28663" xr:uid="{00000000-0005-0000-0000-0000D86F0000}"/>
    <cellStyle name="Calculation 2 3 6 7 4" xfId="28664" xr:uid="{00000000-0005-0000-0000-0000D96F0000}"/>
    <cellStyle name="Calculation 2 3 6 7 5" xfId="28665" xr:uid="{00000000-0005-0000-0000-0000DA6F0000}"/>
    <cellStyle name="Calculation 2 3 6 7 6" xfId="28666" xr:uid="{00000000-0005-0000-0000-0000DB6F0000}"/>
    <cellStyle name="Calculation 2 3 6 8" xfId="28667" xr:uid="{00000000-0005-0000-0000-0000DC6F0000}"/>
    <cellStyle name="Calculation 2 3 6 9" xfId="28668" xr:uid="{00000000-0005-0000-0000-0000DD6F0000}"/>
    <cellStyle name="Calculation 2 3 7" xfId="28669" xr:uid="{00000000-0005-0000-0000-0000DE6F0000}"/>
    <cellStyle name="Calculation 2 3 7 10" xfId="28670" xr:uid="{00000000-0005-0000-0000-0000DF6F0000}"/>
    <cellStyle name="Calculation 2 3 7 2" xfId="28671" xr:uid="{00000000-0005-0000-0000-0000E06F0000}"/>
    <cellStyle name="Calculation 2 3 7 2 2" xfId="28672" xr:uid="{00000000-0005-0000-0000-0000E16F0000}"/>
    <cellStyle name="Calculation 2 3 7 2 3" xfId="28673" xr:uid="{00000000-0005-0000-0000-0000E26F0000}"/>
    <cellStyle name="Calculation 2 3 7 2 4" xfId="28674" xr:uid="{00000000-0005-0000-0000-0000E36F0000}"/>
    <cellStyle name="Calculation 2 3 7 2 5" xfId="28675" xr:uid="{00000000-0005-0000-0000-0000E46F0000}"/>
    <cellStyle name="Calculation 2 3 7 2 6" xfId="28676" xr:uid="{00000000-0005-0000-0000-0000E56F0000}"/>
    <cellStyle name="Calculation 2 3 7 3" xfId="28677" xr:uid="{00000000-0005-0000-0000-0000E66F0000}"/>
    <cellStyle name="Calculation 2 3 7 3 2" xfId="28678" xr:uid="{00000000-0005-0000-0000-0000E76F0000}"/>
    <cellStyle name="Calculation 2 3 7 3 3" xfId="28679" xr:uid="{00000000-0005-0000-0000-0000E86F0000}"/>
    <cellStyle name="Calculation 2 3 7 3 4" xfId="28680" xr:uid="{00000000-0005-0000-0000-0000E96F0000}"/>
    <cellStyle name="Calculation 2 3 7 3 5" xfId="28681" xr:uid="{00000000-0005-0000-0000-0000EA6F0000}"/>
    <cellStyle name="Calculation 2 3 7 3 6" xfId="28682" xr:uid="{00000000-0005-0000-0000-0000EB6F0000}"/>
    <cellStyle name="Calculation 2 3 7 4" xfId="28683" xr:uid="{00000000-0005-0000-0000-0000EC6F0000}"/>
    <cellStyle name="Calculation 2 3 7 4 2" xfId="28684" xr:uid="{00000000-0005-0000-0000-0000ED6F0000}"/>
    <cellStyle name="Calculation 2 3 7 4 3" xfId="28685" xr:uid="{00000000-0005-0000-0000-0000EE6F0000}"/>
    <cellStyle name="Calculation 2 3 7 4 4" xfId="28686" xr:uid="{00000000-0005-0000-0000-0000EF6F0000}"/>
    <cellStyle name="Calculation 2 3 7 4 5" xfId="28687" xr:uid="{00000000-0005-0000-0000-0000F06F0000}"/>
    <cellStyle name="Calculation 2 3 7 4 6" xfId="28688" xr:uid="{00000000-0005-0000-0000-0000F16F0000}"/>
    <cellStyle name="Calculation 2 3 7 5" xfId="28689" xr:uid="{00000000-0005-0000-0000-0000F26F0000}"/>
    <cellStyle name="Calculation 2 3 7 5 2" xfId="28690" xr:uid="{00000000-0005-0000-0000-0000F36F0000}"/>
    <cellStyle name="Calculation 2 3 7 5 3" xfId="28691" xr:uid="{00000000-0005-0000-0000-0000F46F0000}"/>
    <cellStyle name="Calculation 2 3 7 5 4" xfId="28692" xr:uid="{00000000-0005-0000-0000-0000F56F0000}"/>
    <cellStyle name="Calculation 2 3 7 5 5" xfId="28693" xr:uid="{00000000-0005-0000-0000-0000F66F0000}"/>
    <cellStyle name="Calculation 2 3 7 5 6" xfId="28694" xr:uid="{00000000-0005-0000-0000-0000F76F0000}"/>
    <cellStyle name="Calculation 2 3 7 6" xfId="28695" xr:uid="{00000000-0005-0000-0000-0000F86F0000}"/>
    <cellStyle name="Calculation 2 3 7 6 2" xfId="28696" xr:uid="{00000000-0005-0000-0000-0000F96F0000}"/>
    <cellStyle name="Calculation 2 3 7 6 3" xfId="28697" xr:uid="{00000000-0005-0000-0000-0000FA6F0000}"/>
    <cellStyle name="Calculation 2 3 7 6 4" xfId="28698" xr:uid="{00000000-0005-0000-0000-0000FB6F0000}"/>
    <cellStyle name="Calculation 2 3 7 6 5" xfId="28699" xr:uid="{00000000-0005-0000-0000-0000FC6F0000}"/>
    <cellStyle name="Calculation 2 3 7 6 6" xfId="28700" xr:uid="{00000000-0005-0000-0000-0000FD6F0000}"/>
    <cellStyle name="Calculation 2 3 7 7" xfId="28701" xr:uid="{00000000-0005-0000-0000-0000FE6F0000}"/>
    <cellStyle name="Calculation 2 3 7 7 2" xfId="28702" xr:uid="{00000000-0005-0000-0000-0000FF6F0000}"/>
    <cellStyle name="Calculation 2 3 7 7 3" xfId="28703" xr:uid="{00000000-0005-0000-0000-000000700000}"/>
    <cellStyle name="Calculation 2 3 7 7 4" xfId="28704" xr:uid="{00000000-0005-0000-0000-000001700000}"/>
    <cellStyle name="Calculation 2 3 7 7 5" xfId="28705" xr:uid="{00000000-0005-0000-0000-000002700000}"/>
    <cellStyle name="Calculation 2 3 7 7 6" xfId="28706" xr:uid="{00000000-0005-0000-0000-000003700000}"/>
    <cellStyle name="Calculation 2 3 7 8" xfId="28707" xr:uid="{00000000-0005-0000-0000-000004700000}"/>
    <cellStyle name="Calculation 2 3 7 9" xfId="28708" xr:uid="{00000000-0005-0000-0000-000005700000}"/>
    <cellStyle name="Calculation 2 3 8" xfId="28709" xr:uid="{00000000-0005-0000-0000-000006700000}"/>
    <cellStyle name="Calculation 2 3 8 10" xfId="28710" xr:uid="{00000000-0005-0000-0000-000007700000}"/>
    <cellStyle name="Calculation 2 3 8 2" xfId="28711" xr:uid="{00000000-0005-0000-0000-000008700000}"/>
    <cellStyle name="Calculation 2 3 8 2 2" xfId="28712" xr:uid="{00000000-0005-0000-0000-000009700000}"/>
    <cellStyle name="Calculation 2 3 8 2 3" xfId="28713" xr:uid="{00000000-0005-0000-0000-00000A700000}"/>
    <cellStyle name="Calculation 2 3 8 2 4" xfId="28714" xr:uid="{00000000-0005-0000-0000-00000B700000}"/>
    <cellStyle name="Calculation 2 3 8 2 5" xfId="28715" xr:uid="{00000000-0005-0000-0000-00000C700000}"/>
    <cellStyle name="Calculation 2 3 8 2 6" xfId="28716" xr:uid="{00000000-0005-0000-0000-00000D700000}"/>
    <cellStyle name="Calculation 2 3 8 3" xfId="28717" xr:uid="{00000000-0005-0000-0000-00000E700000}"/>
    <cellStyle name="Calculation 2 3 8 3 2" xfId="28718" xr:uid="{00000000-0005-0000-0000-00000F700000}"/>
    <cellStyle name="Calculation 2 3 8 3 3" xfId="28719" xr:uid="{00000000-0005-0000-0000-000010700000}"/>
    <cellStyle name="Calculation 2 3 8 3 4" xfId="28720" xr:uid="{00000000-0005-0000-0000-000011700000}"/>
    <cellStyle name="Calculation 2 3 8 3 5" xfId="28721" xr:uid="{00000000-0005-0000-0000-000012700000}"/>
    <cellStyle name="Calculation 2 3 8 3 6" xfId="28722" xr:uid="{00000000-0005-0000-0000-000013700000}"/>
    <cellStyle name="Calculation 2 3 8 4" xfId="28723" xr:uid="{00000000-0005-0000-0000-000014700000}"/>
    <cellStyle name="Calculation 2 3 8 4 2" xfId="28724" xr:uid="{00000000-0005-0000-0000-000015700000}"/>
    <cellStyle name="Calculation 2 3 8 4 3" xfId="28725" xr:uid="{00000000-0005-0000-0000-000016700000}"/>
    <cellStyle name="Calculation 2 3 8 4 4" xfId="28726" xr:uid="{00000000-0005-0000-0000-000017700000}"/>
    <cellStyle name="Calculation 2 3 8 4 5" xfId="28727" xr:uid="{00000000-0005-0000-0000-000018700000}"/>
    <cellStyle name="Calculation 2 3 8 4 6" xfId="28728" xr:uid="{00000000-0005-0000-0000-000019700000}"/>
    <cellStyle name="Calculation 2 3 8 5" xfId="28729" xr:uid="{00000000-0005-0000-0000-00001A700000}"/>
    <cellStyle name="Calculation 2 3 8 5 2" xfId="28730" xr:uid="{00000000-0005-0000-0000-00001B700000}"/>
    <cellStyle name="Calculation 2 3 8 5 3" xfId="28731" xr:uid="{00000000-0005-0000-0000-00001C700000}"/>
    <cellStyle name="Calculation 2 3 8 5 4" xfId="28732" xr:uid="{00000000-0005-0000-0000-00001D700000}"/>
    <cellStyle name="Calculation 2 3 8 5 5" xfId="28733" xr:uid="{00000000-0005-0000-0000-00001E700000}"/>
    <cellStyle name="Calculation 2 3 8 5 6" xfId="28734" xr:uid="{00000000-0005-0000-0000-00001F700000}"/>
    <cellStyle name="Calculation 2 3 8 6" xfId="28735" xr:uid="{00000000-0005-0000-0000-000020700000}"/>
    <cellStyle name="Calculation 2 3 8 6 2" xfId="28736" xr:uid="{00000000-0005-0000-0000-000021700000}"/>
    <cellStyle name="Calculation 2 3 8 6 3" xfId="28737" xr:uid="{00000000-0005-0000-0000-000022700000}"/>
    <cellStyle name="Calculation 2 3 8 6 4" xfId="28738" xr:uid="{00000000-0005-0000-0000-000023700000}"/>
    <cellStyle name="Calculation 2 3 8 6 5" xfId="28739" xr:uid="{00000000-0005-0000-0000-000024700000}"/>
    <cellStyle name="Calculation 2 3 8 6 6" xfId="28740" xr:uid="{00000000-0005-0000-0000-000025700000}"/>
    <cellStyle name="Calculation 2 3 8 7" xfId="28741" xr:uid="{00000000-0005-0000-0000-000026700000}"/>
    <cellStyle name="Calculation 2 3 8 7 2" xfId="28742" xr:uid="{00000000-0005-0000-0000-000027700000}"/>
    <cellStyle name="Calculation 2 3 8 7 3" xfId="28743" xr:uid="{00000000-0005-0000-0000-000028700000}"/>
    <cellStyle name="Calculation 2 3 8 7 4" xfId="28744" xr:uid="{00000000-0005-0000-0000-000029700000}"/>
    <cellStyle name="Calculation 2 3 8 7 5" xfId="28745" xr:uid="{00000000-0005-0000-0000-00002A700000}"/>
    <cellStyle name="Calculation 2 3 8 7 6" xfId="28746" xr:uid="{00000000-0005-0000-0000-00002B700000}"/>
    <cellStyle name="Calculation 2 3 8 8" xfId="28747" xr:uid="{00000000-0005-0000-0000-00002C700000}"/>
    <cellStyle name="Calculation 2 3 8 9" xfId="28748" xr:uid="{00000000-0005-0000-0000-00002D700000}"/>
    <cellStyle name="Calculation 2 3 9" xfId="28749" xr:uid="{00000000-0005-0000-0000-00002E700000}"/>
    <cellStyle name="Calculation 2 3 9 10" xfId="28750" xr:uid="{00000000-0005-0000-0000-00002F700000}"/>
    <cellStyle name="Calculation 2 3 9 2" xfId="28751" xr:uid="{00000000-0005-0000-0000-000030700000}"/>
    <cellStyle name="Calculation 2 3 9 2 2" xfId="28752" xr:uid="{00000000-0005-0000-0000-000031700000}"/>
    <cellStyle name="Calculation 2 3 9 2 3" xfId="28753" xr:uid="{00000000-0005-0000-0000-000032700000}"/>
    <cellStyle name="Calculation 2 3 9 2 4" xfId="28754" xr:uid="{00000000-0005-0000-0000-000033700000}"/>
    <cellStyle name="Calculation 2 3 9 2 5" xfId="28755" xr:uid="{00000000-0005-0000-0000-000034700000}"/>
    <cellStyle name="Calculation 2 3 9 2 6" xfId="28756" xr:uid="{00000000-0005-0000-0000-000035700000}"/>
    <cellStyle name="Calculation 2 3 9 3" xfId="28757" xr:uid="{00000000-0005-0000-0000-000036700000}"/>
    <cellStyle name="Calculation 2 3 9 3 2" xfId="28758" xr:uid="{00000000-0005-0000-0000-000037700000}"/>
    <cellStyle name="Calculation 2 3 9 3 3" xfId="28759" xr:uid="{00000000-0005-0000-0000-000038700000}"/>
    <cellStyle name="Calculation 2 3 9 3 4" xfId="28760" xr:uid="{00000000-0005-0000-0000-000039700000}"/>
    <cellStyle name="Calculation 2 3 9 3 5" xfId="28761" xr:uid="{00000000-0005-0000-0000-00003A700000}"/>
    <cellStyle name="Calculation 2 3 9 3 6" xfId="28762" xr:uid="{00000000-0005-0000-0000-00003B700000}"/>
    <cellStyle name="Calculation 2 3 9 4" xfId="28763" xr:uid="{00000000-0005-0000-0000-00003C700000}"/>
    <cellStyle name="Calculation 2 3 9 4 2" xfId="28764" xr:uid="{00000000-0005-0000-0000-00003D700000}"/>
    <cellStyle name="Calculation 2 3 9 4 3" xfId="28765" xr:uid="{00000000-0005-0000-0000-00003E700000}"/>
    <cellStyle name="Calculation 2 3 9 4 4" xfId="28766" xr:uid="{00000000-0005-0000-0000-00003F700000}"/>
    <cellStyle name="Calculation 2 3 9 4 5" xfId="28767" xr:uid="{00000000-0005-0000-0000-000040700000}"/>
    <cellStyle name="Calculation 2 3 9 4 6" xfId="28768" xr:uid="{00000000-0005-0000-0000-000041700000}"/>
    <cellStyle name="Calculation 2 3 9 5" xfId="28769" xr:uid="{00000000-0005-0000-0000-000042700000}"/>
    <cellStyle name="Calculation 2 3 9 5 2" xfId="28770" xr:uid="{00000000-0005-0000-0000-000043700000}"/>
    <cellStyle name="Calculation 2 3 9 5 3" xfId="28771" xr:uid="{00000000-0005-0000-0000-000044700000}"/>
    <cellStyle name="Calculation 2 3 9 5 4" xfId="28772" xr:uid="{00000000-0005-0000-0000-000045700000}"/>
    <cellStyle name="Calculation 2 3 9 5 5" xfId="28773" xr:uid="{00000000-0005-0000-0000-000046700000}"/>
    <cellStyle name="Calculation 2 3 9 5 6" xfId="28774" xr:uid="{00000000-0005-0000-0000-000047700000}"/>
    <cellStyle name="Calculation 2 3 9 6" xfId="28775" xr:uid="{00000000-0005-0000-0000-000048700000}"/>
    <cellStyle name="Calculation 2 3 9 6 2" xfId="28776" xr:uid="{00000000-0005-0000-0000-000049700000}"/>
    <cellStyle name="Calculation 2 3 9 6 3" xfId="28777" xr:uid="{00000000-0005-0000-0000-00004A700000}"/>
    <cellStyle name="Calculation 2 3 9 6 4" xfId="28778" xr:uid="{00000000-0005-0000-0000-00004B700000}"/>
    <cellStyle name="Calculation 2 3 9 6 5" xfId="28779" xr:uid="{00000000-0005-0000-0000-00004C700000}"/>
    <cellStyle name="Calculation 2 3 9 6 6" xfId="28780" xr:uid="{00000000-0005-0000-0000-00004D700000}"/>
    <cellStyle name="Calculation 2 3 9 7" xfId="28781" xr:uid="{00000000-0005-0000-0000-00004E700000}"/>
    <cellStyle name="Calculation 2 3 9 7 2" xfId="28782" xr:uid="{00000000-0005-0000-0000-00004F700000}"/>
    <cellStyle name="Calculation 2 3 9 7 3" xfId="28783" xr:uid="{00000000-0005-0000-0000-000050700000}"/>
    <cellStyle name="Calculation 2 3 9 7 4" xfId="28784" xr:uid="{00000000-0005-0000-0000-000051700000}"/>
    <cellStyle name="Calculation 2 3 9 7 5" xfId="28785" xr:uid="{00000000-0005-0000-0000-000052700000}"/>
    <cellStyle name="Calculation 2 3 9 7 6" xfId="28786" xr:uid="{00000000-0005-0000-0000-000053700000}"/>
    <cellStyle name="Calculation 2 3 9 8" xfId="28787" xr:uid="{00000000-0005-0000-0000-000054700000}"/>
    <cellStyle name="Calculation 2 3 9 9" xfId="28788" xr:uid="{00000000-0005-0000-0000-000055700000}"/>
    <cellStyle name="Calculation 2 30" xfId="28789" xr:uid="{00000000-0005-0000-0000-000056700000}"/>
    <cellStyle name="Calculation 2 30 2" xfId="28790" xr:uid="{00000000-0005-0000-0000-000057700000}"/>
    <cellStyle name="Calculation 2 30 3" xfId="28791" xr:uid="{00000000-0005-0000-0000-000058700000}"/>
    <cellStyle name="Calculation 2 30 4" xfId="28792" xr:uid="{00000000-0005-0000-0000-000059700000}"/>
    <cellStyle name="Calculation 2 30 5" xfId="28793" xr:uid="{00000000-0005-0000-0000-00005A700000}"/>
    <cellStyle name="Calculation 2 30 6" xfId="28794" xr:uid="{00000000-0005-0000-0000-00005B700000}"/>
    <cellStyle name="Calculation 2 31" xfId="28795" xr:uid="{00000000-0005-0000-0000-00005C700000}"/>
    <cellStyle name="Calculation 2 31 2" xfId="28796" xr:uid="{00000000-0005-0000-0000-00005D700000}"/>
    <cellStyle name="Calculation 2 31 3" xfId="28797" xr:uid="{00000000-0005-0000-0000-00005E700000}"/>
    <cellStyle name="Calculation 2 31 4" xfId="28798" xr:uid="{00000000-0005-0000-0000-00005F700000}"/>
    <cellStyle name="Calculation 2 31 5" xfId="28799" xr:uid="{00000000-0005-0000-0000-000060700000}"/>
    <cellStyle name="Calculation 2 31 6" xfId="28800" xr:uid="{00000000-0005-0000-0000-000061700000}"/>
    <cellStyle name="Calculation 2 32" xfId="28801" xr:uid="{00000000-0005-0000-0000-000062700000}"/>
    <cellStyle name="Calculation 2 32 2" xfId="28802" xr:uid="{00000000-0005-0000-0000-000063700000}"/>
    <cellStyle name="Calculation 2 32 3" xfId="28803" xr:uid="{00000000-0005-0000-0000-000064700000}"/>
    <cellStyle name="Calculation 2 32 4" xfId="28804" xr:uid="{00000000-0005-0000-0000-000065700000}"/>
    <cellStyle name="Calculation 2 32 5" xfId="28805" xr:uid="{00000000-0005-0000-0000-000066700000}"/>
    <cellStyle name="Calculation 2 32 6" xfId="28806" xr:uid="{00000000-0005-0000-0000-000067700000}"/>
    <cellStyle name="Calculation 2 33" xfId="28807" xr:uid="{00000000-0005-0000-0000-000068700000}"/>
    <cellStyle name="Calculation 2 33 2" xfId="28808" xr:uid="{00000000-0005-0000-0000-000069700000}"/>
    <cellStyle name="Calculation 2 33 3" xfId="28809" xr:uid="{00000000-0005-0000-0000-00006A700000}"/>
    <cellStyle name="Calculation 2 33 4" xfId="28810" xr:uid="{00000000-0005-0000-0000-00006B700000}"/>
    <cellStyle name="Calculation 2 33 5" xfId="28811" xr:uid="{00000000-0005-0000-0000-00006C700000}"/>
    <cellStyle name="Calculation 2 33 6" xfId="28812" xr:uid="{00000000-0005-0000-0000-00006D700000}"/>
    <cellStyle name="Calculation 2 34" xfId="28813" xr:uid="{00000000-0005-0000-0000-00006E700000}"/>
    <cellStyle name="Calculation 2 35" xfId="28814" xr:uid="{00000000-0005-0000-0000-00006F700000}"/>
    <cellStyle name="Calculation 2 36" xfId="28815" xr:uid="{00000000-0005-0000-0000-000070700000}"/>
    <cellStyle name="Calculation 2 4" xfId="28816" xr:uid="{00000000-0005-0000-0000-000071700000}"/>
    <cellStyle name="Calculation 2 4 10" xfId="28817" xr:uid="{00000000-0005-0000-0000-000072700000}"/>
    <cellStyle name="Calculation 2 4 2" xfId="28818" xr:uid="{00000000-0005-0000-0000-000073700000}"/>
    <cellStyle name="Calculation 2 4 2 2" xfId="28819" xr:uid="{00000000-0005-0000-0000-000074700000}"/>
    <cellStyle name="Calculation 2 4 2 3" xfId="28820" xr:uid="{00000000-0005-0000-0000-000075700000}"/>
    <cellStyle name="Calculation 2 4 2 4" xfId="28821" xr:uid="{00000000-0005-0000-0000-000076700000}"/>
    <cellStyle name="Calculation 2 4 2 5" xfId="28822" xr:uid="{00000000-0005-0000-0000-000077700000}"/>
    <cellStyle name="Calculation 2 4 2 6" xfId="28823" xr:uid="{00000000-0005-0000-0000-000078700000}"/>
    <cellStyle name="Calculation 2 4 3" xfId="28824" xr:uid="{00000000-0005-0000-0000-000079700000}"/>
    <cellStyle name="Calculation 2 4 3 2" xfId="28825" xr:uid="{00000000-0005-0000-0000-00007A700000}"/>
    <cellStyle name="Calculation 2 4 3 3" xfId="28826" xr:uid="{00000000-0005-0000-0000-00007B700000}"/>
    <cellStyle name="Calculation 2 4 3 4" xfId="28827" xr:uid="{00000000-0005-0000-0000-00007C700000}"/>
    <cellStyle name="Calculation 2 4 3 5" xfId="28828" xr:uid="{00000000-0005-0000-0000-00007D700000}"/>
    <cellStyle name="Calculation 2 4 3 6" xfId="28829" xr:uid="{00000000-0005-0000-0000-00007E700000}"/>
    <cellStyle name="Calculation 2 4 4" xfId="28830" xr:uid="{00000000-0005-0000-0000-00007F700000}"/>
    <cellStyle name="Calculation 2 4 4 2" xfId="28831" xr:uid="{00000000-0005-0000-0000-000080700000}"/>
    <cellStyle name="Calculation 2 4 4 3" xfId="28832" xr:uid="{00000000-0005-0000-0000-000081700000}"/>
    <cellStyle name="Calculation 2 4 4 4" xfId="28833" xr:uid="{00000000-0005-0000-0000-000082700000}"/>
    <cellStyle name="Calculation 2 4 4 5" xfId="28834" xr:uid="{00000000-0005-0000-0000-000083700000}"/>
    <cellStyle name="Calculation 2 4 4 6" xfId="28835" xr:uid="{00000000-0005-0000-0000-000084700000}"/>
    <cellStyle name="Calculation 2 4 5" xfId="28836" xr:uid="{00000000-0005-0000-0000-000085700000}"/>
    <cellStyle name="Calculation 2 4 5 2" xfId="28837" xr:uid="{00000000-0005-0000-0000-000086700000}"/>
    <cellStyle name="Calculation 2 4 5 3" xfId="28838" xr:uid="{00000000-0005-0000-0000-000087700000}"/>
    <cellStyle name="Calculation 2 4 5 4" xfId="28839" xr:uid="{00000000-0005-0000-0000-000088700000}"/>
    <cellStyle name="Calculation 2 4 5 5" xfId="28840" xr:uid="{00000000-0005-0000-0000-000089700000}"/>
    <cellStyle name="Calculation 2 4 5 6" xfId="28841" xr:uid="{00000000-0005-0000-0000-00008A700000}"/>
    <cellStyle name="Calculation 2 4 6" xfId="28842" xr:uid="{00000000-0005-0000-0000-00008B700000}"/>
    <cellStyle name="Calculation 2 4 6 2" xfId="28843" xr:uid="{00000000-0005-0000-0000-00008C700000}"/>
    <cellStyle name="Calculation 2 4 6 3" xfId="28844" xr:uid="{00000000-0005-0000-0000-00008D700000}"/>
    <cellStyle name="Calculation 2 4 6 4" xfId="28845" xr:uid="{00000000-0005-0000-0000-00008E700000}"/>
    <cellStyle name="Calculation 2 4 6 5" xfId="28846" xr:uid="{00000000-0005-0000-0000-00008F700000}"/>
    <cellStyle name="Calculation 2 4 6 6" xfId="28847" xr:uid="{00000000-0005-0000-0000-000090700000}"/>
    <cellStyle name="Calculation 2 4 7" xfId="28848" xr:uid="{00000000-0005-0000-0000-000091700000}"/>
    <cellStyle name="Calculation 2 4 7 2" xfId="28849" xr:uid="{00000000-0005-0000-0000-000092700000}"/>
    <cellStyle name="Calculation 2 4 7 3" xfId="28850" xr:uid="{00000000-0005-0000-0000-000093700000}"/>
    <cellStyle name="Calculation 2 4 7 4" xfId="28851" xr:uid="{00000000-0005-0000-0000-000094700000}"/>
    <cellStyle name="Calculation 2 4 7 5" xfId="28852" xr:uid="{00000000-0005-0000-0000-000095700000}"/>
    <cellStyle name="Calculation 2 4 7 6" xfId="28853" xr:uid="{00000000-0005-0000-0000-000096700000}"/>
    <cellStyle name="Calculation 2 4 8" xfId="28854" xr:uid="{00000000-0005-0000-0000-000097700000}"/>
    <cellStyle name="Calculation 2 4 9" xfId="28855" xr:uid="{00000000-0005-0000-0000-000098700000}"/>
    <cellStyle name="Calculation 2 5" xfId="28856" xr:uid="{00000000-0005-0000-0000-000099700000}"/>
    <cellStyle name="Calculation 2 5 10" xfId="28857" xr:uid="{00000000-0005-0000-0000-00009A700000}"/>
    <cellStyle name="Calculation 2 5 2" xfId="28858" xr:uid="{00000000-0005-0000-0000-00009B700000}"/>
    <cellStyle name="Calculation 2 5 2 2" xfId="28859" xr:uid="{00000000-0005-0000-0000-00009C700000}"/>
    <cellStyle name="Calculation 2 5 2 3" xfId="28860" xr:uid="{00000000-0005-0000-0000-00009D700000}"/>
    <cellStyle name="Calculation 2 5 2 4" xfId="28861" xr:uid="{00000000-0005-0000-0000-00009E700000}"/>
    <cellStyle name="Calculation 2 5 2 5" xfId="28862" xr:uid="{00000000-0005-0000-0000-00009F700000}"/>
    <cellStyle name="Calculation 2 5 2 6" xfId="28863" xr:uid="{00000000-0005-0000-0000-0000A0700000}"/>
    <cellStyle name="Calculation 2 5 3" xfId="28864" xr:uid="{00000000-0005-0000-0000-0000A1700000}"/>
    <cellStyle name="Calculation 2 5 3 2" xfId="28865" xr:uid="{00000000-0005-0000-0000-0000A2700000}"/>
    <cellStyle name="Calculation 2 5 3 3" xfId="28866" xr:uid="{00000000-0005-0000-0000-0000A3700000}"/>
    <cellStyle name="Calculation 2 5 3 4" xfId="28867" xr:uid="{00000000-0005-0000-0000-0000A4700000}"/>
    <cellStyle name="Calculation 2 5 3 5" xfId="28868" xr:uid="{00000000-0005-0000-0000-0000A5700000}"/>
    <cellStyle name="Calculation 2 5 3 6" xfId="28869" xr:uid="{00000000-0005-0000-0000-0000A6700000}"/>
    <cellStyle name="Calculation 2 5 4" xfId="28870" xr:uid="{00000000-0005-0000-0000-0000A7700000}"/>
    <cellStyle name="Calculation 2 5 4 2" xfId="28871" xr:uid="{00000000-0005-0000-0000-0000A8700000}"/>
    <cellStyle name="Calculation 2 5 4 3" xfId="28872" xr:uid="{00000000-0005-0000-0000-0000A9700000}"/>
    <cellStyle name="Calculation 2 5 4 4" xfId="28873" xr:uid="{00000000-0005-0000-0000-0000AA700000}"/>
    <cellStyle name="Calculation 2 5 4 5" xfId="28874" xr:uid="{00000000-0005-0000-0000-0000AB700000}"/>
    <cellStyle name="Calculation 2 5 4 6" xfId="28875" xr:uid="{00000000-0005-0000-0000-0000AC700000}"/>
    <cellStyle name="Calculation 2 5 5" xfId="28876" xr:uid="{00000000-0005-0000-0000-0000AD700000}"/>
    <cellStyle name="Calculation 2 5 5 2" xfId="28877" xr:uid="{00000000-0005-0000-0000-0000AE700000}"/>
    <cellStyle name="Calculation 2 5 5 3" xfId="28878" xr:uid="{00000000-0005-0000-0000-0000AF700000}"/>
    <cellStyle name="Calculation 2 5 5 4" xfId="28879" xr:uid="{00000000-0005-0000-0000-0000B0700000}"/>
    <cellStyle name="Calculation 2 5 5 5" xfId="28880" xr:uid="{00000000-0005-0000-0000-0000B1700000}"/>
    <cellStyle name="Calculation 2 5 5 6" xfId="28881" xr:uid="{00000000-0005-0000-0000-0000B2700000}"/>
    <cellStyle name="Calculation 2 5 6" xfId="28882" xr:uid="{00000000-0005-0000-0000-0000B3700000}"/>
    <cellStyle name="Calculation 2 5 6 2" xfId="28883" xr:uid="{00000000-0005-0000-0000-0000B4700000}"/>
    <cellStyle name="Calculation 2 5 6 3" xfId="28884" xr:uid="{00000000-0005-0000-0000-0000B5700000}"/>
    <cellStyle name="Calculation 2 5 6 4" xfId="28885" xr:uid="{00000000-0005-0000-0000-0000B6700000}"/>
    <cellStyle name="Calculation 2 5 6 5" xfId="28886" xr:uid="{00000000-0005-0000-0000-0000B7700000}"/>
    <cellStyle name="Calculation 2 5 6 6" xfId="28887" xr:uid="{00000000-0005-0000-0000-0000B8700000}"/>
    <cellStyle name="Calculation 2 5 7" xfId="28888" xr:uid="{00000000-0005-0000-0000-0000B9700000}"/>
    <cellStyle name="Calculation 2 5 7 2" xfId="28889" xr:uid="{00000000-0005-0000-0000-0000BA700000}"/>
    <cellStyle name="Calculation 2 5 7 3" xfId="28890" xr:uid="{00000000-0005-0000-0000-0000BB700000}"/>
    <cellStyle name="Calculation 2 5 7 4" xfId="28891" xr:uid="{00000000-0005-0000-0000-0000BC700000}"/>
    <cellStyle name="Calculation 2 5 7 5" xfId="28892" xr:uid="{00000000-0005-0000-0000-0000BD700000}"/>
    <cellStyle name="Calculation 2 5 7 6" xfId="28893" xr:uid="{00000000-0005-0000-0000-0000BE700000}"/>
    <cellStyle name="Calculation 2 5 8" xfId="28894" xr:uid="{00000000-0005-0000-0000-0000BF700000}"/>
    <cellStyle name="Calculation 2 5 9" xfId="28895" xr:uid="{00000000-0005-0000-0000-0000C0700000}"/>
    <cellStyle name="Calculation 2 6" xfId="28896" xr:uid="{00000000-0005-0000-0000-0000C1700000}"/>
    <cellStyle name="Calculation 2 6 10" xfId="28897" xr:uid="{00000000-0005-0000-0000-0000C2700000}"/>
    <cellStyle name="Calculation 2 6 2" xfId="28898" xr:uid="{00000000-0005-0000-0000-0000C3700000}"/>
    <cellStyle name="Calculation 2 6 2 2" xfId="28899" xr:uid="{00000000-0005-0000-0000-0000C4700000}"/>
    <cellStyle name="Calculation 2 6 2 3" xfId="28900" xr:uid="{00000000-0005-0000-0000-0000C5700000}"/>
    <cellStyle name="Calculation 2 6 2 4" xfId="28901" xr:uid="{00000000-0005-0000-0000-0000C6700000}"/>
    <cellStyle name="Calculation 2 6 2 5" xfId="28902" xr:uid="{00000000-0005-0000-0000-0000C7700000}"/>
    <cellStyle name="Calculation 2 6 2 6" xfId="28903" xr:uid="{00000000-0005-0000-0000-0000C8700000}"/>
    <cellStyle name="Calculation 2 6 3" xfId="28904" xr:uid="{00000000-0005-0000-0000-0000C9700000}"/>
    <cellStyle name="Calculation 2 6 3 2" xfId="28905" xr:uid="{00000000-0005-0000-0000-0000CA700000}"/>
    <cellStyle name="Calculation 2 6 3 3" xfId="28906" xr:uid="{00000000-0005-0000-0000-0000CB700000}"/>
    <cellStyle name="Calculation 2 6 3 4" xfId="28907" xr:uid="{00000000-0005-0000-0000-0000CC700000}"/>
    <cellStyle name="Calculation 2 6 3 5" xfId="28908" xr:uid="{00000000-0005-0000-0000-0000CD700000}"/>
    <cellStyle name="Calculation 2 6 3 6" xfId="28909" xr:uid="{00000000-0005-0000-0000-0000CE700000}"/>
    <cellStyle name="Calculation 2 6 4" xfId="28910" xr:uid="{00000000-0005-0000-0000-0000CF700000}"/>
    <cellStyle name="Calculation 2 6 4 2" xfId="28911" xr:uid="{00000000-0005-0000-0000-0000D0700000}"/>
    <cellStyle name="Calculation 2 6 4 3" xfId="28912" xr:uid="{00000000-0005-0000-0000-0000D1700000}"/>
    <cellStyle name="Calculation 2 6 4 4" xfId="28913" xr:uid="{00000000-0005-0000-0000-0000D2700000}"/>
    <cellStyle name="Calculation 2 6 4 5" xfId="28914" xr:uid="{00000000-0005-0000-0000-0000D3700000}"/>
    <cellStyle name="Calculation 2 6 4 6" xfId="28915" xr:uid="{00000000-0005-0000-0000-0000D4700000}"/>
    <cellStyle name="Calculation 2 6 5" xfId="28916" xr:uid="{00000000-0005-0000-0000-0000D5700000}"/>
    <cellStyle name="Calculation 2 6 5 2" xfId="28917" xr:uid="{00000000-0005-0000-0000-0000D6700000}"/>
    <cellStyle name="Calculation 2 6 5 3" xfId="28918" xr:uid="{00000000-0005-0000-0000-0000D7700000}"/>
    <cellStyle name="Calculation 2 6 5 4" xfId="28919" xr:uid="{00000000-0005-0000-0000-0000D8700000}"/>
    <cellStyle name="Calculation 2 6 5 5" xfId="28920" xr:uid="{00000000-0005-0000-0000-0000D9700000}"/>
    <cellStyle name="Calculation 2 6 5 6" xfId="28921" xr:uid="{00000000-0005-0000-0000-0000DA700000}"/>
    <cellStyle name="Calculation 2 6 6" xfId="28922" xr:uid="{00000000-0005-0000-0000-0000DB700000}"/>
    <cellStyle name="Calculation 2 6 6 2" xfId="28923" xr:uid="{00000000-0005-0000-0000-0000DC700000}"/>
    <cellStyle name="Calculation 2 6 6 3" xfId="28924" xr:uid="{00000000-0005-0000-0000-0000DD700000}"/>
    <cellStyle name="Calculation 2 6 6 4" xfId="28925" xr:uid="{00000000-0005-0000-0000-0000DE700000}"/>
    <cellStyle name="Calculation 2 6 6 5" xfId="28926" xr:uid="{00000000-0005-0000-0000-0000DF700000}"/>
    <cellStyle name="Calculation 2 6 6 6" xfId="28927" xr:uid="{00000000-0005-0000-0000-0000E0700000}"/>
    <cellStyle name="Calculation 2 6 7" xfId="28928" xr:uid="{00000000-0005-0000-0000-0000E1700000}"/>
    <cellStyle name="Calculation 2 6 7 2" xfId="28929" xr:uid="{00000000-0005-0000-0000-0000E2700000}"/>
    <cellStyle name="Calculation 2 6 7 3" xfId="28930" xr:uid="{00000000-0005-0000-0000-0000E3700000}"/>
    <cellStyle name="Calculation 2 6 7 4" xfId="28931" xr:uid="{00000000-0005-0000-0000-0000E4700000}"/>
    <cellStyle name="Calculation 2 6 7 5" xfId="28932" xr:uid="{00000000-0005-0000-0000-0000E5700000}"/>
    <cellStyle name="Calculation 2 6 7 6" xfId="28933" xr:uid="{00000000-0005-0000-0000-0000E6700000}"/>
    <cellStyle name="Calculation 2 6 8" xfId="28934" xr:uid="{00000000-0005-0000-0000-0000E7700000}"/>
    <cellStyle name="Calculation 2 6 9" xfId="28935" xr:uid="{00000000-0005-0000-0000-0000E8700000}"/>
    <cellStyle name="Calculation 2 7" xfId="28936" xr:uid="{00000000-0005-0000-0000-0000E9700000}"/>
    <cellStyle name="Calculation 2 7 10" xfId="28937" xr:uid="{00000000-0005-0000-0000-0000EA700000}"/>
    <cellStyle name="Calculation 2 7 2" xfId="28938" xr:uid="{00000000-0005-0000-0000-0000EB700000}"/>
    <cellStyle name="Calculation 2 7 2 2" xfId="28939" xr:uid="{00000000-0005-0000-0000-0000EC700000}"/>
    <cellStyle name="Calculation 2 7 2 3" xfId="28940" xr:uid="{00000000-0005-0000-0000-0000ED700000}"/>
    <cellStyle name="Calculation 2 7 2 4" xfId="28941" xr:uid="{00000000-0005-0000-0000-0000EE700000}"/>
    <cellStyle name="Calculation 2 7 2 5" xfId="28942" xr:uid="{00000000-0005-0000-0000-0000EF700000}"/>
    <cellStyle name="Calculation 2 7 2 6" xfId="28943" xr:uid="{00000000-0005-0000-0000-0000F0700000}"/>
    <cellStyle name="Calculation 2 7 3" xfId="28944" xr:uid="{00000000-0005-0000-0000-0000F1700000}"/>
    <cellStyle name="Calculation 2 7 3 2" xfId="28945" xr:uid="{00000000-0005-0000-0000-0000F2700000}"/>
    <cellStyle name="Calculation 2 7 3 3" xfId="28946" xr:uid="{00000000-0005-0000-0000-0000F3700000}"/>
    <cellStyle name="Calculation 2 7 3 4" xfId="28947" xr:uid="{00000000-0005-0000-0000-0000F4700000}"/>
    <cellStyle name="Calculation 2 7 3 5" xfId="28948" xr:uid="{00000000-0005-0000-0000-0000F5700000}"/>
    <cellStyle name="Calculation 2 7 3 6" xfId="28949" xr:uid="{00000000-0005-0000-0000-0000F6700000}"/>
    <cellStyle name="Calculation 2 7 4" xfId="28950" xr:uid="{00000000-0005-0000-0000-0000F7700000}"/>
    <cellStyle name="Calculation 2 7 4 2" xfId="28951" xr:uid="{00000000-0005-0000-0000-0000F8700000}"/>
    <cellStyle name="Calculation 2 7 4 3" xfId="28952" xr:uid="{00000000-0005-0000-0000-0000F9700000}"/>
    <cellStyle name="Calculation 2 7 4 4" xfId="28953" xr:uid="{00000000-0005-0000-0000-0000FA700000}"/>
    <cellStyle name="Calculation 2 7 4 5" xfId="28954" xr:uid="{00000000-0005-0000-0000-0000FB700000}"/>
    <cellStyle name="Calculation 2 7 4 6" xfId="28955" xr:uid="{00000000-0005-0000-0000-0000FC700000}"/>
    <cellStyle name="Calculation 2 7 5" xfId="28956" xr:uid="{00000000-0005-0000-0000-0000FD700000}"/>
    <cellStyle name="Calculation 2 7 5 2" xfId="28957" xr:uid="{00000000-0005-0000-0000-0000FE700000}"/>
    <cellStyle name="Calculation 2 7 5 3" xfId="28958" xr:uid="{00000000-0005-0000-0000-0000FF700000}"/>
    <cellStyle name="Calculation 2 7 5 4" xfId="28959" xr:uid="{00000000-0005-0000-0000-000000710000}"/>
    <cellStyle name="Calculation 2 7 5 5" xfId="28960" xr:uid="{00000000-0005-0000-0000-000001710000}"/>
    <cellStyle name="Calculation 2 7 5 6" xfId="28961" xr:uid="{00000000-0005-0000-0000-000002710000}"/>
    <cellStyle name="Calculation 2 7 6" xfId="28962" xr:uid="{00000000-0005-0000-0000-000003710000}"/>
    <cellStyle name="Calculation 2 7 6 2" xfId="28963" xr:uid="{00000000-0005-0000-0000-000004710000}"/>
    <cellStyle name="Calculation 2 7 6 3" xfId="28964" xr:uid="{00000000-0005-0000-0000-000005710000}"/>
    <cellStyle name="Calculation 2 7 6 4" xfId="28965" xr:uid="{00000000-0005-0000-0000-000006710000}"/>
    <cellStyle name="Calculation 2 7 6 5" xfId="28966" xr:uid="{00000000-0005-0000-0000-000007710000}"/>
    <cellStyle name="Calculation 2 7 6 6" xfId="28967" xr:uid="{00000000-0005-0000-0000-000008710000}"/>
    <cellStyle name="Calculation 2 7 7" xfId="28968" xr:uid="{00000000-0005-0000-0000-000009710000}"/>
    <cellStyle name="Calculation 2 7 7 2" xfId="28969" xr:uid="{00000000-0005-0000-0000-00000A710000}"/>
    <cellStyle name="Calculation 2 7 7 3" xfId="28970" xr:uid="{00000000-0005-0000-0000-00000B710000}"/>
    <cellStyle name="Calculation 2 7 7 4" xfId="28971" xr:uid="{00000000-0005-0000-0000-00000C710000}"/>
    <cellStyle name="Calculation 2 7 7 5" xfId="28972" xr:uid="{00000000-0005-0000-0000-00000D710000}"/>
    <cellStyle name="Calculation 2 7 7 6" xfId="28973" xr:uid="{00000000-0005-0000-0000-00000E710000}"/>
    <cellStyle name="Calculation 2 7 8" xfId="28974" xr:uid="{00000000-0005-0000-0000-00000F710000}"/>
    <cellStyle name="Calculation 2 7 9" xfId="28975" xr:uid="{00000000-0005-0000-0000-000010710000}"/>
    <cellStyle name="Calculation 2 8" xfId="28976" xr:uid="{00000000-0005-0000-0000-000011710000}"/>
    <cellStyle name="Calculation 2 8 10" xfId="28977" xr:uid="{00000000-0005-0000-0000-000012710000}"/>
    <cellStyle name="Calculation 2 8 2" xfId="28978" xr:uid="{00000000-0005-0000-0000-000013710000}"/>
    <cellStyle name="Calculation 2 8 2 2" xfId="28979" xr:uid="{00000000-0005-0000-0000-000014710000}"/>
    <cellStyle name="Calculation 2 8 2 3" xfId="28980" xr:uid="{00000000-0005-0000-0000-000015710000}"/>
    <cellStyle name="Calculation 2 8 2 4" xfId="28981" xr:uid="{00000000-0005-0000-0000-000016710000}"/>
    <cellStyle name="Calculation 2 8 2 5" xfId="28982" xr:uid="{00000000-0005-0000-0000-000017710000}"/>
    <cellStyle name="Calculation 2 8 2 6" xfId="28983" xr:uid="{00000000-0005-0000-0000-000018710000}"/>
    <cellStyle name="Calculation 2 8 3" xfId="28984" xr:uid="{00000000-0005-0000-0000-000019710000}"/>
    <cellStyle name="Calculation 2 8 3 2" xfId="28985" xr:uid="{00000000-0005-0000-0000-00001A710000}"/>
    <cellStyle name="Calculation 2 8 3 3" xfId="28986" xr:uid="{00000000-0005-0000-0000-00001B710000}"/>
    <cellStyle name="Calculation 2 8 3 4" xfId="28987" xr:uid="{00000000-0005-0000-0000-00001C710000}"/>
    <cellStyle name="Calculation 2 8 3 5" xfId="28988" xr:uid="{00000000-0005-0000-0000-00001D710000}"/>
    <cellStyle name="Calculation 2 8 3 6" xfId="28989" xr:uid="{00000000-0005-0000-0000-00001E710000}"/>
    <cellStyle name="Calculation 2 8 4" xfId="28990" xr:uid="{00000000-0005-0000-0000-00001F710000}"/>
    <cellStyle name="Calculation 2 8 4 2" xfId="28991" xr:uid="{00000000-0005-0000-0000-000020710000}"/>
    <cellStyle name="Calculation 2 8 4 3" xfId="28992" xr:uid="{00000000-0005-0000-0000-000021710000}"/>
    <cellStyle name="Calculation 2 8 4 4" xfId="28993" xr:uid="{00000000-0005-0000-0000-000022710000}"/>
    <cellStyle name="Calculation 2 8 4 5" xfId="28994" xr:uid="{00000000-0005-0000-0000-000023710000}"/>
    <cellStyle name="Calculation 2 8 4 6" xfId="28995" xr:uid="{00000000-0005-0000-0000-000024710000}"/>
    <cellStyle name="Calculation 2 8 5" xfId="28996" xr:uid="{00000000-0005-0000-0000-000025710000}"/>
    <cellStyle name="Calculation 2 8 5 2" xfId="28997" xr:uid="{00000000-0005-0000-0000-000026710000}"/>
    <cellStyle name="Calculation 2 8 5 3" xfId="28998" xr:uid="{00000000-0005-0000-0000-000027710000}"/>
    <cellStyle name="Calculation 2 8 5 4" xfId="28999" xr:uid="{00000000-0005-0000-0000-000028710000}"/>
    <cellStyle name="Calculation 2 8 5 5" xfId="29000" xr:uid="{00000000-0005-0000-0000-000029710000}"/>
    <cellStyle name="Calculation 2 8 5 6" xfId="29001" xr:uid="{00000000-0005-0000-0000-00002A710000}"/>
    <cellStyle name="Calculation 2 8 6" xfId="29002" xr:uid="{00000000-0005-0000-0000-00002B710000}"/>
    <cellStyle name="Calculation 2 8 6 2" xfId="29003" xr:uid="{00000000-0005-0000-0000-00002C710000}"/>
    <cellStyle name="Calculation 2 8 6 3" xfId="29004" xr:uid="{00000000-0005-0000-0000-00002D710000}"/>
    <cellStyle name="Calculation 2 8 6 4" xfId="29005" xr:uid="{00000000-0005-0000-0000-00002E710000}"/>
    <cellStyle name="Calculation 2 8 6 5" xfId="29006" xr:uid="{00000000-0005-0000-0000-00002F710000}"/>
    <cellStyle name="Calculation 2 8 6 6" xfId="29007" xr:uid="{00000000-0005-0000-0000-000030710000}"/>
    <cellStyle name="Calculation 2 8 7" xfId="29008" xr:uid="{00000000-0005-0000-0000-000031710000}"/>
    <cellStyle name="Calculation 2 8 7 2" xfId="29009" xr:uid="{00000000-0005-0000-0000-000032710000}"/>
    <cellStyle name="Calculation 2 8 7 3" xfId="29010" xr:uid="{00000000-0005-0000-0000-000033710000}"/>
    <cellStyle name="Calculation 2 8 7 4" xfId="29011" xr:uid="{00000000-0005-0000-0000-000034710000}"/>
    <cellStyle name="Calculation 2 8 7 5" xfId="29012" xr:uid="{00000000-0005-0000-0000-000035710000}"/>
    <cellStyle name="Calculation 2 8 7 6" xfId="29013" xr:uid="{00000000-0005-0000-0000-000036710000}"/>
    <cellStyle name="Calculation 2 8 8" xfId="29014" xr:uid="{00000000-0005-0000-0000-000037710000}"/>
    <cellStyle name="Calculation 2 8 9" xfId="29015" xr:uid="{00000000-0005-0000-0000-000038710000}"/>
    <cellStyle name="Calculation 2 9" xfId="29016" xr:uid="{00000000-0005-0000-0000-000039710000}"/>
    <cellStyle name="Calculation 2 9 10" xfId="29017" xr:uid="{00000000-0005-0000-0000-00003A710000}"/>
    <cellStyle name="Calculation 2 9 2" xfId="29018" xr:uid="{00000000-0005-0000-0000-00003B710000}"/>
    <cellStyle name="Calculation 2 9 2 2" xfId="29019" xr:uid="{00000000-0005-0000-0000-00003C710000}"/>
    <cellStyle name="Calculation 2 9 2 3" xfId="29020" xr:uid="{00000000-0005-0000-0000-00003D710000}"/>
    <cellStyle name="Calculation 2 9 2 4" xfId="29021" xr:uid="{00000000-0005-0000-0000-00003E710000}"/>
    <cellStyle name="Calculation 2 9 2 5" xfId="29022" xr:uid="{00000000-0005-0000-0000-00003F710000}"/>
    <cellStyle name="Calculation 2 9 2 6" xfId="29023" xr:uid="{00000000-0005-0000-0000-000040710000}"/>
    <cellStyle name="Calculation 2 9 3" xfId="29024" xr:uid="{00000000-0005-0000-0000-000041710000}"/>
    <cellStyle name="Calculation 2 9 3 2" xfId="29025" xr:uid="{00000000-0005-0000-0000-000042710000}"/>
    <cellStyle name="Calculation 2 9 3 3" xfId="29026" xr:uid="{00000000-0005-0000-0000-000043710000}"/>
    <cellStyle name="Calculation 2 9 3 4" xfId="29027" xr:uid="{00000000-0005-0000-0000-000044710000}"/>
    <cellStyle name="Calculation 2 9 3 5" xfId="29028" xr:uid="{00000000-0005-0000-0000-000045710000}"/>
    <cellStyle name="Calculation 2 9 3 6" xfId="29029" xr:uid="{00000000-0005-0000-0000-000046710000}"/>
    <cellStyle name="Calculation 2 9 4" xfId="29030" xr:uid="{00000000-0005-0000-0000-000047710000}"/>
    <cellStyle name="Calculation 2 9 4 2" xfId="29031" xr:uid="{00000000-0005-0000-0000-000048710000}"/>
    <cellStyle name="Calculation 2 9 4 3" xfId="29032" xr:uid="{00000000-0005-0000-0000-000049710000}"/>
    <cellStyle name="Calculation 2 9 4 4" xfId="29033" xr:uid="{00000000-0005-0000-0000-00004A710000}"/>
    <cellStyle name="Calculation 2 9 4 5" xfId="29034" xr:uid="{00000000-0005-0000-0000-00004B710000}"/>
    <cellStyle name="Calculation 2 9 4 6" xfId="29035" xr:uid="{00000000-0005-0000-0000-00004C710000}"/>
    <cellStyle name="Calculation 2 9 5" xfId="29036" xr:uid="{00000000-0005-0000-0000-00004D710000}"/>
    <cellStyle name="Calculation 2 9 5 2" xfId="29037" xr:uid="{00000000-0005-0000-0000-00004E710000}"/>
    <cellStyle name="Calculation 2 9 5 3" xfId="29038" xr:uid="{00000000-0005-0000-0000-00004F710000}"/>
    <cellStyle name="Calculation 2 9 5 4" xfId="29039" xr:uid="{00000000-0005-0000-0000-000050710000}"/>
    <cellStyle name="Calculation 2 9 5 5" xfId="29040" xr:uid="{00000000-0005-0000-0000-000051710000}"/>
    <cellStyle name="Calculation 2 9 5 6" xfId="29041" xr:uid="{00000000-0005-0000-0000-000052710000}"/>
    <cellStyle name="Calculation 2 9 6" xfId="29042" xr:uid="{00000000-0005-0000-0000-000053710000}"/>
    <cellStyle name="Calculation 2 9 6 2" xfId="29043" xr:uid="{00000000-0005-0000-0000-000054710000}"/>
    <cellStyle name="Calculation 2 9 6 3" xfId="29044" xr:uid="{00000000-0005-0000-0000-000055710000}"/>
    <cellStyle name="Calculation 2 9 6 4" xfId="29045" xr:uid="{00000000-0005-0000-0000-000056710000}"/>
    <cellStyle name="Calculation 2 9 6 5" xfId="29046" xr:uid="{00000000-0005-0000-0000-000057710000}"/>
    <cellStyle name="Calculation 2 9 6 6" xfId="29047" xr:uid="{00000000-0005-0000-0000-000058710000}"/>
    <cellStyle name="Calculation 2 9 7" xfId="29048" xr:uid="{00000000-0005-0000-0000-000059710000}"/>
    <cellStyle name="Calculation 2 9 7 2" xfId="29049" xr:uid="{00000000-0005-0000-0000-00005A710000}"/>
    <cellStyle name="Calculation 2 9 7 3" xfId="29050" xr:uid="{00000000-0005-0000-0000-00005B710000}"/>
    <cellStyle name="Calculation 2 9 7 4" xfId="29051" xr:uid="{00000000-0005-0000-0000-00005C710000}"/>
    <cellStyle name="Calculation 2 9 7 5" xfId="29052" xr:uid="{00000000-0005-0000-0000-00005D710000}"/>
    <cellStyle name="Calculation 2 9 7 6" xfId="29053" xr:uid="{00000000-0005-0000-0000-00005E710000}"/>
    <cellStyle name="Calculation 2 9 8" xfId="29054" xr:uid="{00000000-0005-0000-0000-00005F710000}"/>
    <cellStyle name="Calculation 2 9 9" xfId="29055" xr:uid="{00000000-0005-0000-0000-000060710000}"/>
    <cellStyle name="Calculation 2_update comparison " xfId="29056" xr:uid="{00000000-0005-0000-0000-000061710000}"/>
    <cellStyle name="Calculation 3" xfId="29057" xr:uid="{00000000-0005-0000-0000-000062710000}"/>
    <cellStyle name="Calculation 3 10" xfId="29058" xr:uid="{00000000-0005-0000-0000-000063710000}"/>
    <cellStyle name="Calculation 3 10 10" xfId="29059" xr:uid="{00000000-0005-0000-0000-000064710000}"/>
    <cellStyle name="Calculation 3 10 2" xfId="29060" xr:uid="{00000000-0005-0000-0000-000065710000}"/>
    <cellStyle name="Calculation 3 10 2 2" xfId="29061" xr:uid="{00000000-0005-0000-0000-000066710000}"/>
    <cellStyle name="Calculation 3 10 2 3" xfId="29062" xr:uid="{00000000-0005-0000-0000-000067710000}"/>
    <cellStyle name="Calculation 3 10 2 4" xfId="29063" xr:uid="{00000000-0005-0000-0000-000068710000}"/>
    <cellStyle name="Calculation 3 10 2 5" xfId="29064" xr:uid="{00000000-0005-0000-0000-000069710000}"/>
    <cellStyle name="Calculation 3 10 2 6" xfId="29065" xr:uid="{00000000-0005-0000-0000-00006A710000}"/>
    <cellStyle name="Calculation 3 10 3" xfId="29066" xr:uid="{00000000-0005-0000-0000-00006B710000}"/>
    <cellStyle name="Calculation 3 10 3 2" xfId="29067" xr:uid="{00000000-0005-0000-0000-00006C710000}"/>
    <cellStyle name="Calculation 3 10 3 3" xfId="29068" xr:uid="{00000000-0005-0000-0000-00006D710000}"/>
    <cellStyle name="Calculation 3 10 3 4" xfId="29069" xr:uid="{00000000-0005-0000-0000-00006E710000}"/>
    <cellStyle name="Calculation 3 10 3 5" xfId="29070" xr:uid="{00000000-0005-0000-0000-00006F710000}"/>
    <cellStyle name="Calculation 3 10 3 6" xfId="29071" xr:uid="{00000000-0005-0000-0000-000070710000}"/>
    <cellStyle name="Calculation 3 10 4" xfId="29072" xr:uid="{00000000-0005-0000-0000-000071710000}"/>
    <cellStyle name="Calculation 3 10 4 2" xfId="29073" xr:uid="{00000000-0005-0000-0000-000072710000}"/>
    <cellStyle name="Calculation 3 10 4 3" xfId="29074" xr:uid="{00000000-0005-0000-0000-000073710000}"/>
    <cellStyle name="Calculation 3 10 4 4" xfId="29075" xr:uid="{00000000-0005-0000-0000-000074710000}"/>
    <cellStyle name="Calculation 3 10 4 5" xfId="29076" xr:uid="{00000000-0005-0000-0000-000075710000}"/>
    <cellStyle name="Calculation 3 10 4 6" xfId="29077" xr:uid="{00000000-0005-0000-0000-000076710000}"/>
    <cellStyle name="Calculation 3 10 5" xfId="29078" xr:uid="{00000000-0005-0000-0000-000077710000}"/>
    <cellStyle name="Calculation 3 10 5 2" xfId="29079" xr:uid="{00000000-0005-0000-0000-000078710000}"/>
    <cellStyle name="Calculation 3 10 5 3" xfId="29080" xr:uid="{00000000-0005-0000-0000-000079710000}"/>
    <cellStyle name="Calculation 3 10 5 4" xfId="29081" xr:uid="{00000000-0005-0000-0000-00007A710000}"/>
    <cellStyle name="Calculation 3 10 5 5" xfId="29082" xr:uid="{00000000-0005-0000-0000-00007B710000}"/>
    <cellStyle name="Calculation 3 10 5 6" xfId="29083" xr:uid="{00000000-0005-0000-0000-00007C710000}"/>
    <cellStyle name="Calculation 3 10 6" xfId="29084" xr:uid="{00000000-0005-0000-0000-00007D710000}"/>
    <cellStyle name="Calculation 3 10 6 2" xfId="29085" xr:uid="{00000000-0005-0000-0000-00007E710000}"/>
    <cellStyle name="Calculation 3 10 6 3" xfId="29086" xr:uid="{00000000-0005-0000-0000-00007F710000}"/>
    <cellStyle name="Calculation 3 10 6 4" xfId="29087" xr:uid="{00000000-0005-0000-0000-000080710000}"/>
    <cellStyle name="Calculation 3 10 6 5" xfId="29088" xr:uid="{00000000-0005-0000-0000-000081710000}"/>
    <cellStyle name="Calculation 3 10 6 6" xfId="29089" xr:uid="{00000000-0005-0000-0000-000082710000}"/>
    <cellStyle name="Calculation 3 10 7" xfId="29090" xr:uid="{00000000-0005-0000-0000-000083710000}"/>
    <cellStyle name="Calculation 3 10 7 2" xfId="29091" xr:uid="{00000000-0005-0000-0000-000084710000}"/>
    <cellStyle name="Calculation 3 10 7 3" xfId="29092" xr:uid="{00000000-0005-0000-0000-000085710000}"/>
    <cellStyle name="Calculation 3 10 7 4" xfId="29093" xr:uid="{00000000-0005-0000-0000-000086710000}"/>
    <cellStyle name="Calculation 3 10 7 5" xfId="29094" xr:uid="{00000000-0005-0000-0000-000087710000}"/>
    <cellStyle name="Calculation 3 10 7 6" xfId="29095" xr:uid="{00000000-0005-0000-0000-000088710000}"/>
    <cellStyle name="Calculation 3 10 8" xfId="29096" xr:uid="{00000000-0005-0000-0000-000089710000}"/>
    <cellStyle name="Calculation 3 10 9" xfId="29097" xr:uid="{00000000-0005-0000-0000-00008A710000}"/>
    <cellStyle name="Calculation 3 11" xfId="29098" xr:uid="{00000000-0005-0000-0000-00008B710000}"/>
    <cellStyle name="Calculation 3 11 10" xfId="29099" xr:uid="{00000000-0005-0000-0000-00008C710000}"/>
    <cellStyle name="Calculation 3 11 2" xfId="29100" xr:uid="{00000000-0005-0000-0000-00008D710000}"/>
    <cellStyle name="Calculation 3 11 2 2" xfId="29101" xr:uid="{00000000-0005-0000-0000-00008E710000}"/>
    <cellStyle name="Calculation 3 11 2 3" xfId="29102" xr:uid="{00000000-0005-0000-0000-00008F710000}"/>
    <cellStyle name="Calculation 3 11 2 4" xfId="29103" xr:uid="{00000000-0005-0000-0000-000090710000}"/>
    <cellStyle name="Calculation 3 11 2 5" xfId="29104" xr:uid="{00000000-0005-0000-0000-000091710000}"/>
    <cellStyle name="Calculation 3 11 2 6" xfId="29105" xr:uid="{00000000-0005-0000-0000-000092710000}"/>
    <cellStyle name="Calculation 3 11 3" xfId="29106" xr:uid="{00000000-0005-0000-0000-000093710000}"/>
    <cellStyle name="Calculation 3 11 3 2" xfId="29107" xr:uid="{00000000-0005-0000-0000-000094710000}"/>
    <cellStyle name="Calculation 3 11 3 3" xfId="29108" xr:uid="{00000000-0005-0000-0000-000095710000}"/>
    <cellStyle name="Calculation 3 11 3 4" xfId="29109" xr:uid="{00000000-0005-0000-0000-000096710000}"/>
    <cellStyle name="Calculation 3 11 3 5" xfId="29110" xr:uid="{00000000-0005-0000-0000-000097710000}"/>
    <cellStyle name="Calculation 3 11 3 6" xfId="29111" xr:uid="{00000000-0005-0000-0000-000098710000}"/>
    <cellStyle name="Calculation 3 11 4" xfId="29112" xr:uid="{00000000-0005-0000-0000-000099710000}"/>
    <cellStyle name="Calculation 3 11 4 2" xfId="29113" xr:uid="{00000000-0005-0000-0000-00009A710000}"/>
    <cellStyle name="Calculation 3 11 4 3" xfId="29114" xr:uid="{00000000-0005-0000-0000-00009B710000}"/>
    <cellStyle name="Calculation 3 11 4 4" xfId="29115" xr:uid="{00000000-0005-0000-0000-00009C710000}"/>
    <cellStyle name="Calculation 3 11 4 5" xfId="29116" xr:uid="{00000000-0005-0000-0000-00009D710000}"/>
    <cellStyle name="Calculation 3 11 4 6" xfId="29117" xr:uid="{00000000-0005-0000-0000-00009E710000}"/>
    <cellStyle name="Calculation 3 11 5" xfId="29118" xr:uid="{00000000-0005-0000-0000-00009F710000}"/>
    <cellStyle name="Calculation 3 11 5 2" xfId="29119" xr:uid="{00000000-0005-0000-0000-0000A0710000}"/>
    <cellStyle name="Calculation 3 11 5 3" xfId="29120" xr:uid="{00000000-0005-0000-0000-0000A1710000}"/>
    <cellStyle name="Calculation 3 11 5 4" xfId="29121" xr:uid="{00000000-0005-0000-0000-0000A2710000}"/>
    <cellStyle name="Calculation 3 11 5 5" xfId="29122" xr:uid="{00000000-0005-0000-0000-0000A3710000}"/>
    <cellStyle name="Calculation 3 11 5 6" xfId="29123" xr:uid="{00000000-0005-0000-0000-0000A4710000}"/>
    <cellStyle name="Calculation 3 11 6" xfId="29124" xr:uid="{00000000-0005-0000-0000-0000A5710000}"/>
    <cellStyle name="Calculation 3 11 6 2" xfId="29125" xr:uid="{00000000-0005-0000-0000-0000A6710000}"/>
    <cellStyle name="Calculation 3 11 6 3" xfId="29126" xr:uid="{00000000-0005-0000-0000-0000A7710000}"/>
    <cellStyle name="Calculation 3 11 6 4" xfId="29127" xr:uid="{00000000-0005-0000-0000-0000A8710000}"/>
    <cellStyle name="Calculation 3 11 6 5" xfId="29128" xr:uid="{00000000-0005-0000-0000-0000A9710000}"/>
    <cellStyle name="Calculation 3 11 6 6" xfId="29129" xr:uid="{00000000-0005-0000-0000-0000AA710000}"/>
    <cellStyle name="Calculation 3 11 7" xfId="29130" xr:uid="{00000000-0005-0000-0000-0000AB710000}"/>
    <cellStyle name="Calculation 3 11 7 2" xfId="29131" xr:uid="{00000000-0005-0000-0000-0000AC710000}"/>
    <cellStyle name="Calculation 3 11 7 3" xfId="29132" xr:uid="{00000000-0005-0000-0000-0000AD710000}"/>
    <cellStyle name="Calculation 3 11 7 4" xfId="29133" xr:uid="{00000000-0005-0000-0000-0000AE710000}"/>
    <cellStyle name="Calculation 3 11 7 5" xfId="29134" xr:uid="{00000000-0005-0000-0000-0000AF710000}"/>
    <cellStyle name="Calculation 3 11 7 6" xfId="29135" xr:uid="{00000000-0005-0000-0000-0000B0710000}"/>
    <cellStyle name="Calculation 3 11 8" xfId="29136" xr:uid="{00000000-0005-0000-0000-0000B1710000}"/>
    <cellStyle name="Calculation 3 11 9" xfId="29137" xr:uid="{00000000-0005-0000-0000-0000B2710000}"/>
    <cellStyle name="Calculation 3 12" xfId="29138" xr:uid="{00000000-0005-0000-0000-0000B3710000}"/>
    <cellStyle name="Calculation 3 12 10" xfId="29139" xr:uid="{00000000-0005-0000-0000-0000B4710000}"/>
    <cellStyle name="Calculation 3 12 2" xfId="29140" xr:uid="{00000000-0005-0000-0000-0000B5710000}"/>
    <cellStyle name="Calculation 3 12 2 2" xfId="29141" xr:uid="{00000000-0005-0000-0000-0000B6710000}"/>
    <cellStyle name="Calculation 3 12 2 3" xfId="29142" xr:uid="{00000000-0005-0000-0000-0000B7710000}"/>
    <cellStyle name="Calculation 3 12 2 4" xfId="29143" xr:uid="{00000000-0005-0000-0000-0000B8710000}"/>
    <cellStyle name="Calculation 3 12 2 5" xfId="29144" xr:uid="{00000000-0005-0000-0000-0000B9710000}"/>
    <cellStyle name="Calculation 3 12 2 6" xfId="29145" xr:uid="{00000000-0005-0000-0000-0000BA710000}"/>
    <cellStyle name="Calculation 3 12 3" xfId="29146" xr:uid="{00000000-0005-0000-0000-0000BB710000}"/>
    <cellStyle name="Calculation 3 12 3 2" xfId="29147" xr:uid="{00000000-0005-0000-0000-0000BC710000}"/>
    <cellStyle name="Calculation 3 12 3 3" xfId="29148" xr:uid="{00000000-0005-0000-0000-0000BD710000}"/>
    <cellStyle name="Calculation 3 12 3 4" xfId="29149" xr:uid="{00000000-0005-0000-0000-0000BE710000}"/>
    <cellStyle name="Calculation 3 12 3 5" xfId="29150" xr:uid="{00000000-0005-0000-0000-0000BF710000}"/>
    <cellStyle name="Calculation 3 12 3 6" xfId="29151" xr:uid="{00000000-0005-0000-0000-0000C0710000}"/>
    <cellStyle name="Calculation 3 12 4" xfId="29152" xr:uid="{00000000-0005-0000-0000-0000C1710000}"/>
    <cellStyle name="Calculation 3 12 4 2" xfId="29153" xr:uid="{00000000-0005-0000-0000-0000C2710000}"/>
    <cellStyle name="Calculation 3 12 4 3" xfId="29154" xr:uid="{00000000-0005-0000-0000-0000C3710000}"/>
    <cellStyle name="Calculation 3 12 4 4" xfId="29155" xr:uid="{00000000-0005-0000-0000-0000C4710000}"/>
    <cellStyle name="Calculation 3 12 4 5" xfId="29156" xr:uid="{00000000-0005-0000-0000-0000C5710000}"/>
    <cellStyle name="Calculation 3 12 4 6" xfId="29157" xr:uid="{00000000-0005-0000-0000-0000C6710000}"/>
    <cellStyle name="Calculation 3 12 5" xfId="29158" xr:uid="{00000000-0005-0000-0000-0000C7710000}"/>
    <cellStyle name="Calculation 3 12 5 2" xfId="29159" xr:uid="{00000000-0005-0000-0000-0000C8710000}"/>
    <cellStyle name="Calculation 3 12 5 3" xfId="29160" xr:uid="{00000000-0005-0000-0000-0000C9710000}"/>
    <cellStyle name="Calculation 3 12 5 4" xfId="29161" xr:uid="{00000000-0005-0000-0000-0000CA710000}"/>
    <cellStyle name="Calculation 3 12 5 5" xfId="29162" xr:uid="{00000000-0005-0000-0000-0000CB710000}"/>
    <cellStyle name="Calculation 3 12 5 6" xfId="29163" xr:uid="{00000000-0005-0000-0000-0000CC710000}"/>
    <cellStyle name="Calculation 3 12 6" xfId="29164" xr:uid="{00000000-0005-0000-0000-0000CD710000}"/>
    <cellStyle name="Calculation 3 12 6 2" xfId="29165" xr:uid="{00000000-0005-0000-0000-0000CE710000}"/>
    <cellStyle name="Calculation 3 12 6 3" xfId="29166" xr:uid="{00000000-0005-0000-0000-0000CF710000}"/>
    <cellStyle name="Calculation 3 12 6 4" xfId="29167" xr:uid="{00000000-0005-0000-0000-0000D0710000}"/>
    <cellStyle name="Calculation 3 12 6 5" xfId="29168" xr:uid="{00000000-0005-0000-0000-0000D1710000}"/>
    <cellStyle name="Calculation 3 12 6 6" xfId="29169" xr:uid="{00000000-0005-0000-0000-0000D2710000}"/>
    <cellStyle name="Calculation 3 12 7" xfId="29170" xr:uid="{00000000-0005-0000-0000-0000D3710000}"/>
    <cellStyle name="Calculation 3 12 7 2" xfId="29171" xr:uid="{00000000-0005-0000-0000-0000D4710000}"/>
    <cellStyle name="Calculation 3 12 7 3" xfId="29172" xr:uid="{00000000-0005-0000-0000-0000D5710000}"/>
    <cellStyle name="Calculation 3 12 7 4" xfId="29173" xr:uid="{00000000-0005-0000-0000-0000D6710000}"/>
    <cellStyle name="Calculation 3 12 7 5" xfId="29174" xr:uid="{00000000-0005-0000-0000-0000D7710000}"/>
    <cellStyle name="Calculation 3 12 7 6" xfId="29175" xr:uid="{00000000-0005-0000-0000-0000D8710000}"/>
    <cellStyle name="Calculation 3 12 8" xfId="29176" xr:uid="{00000000-0005-0000-0000-0000D9710000}"/>
    <cellStyle name="Calculation 3 12 9" xfId="29177" xr:uid="{00000000-0005-0000-0000-0000DA710000}"/>
    <cellStyle name="Calculation 3 13" xfId="29178" xr:uid="{00000000-0005-0000-0000-0000DB710000}"/>
    <cellStyle name="Calculation 3 13 10" xfId="29179" xr:uid="{00000000-0005-0000-0000-0000DC710000}"/>
    <cellStyle name="Calculation 3 13 2" xfId="29180" xr:uid="{00000000-0005-0000-0000-0000DD710000}"/>
    <cellStyle name="Calculation 3 13 2 2" xfId="29181" xr:uid="{00000000-0005-0000-0000-0000DE710000}"/>
    <cellStyle name="Calculation 3 13 2 3" xfId="29182" xr:uid="{00000000-0005-0000-0000-0000DF710000}"/>
    <cellStyle name="Calculation 3 13 2 4" xfId="29183" xr:uid="{00000000-0005-0000-0000-0000E0710000}"/>
    <cellStyle name="Calculation 3 13 2 5" xfId="29184" xr:uid="{00000000-0005-0000-0000-0000E1710000}"/>
    <cellStyle name="Calculation 3 13 2 6" xfId="29185" xr:uid="{00000000-0005-0000-0000-0000E2710000}"/>
    <cellStyle name="Calculation 3 13 3" xfId="29186" xr:uid="{00000000-0005-0000-0000-0000E3710000}"/>
    <cellStyle name="Calculation 3 13 3 2" xfId="29187" xr:uid="{00000000-0005-0000-0000-0000E4710000}"/>
    <cellStyle name="Calculation 3 13 3 3" xfId="29188" xr:uid="{00000000-0005-0000-0000-0000E5710000}"/>
    <cellStyle name="Calculation 3 13 3 4" xfId="29189" xr:uid="{00000000-0005-0000-0000-0000E6710000}"/>
    <cellStyle name="Calculation 3 13 3 5" xfId="29190" xr:uid="{00000000-0005-0000-0000-0000E7710000}"/>
    <cellStyle name="Calculation 3 13 3 6" xfId="29191" xr:uid="{00000000-0005-0000-0000-0000E8710000}"/>
    <cellStyle name="Calculation 3 13 4" xfId="29192" xr:uid="{00000000-0005-0000-0000-0000E9710000}"/>
    <cellStyle name="Calculation 3 13 4 2" xfId="29193" xr:uid="{00000000-0005-0000-0000-0000EA710000}"/>
    <cellStyle name="Calculation 3 13 4 3" xfId="29194" xr:uid="{00000000-0005-0000-0000-0000EB710000}"/>
    <cellStyle name="Calculation 3 13 4 4" xfId="29195" xr:uid="{00000000-0005-0000-0000-0000EC710000}"/>
    <cellStyle name="Calculation 3 13 4 5" xfId="29196" xr:uid="{00000000-0005-0000-0000-0000ED710000}"/>
    <cellStyle name="Calculation 3 13 4 6" xfId="29197" xr:uid="{00000000-0005-0000-0000-0000EE710000}"/>
    <cellStyle name="Calculation 3 13 5" xfId="29198" xr:uid="{00000000-0005-0000-0000-0000EF710000}"/>
    <cellStyle name="Calculation 3 13 5 2" xfId="29199" xr:uid="{00000000-0005-0000-0000-0000F0710000}"/>
    <cellStyle name="Calculation 3 13 5 3" xfId="29200" xr:uid="{00000000-0005-0000-0000-0000F1710000}"/>
    <cellStyle name="Calculation 3 13 5 4" xfId="29201" xr:uid="{00000000-0005-0000-0000-0000F2710000}"/>
    <cellStyle name="Calculation 3 13 5 5" xfId="29202" xr:uid="{00000000-0005-0000-0000-0000F3710000}"/>
    <cellStyle name="Calculation 3 13 5 6" xfId="29203" xr:uid="{00000000-0005-0000-0000-0000F4710000}"/>
    <cellStyle name="Calculation 3 13 6" xfId="29204" xr:uid="{00000000-0005-0000-0000-0000F5710000}"/>
    <cellStyle name="Calculation 3 13 6 2" xfId="29205" xr:uid="{00000000-0005-0000-0000-0000F6710000}"/>
    <cellStyle name="Calculation 3 13 6 3" xfId="29206" xr:uid="{00000000-0005-0000-0000-0000F7710000}"/>
    <cellStyle name="Calculation 3 13 6 4" xfId="29207" xr:uid="{00000000-0005-0000-0000-0000F8710000}"/>
    <cellStyle name="Calculation 3 13 6 5" xfId="29208" xr:uid="{00000000-0005-0000-0000-0000F9710000}"/>
    <cellStyle name="Calculation 3 13 6 6" xfId="29209" xr:uid="{00000000-0005-0000-0000-0000FA710000}"/>
    <cellStyle name="Calculation 3 13 7" xfId="29210" xr:uid="{00000000-0005-0000-0000-0000FB710000}"/>
    <cellStyle name="Calculation 3 13 7 2" xfId="29211" xr:uid="{00000000-0005-0000-0000-0000FC710000}"/>
    <cellStyle name="Calculation 3 13 7 3" xfId="29212" xr:uid="{00000000-0005-0000-0000-0000FD710000}"/>
    <cellStyle name="Calculation 3 13 7 4" xfId="29213" xr:uid="{00000000-0005-0000-0000-0000FE710000}"/>
    <cellStyle name="Calculation 3 13 7 5" xfId="29214" xr:uid="{00000000-0005-0000-0000-0000FF710000}"/>
    <cellStyle name="Calculation 3 13 7 6" xfId="29215" xr:uid="{00000000-0005-0000-0000-000000720000}"/>
    <cellStyle name="Calculation 3 13 8" xfId="29216" xr:uid="{00000000-0005-0000-0000-000001720000}"/>
    <cellStyle name="Calculation 3 13 9" xfId="29217" xr:uid="{00000000-0005-0000-0000-000002720000}"/>
    <cellStyle name="Calculation 3 14" xfId="29218" xr:uid="{00000000-0005-0000-0000-000003720000}"/>
    <cellStyle name="Calculation 3 14 10" xfId="29219" xr:uid="{00000000-0005-0000-0000-000004720000}"/>
    <cellStyle name="Calculation 3 14 2" xfId="29220" xr:uid="{00000000-0005-0000-0000-000005720000}"/>
    <cellStyle name="Calculation 3 14 2 2" xfId="29221" xr:uid="{00000000-0005-0000-0000-000006720000}"/>
    <cellStyle name="Calculation 3 14 2 3" xfId="29222" xr:uid="{00000000-0005-0000-0000-000007720000}"/>
    <cellStyle name="Calculation 3 14 2 4" xfId="29223" xr:uid="{00000000-0005-0000-0000-000008720000}"/>
    <cellStyle name="Calculation 3 14 2 5" xfId="29224" xr:uid="{00000000-0005-0000-0000-000009720000}"/>
    <cellStyle name="Calculation 3 14 2 6" xfId="29225" xr:uid="{00000000-0005-0000-0000-00000A720000}"/>
    <cellStyle name="Calculation 3 14 3" xfId="29226" xr:uid="{00000000-0005-0000-0000-00000B720000}"/>
    <cellStyle name="Calculation 3 14 3 2" xfId="29227" xr:uid="{00000000-0005-0000-0000-00000C720000}"/>
    <cellStyle name="Calculation 3 14 3 3" xfId="29228" xr:uid="{00000000-0005-0000-0000-00000D720000}"/>
    <cellStyle name="Calculation 3 14 3 4" xfId="29229" xr:uid="{00000000-0005-0000-0000-00000E720000}"/>
    <cellStyle name="Calculation 3 14 3 5" xfId="29230" xr:uid="{00000000-0005-0000-0000-00000F720000}"/>
    <cellStyle name="Calculation 3 14 3 6" xfId="29231" xr:uid="{00000000-0005-0000-0000-000010720000}"/>
    <cellStyle name="Calculation 3 14 4" xfId="29232" xr:uid="{00000000-0005-0000-0000-000011720000}"/>
    <cellStyle name="Calculation 3 14 4 2" xfId="29233" xr:uid="{00000000-0005-0000-0000-000012720000}"/>
    <cellStyle name="Calculation 3 14 4 3" xfId="29234" xr:uid="{00000000-0005-0000-0000-000013720000}"/>
    <cellStyle name="Calculation 3 14 4 4" xfId="29235" xr:uid="{00000000-0005-0000-0000-000014720000}"/>
    <cellStyle name="Calculation 3 14 4 5" xfId="29236" xr:uid="{00000000-0005-0000-0000-000015720000}"/>
    <cellStyle name="Calculation 3 14 4 6" xfId="29237" xr:uid="{00000000-0005-0000-0000-000016720000}"/>
    <cellStyle name="Calculation 3 14 5" xfId="29238" xr:uid="{00000000-0005-0000-0000-000017720000}"/>
    <cellStyle name="Calculation 3 14 5 2" xfId="29239" xr:uid="{00000000-0005-0000-0000-000018720000}"/>
    <cellStyle name="Calculation 3 14 5 3" xfId="29240" xr:uid="{00000000-0005-0000-0000-000019720000}"/>
    <cellStyle name="Calculation 3 14 5 4" xfId="29241" xr:uid="{00000000-0005-0000-0000-00001A720000}"/>
    <cellStyle name="Calculation 3 14 5 5" xfId="29242" xr:uid="{00000000-0005-0000-0000-00001B720000}"/>
    <cellStyle name="Calculation 3 14 5 6" xfId="29243" xr:uid="{00000000-0005-0000-0000-00001C720000}"/>
    <cellStyle name="Calculation 3 14 6" xfId="29244" xr:uid="{00000000-0005-0000-0000-00001D720000}"/>
    <cellStyle name="Calculation 3 14 6 2" xfId="29245" xr:uid="{00000000-0005-0000-0000-00001E720000}"/>
    <cellStyle name="Calculation 3 14 6 3" xfId="29246" xr:uid="{00000000-0005-0000-0000-00001F720000}"/>
    <cellStyle name="Calculation 3 14 6 4" xfId="29247" xr:uid="{00000000-0005-0000-0000-000020720000}"/>
    <cellStyle name="Calculation 3 14 6 5" xfId="29248" xr:uid="{00000000-0005-0000-0000-000021720000}"/>
    <cellStyle name="Calculation 3 14 6 6" xfId="29249" xr:uid="{00000000-0005-0000-0000-000022720000}"/>
    <cellStyle name="Calculation 3 14 7" xfId="29250" xr:uid="{00000000-0005-0000-0000-000023720000}"/>
    <cellStyle name="Calculation 3 14 7 2" xfId="29251" xr:uid="{00000000-0005-0000-0000-000024720000}"/>
    <cellStyle name="Calculation 3 14 7 3" xfId="29252" xr:uid="{00000000-0005-0000-0000-000025720000}"/>
    <cellStyle name="Calculation 3 14 7 4" xfId="29253" xr:uid="{00000000-0005-0000-0000-000026720000}"/>
    <cellStyle name="Calculation 3 14 7 5" xfId="29254" xr:uid="{00000000-0005-0000-0000-000027720000}"/>
    <cellStyle name="Calculation 3 14 7 6" xfId="29255" xr:uid="{00000000-0005-0000-0000-000028720000}"/>
    <cellStyle name="Calculation 3 14 8" xfId="29256" xr:uid="{00000000-0005-0000-0000-000029720000}"/>
    <cellStyle name="Calculation 3 14 9" xfId="29257" xr:uid="{00000000-0005-0000-0000-00002A720000}"/>
    <cellStyle name="Calculation 3 15" xfId="29258" xr:uid="{00000000-0005-0000-0000-00002B720000}"/>
    <cellStyle name="Calculation 3 15 10" xfId="29259" xr:uid="{00000000-0005-0000-0000-00002C720000}"/>
    <cellStyle name="Calculation 3 15 2" xfId="29260" xr:uid="{00000000-0005-0000-0000-00002D720000}"/>
    <cellStyle name="Calculation 3 15 2 2" xfId="29261" xr:uid="{00000000-0005-0000-0000-00002E720000}"/>
    <cellStyle name="Calculation 3 15 2 3" xfId="29262" xr:uid="{00000000-0005-0000-0000-00002F720000}"/>
    <cellStyle name="Calculation 3 15 2 4" xfId="29263" xr:uid="{00000000-0005-0000-0000-000030720000}"/>
    <cellStyle name="Calculation 3 15 2 5" xfId="29264" xr:uid="{00000000-0005-0000-0000-000031720000}"/>
    <cellStyle name="Calculation 3 15 2 6" xfId="29265" xr:uid="{00000000-0005-0000-0000-000032720000}"/>
    <cellStyle name="Calculation 3 15 3" xfId="29266" xr:uid="{00000000-0005-0000-0000-000033720000}"/>
    <cellStyle name="Calculation 3 15 3 2" xfId="29267" xr:uid="{00000000-0005-0000-0000-000034720000}"/>
    <cellStyle name="Calculation 3 15 3 3" xfId="29268" xr:uid="{00000000-0005-0000-0000-000035720000}"/>
    <cellStyle name="Calculation 3 15 3 4" xfId="29269" xr:uid="{00000000-0005-0000-0000-000036720000}"/>
    <cellStyle name="Calculation 3 15 3 5" xfId="29270" xr:uid="{00000000-0005-0000-0000-000037720000}"/>
    <cellStyle name="Calculation 3 15 3 6" xfId="29271" xr:uid="{00000000-0005-0000-0000-000038720000}"/>
    <cellStyle name="Calculation 3 15 4" xfId="29272" xr:uid="{00000000-0005-0000-0000-000039720000}"/>
    <cellStyle name="Calculation 3 15 4 2" xfId="29273" xr:uid="{00000000-0005-0000-0000-00003A720000}"/>
    <cellStyle name="Calculation 3 15 4 3" xfId="29274" xr:uid="{00000000-0005-0000-0000-00003B720000}"/>
    <cellStyle name="Calculation 3 15 4 4" xfId="29275" xr:uid="{00000000-0005-0000-0000-00003C720000}"/>
    <cellStyle name="Calculation 3 15 4 5" xfId="29276" xr:uid="{00000000-0005-0000-0000-00003D720000}"/>
    <cellStyle name="Calculation 3 15 4 6" xfId="29277" xr:uid="{00000000-0005-0000-0000-00003E720000}"/>
    <cellStyle name="Calculation 3 15 5" xfId="29278" xr:uid="{00000000-0005-0000-0000-00003F720000}"/>
    <cellStyle name="Calculation 3 15 5 2" xfId="29279" xr:uid="{00000000-0005-0000-0000-000040720000}"/>
    <cellStyle name="Calculation 3 15 5 3" xfId="29280" xr:uid="{00000000-0005-0000-0000-000041720000}"/>
    <cellStyle name="Calculation 3 15 5 4" xfId="29281" xr:uid="{00000000-0005-0000-0000-000042720000}"/>
    <cellStyle name="Calculation 3 15 5 5" xfId="29282" xr:uid="{00000000-0005-0000-0000-000043720000}"/>
    <cellStyle name="Calculation 3 15 5 6" xfId="29283" xr:uid="{00000000-0005-0000-0000-000044720000}"/>
    <cellStyle name="Calculation 3 15 6" xfId="29284" xr:uid="{00000000-0005-0000-0000-000045720000}"/>
    <cellStyle name="Calculation 3 15 6 2" xfId="29285" xr:uid="{00000000-0005-0000-0000-000046720000}"/>
    <cellStyle name="Calculation 3 15 6 3" xfId="29286" xr:uid="{00000000-0005-0000-0000-000047720000}"/>
    <cellStyle name="Calculation 3 15 6 4" xfId="29287" xr:uid="{00000000-0005-0000-0000-000048720000}"/>
    <cellStyle name="Calculation 3 15 6 5" xfId="29288" xr:uid="{00000000-0005-0000-0000-000049720000}"/>
    <cellStyle name="Calculation 3 15 6 6" xfId="29289" xr:uid="{00000000-0005-0000-0000-00004A720000}"/>
    <cellStyle name="Calculation 3 15 7" xfId="29290" xr:uid="{00000000-0005-0000-0000-00004B720000}"/>
    <cellStyle name="Calculation 3 15 7 2" xfId="29291" xr:uid="{00000000-0005-0000-0000-00004C720000}"/>
    <cellStyle name="Calculation 3 15 7 3" xfId="29292" xr:uid="{00000000-0005-0000-0000-00004D720000}"/>
    <cellStyle name="Calculation 3 15 7 4" xfId="29293" xr:uid="{00000000-0005-0000-0000-00004E720000}"/>
    <cellStyle name="Calculation 3 15 7 5" xfId="29294" xr:uid="{00000000-0005-0000-0000-00004F720000}"/>
    <cellStyle name="Calculation 3 15 7 6" xfId="29295" xr:uid="{00000000-0005-0000-0000-000050720000}"/>
    <cellStyle name="Calculation 3 15 8" xfId="29296" xr:uid="{00000000-0005-0000-0000-000051720000}"/>
    <cellStyle name="Calculation 3 15 9" xfId="29297" xr:uid="{00000000-0005-0000-0000-000052720000}"/>
    <cellStyle name="Calculation 3 16" xfId="29298" xr:uid="{00000000-0005-0000-0000-000053720000}"/>
    <cellStyle name="Calculation 3 16 10" xfId="29299" xr:uid="{00000000-0005-0000-0000-000054720000}"/>
    <cellStyle name="Calculation 3 16 2" xfId="29300" xr:uid="{00000000-0005-0000-0000-000055720000}"/>
    <cellStyle name="Calculation 3 16 2 2" xfId="29301" xr:uid="{00000000-0005-0000-0000-000056720000}"/>
    <cellStyle name="Calculation 3 16 2 3" xfId="29302" xr:uid="{00000000-0005-0000-0000-000057720000}"/>
    <cellStyle name="Calculation 3 16 2 4" xfId="29303" xr:uid="{00000000-0005-0000-0000-000058720000}"/>
    <cellStyle name="Calculation 3 16 2 5" xfId="29304" xr:uid="{00000000-0005-0000-0000-000059720000}"/>
    <cellStyle name="Calculation 3 16 2 6" xfId="29305" xr:uid="{00000000-0005-0000-0000-00005A720000}"/>
    <cellStyle name="Calculation 3 16 3" xfId="29306" xr:uid="{00000000-0005-0000-0000-00005B720000}"/>
    <cellStyle name="Calculation 3 16 3 2" xfId="29307" xr:uid="{00000000-0005-0000-0000-00005C720000}"/>
    <cellStyle name="Calculation 3 16 3 3" xfId="29308" xr:uid="{00000000-0005-0000-0000-00005D720000}"/>
    <cellStyle name="Calculation 3 16 3 4" xfId="29309" xr:uid="{00000000-0005-0000-0000-00005E720000}"/>
    <cellStyle name="Calculation 3 16 3 5" xfId="29310" xr:uid="{00000000-0005-0000-0000-00005F720000}"/>
    <cellStyle name="Calculation 3 16 3 6" xfId="29311" xr:uid="{00000000-0005-0000-0000-000060720000}"/>
    <cellStyle name="Calculation 3 16 4" xfId="29312" xr:uid="{00000000-0005-0000-0000-000061720000}"/>
    <cellStyle name="Calculation 3 16 4 2" xfId="29313" xr:uid="{00000000-0005-0000-0000-000062720000}"/>
    <cellStyle name="Calculation 3 16 4 3" xfId="29314" xr:uid="{00000000-0005-0000-0000-000063720000}"/>
    <cellStyle name="Calculation 3 16 4 4" xfId="29315" xr:uid="{00000000-0005-0000-0000-000064720000}"/>
    <cellStyle name="Calculation 3 16 4 5" xfId="29316" xr:uid="{00000000-0005-0000-0000-000065720000}"/>
    <cellStyle name="Calculation 3 16 4 6" xfId="29317" xr:uid="{00000000-0005-0000-0000-000066720000}"/>
    <cellStyle name="Calculation 3 16 5" xfId="29318" xr:uid="{00000000-0005-0000-0000-000067720000}"/>
    <cellStyle name="Calculation 3 16 5 2" xfId="29319" xr:uid="{00000000-0005-0000-0000-000068720000}"/>
    <cellStyle name="Calculation 3 16 5 3" xfId="29320" xr:uid="{00000000-0005-0000-0000-000069720000}"/>
    <cellStyle name="Calculation 3 16 5 4" xfId="29321" xr:uid="{00000000-0005-0000-0000-00006A720000}"/>
    <cellStyle name="Calculation 3 16 5 5" xfId="29322" xr:uid="{00000000-0005-0000-0000-00006B720000}"/>
    <cellStyle name="Calculation 3 16 5 6" xfId="29323" xr:uid="{00000000-0005-0000-0000-00006C720000}"/>
    <cellStyle name="Calculation 3 16 6" xfId="29324" xr:uid="{00000000-0005-0000-0000-00006D720000}"/>
    <cellStyle name="Calculation 3 16 6 2" xfId="29325" xr:uid="{00000000-0005-0000-0000-00006E720000}"/>
    <cellStyle name="Calculation 3 16 6 3" xfId="29326" xr:uid="{00000000-0005-0000-0000-00006F720000}"/>
    <cellStyle name="Calculation 3 16 6 4" xfId="29327" xr:uid="{00000000-0005-0000-0000-000070720000}"/>
    <cellStyle name="Calculation 3 16 6 5" xfId="29328" xr:uid="{00000000-0005-0000-0000-000071720000}"/>
    <cellStyle name="Calculation 3 16 6 6" xfId="29329" xr:uid="{00000000-0005-0000-0000-000072720000}"/>
    <cellStyle name="Calculation 3 16 7" xfId="29330" xr:uid="{00000000-0005-0000-0000-000073720000}"/>
    <cellStyle name="Calculation 3 16 7 2" xfId="29331" xr:uid="{00000000-0005-0000-0000-000074720000}"/>
    <cellStyle name="Calculation 3 16 7 3" xfId="29332" xr:uid="{00000000-0005-0000-0000-000075720000}"/>
    <cellStyle name="Calculation 3 16 7 4" xfId="29333" xr:uid="{00000000-0005-0000-0000-000076720000}"/>
    <cellStyle name="Calculation 3 16 7 5" xfId="29334" xr:uid="{00000000-0005-0000-0000-000077720000}"/>
    <cellStyle name="Calculation 3 16 7 6" xfId="29335" xr:uid="{00000000-0005-0000-0000-000078720000}"/>
    <cellStyle name="Calculation 3 16 8" xfId="29336" xr:uid="{00000000-0005-0000-0000-000079720000}"/>
    <cellStyle name="Calculation 3 16 9" xfId="29337" xr:uid="{00000000-0005-0000-0000-00007A720000}"/>
    <cellStyle name="Calculation 3 17" xfId="29338" xr:uid="{00000000-0005-0000-0000-00007B720000}"/>
    <cellStyle name="Calculation 3 17 10" xfId="29339" xr:uid="{00000000-0005-0000-0000-00007C720000}"/>
    <cellStyle name="Calculation 3 17 2" xfId="29340" xr:uid="{00000000-0005-0000-0000-00007D720000}"/>
    <cellStyle name="Calculation 3 17 2 2" xfId="29341" xr:uid="{00000000-0005-0000-0000-00007E720000}"/>
    <cellStyle name="Calculation 3 17 2 3" xfId="29342" xr:uid="{00000000-0005-0000-0000-00007F720000}"/>
    <cellStyle name="Calculation 3 17 2 4" xfId="29343" xr:uid="{00000000-0005-0000-0000-000080720000}"/>
    <cellStyle name="Calculation 3 17 2 5" xfId="29344" xr:uid="{00000000-0005-0000-0000-000081720000}"/>
    <cellStyle name="Calculation 3 17 2 6" xfId="29345" xr:uid="{00000000-0005-0000-0000-000082720000}"/>
    <cellStyle name="Calculation 3 17 3" xfId="29346" xr:uid="{00000000-0005-0000-0000-000083720000}"/>
    <cellStyle name="Calculation 3 17 3 2" xfId="29347" xr:uid="{00000000-0005-0000-0000-000084720000}"/>
    <cellStyle name="Calculation 3 17 3 3" xfId="29348" xr:uid="{00000000-0005-0000-0000-000085720000}"/>
    <cellStyle name="Calculation 3 17 3 4" xfId="29349" xr:uid="{00000000-0005-0000-0000-000086720000}"/>
    <cellStyle name="Calculation 3 17 3 5" xfId="29350" xr:uid="{00000000-0005-0000-0000-000087720000}"/>
    <cellStyle name="Calculation 3 17 3 6" xfId="29351" xr:uid="{00000000-0005-0000-0000-000088720000}"/>
    <cellStyle name="Calculation 3 17 4" xfId="29352" xr:uid="{00000000-0005-0000-0000-000089720000}"/>
    <cellStyle name="Calculation 3 17 4 2" xfId="29353" xr:uid="{00000000-0005-0000-0000-00008A720000}"/>
    <cellStyle name="Calculation 3 17 4 3" xfId="29354" xr:uid="{00000000-0005-0000-0000-00008B720000}"/>
    <cellStyle name="Calculation 3 17 4 4" xfId="29355" xr:uid="{00000000-0005-0000-0000-00008C720000}"/>
    <cellStyle name="Calculation 3 17 4 5" xfId="29356" xr:uid="{00000000-0005-0000-0000-00008D720000}"/>
    <cellStyle name="Calculation 3 17 4 6" xfId="29357" xr:uid="{00000000-0005-0000-0000-00008E720000}"/>
    <cellStyle name="Calculation 3 17 5" xfId="29358" xr:uid="{00000000-0005-0000-0000-00008F720000}"/>
    <cellStyle name="Calculation 3 17 5 2" xfId="29359" xr:uid="{00000000-0005-0000-0000-000090720000}"/>
    <cellStyle name="Calculation 3 17 5 3" xfId="29360" xr:uid="{00000000-0005-0000-0000-000091720000}"/>
    <cellStyle name="Calculation 3 17 5 4" xfId="29361" xr:uid="{00000000-0005-0000-0000-000092720000}"/>
    <cellStyle name="Calculation 3 17 5 5" xfId="29362" xr:uid="{00000000-0005-0000-0000-000093720000}"/>
    <cellStyle name="Calculation 3 17 5 6" xfId="29363" xr:uid="{00000000-0005-0000-0000-000094720000}"/>
    <cellStyle name="Calculation 3 17 6" xfId="29364" xr:uid="{00000000-0005-0000-0000-000095720000}"/>
    <cellStyle name="Calculation 3 17 6 2" xfId="29365" xr:uid="{00000000-0005-0000-0000-000096720000}"/>
    <cellStyle name="Calculation 3 17 6 3" xfId="29366" xr:uid="{00000000-0005-0000-0000-000097720000}"/>
    <cellStyle name="Calculation 3 17 6 4" xfId="29367" xr:uid="{00000000-0005-0000-0000-000098720000}"/>
    <cellStyle name="Calculation 3 17 6 5" xfId="29368" xr:uid="{00000000-0005-0000-0000-000099720000}"/>
    <cellStyle name="Calculation 3 17 6 6" xfId="29369" xr:uid="{00000000-0005-0000-0000-00009A720000}"/>
    <cellStyle name="Calculation 3 17 7" xfId="29370" xr:uid="{00000000-0005-0000-0000-00009B720000}"/>
    <cellStyle name="Calculation 3 17 7 2" xfId="29371" xr:uid="{00000000-0005-0000-0000-00009C720000}"/>
    <cellStyle name="Calculation 3 17 7 3" xfId="29372" xr:uid="{00000000-0005-0000-0000-00009D720000}"/>
    <cellStyle name="Calculation 3 17 7 4" xfId="29373" xr:uid="{00000000-0005-0000-0000-00009E720000}"/>
    <cellStyle name="Calculation 3 17 7 5" xfId="29374" xr:uid="{00000000-0005-0000-0000-00009F720000}"/>
    <cellStyle name="Calculation 3 17 7 6" xfId="29375" xr:uid="{00000000-0005-0000-0000-0000A0720000}"/>
    <cellStyle name="Calculation 3 17 8" xfId="29376" xr:uid="{00000000-0005-0000-0000-0000A1720000}"/>
    <cellStyle name="Calculation 3 17 9" xfId="29377" xr:uid="{00000000-0005-0000-0000-0000A2720000}"/>
    <cellStyle name="Calculation 3 18" xfId="29378" xr:uid="{00000000-0005-0000-0000-0000A3720000}"/>
    <cellStyle name="Calculation 3 18 10" xfId="29379" xr:uid="{00000000-0005-0000-0000-0000A4720000}"/>
    <cellStyle name="Calculation 3 18 2" xfId="29380" xr:uid="{00000000-0005-0000-0000-0000A5720000}"/>
    <cellStyle name="Calculation 3 18 2 2" xfId="29381" xr:uid="{00000000-0005-0000-0000-0000A6720000}"/>
    <cellStyle name="Calculation 3 18 2 3" xfId="29382" xr:uid="{00000000-0005-0000-0000-0000A7720000}"/>
    <cellStyle name="Calculation 3 18 2 4" xfId="29383" xr:uid="{00000000-0005-0000-0000-0000A8720000}"/>
    <cellStyle name="Calculation 3 18 2 5" xfId="29384" xr:uid="{00000000-0005-0000-0000-0000A9720000}"/>
    <cellStyle name="Calculation 3 18 2 6" xfId="29385" xr:uid="{00000000-0005-0000-0000-0000AA720000}"/>
    <cellStyle name="Calculation 3 18 3" xfId="29386" xr:uid="{00000000-0005-0000-0000-0000AB720000}"/>
    <cellStyle name="Calculation 3 18 3 2" xfId="29387" xr:uid="{00000000-0005-0000-0000-0000AC720000}"/>
    <cellStyle name="Calculation 3 18 3 3" xfId="29388" xr:uid="{00000000-0005-0000-0000-0000AD720000}"/>
    <cellStyle name="Calculation 3 18 3 4" xfId="29389" xr:uid="{00000000-0005-0000-0000-0000AE720000}"/>
    <cellStyle name="Calculation 3 18 3 5" xfId="29390" xr:uid="{00000000-0005-0000-0000-0000AF720000}"/>
    <cellStyle name="Calculation 3 18 3 6" xfId="29391" xr:uid="{00000000-0005-0000-0000-0000B0720000}"/>
    <cellStyle name="Calculation 3 18 4" xfId="29392" xr:uid="{00000000-0005-0000-0000-0000B1720000}"/>
    <cellStyle name="Calculation 3 18 4 2" xfId="29393" xr:uid="{00000000-0005-0000-0000-0000B2720000}"/>
    <cellStyle name="Calculation 3 18 4 3" xfId="29394" xr:uid="{00000000-0005-0000-0000-0000B3720000}"/>
    <cellStyle name="Calculation 3 18 4 4" xfId="29395" xr:uid="{00000000-0005-0000-0000-0000B4720000}"/>
    <cellStyle name="Calculation 3 18 4 5" xfId="29396" xr:uid="{00000000-0005-0000-0000-0000B5720000}"/>
    <cellStyle name="Calculation 3 18 4 6" xfId="29397" xr:uid="{00000000-0005-0000-0000-0000B6720000}"/>
    <cellStyle name="Calculation 3 18 5" xfId="29398" xr:uid="{00000000-0005-0000-0000-0000B7720000}"/>
    <cellStyle name="Calculation 3 18 5 2" xfId="29399" xr:uid="{00000000-0005-0000-0000-0000B8720000}"/>
    <cellStyle name="Calculation 3 18 5 3" xfId="29400" xr:uid="{00000000-0005-0000-0000-0000B9720000}"/>
    <cellStyle name="Calculation 3 18 5 4" xfId="29401" xr:uid="{00000000-0005-0000-0000-0000BA720000}"/>
    <cellStyle name="Calculation 3 18 5 5" xfId="29402" xr:uid="{00000000-0005-0000-0000-0000BB720000}"/>
    <cellStyle name="Calculation 3 18 5 6" xfId="29403" xr:uid="{00000000-0005-0000-0000-0000BC720000}"/>
    <cellStyle name="Calculation 3 18 6" xfId="29404" xr:uid="{00000000-0005-0000-0000-0000BD720000}"/>
    <cellStyle name="Calculation 3 18 6 2" xfId="29405" xr:uid="{00000000-0005-0000-0000-0000BE720000}"/>
    <cellStyle name="Calculation 3 18 6 3" xfId="29406" xr:uid="{00000000-0005-0000-0000-0000BF720000}"/>
    <cellStyle name="Calculation 3 18 6 4" xfId="29407" xr:uid="{00000000-0005-0000-0000-0000C0720000}"/>
    <cellStyle name="Calculation 3 18 6 5" xfId="29408" xr:uid="{00000000-0005-0000-0000-0000C1720000}"/>
    <cellStyle name="Calculation 3 18 6 6" xfId="29409" xr:uid="{00000000-0005-0000-0000-0000C2720000}"/>
    <cellStyle name="Calculation 3 18 7" xfId="29410" xr:uid="{00000000-0005-0000-0000-0000C3720000}"/>
    <cellStyle name="Calculation 3 18 7 2" xfId="29411" xr:uid="{00000000-0005-0000-0000-0000C4720000}"/>
    <cellStyle name="Calculation 3 18 7 3" xfId="29412" xr:uid="{00000000-0005-0000-0000-0000C5720000}"/>
    <cellStyle name="Calculation 3 18 7 4" xfId="29413" xr:uid="{00000000-0005-0000-0000-0000C6720000}"/>
    <cellStyle name="Calculation 3 18 7 5" xfId="29414" xr:uid="{00000000-0005-0000-0000-0000C7720000}"/>
    <cellStyle name="Calculation 3 18 7 6" xfId="29415" xr:uid="{00000000-0005-0000-0000-0000C8720000}"/>
    <cellStyle name="Calculation 3 18 8" xfId="29416" xr:uid="{00000000-0005-0000-0000-0000C9720000}"/>
    <cellStyle name="Calculation 3 18 9" xfId="29417" xr:uid="{00000000-0005-0000-0000-0000CA720000}"/>
    <cellStyle name="Calculation 3 19" xfId="29418" xr:uid="{00000000-0005-0000-0000-0000CB720000}"/>
    <cellStyle name="Calculation 3 19 10" xfId="29419" xr:uid="{00000000-0005-0000-0000-0000CC720000}"/>
    <cellStyle name="Calculation 3 19 2" xfId="29420" xr:uid="{00000000-0005-0000-0000-0000CD720000}"/>
    <cellStyle name="Calculation 3 19 2 2" xfId="29421" xr:uid="{00000000-0005-0000-0000-0000CE720000}"/>
    <cellStyle name="Calculation 3 19 2 3" xfId="29422" xr:uid="{00000000-0005-0000-0000-0000CF720000}"/>
    <cellStyle name="Calculation 3 19 2 4" xfId="29423" xr:uid="{00000000-0005-0000-0000-0000D0720000}"/>
    <cellStyle name="Calculation 3 19 2 5" xfId="29424" xr:uid="{00000000-0005-0000-0000-0000D1720000}"/>
    <cellStyle name="Calculation 3 19 2 6" xfId="29425" xr:uid="{00000000-0005-0000-0000-0000D2720000}"/>
    <cellStyle name="Calculation 3 19 3" xfId="29426" xr:uid="{00000000-0005-0000-0000-0000D3720000}"/>
    <cellStyle name="Calculation 3 19 3 2" xfId="29427" xr:uid="{00000000-0005-0000-0000-0000D4720000}"/>
    <cellStyle name="Calculation 3 19 3 3" xfId="29428" xr:uid="{00000000-0005-0000-0000-0000D5720000}"/>
    <cellStyle name="Calculation 3 19 3 4" xfId="29429" xr:uid="{00000000-0005-0000-0000-0000D6720000}"/>
    <cellStyle name="Calculation 3 19 3 5" xfId="29430" xr:uid="{00000000-0005-0000-0000-0000D7720000}"/>
    <cellStyle name="Calculation 3 19 3 6" xfId="29431" xr:uid="{00000000-0005-0000-0000-0000D8720000}"/>
    <cellStyle name="Calculation 3 19 4" xfId="29432" xr:uid="{00000000-0005-0000-0000-0000D9720000}"/>
    <cellStyle name="Calculation 3 19 4 2" xfId="29433" xr:uid="{00000000-0005-0000-0000-0000DA720000}"/>
    <cellStyle name="Calculation 3 19 4 3" xfId="29434" xr:uid="{00000000-0005-0000-0000-0000DB720000}"/>
    <cellStyle name="Calculation 3 19 4 4" xfId="29435" xr:uid="{00000000-0005-0000-0000-0000DC720000}"/>
    <cellStyle name="Calculation 3 19 4 5" xfId="29436" xr:uid="{00000000-0005-0000-0000-0000DD720000}"/>
    <cellStyle name="Calculation 3 19 4 6" xfId="29437" xr:uid="{00000000-0005-0000-0000-0000DE720000}"/>
    <cellStyle name="Calculation 3 19 5" xfId="29438" xr:uid="{00000000-0005-0000-0000-0000DF720000}"/>
    <cellStyle name="Calculation 3 19 5 2" xfId="29439" xr:uid="{00000000-0005-0000-0000-0000E0720000}"/>
    <cellStyle name="Calculation 3 19 5 3" xfId="29440" xr:uid="{00000000-0005-0000-0000-0000E1720000}"/>
    <cellStyle name="Calculation 3 19 5 4" xfId="29441" xr:uid="{00000000-0005-0000-0000-0000E2720000}"/>
    <cellStyle name="Calculation 3 19 5 5" xfId="29442" xr:uid="{00000000-0005-0000-0000-0000E3720000}"/>
    <cellStyle name="Calculation 3 19 5 6" xfId="29443" xr:uid="{00000000-0005-0000-0000-0000E4720000}"/>
    <cellStyle name="Calculation 3 19 6" xfId="29444" xr:uid="{00000000-0005-0000-0000-0000E5720000}"/>
    <cellStyle name="Calculation 3 19 6 2" xfId="29445" xr:uid="{00000000-0005-0000-0000-0000E6720000}"/>
    <cellStyle name="Calculation 3 19 6 3" xfId="29446" xr:uid="{00000000-0005-0000-0000-0000E7720000}"/>
    <cellStyle name="Calculation 3 19 6 4" xfId="29447" xr:uid="{00000000-0005-0000-0000-0000E8720000}"/>
    <cellStyle name="Calculation 3 19 6 5" xfId="29448" xr:uid="{00000000-0005-0000-0000-0000E9720000}"/>
    <cellStyle name="Calculation 3 19 6 6" xfId="29449" xr:uid="{00000000-0005-0000-0000-0000EA720000}"/>
    <cellStyle name="Calculation 3 19 7" xfId="29450" xr:uid="{00000000-0005-0000-0000-0000EB720000}"/>
    <cellStyle name="Calculation 3 19 7 2" xfId="29451" xr:uid="{00000000-0005-0000-0000-0000EC720000}"/>
    <cellStyle name="Calculation 3 19 7 3" xfId="29452" xr:uid="{00000000-0005-0000-0000-0000ED720000}"/>
    <cellStyle name="Calculation 3 19 7 4" xfId="29453" xr:uid="{00000000-0005-0000-0000-0000EE720000}"/>
    <cellStyle name="Calculation 3 19 7 5" xfId="29454" xr:uid="{00000000-0005-0000-0000-0000EF720000}"/>
    <cellStyle name="Calculation 3 19 7 6" xfId="29455" xr:uid="{00000000-0005-0000-0000-0000F0720000}"/>
    <cellStyle name="Calculation 3 19 8" xfId="29456" xr:uid="{00000000-0005-0000-0000-0000F1720000}"/>
    <cellStyle name="Calculation 3 19 9" xfId="29457" xr:uid="{00000000-0005-0000-0000-0000F2720000}"/>
    <cellStyle name="Calculation 3 2" xfId="29458" xr:uid="{00000000-0005-0000-0000-0000F3720000}"/>
    <cellStyle name="Calculation 3 2 10" xfId="29459" xr:uid="{00000000-0005-0000-0000-0000F4720000}"/>
    <cellStyle name="Calculation 3 2 10 10" xfId="29460" xr:uid="{00000000-0005-0000-0000-0000F5720000}"/>
    <cellStyle name="Calculation 3 2 10 2" xfId="29461" xr:uid="{00000000-0005-0000-0000-0000F6720000}"/>
    <cellStyle name="Calculation 3 2 10 2 2" xfId="29462" xr:uid="{00000000-0005-0000-0000-0000F7720000}"/>
    <cellStyle name="Calculation 3 2 10 2 3" xfId="29463" xr:uid="{00000000-0005-0000-0000-0000F8720000}"/>
    <cellStyle name="Calculation 3 2 10 2 4" xfId="29464" xr:uid="{00000000-0005-0000-0000-0000F9720000}"/>
    <cellStyle name="Calculation 3 2 10 2 5" xfId="29465" xr:uid="{00000000-0005-0000-0000-0000FA720000}"/>
    <cellStyle name="Calculation 3 2 10 2 6" xfId="29466" xr:uid="{00000000-0005-0000-0000-0000FB720000}"/>
    <cellStyle name="Calculation 3 2 10 3" xfId="29467" xr:uid="{00000000-0005-0000-0000-0000FC720000}"/>
    <cellStyle name="Calculation 3 2 10 3 2" xfId="29468" xr:uid="{00000000-0005-0000-0000-0000FD720000}"/>
    <cellStyle name="Calculation 3 2 10 3 3" xfId="29469" xr:uid="{00000000-0005-0000-0000-0000FE720000}"/>
    <cellStyle name="Calculation 3 2 10 3 4" xfId="29470" xr:uid="{00000000-0005-0000-0000-0000FF720000}"/>
    <cellStyle name="Calculation 3 2 10 3 5" xfId="29471" xr:uid="{00000000-0005-0000-0000-000000730000}"/>
    <cellStyle name="Calculation 3 2 10 3 6" xfId="29472" xr:uid="{00000000-0005-0000-0000-000001730000}"/>
    <cellStyle name="Calculation 3 2 10 4" xfId="29473" xr:uid="{00000000-0005-0000-0000-000002730000}"/>
    <cellStyle name="Calculation 3 2 10 4 2" xfId="29474" xr:uid="{00000000-0005-0000-0000-000003730000}"/>
    <cellStyle name="Calculation 3 2 10 4 3" xfId="29475" xr:uid="{00000000-0005-0000-0000-000004730000}"/>
    <cellStyle name="Calculation 3 2 10 4 4" xfId="29476" xr:uid="{00000000-0005-0000-0000-000005730000}"/>
    <cellStyle name="Calculation 3 2 10 4 5" xfId="29477" xr:uid="{00000000-0005-0000-0000-000006730000}"/>
    <cellStyle name="Calculation 3 2 10 4 6" xfId="29478" xr:uid="{00000000-0005-0000-0000-000007730000}"/>
    <cellStyle name="Calculation 3 2 10 5" xfId="29479" xr:uid="{00000000-0005-0000-0000-000008730000}"/>
    <cellStyle name="Calculation 3 2 10 5 2" xfId="29480" xr:uid="{00000000-0005-0000-0000-000009730000}"/>
    <cellStyle name="Calculation 3 2 10 5 3" xfId="29481" xr:uid="{00000000-0005-0000-0000-00000A730000}"/>
    <cellStyle name="Calculation 3 2 10 5 4" xfId="29482" xr:uid="{00000000-0005-0000-0000-00000B730000}"/>
    <cellStyle name="Calculation 3 2 10 5 5" xfId="29483" xr:uid="{00000000-0005-0000-0000-00000C730000}"/>
    <cellStyle name="Calculation 3 2 10 5 6" xfId="29484" xr:uid="{00000000-0005-0000-0000-00000D730000}"/>
    <cellStyle name="Calculation 3 2 10 6" xfId="29485" xr:uid="{00000000-0005-0000-0000-00000E730000}"/>
    <cellStyle name="Calculation 3 2 10 6 2" xfId="29486" xr:uid="{00000000-0005-0000-0000-00000F730000}"/>
    <cellStyle name="Calculation 3 2 10 6 3" xfId="29487" xr:uid="{00000000-0005-0000-0000-000010730000}"/>
    <cellStyle name="Calculation 3 2 10 6 4" xfId="29488" xr:uid="{00000000-0005-0000-0000-000011730000}"/>
    <cellStyle name="Calculation 3 2 10 6 5" xfId="29489" xr:uid="{00000000-0005-0000-0000-000012730000}"/>
    <cellStyle name="Calculation 3 2 10 6 6" xfId="29490" xr:uid="{00000000-0005-0000-0000-000013730000}"/>
    <cellStyle name="Calculation 3 2 10 7" xfId="29491" xr:uid="{00000000-0005-0000-0000-000014730000}"/>
    <cellStyle name="Calculation 3 2 10 7 2" xfId="29492" xr:uid="{00000000-0005-0000-0000-000015730000}"/>
    <cellStyle name="Calculation 3 2 10 7 3" xfId="29493" xr:uid="{00000000-0005-0000-0000-000016730000}"/>
    <cellStyle name="Calculation 3 2 10 7 4" xfId="29494" xr:uid="{00000000-0005-0000-0000-000017730000}"/>
    <cellStyle name="Calculation 3 2 10 7 5" xfId="29495" xr:uid="{00000000-0005-0000-0000-000018730000}"/>
    <cellStyle name="Calculation 3 2 10 7 6" xfId="29496" xr:uid="{00000000-0005-0000-0000-000019730000}"/>
    <cellStyle name="Calculation 3 2 10 8" xfId="29497" xr:uid="{00000000-0005-0000-0000-00001A730000}"/>
    <cellStyle name="Calculation 3 2 10 9" xfId="29498" xr:uid="{00000000-0005-0000-0000-00001B730000}"/>
    <cellStyle name="Calculation 3 2 11" xfId="29499" xr:uid="{00000000-0005-0000-0000-00001C730000}"/>
    <cellStyle name="Calculation 3 2 11 10" xfId="29500" xr:uid="{00000000-0005-0000-0000-00001D730000}"/>
    <cellStyle name="Calculation 3 2 11 2" xfId="29501" xr:uid="{00000000-0005-0000-0000-00001E730000}"/>
    <cellStyle name="Calculation 3 2 11 2 2" xfId="29502" xr:uid="{00000000-0005-0000-0000-00001F730000}"/>
    <cellStyle name="Calculation 3 2 11 2 3" xfId="29503" xr:uid="{00000000-0005-0000-0000-000020730000}"/>
    <cellStyle name="Calculation 3 2 11 2 4" xfId="29504" xr:uid="{00000000-0005-0000-0000-000021730000}"/>
    <cellStyle name="Calculation 3 2 11 2 5" xfId="29505" xr:uid="{00000000-0005-0000-0000-000022730000}"/>
    <cellStyle name="Calculation 3 2 11 2 6" xfId="29506" xr:uid="{00000000-0005-0000-0000-000023730000}"/>
    <cellStyle name="Calculation 3 2 11 3" xfId="29507" xr:uid="{00000000-0005-0000-0000-000024730000}"/>
    <cellStyle name="Calculation 3 2 11 3 2" xfId="29508" xr:uid="{00000000-0005-0000-0000-000025730000}"/>
    <cellStyle name="Calculation 3 2 11 3 3" xfId="29509" xr:uid="{00000000-0005-0000-0000-000026730000}"/>
    <cellStyle name="Calculation 3 2 11 3 4" xfId="29510" xr:uid="{00000000-0005-0000-0000-000027730000}"/>
    <cellStyle name="Calculation 3 2 11 3 5" xfId="29511" xr:uid="{00000000-0005-0000-0000-000028730000}"/>
    <cellStyle name="Calculation 3 2 11 3 6" xfId="29512" xr:uid="{00000000-0005-0000-0000-000029730000}"/>
    <cellStyle name="Calculation 3 2 11 4" xfId="29513" xr:uid="{00000000-0005-0000-0000-00002A730000}"/>
    <cellStyle name="Calculation 3 2 11 4 2" xfId="29514" xr:uid="{00000000-0005-0000-0000-00002B730000}"/>
    <cellStyle name="Calculation 3 2 11 4 3" xfId="29515" xr:uid="{00000000-0005-0000-0000-00002C730000}"/>
    <cellStyle name="Calculation 3 2 11 4 4" xfId="29516" xr:uid="{00000000-0005-0000-0000-00002D730000}"/>
    <cellStyle name="Calculation 3 2 11 4 5" xfId="29517" xr:uid="{00000000-0005-0000-0000-00002E730000}"/>
    <cellStyle name="Calculation 3 2 11 4 6" xfId="29518" xr:uid="{00000000-0005-0000-0000-00002F730000}"/>
    <cellStyle name="Calculation 3 2 11 5" xfId="29519" xr:uid="{00000000-0005-0000-0000-000030730000}"/>
    <cellStyle name="Calculation 3 2 11 5 2" xfId="29520" xr:uid="{00000000-0005-0000-0000-000031730000}"/>
    <cellStyle name="Calculation 3 2 11 5 3" xfId="29521" xr:uid="{00000000-0005-0000-0000-000032730000}"/>
    <cellStyle name="Calculation 3 2 11 5 4" xfId="29522" xr:uid="{00000000-0005-0000-0000-000033730000}"/>
    <cellStyle name="Calculation 3 2 11 5 5" xfId="29523" xr:uid="{00000000-0005-0000-0000-000034730000}"/>
    <cellStyle name="Calculation 3 2 11 5 6" xfId="29524" xr:uid="{00000000-0005-0000-0000-000035730000}"/>
    <cellStyle name="Calculation 3 2 11 6" xfId="29525" xr:uid="{00000000-0005-0000-0000-000036730000}"/>
    <cellStyle name="Calculation 3 2 11 6 2" xfId="29526" xr:uid="{00000000-0005-0000-0000-000037730000}"/>
    <cellStyle name="Calculation 3 2 11 6 3" xfId="29527" xr:uid="{00000000-0005-0000-0000-000038730000}"/>
    <cellStyle name="Calculation 3 2 11 6 4" xfId="29528" xr:uid="{00000000-0005-0000-0000-000039730000}"/>
    <cellStyle name="Calculation 3 2 11 6 5" xfId="29529" xr:uid="{00000000-0005-0000-0000-00003A730000}"/>
    <cellStyle name="Calculation 3 2 11 6 6" xfId="29530" xr:uid="{00000000-0005-0000-0000-00003B730000}"/>
    <cellStyle name="Calculation 3 2 11 7" xfId="29531" xr:uid="{00000000-0005-0000-0000-00003C730000}"/>
    <cellStyle name="Calculation 3 2 11 7 2" xfId="29532" xr:uid="{00000000-0005-0000-0000-00003D730000}"/>
    <cellStyle name="Calculation 3 2 11 7 3" xfId="29533" xr:uid="{00000000-0005-0000-0000-00003E730000}"/>
    <cellStyle name="Calculation 3 2 11 7 4" xfId="29534" xr:uid="{00000000-0005-0000-0000-00003F730000}"/>
    <cellStyle name="Calculation 3 2 11 7 5" xfId="29535" xr:uid="{00000000-0005-0000-0000-000040730000}"/>
    <cellStyle name="Calculation 3 2 11 7 6" xfId="29536" xr:uid="{00000000-0005-0000-0000-000041730000}"/>
    <cellStyle name="Calculation 3 2 11 8" xfId="29537" xr:uid="{00000000-0005-0000-0000-000042730000}"/>
    <cellStyle name="Calculation 3 2 11 9" xfId="29538" xr:uid="{00000000-0005-0000-0000-000043730000}"/>
    <cellStyle name="Calculation 3 2 12" xfId="29539" xr:uid="{00000000-0005-0000-0000-000044730000}"/>
    <cellStyle name="Calculation 3 2 12 10" xfId="29540" xr:uid="{00000000-0005-0000-0000-000045730000}"/>
    <cellStyle name="Calculation 3 2 12 2" xfId="29541" xr:uid="{00000000-0005-0000-0000-000046730000}"/>
    <cellStyle name="Calculation 3 2 12 2 2" xfId="29542" xr:uid="{00000000-0005-0000-0000-000047730000}"/>
    <cellStyle name="Calculation 3 2 12 2 3" xfId="29543" xr:uid="{00000000-0005-0000-0000-000048730000}"/>
    <cellStyle name="Calculation 3 2 12 2 4" xfId="29544" xr:uid="{00000000-0005-0000-0000-000049730000}"/>
    <cellStyle name="Calculation 3 2 12 2 5" xfId="29545" xr:uid="{00000000-0005-0000-0000-00004A730000}"/>
    <cellStyle name="Calculation 3 2 12 2 6" xfId="29546" xr:uid="{00000000-0005-0000-0000-00004B730000}"/>
    <cellStyle name="Calculation 3 2 12 3" xfId="29547" xr:uid="{00000000-0005-0000-0000-00004C730000}"/>
    <cellStyle name="Calculation 3 2 12 3 2" xfId="29548" xr:uid="{00000000-0005-0000-0000-00004D730000}"/>
    <cellStyle name="Calculation 3 2 12 3 3" xfId="29549" xr:uid="{00000000-0005-0000-0000-00004E730000}"/>
    <cellStyle name="Calculation 3 2 12 3 4" xfId="29550" xr:uid="{00000000-0005-0000-0000-00004F730000}"/>
    <cellStyle name="Calculation 3 2 12 3 5" xfId="29551" xr:uid="{00000000-0005-0000-0000-000050730000}"/>
    <cellStyle name="Calculation 3 2 12 3 6" xfId="29552" xr:uid="{00000000-0005-0000-0000-000051730000}"/>
    <cellStyle name="Calculation 3 2 12 4" xfId="29553" xr:uid="{00000000-0005-0000-0000-000052730000}"/>
    <cellStyle name="Calculation 3 2 12 4 2" xfId="29554" xr:uid="{00000000-0005-0000-0000-000053730000}"/>
    <cellStyle name="Calculation 3 2 12 4 3" xfId="29555" xr:uid="{00000000-0005-0000-0000-000054730000}"/>
    <cellStyle name="Calculation 3 2 12 4 4" xfId="29556" xr:uid="{00000000-0005-0000-0000-000055730000}"/>
    <cellStyle name="Calculation 3 2 12 4 5" xfId="29557" xr:uid="{00000000-0005-0000-0000-000056730000}"/>
    <cellStyle name="Calculation 3 2 12 4 6" xfId="29558" xr:uid="{00000000-0005-0000-0000-000057730000}"/>
    <cellStyle name="Calculation 3 2 12 5" xfId="29559" xr:uid="{00000000-0005-0000-0000-000058730000}"/>
    <cellStyle name="Calculation 3 2 12 5 2" xfId="29560" xr:uid="{00000000-0005-0000-0000-000059730000}"/>
    <cellStyle name="Calculation 3 2 12 5 3" xfId="29561" xr:uid="{00000000-0005-0000-0000-00005A730000}"/>
    <cellStyle name="Calculation 3 2 12 5 4" xfId="29562" xr:uid="{00000000-0005-0000-0000-00005B730000}"/>
    <cellStyle name="Calculation 3 2 12 5 5" xfId="29563" xr:uid="{00000000-0005-0000-0000-00005C730000}"/>
    <cellStyle name="Calculation 3 2 12 5 6" xfId="29564" xr:uid="{00000000-0005-0000-0000-00005D730000}"/>
    <cellStyle name="Calculation 3 2 12 6" xfId="29565" xr:uid="{00000000-0005-0000-0000-00005E730000}"/>
    <cellStyle name="Calculation 3 2 12 6 2" xfId="29566" xr:uid="{00000000-0005-0000-0000-00005F730000}"/>
    <cellStyle name="Calculation 3 2 12 6 3" xfId="29567" xr:uid="{00000000-0005-0000-0000-000060730000}"/>
    <cellStyle name="Calculation 3 2 12 6 4" xfId="29568" xr:uid="{00000000-0005-0000-0000-000061730000}"/>
    <cellStyle name="Calculation 3 2 12 6 5" xfId="29569" xr:uid="{00000000-0005-0000-0000-000062730000}"/>
    <cellStyle name="Calculation 3 2 12 6 6" xfId="29570" xr:uid="{00000000-0005-0000-0000-000063730000}"/>
    <cellStyle name="Calculation 3 2 12 7" xfId="29571" xr:uid="{00000000-0005-0000-0000-000064730000}"/>
    <cellStyle name="Calculation 3 2 12 7 2" xfId="29572" xr:uid="{00000000-0005-0000-0000-000065730000}"/>
    <cellStyle name="Calculation 3 2 12 7 3" xfId="29573" xr:uid="{00000000-0005-0000-0000-000066730000}"/>
    <cellStyle name="Calculation 3 2 12 7 4" xfId="29574" xr:uid="{00000000-0005-0000-0000-000067730000}"/>
    <cellStyle name="Calculation 3 2 12 7 5" xfId="29575" xr:uid="{00000000-0005-0000-0000-000068730000}"/>
    <cellStyle name="Calculation 3 2 12 7 6" xfId="29576" xr:uid="{00000000-0005-0000-0000-000069730000}"/>
    <cellStyle name="Calculation 3 2 12 8" xfId="29577" xr:uid="{00000000-0005-0000-0000-00006A730000}"/>
    <cellStyle name="Calculation 3 2 12 9" xfId="29578" xr:uid="{00000000-0005-0000-0000-00006B730000}"/>
    <cellStyle name="Calculation 3 2 13" xfId="29579" xr:uid="{00000000-0005-0000-0000-00006C730000}"/>
    <cellStyle name="Calculation 3 2 13 10" xfId="29580" xr:uid="{00000000-0005-0000-0000-00006D730000}"/>
    <cellStyle name="Calculation 3 2 13 2" xfId="29581" xr:uid="{00000000-0005-0000-0000-00006E730000}"/>
    <cellStyle name="Calculation 3 2 13 2 2" xfId="29582" xr:uid="{00000000-0005-0000-0000-00006F730000}"/>
    <cellStyle name="Calculation 3 2 13 2 3" xfId="29583" xr:uid="{00000000-0005-0000-0000-000070730000}"/>
    <cellStyle name="Calculation 3 2 13 2 4" xfId="29584" xr:uid="{00000000-0005-0000-0000-000071730000}"/>
    <cellStyle name="Calculation 3 2 13 2 5" xfId="29585" xr:uid="{00000000-0005-0000-0000-000072730000}"/>
    <cellStyle name="Calculation 3 2 13 2 6" xfId="29586" xr:uid="{00000000-0005-0000-0000-000073730000}"/>
    <cellStyle name="Calculation 3 2 13 3" xfId="29587" xr:uid="{00000000-0005-0000-0000-000074730000}"/>
    <cellStyle name="Calculation 3 2 13 3 2" xfId="29588" xr:uid="{00000000-0005-0000-0000-000075730000}"/>
    <cellStyle name="Calculation 3 2 13 3 3" xfId="29589" xr:uid="{00000000-0005-0000-0000-000076730000}"/>
    <cellStyle name="Calculation 3 2 13 3 4" xfId="29590" xr:uid="{00000000-0005-0000-0000-000077730000}"/>
    <cellStyle name="Calculation 3 2 13 3 5" xfId="29591" xr:uid="{00000000-0005-0000-0000-000078730000}"/>
    <cellStyle name="Calculation 3 2 13 3 6" xfId="29592" xr:uid="{00000000-0005-0000-0000-000079730000}"/>
    <cellStyle name="Calculation 3 2 13 4" xfId="29593" xr:uid="{00000000-0005-0000-0000-00007A730000}"/>
    <cellStyle name="Calculation 3 2 13 4 2" xfId="29594" xr:uid="{00000000-0005-0000-0000-00007B730000}"/>
    <cellStyle name="Calculation 3 2 13 4 3" xfId="29595" xr:uid="{00000000-0005-0000-0000-00007C730000}"/>
    <cellStyle name="Calculation 3 2 13 4 4" xfId="29596" xr:uid="{00000000-0005-0000-0000-00007D730000}"/>
    <cellStyle name="Calculation 3 2 13 4 5" xfId="29597" xr:uid="{00000000-0005-0000-0000-00007E730000}"/>
    <cellStyle name="Calculation 3 2 13 4 6" xfId="29598" xr:uid="{00000000-0005-0000-0000-00007F730000}"/>
    <cellStyle name="Calculation 3 2 13 5" xfId="29599" xr:uid="{00000000-0005-0000-0000-000080730000}"/>
    <cellStyle name="Calculation 3 2 13 5 2" xfId="29600" xr:uid="{00000000-0005-0000-0000-000081730000}"/>
    <cellStyle name="Calculation 3 2 13 5 3" xfId="29601" xr:uid="{00000000-0005-0000-0000-000082730000}"/>
    <cellStyle name="Calculation 3 2 13 5 4" xfId="29602" xr:uid="{00000000-0005-0000-0000-000083730000}"/>
    <cellStyle name="Calculation 3 2 13 5 5" xfId="29603" xr:uid="{00000000-0005-0000-0000-000084730000}"/>
    <cellStyle name="Calculation 3 2 13 5 6" xfId="29604" xr:uid="{00000000-0005-0000-0000-000085730000}"/>
    <cellStyle name="Calculation 3 2 13 6" xfId="29605" xr:uid="{00000000-0005-0000-0000-000086730000}"/>
    <cellStyle name="Calculation 3 2 13 6 2" xfId="29606" xr:uid="{00000000-0005-0000-0000-000087730000}"/>
    <cellStyle name="Calculation 3 2 13 6 3" xfId="29607" xr:uid="{00000000-0005-0000-0000-000088730000}"/>
    <cellStyle name="Calculation 3 2 13 6 4" xfId="29608" xr:uid="{00000000-0005-0000-0000-000089730000}"/>
    <cellStyle name="Calculation 3 2 13 6 5" xfId="29609" xr:uid="{00000000-0005-0000-0000-00008A730000}"/>
    <cellStyle name="Calculation 3 2 13 6 6" xfId="29610" xr:uid="{00000000-0005-0000-0000-00008B730000}"/>
    <cellStyle name="Calculation 3 2 13 7" xfId="29611" xr:uid="{00000000-0005-0000-0000-00008C730000}"/>
    <cellStyle name="Calculation 3 2 13 7 2" xfId="29612" xr:uid="{00000000-0005-0000-0000-00008D730000}"/>
    <cellStyle name="Calculation 3 2 13 7 3" xfId="29613" xr:uid="{00000000-0005-0000-0000-00008E730000}"/>
    <cellStyle name="Calculation 3 2 13 7 4" xfId="29614" xr:uid="{00000000-0005-0000-0000-00008F730000}"/>
    <cellStyle name="Calculation 3 2 13 7 5" xfId="29615" xr:uid="{00000000-0005-0000-0000-000090730000}"/>
    <cellStyle name="Calculation 3 2 13 7 6" xfId="29616" xr:uid="{00000000-0005-0000-0000-000091730000}"/>
    <cellStyle name="Calculation 3 2 13 8" xfId="29617" xr:uid="{00000000-0005-0000-0000-000092730000}"/>
    <cellStyle name="Calculation 3 2 13 9" xfId="29618" xr:uid="{00000000-0005-0000-0000-000093730000}"/>
    <cellStyle name="Calculation 3 2 14" xfId="29619" xr:uid="{00000000-0005-0000-0000-000094730000}"/>
    <cellStyle name="Calculation 3 2 14 10" xfId="29620" xr:uid="{00000000-0005-0000-0000-000095730000}"/>
    <cellStyle name="Calculation 3 2 14 2" xfId="29621" xr:uid="{00000000-0005-0000-0000-000096730000}"/>
    <cellStyle name="Calculation 3 2 14 2 2" xfId="29622" xr:uid="{00000000-0005-0000-0000-000097730000}"/>
    <cellStyle name="Calculation 3 2 14 2 3" xfId="29623" xr:uid="{00000000-0005-0000-0000-000098730000}"/>
    <cellStyle name="Calculation 3 2 14 2 4" xfId="29624" xr:uid="{00000000-0005-0000-0000-000099730000}"/>
    <cellStyle name="Calculation 3 2 14 2 5" xfId="29625" xr:uid="{00000000-0005-0000-0000-00009A730000}"/>
    <cellStyle name="Calculation 3 2 14 2 6" xfId="29626" xr:uid="{00000000-0005-0000-0000-00009B730000}"/>
    <cellStyle name="Calculation 3 2 14 3" xfId="29627" xr:uid="{00000000-0005-0000-0000-00009C730000}"/>
    <cellStyle name="Calculation 3 2 14 3 2" xfId="29628" xr:uid="{00000000-0005-0000-0000-00009D730000}"/>
    <cellStyle name="Calculation 3 2 14 3 3" xfId="29629" xr:uid="{00000000-0005-0000-0000-00009E730000}"/>
    <cellStyle name="Calculation 3 2 14 3 4" xfId="29630" xr:uid="{00000000-0005-0000-0000-00009F730000}"/>
    <cellStyle name="Calculation 3 2 14 3 5" xfId="29631" xr:uid="{00000000-0005-0000-0000-0000A0730000}"/>
    <cellStyle name="Calculation 3 2 14 3 6" xfId="29632" xr:uid="{00000000-0005-0000-0000-0000A1730000}"/>
    <cellStyle name="Calculation 3 2 14 4" xfId="29633" xr:uid="{00000000-0005-0000-0000-0000A2730000}"/>
    <cellStyle name="Calculation 3 2 14 4 2" xfId="29634" xr:uid="{00000000-0005-0000-0000-0000A3730000}"/>
    <cellStyle name="Calculation 3 2 14 4 3" xfId="29635" xr:uid="{00000000-0005-0000-0000-0000A4730000}"/>
    <cellStyle name="Calculation 3 2 14 4 4" xfId="29636" xr:uid="{00000000-0005-0000-0000-0000A5730000}"/>
    <cellStyle name="Calculation 3 2 14 4 5" xfId="29637" xr:uid="{00000000-0005-0000-0000-0000A6730000}"/>
    <cellStyle name="Calculation 3 2 14 4 6" xfId="29638" xr:uid="{00000000-0005-0000-0000-0000A7730000}"/>
    <cellStyle name="Calculation 3 2 14 5" xfId="29639" xr:uid="{00000000-0005-0000-0000-0000A8730000}"/>
    <cellStyle name="Calculation 3 2 14 5 2" xfId="29640" xr:uid="{00000000-0005-0000-0000-0000A9730000}"/>
    <cellStyle name="Calculation 3 2 14 5 3" xfId="29641" xr:uid="{00000000-0005-0000-0000-0000AA730000}"/>
    <cellStyle name="Calculation 3 2 14 5 4" xfId="29642" xr:uid="{00000000-0005-0000-0000-0000AB730000}"/>
    <cellStyle name="Calculation 3 2 14 5 5" xfId="29643" xr:uid="{00000000-0005-0000-0000-0000AC730000}"/>
    <cellStyle name="Calculation 3 2 14 5 6" xfId="29644" xr:uid="{00000000-0005-0000-0000-0000AD730000}"/>
    <cellStyle name="Calculation 3 2 14 6" xfId="29645" xr:uid="{00000000-0005-0000-0000-0000AE730000}"/>
    <cellStyle name="Calculation 3 2 14 6 2" xfId="29646" xr:uid="{00000000-0005-0000-0000-0000AF730000}"/>
    <cellStyle name="Calculation 3 2 14 6 3" xfId="29647" xr:uid="{00000000-0005-0000-0000-0000B0730000}"/>
    <cellStyle name="Calculation 3 2 14 6 4" xfId="29648" xr:uid="{00000000-0005-0000-0000-0000B1730000}"/>
    <cellStyle name="Calculation 3 2 14 6 5" xfId="29649" xr:uid="{00000000-0005-0000-0000-0000B2730000}"/>
    <cellStyle name="Calculation 3 2 14 6 6" xfId="29650" xr:uid="{00000000-0005-0000-0000-0000B3730000}"/>
    <cellStyle name="Calculation 3 2 14 7" xfId="29651" xr:uid="{00000000-0005-0000-0000-0000B4730000}"/>
    <cellStyle name="Calculation 3 2 14 7 2" xfId="29652" xr:uid="{00000000-0005-0000-0000-0000B5730000}"/>
    <cellStyle name="Calculation 3 2 14 7 3" xfId="29653" xr:uid="{00000000-0005-0000-0000-0000B6730000}"/>
    <cellStyle name="Calculation 3 2 14 7 4" xfId="29654" xr:uid="{00000000-0005-0000-0000-0000B7730000}"/>
    <cellStyle name="Calculation 3 2 14 7 5" xfId="29655" xr:uid="{00000000-0005-0000-0000-0000B8730000}"/>
    <cellStyle name="Calculation 3 2 14 7 6" xfId="29656" xr:uid="{00000000-0005-0000-0000-0000B9730000}"/>
    <cellStyle name="Calculation 3 2 14 8" xfId="29657" xr:uid="{00000000-0005-0000-0000-0000BA730000}"/>
    <cellStyle name="Calculation 3 2 14 9" xfId="29658" xr:uid="{00000000-0005-0000-0000-0000BB730000}"/>
    <cellStyle name="Calculation 3 2 15" xfId="29659" xr:uid="{00000000-0005-0000-0000-0000BC730000}"/>
    <cellStyle name="Calculation 3 2 15 10" xfId="29660" xr:uid="{00000000-0005-0000-0000-0000BD730000}"/>
    <cellStyle name="Calculation 3 2 15 2" xfId="29661" xr:uid="{00000000-0005-0000-0000-0000BE730000}"/>
    <cellStyle name="Calculation 3 2 15 2 2" xfId="29662" xr:uid="{00000000-0005-0000-0000-0000BF730000}"/>
    <cellStyle name="Calculation 3 2 15 2 3" xfId="29663" xr:uid="{00000000-0005-0000-0000-0000C0730000}"/>
    <cellStyle name="Calculation 3 2 15 2 4" xfId="29664" xr:uid="{00000000-0005-0000-0000-0000C1730000}"/>
    <cellStyle name="Calculation 3 2 15 2 5" xfId="29665" xr:uid="{00000000-0005-0000-0000-0000C2730000}"/>
    <cellStyle name="Calculation 3 2 15 2 6" xfId="29666" xr:uid="{00000000-0005-0000-0000-0000C3730000}"/>
    <cellStyle name="Calculation 3 2 15 3" xfId="29667" xr:uid="{00000000-0005-0000-0000-0000C4730000}"/>
    <cellStyle name="Calculation 3 2 15 3 2" xfId="29668" xr:uid="{00000000-0005-0000-0000-0000C5730000}"/>
    <cellStyle name="Calculation 3 2 15 3 3" xfId="29669" xr:uid="{00000000-0005-0000-0000-0000C6730000}"/>
    <cellStyle name="Calculation 3 2 15 3 4" xfId="29670" xr:uid="{00000000-0005-0000-0000-0000C7730000}"/>
    <cellStyle name="Calculation 3 2 15 3 5" xfId="29671" xr:uid="{00000000-0005-0000-0000-0000C8730000}"/>
    <cellStyle name="Calculation 3 2 15 3 6" xfId="29672" xr:uid="{00000000-0005-0000-0000-0000C9730000}"/>
    <cellStyle name="Calculation 3 2 15 4" xfId="29673" xr:uid="{00000000-0005-0000-0000-0000CA730000}"/>
    <cellStyle name="Calculation 3 2 15 4 2" xfId="29674" xr:uid="{00000000-0005-0000-0000-0000CB730000}"/>
    <cellStyle name="Calculation 3 2 15 4 3" xfId="29675" xr:uid="{00000000-0005-0000-0000-0000CC730000}"/>
    <cellStyle name="Calculation 3 2 15 4 4" xfId="29676" xr:uid="{00000000-0005-0000-0000-0000CD730000}"/>
    <cellStyle name="Calculation 3 2 15 4 5" xfId="29677" xr:uid="{00000000-0005-0000-0000-0000CE730000}"/>
    <cellStyle name="Calculation 3 2 15 4 6" xfId="29678" xr:uid="{00000000-0005-0000-0000-0000CF730000}"/>
    <cellStyle name="Calculation 3 2 15 5" xfId="29679" xr:uid="{00000000-0005-0000-0000-0000D0730000}"/>
    <cellStyle name="Calculation 3 2 15 5 2" xfId="29680" xr:uid="{00000000-0005-0000-0000-0000D1730000}"/>
    <cellStyle name="Calculation 3 2 15 5 3" xfId="29681" xr:uid="{00000000-0005-0000-0000-0000D2730000}"/>
    <cellStyle name="Calculation 3 2 15 5 4" xfId="29682" xr:uid="{00000000-0005-0000-0000-0000D3730000}"/>
    <cellStyle name="Calculation 3 2 15 5 5" xfId="29683" xr:uid="{00000000-0005-0000-0000-0000D4730000}"/>
    <cellStyle name="Calculation 3 2 15 5 6" xfId="29684" xr:uid="{00000000-0005-0000-0000-0000D5730000}"/>
    <cellStyle name="Calculation 3 2 15 6" xfId="29685" xr:uid="{00000000-0005-0000-0000-0000D6730000}"/>
    <cellStyle name="Calculation 3 2 15 6 2" xfId="29686" xr:uid="{00000000-0005-0000-0000-0000D7730000}"/>
    <cellStyle name="Calculation 3 2 15 6 3" xfId="29687" xr:uid="{00000000-0005-0000-0000-0000D8730000}"/>
    <cellStyle name="Calculation 3 2 15 6 4" xfId="29688" xr:uid="{00000000-0005-0000-0000-0000D9730000}"/>
    <cellStyle name="Calculation 3 2 15 6 5" xfId="29689" xr:uid="{00000000-0005-0000-0000-0000DA730000}"/>
    <cellStyle name="Calculation 3 2 15 6 6" xfId="29690" xr:uid="{00000000-0005-0000-0000-0000DB730000}"/>
    <cellStyle name="Calculation 3 2 15 7" xfId="29691" xr:uid="{00000000-0005-0000-0000-0000DC730000}"/>
    <cellStyle name="Calculation 3 2 15 7 2" xfId="29692" xr:uid="{00000000-0005-0000-0000-0000DD730000}"/>
    <cellStyle name="Calculation 3 2 15 7 3" xfId="29693" xr:uid="{00000000-0005-0000-0000-0000DE730000}"/>
    <cellStyle name="Calculation 3 2 15 7 4" xfId="29694" xr:uid="{00000000-0005-0000-0000-0000DF730000}"/>
    <cellStyle name="Calculation 3 2 15 7 5" xfId="29695" xr:uid="{00000000-0005-0000-0000-0000E0730000}"/>
    <cellStyle name="Calculation 3 2 15 7 6" xfId="29696" xr:uid="{00000000-0005-0000-0000-0000E1730000}"/>
    <cellStyle name="Calculation 3 2 15 8" xfId="29697" xr:uid="{00000000-0005-0000-0000-0000E2730000}"/>
    <cellStyle name="Calculation 3 2 15 9" xfId="29698" xr:uid="{00000000-0005-0000-0000-0000E3730000}"/>
    <cellStyle name="Calculation 3 2 16" xfId="29699" xr:uid="{00000000-0005-0000-0000-0000E4730000}"/>
    <cellStyle name="Calculation 3 2 16 10" xfId="29700" xr:uid="{00000000-0005-0000-0000-0000E5730000}"/>
    <cellStyle name="Calculation 3 2 16 2" xfId="29701" xr:uid="{00000000-0005-0000-0000-0000E6730000}"/>
    <cellStyle name="Calculation 3 2 16 2 2" xfId="29702" xr:uid="{00000000-0005-0000-0000-0000E7730000}"/>
    <cellStyle name="Calculation 3 2 16 2 3" xfId="29703" xr:uid="{00000000-0005-0000-0000-0000E8730000}"/>
    <cellStyle name="Calculation 3 2 16 2 4" xfId="29704" xr:uid="{00000000-0005-0000-0000-0000E9730000}"/>
    <cellStyle name="Calculation 3 2 16 2 5" xfId="29705" xr:uid="{00000000-0005-0000-0000-0000EA730000}"/>
    <cellStyle name="Calculation 3 2 16 2 6" xfId="29706" xr:uid="{00000000-0005-0000-0000-0000EB730000}"/>
    <cellStyle name="Calculation 3 2 16 3" xfId="29707" xr:uid="{00000000-0005-0000-0000-0000EC730000}"/>
    <cellStyle name="Calculation 3 2 16 3 2" xfId="29708" xr:uid="{00000000-0005-0000-0000-0000ED730000}"/>
    <cellStyle name="Calculation 3 2 16 3 3" xfId="29709" xr:uid="{00000000-0005-0000-0000-0000EE730000}"/>
    <cellStyle name="Calculation 3 2 16 3 4" xfId="29710" xr:uid="{00000000-0005-0000-0000-0000EF730000}"/>
    <cellStyle name="Calculation 3 2 16 3 5" xfId="29711" xr:uid="{00000000-0005-0000-0000-0000F0730000}"/>
    <cellStyle name="Calculation 3 2 16 3 6" xfId="29712" xr:uid="{00000000-0005-0000-0000-0000F1730000}"/>
    <cellStyle name="Calculation 3 2 16 4" xfId="29713" xr:uid="{00000000-0005-0000-0000-0000F2730000}"/>
    <cellStyle name="Calculation 3 2 16 4 2" xfId="29714" xr:uid="{00000000-0005-0000-0000-0000F3730000}"/>
    <cellStyle name="Calculation 3 2 16 4 3" xfId="29715" xr:uid="{00000000-0005-0000-0000-0000F4730000}"/>
    <cellStyle name="Calculation 3 2 16 4 4" xfId="29716" xr:uid="{00000000-0005-0000-0000-0000F5730000}"/>
    <cellStyle name="Calculation 3 2 16 4 5" xfId="29717" xr:uid="{00000000-0005-0000-0000-0000F6730000}"/>
    <cellStyle name="Calculation 3 2 16 4 6" xfId="29718" xr:uid="{00000000-0005-0000-0000-0000F7730000}"/>
    <cellStyle name="Calculation 3 2 16 5" xfId="29719" xr:uid="{00000000-0005-0000-0000-0000F8730000}"/>
    <cellStyle name="Calculation 3 2 16 5 2" xfId="29720" xr:uid="{00000000-0005-0000-0000-0000F9730000}"/>
    <cellStyle name="Calculation 3 2 16 5 3" xfId="29721" xr:uid="{00000000-0005-0000-0000-0000FA730000}"/>
    <cellStyle name="Calculation 3 2 16 5 4" xfId="29722" xr:uid="{00000000-0005-0000-0000-0000FB730000}"/>
    <cellStyle name="Calculation 3 2 16 5 5" xfId="29723" xr:uid="{00000000-0005-0000-0000-0000FC730000}"/>
    <cellStyle name="Calculation 3 2 16 5 6" xfId="29724" xr:uid="{00000000-0005-0000-0000-0000FD730000}"/>
    <cellStyle name="Calculation 3 2 16 6" xfId="29725" xr:uid="{00000000-0005-0000-0000-0000FE730000}"/>
    <cellStyle name="Calculation 3 2 16 6 2" xfId="29726" xr:uid="{00000000-0005-0000-0000-0000FF730000}"/>
    <cellStyle name="Calculation 3 2 16 6 3" xfId="29727" xr:uid="{00000000-0005-0000-0000-000000740000}"/>
    <cellStyle name="Calculation 3 2 16 6 4" xfId="29728" xr:uid="{00000000-0005-0000-0000-000001740000}"/>
    <cellStyle name="Calculation 3 2 16 6 5" xfId="29729" xr:uid="{00000000-0005-0000-0000-000002740000}"/>
    <cellStyle name="Calculation 3 2 16 6 6" xfId="29730" xr:uid="{00000000-0005-0000-0000-000003740000}"/>
    <cellStyle name="Calculation 3 2 16 7" xfId="29731" xr:uid="{00000000-0005-0000-0000-000004740000}"/>
    <cellStyle name="Calculation 3 2 16 7 2" xfId="29732" xr:uid="{00000000-0005-0000-0000-000005740000}"/>
    <cellStyle name="Calculation 3 2 16 7 3" xfId="29733" xr:uid="{00000000-0005-0000-0000-000006740000}"/>
    <cellStyle name="Calculation 3 2 16 7 4" xfId="29734" xr:uid="{00000000-0005-0000-0000-000007740000}"/>
    <cellStyle name="Calculation 3 2 16 7 5" xfId="29735" xr:uid="{00000000-0005-0000-0000-000008740000}"/>
    <cellStyle name="Calculation 3 2 16 7 6" xfId="29736" xr:uid="{00000000-0005-0000-0000-000009740000}"/>
    <cellStyle name="Calculation 3 2 16 8" xfId="29737" xr:uid="{00000000-0005-0000-0000-00000A740000}"/>
    <cellStyle name="Calculation 3 2 16 9" xfId="29738" xr:uid="{00000000-0005-0000-0000-00000B740000}"/>
    <cellStyle name="Calculation 3 2 17" xfId="29739" xr:uid="{00000000-0005-0000-0000-00000C740000}"/>
    <cellStyle name="Calculation 3 2 17 10" xfId="29740" xr:uid="{00000000-0005-0000-0000-00000D740000}"/>
    <cellStyle name="Calculation 3 2 17 2" xfId="29741" xr:uid="{00000000-0005-0000-0000-00000E740000}"/>
    <cellStyle name="Calculation 3 2 17 2 2" xfId="29742" xr:uid="{00000000-0005-0000-0000-00000F740000}"/>
    <cellStyle name="Calculation 3 2 17 2 3" xfId="29743" xr:uid="{00000000-0005-0000-0000-000010740000}"/>
    <cellStyle name="Calculation 3 2 17 2 4" xfId="29744" xr:uid="{00000000-0005-0000-0000-000011740000}"/>
    <cellStyle name="Calculation 3 2 17 2 5" xfId="29745" xr:uid="{00000000-0005-0000-0000-000012740000}"/>
    <cellStyle name="Calculation 3 2 17 2 6" xfId="29746" xr:uid="{00000000-0005-0000-0000-000013740000}"/>
    <cellStyle name="Calculation 3 2 17 3" xfId="29747" xr:uid="{00000000-0005-0000-0000-000014740000}"/>
    <cellStyle name="Calculation 3 2 17 3 2" xfId="29748" xr:uid="{00000000-0005-0000-0000-000015740000}"/>
    <cellStyle name="Calculation 3 2 17 3 3" xfId="29749" xr:uid="{00000000-0005-0000-0000-000016740000}"/>
    <cellStyle name="Calculation 3 2 17 3 4" xfId="29750" xr:uid="{00000000-0005-0000-0000-000017740000}"/>
    <cellStyle name="Calculation 3 2 17 3 5" xfId="29751" xr:uid="{00000000-0005-0000-0000-000018740000}"/>
    <cellStyle name="Calculation 3 2 17 3 6" xfId="29752" xr:uid="{00000000-0005-0000-0000-000019740000}"/>
    <cellStyle name="Calculation 3 2 17 4" xfId="29753" xr:uid="{00000000-0005-0000-0000-00001A740000}"/>
    <cellStyle name="Calculation 3 2 17 4 2" xfId="29754" xr:uid="{00000000-0005-0000-0000-00001B740000}"/>
    <cellStyle name="Calculation 3 2 17 4 3" xfId="29755" xr:uid="{00000000-0005-0000-0000-00001C740000}"/>
    <cellStyle name="Calculation 3 2 17 4 4" xfId="29756" xr:uid="{00000000-0005-0000-0000-00001D740000}"/>
    <cellStyle name="Calculation 3 2 17 4 5" xfId="29757" xr:uid="{00000000-0005-0000-0000-00001E740000}"/>
    <cellStyle name="Calculation 3 2 17 4 6" xfId="29758" xr:uid="{00000000-0005-0000-0000-00001F740000}"/>
    <cellStyle name="Calculation 3 2 17 5" xfId="29759" xr:uid="{00000000-0005-0000-0000-000020740000}"/>
    <cellStyle name="Calculation 3 2 17 5 2" xfId="29760" xr:uid="{00000000-0005-0000-0000-000021740000}"/>
    <cellStyle name="Calculation 3 2 17 5 3" xfId="29761" xr:uid="{00000000-0005-0000-0000-000022740000}"/>
    <cellStyle name="Calculation 3 2 17 5 4" xfId="29762" xr:uid="{00000000-0005-0000-0000-000023740000}"/>
    <cellStyle name="Calculation 3 2 17 5 5" xfId="29763" xr:uid="{00000000-0005-0000-0000-000024740000}"/>
    <cellStyle name="Calculation 3 2 17 5 6" xfId="29764" xr:uid="{00000000-0005-0000-0000-000025740000}"/>
    <cellStyle name="Calculation 3 2 17 6" xfId="29765" xr:uid="{00000000-0005-0000-0000-000026740000}"/>
    <cellStyle name="Calculation 3 2 17 6 2" xfId="29766" xr:uid="{00000000-0005-0000-0000-000027740000}"/>
    <cellStyle name="Calculation 3 2 17 6 3" xfId="29767" xr:uid="{00000000-0005-0000-0000-000028740000}"/>
    <cellStyle name="Calculation 3 2 17 6 4" xfId="29768" xr:uid="{00000000-0005-0000-0000-000029740000}"/>
    <cellStyle name="Calculation 3 2 17 6 5" xfId="29769" xr:uid="{00000000-0005-0000-0000-00002A740000}"/>
    <cellStyle name="Calculation 3 2 17 6 6" xfId="29770" xr:uid="{00000000-0005-0000-0000-00002B740000}"/>
    <cellStyle name="Calculation 3 2 17 7" xfId="29771" xr:uid="{00000000-0005-0000-0000-00002C740000}"/>
    <cellStyle name="Calculation 3 2 17 7 2" xfId="29772" xr:uid="{00000000-0005-0000-0000-00002D740000}"/>
    <cellStyle name="Calculation 3 2 17 7 3" xfId="29773" xr:uid="{00000000-0005-0000-0000-00002E740000}"/>
    <cellStyle name="Calculation 3 2 17 7 4" xfId="29774" xr:uid="{00000000-0005-0000-0000-00002F740000}"/>
    <cellStyle name="Calculation 3 2 17 7 5" xfId="29775" xr:uid="{00000000-0005-0000-0000-000030740000}"/>
    <cellStyle name="Calculation 3 2 17 7 6" xfId="29776" xr:uid="{00000000-0005-0000-0000-000031740000}"/>
    <cellStyle name="Calculation 3 2 17 8" xfId="29777" xr:uid="{00000000-0005-0000-0000-000032740000}"/>
    <cellStyle name="Calculation 3 2 17 9" xfId="29778" xr:uid="{00000000-0005-0000-0000-000033740000}"/>
    <cellStyle name="Calculation 3 2 18" xfId="29779" xr:uid="{00000000-0005-0000-0000-000034740000}"/>
    <cellStyle name="Calculation 3 2 18 10" xfId="29780" xr:uid="{00000000-0005-0000-0000-000035740000}"/>
    <cellStyle name="Calculation 3 2 18 2" xfId="29781" xr:uid="{00000000-0005-0000-0000-000036740000}"/>
    <cellStyle name="Calculation 3 2 18 2 2" xfId="29782" xr:uid="{00000000-0005-0000-0000-000037740000}"/>
    <cellStyle name="Calculation 3 2 18 2 3" xfId="29783" xr:uid="{00000000-0005-0000-0000-000038740000}"/>
    <cellStyle name="Calculation 3 2 18 2 4" xfId="29784" xr:uid="{00000000-0005-0000-0000-000039740000}"/>
    <cellStyle name="Calculation 3 2 18 2 5" xfId="29785" xr:uid="{00000000-0005-0000-0000-00003A740000}"/>
    <cellStyle name="Calculation 3 2 18 2 6" xfId="29786" xr:uid="{00000000-0005-0000-0000-00003B740000}"/>
    <cellStyle name="Calculation 3 2 18 3" xfId="29787" xr:uid="{00000000-0005-0000-0000-00003C740000}"/>
    <cellStyle name="Calculation 3 2 18 3 2" xfId="29788" xr:uid="{00000000-0005-0000-0000-00003D740000}"/>
    <cellStyle name="Calculation 3 2 18 3 3" xfId="29789" xr:uid="{00000000-0005-0000-0000-00003E740000}"/>
    <cellStyle name="Calculation 3 2 18 3 4" xfId="29790" xr:uid="{00000000-0005-0000-0000-00003F740000}"/>
    <cellStyle name="Calculation 3 2 18 3 5" xfId="29791" xr:uid="{00000000-0005-0000-0000-000040740000}"/>
    <cellStyle name="Calculation 3 2 18 3 6" xfId="29792" xr:uid="{00000000-0005-0000-0000-000041740000}"/>
    <cellStyle name="Calculation 3 2 18 4" xfId="29793" xr:uid="{00000000-0005-0000-0000-000042740000}"/>
    <cellStyle name="Calculation 3 2 18 4 2" xfId="29794" xr:uid="{00000000-0005-0000-0000-000043740000}"/>
    <cellStyle name="Calculation 3 2 18 4 3" xfId="29795" xr:uid="{00000000-0005-0000-0000-000044740000}"/>
    <cellStyle name="Calculation 3 2 18 4 4" xfId="29796" xr:uid="{00000000-0005-0000-0000-000045740000}"/>
    <cellStyle name="Calculation 3 2 18 4 5" xfId="29797" xr:uid="{00000000-0005-0000-0000-000046740000}"/>
    <cellStyle name="Calculation 3 2 18 4 6" xfId="29798" xr:uid="{00000000-0005-0000-0000-000047740000}"/>
    <cellStyle name="Calculation 3 2 18 5" xfId="29799" xr:uid="{00000000-0005-0000-0000-000048740000}"/>
    <cellStyle name="Calculation 3 2 18 5 2" xfId="29800" xr:uid="{00000000-0005-0000-0000-000049740000}"/>
    <cellStyle name="Calculation 3 2 18 5 3" xfId="29801" xr:uid="{00000000-0005-0000-0000-00004A740000}"/>
    <cellStyle name="Calculation 3 2 18 5 4" xfId="29802" xr:uid="{00000000-0005-0000-0000-00004B740000}"/>
    <cellStyle name="Calculation 3 2 18 5 5" xfId="29803" xr:uid="{00000000-0005-0000-0000-00004C740000}"/>
    <cellStyle name="Calculation 3 2 18 5 6" xfId="29804" xr:uid="{00000000-0005-0000-0000-00004D740000}"/>
    <cellStyle name="Calculation 3 2 18 6" xfId="29805" xr:uid="{00000000-0005-0000-0000-00004E740000}"/>
    <cellStyle name="Calculation 3 2 18 6 2" xfId="29806" xr:uid="{00000000-0005-0000-0000-00004F740000}"/>
    <cellStyle name="Calculation 3 2 18 6 3" xfId="29807" xr:uid="{00000000-0005-0000-0000-000050740000}"/>
    <cellStyle name="Calculation 3 2 18 6 4" xfId="29808" xr:uid="{00000000-0005-0000-0000-000051740000}"/>
    <cellStyle name="Calculation 3 2 18 6 5" xfId="29809" xr:uid="{00000000-0005-0000-0000-000052740000}"/>
    <cellStyle name="Calculation 3 2 18 6 6" xfId="29810" xr:uid="{00000000-0005-0000-0000-000053740000}"/>
    <cellStyle name="Calculation 3 2 18 7" xfId="29811" xr:uid="{00000000-0005-0000-0000-000054740000}"/>
    <cellStyle name="Calculation 3 2 18 7 2" xfId="29812" xr:uid="{00000000-0005-0000-0000-000055740000}"/>
    <cellStyle name="Calculation 3 2 18 7 3" xfId="29813" xr:uid="{00000000-0005-0000-0000-000056740000}"/>
    <cellStyle name="Calculation 3 2 18 7 4" xfId="29814" xr:uid="{00000000-0005-0000-0000-000057740000}"/>
    <cellStyle name="Calculation 3 2 18 7 5" xfId="29815" xr:uid="{00000000-0005-0000-0000-000058740000}"/>
    <cellStyle name="Calculation 3 2 18 7 6" xfId="29816" xr:uid="{00000000-0005-0000-0000-000059740000}"/>
    <cellStyle name="Calculation 3 2 18 8" xfId="29817" xr:uid="{00000000-0005-0000-0000-00005A740000}"/>
    <cellStyle name="Calculation 3 2 18 9" xfId="29818" xr:uid="{00000000-0005-0000-0000-00005B740000}"/>
    <cellStyle name="Calculation 3 2 19" xfId="29819" xr:uid="{00000000-0005-0000-0000-00005C740000}"/>
    <cellStyle name="Calculation 3 2 19 10" xfId="29820" xr:uid="{00000000-0005-0000-0000-00005D740000}"/>
    <cellStyle name="Calculation 3 2 19 2" xfId="29821" xr:uid="{00000000-0005-0000-0000-00005E740000}"/>
    <cellStyle name="Calculation 3 2 19 2 2" xfId="29822" xr:uid="{00000000-0005-0000-0000-00005F740000}"/>
    <cellStyle name="Calculation 3 2 19 2 3" xfId="29823" xr:uid="{00000000-0005-0000-0000-000060740000}"/>
    <cellStyle name="Calculation 3 2 19 2 4" xfId="29824" xr:uid="{00000000-0005-0000-0000-000061740000}"/>
    <cellStyle name="Calculation 3 2 19 2 5" xfId="29825" xr:uid="{00000000-0005-0000-0000-000062740000}"/>
    <cellStyle name="Calculation 3 2 19 2 6" xfId="29826" xr:uid="{00000000-0005-0000-0000-000063740000}"/>
    <cellStyle name="Calculation 3 2 19 3" xfId="29827" xr:uid="{00000000-0005-0000-0000-000064740000}"/>
    <cellStyle name="Calculation 3 2 19 3 2" xfId="29828" xr:uid="{00000000-0005-0000-0000-000065740000}"/>
    <cellStyle name="Calculation 3 2 19 3 3" xfId="29829" xr:uid="{00000000-0005-0000-0000-000066740000}"/>
    <cellStyle name="Calculation 3 2 19 3 4" xfId="29830" xr:uid="{00000000-0005-0000-0000-000067740000}"/>
    <cellStyle name="Calculation 3 2 19 3 5" xfId="29831" xr:uid="{00000000-0005-0000-0000-000068740000}"/>
    <cellStyle name="Calculation 3 2 19 3 6" xfId="29832" xr:uid="{00000000-0005-0000-0000-000069740000}"/>
    <cellStyle name="Calculation 3 2 19 4" xfId="29833" xr:uid="{00000000-0005-0000-0000-00006A740000}"/>
    <cellStyle name="Calculation 3 2 19 4 2" xfId="29834" xr:uid="{00000000-0005-0000-0000-00006B740000}"/>
    <cellStyle name="Calculation 3 2 19 4 3" xfId="29835" xr:uid="{00000000-0005-0000-0000-00006C740000}"/>
    <cellStyle name="Calculation 3 2 19 4 4" xfId="29836" xr:uid="{00000000-0005-0000-0000-00006D740000}"/>
    <cellStyle name="Calculation 3 2 19 4 5" xfId="29837" xr:uid="{00000000-0005-0000-0000-00006E740000}"/>
    <cellStyle name="Calculation 3 2 19 4 6" xfId="29838" xr:uid="{00000000-0005-0000-0000-00006F740000}"/>
    <cellStyle name="Calculation 3 2 19 5" xfId="29839" xr:uid="{00000000-0005-0000-0000-000070740000}"/>
    <cellStyle name="Calculation 3 2 19 5 2" xfId="29840" xr:uid="{00000000-0005-0000-0000-000071740000}"/>
    <cellStyle name="Calculation 3 2 19 5 3" xfId="29841" xr:uid="{00000000-0005-0000-0000-000072740000}"/>
    <cellStyle name="Calculation 3 2 19 5 4" xfId="29842" xr:uid="{00000000-0005-0000-0000-000073740000}"/>
    <cellStyle name="Calculation 3 2 19 5 5" xfId="29843" xr:uid="{00000000-0005-0000-0000-000074740000}"/>
    <cellStyle name="Calculation 3 2 19 5 6" xfId="29844" xr:uid="{00000000-0005-0000-0000-000075740000}"/>
    <cellStyle name="Calculation 3 2 19 6" xfId="29845" xr:uid="{00000000-0005-0000-0000-000076740000}"/>
    <cellStyle name="Calculation 3 2 19 6 2" xfId="29846" xr:uid="{00000000-0005-0000-0000-000077740000}"/>
    <cellStyle name="Calculation 3 2 19 6 3" xfId="29847" xr:uid="{00000000-0005-0000-0000-000078740000}"/>
    <cellStyle name="Calculation 3 2 19 6 4" xfId="29848" xr:uid="{00000000-0005-0000-0000-000079740000}"/>
    <cellStyle name="Calculation 3 2 19 6 5" xfId="29849" xr:uid="{00000000-0005-0000-0000-00007A740000}"/>
    <cellStyle name="Calculation 3 2 19 6 6" xfId="29850" xr:uid="{00000000-0005-0000-0000-00007B740000}"/>
    <cellStyle name="Calculation 3 2 19 7" xfId="29851" xr:uid="{00000000-0005-0000-0000-00007C740000}"/>
    <cellStyle name="Calculation 3 2 19 7 2" xfId="29852" xr:uid="{00000000-0005-0000-0000-00007D740000}"/>
    <cellStyle name="Calculation 3 2 19 7 3" xfId="29853" xr:uid="{00000000-0005-0000-0000-00007E740000}"/>
    <cellStyle name="Calculation 3 2 19 7 4" xfId="29854" xr:uid="{00000000-0005-0000-0000-00007F740000}"/>
    <cellStyle name="Calculation 3 2 19 7 5" xfId="29855" xr:uid="{00000000-0005-0000-0000-000080740000}"/>
    <cellStyle name="Calculation 3 2 19 7 6" xfId="29856" xr:uid="{00000000-0005-0000-0000-000081740000}"/>
    <cellStyle name="Calculation 3 2 19 8" xfId="29857" xr:uid="{00000000-0005-0000-0000-000082740000}"/>
    <cellStyle name="Calculation 3 2 19 9" xfId="29858" xr:uid="{00000000-0005-0000-0000-000083740000}"/>
    <cellStyle name="Calculation 3 2 2" xfId="29859" xr:uid="{00000000-0005-0000-0000-000084740000}"/>
    <cellStyle name="Calculation 3 2 2 10" xfId="29860" xr:uid="{00000000-0005-0000-0000-000085740000}"/>
    <cellStyle name="Calculation 3 2 2 2" xfId="29861" xr:uid="{00000000-0005-0000-0000-000086740000}"/>
    <cellStyle name="Calculation 3 2 2 2 2" xfId="29862" xr:uid="{00000000-0005-0000-0000-000087740000}"/>
    <cellStyle name="Calculation 3 2 2 2 3" xfId="29863" xr:uid="{00000000-0005-0000-0000-000088740000}"/>
    <cellStyle name="Calculation 3 2 2 2 4" xfId="29864" xr:uid="{00000000-0005-0000-0000-000089740000}"/>
    <cellStyle name="Calculation 3 2 2 2 5" xfId="29865" xr:uid="{00000000-0005-0000-0000-00008A740000}"/>
    <cellStyle name="Calculation 3 2 2 2 6" xfId="29866" xr:uid="{00000000-0005-0000-0000-00008B740000}"/>
    <cellStyle name="Calculation 3 2 2 3" xfId="29867" xr:uid="{00000000-0005-0000-0000-00008C740000}"/>
    <cellStyle name="Calculation 3 2 2 3 2" xfId="29868" xr:uid="{00000000-0005-0000-0000-00008D740000}"/>
    <cellStyle name="Calculation 3 2 2 3 3" xfId="29869" xr:uid="{00000000-0005-0000-0000-00008E740000}"/>
    <cellStyle name="Calculation 3 2 2 3 4" xfId="29870" xr:uid="{00000000-0005-0000-0000-00008F740000}"/>
    <cellStyle name="Calculation 3 2 2 3 5" xfId="29871" xr:uid="{00000000-0005-0000-0000-000090740000}"/>
    <cellStyle name="Calculation 3 2 2 3 6" xfId="29872" xr:uid="{00000000-0005-0000-0000-000091740000}"/>
    <cellStyle name="Calculation 3 2 2 4" xfId="29873" xr:uid="{00000000-0005-0000-0000-000092740000}"/>
    <cellStyle name="Calculation 3 2 2 4 2" xfId="29874" xr:uid="{00000000-0005-0000-0000-000093740000}"/>
    <cellStyle name="Calculation 3 2 2 4 3" xfId="29875" xr:uid="{00000000-0005-0000-0000-000094740000}"/>
    <cellStyle name="Calculation 3 2 2 4 4" xfId="29876" xr:uid="{00000000-0005-0000-0000-000095740000}"/>
    <cellStyle name="Calculation 3 2 2 4 5" xfId="29877" xr:uid="{00000000-0005-0000-0000-000096740000}"/>
    <cellStyle name="Calculation 3 2 2 4 6" xfId="29878" xr:uid="{00000000-0005-0000-0000-000097740000}"/>
    <cellStyle name="Calculation 3 2 2 5" xfId="29879" xr:uid="{00000000-0005-0000-0000-000098740000}"/>
    <cellStyle name="Calculation 3 2 2 5 2" xfId="29880" xr:uid="{00000000-0005-0000-0000-000099740000}"/>
    <cellStyle name="Calculation 3 2 2 5 3" xfId="29881" xr:uid="{00000000-0005-0000-0000-00009A740000}"/>
    <cellStyle name="Calculation 3 2 2 5 4" xfId="29882" xr:uid="{00000000-0005-0000-0000-00009B740000}"/>
    <cellStyle name="Calculation 3 2 2 5 5" xfId="29883" xr:uid="{00000000-0005-0000-0000-00009C740000}"/>
    <cellStyle name="Calculation 3 2 2 5 6" xfId="29884" xr:uid="{00000000-0005-0000-0000-00009D740000}"/>
    <cellStyle name="Calculation 3 2 2 6" xfId="29885" xr:uid="{00000000-0005-0000-0000-00009E740000}"/>
    <cellStyle name="Calculation 3 2 2 6 2" xfId="29886" xr:uid="{00000000-0005-0000-0000-00009F740000}"/>
    <cellStyle name="Calculation 3 2 2 6 3" xfId="29887" xr:uid="{00000000-0005-0000-0000-0000A0740000}"/>
    <cellStyle name="Calculation 3 2 2 6 4" xfId="29888" xr:uid="{00000000-0005-0000-0000-0000A1740000}"/>
    <cellStyle name="Calculation 3 2 2 6 5" xfId="29889" xr:uid="{00000000-0005-0000-0000-0000A2740000}"/>
    <cellStyle name="Calculation 3 2 2 6 6" xfId="29890" xr:uid="{00000000-0005-0000-0000-0000A3740000}"/>
    <cellStyle name="Calculation 3 2 2 7" xfId="29891" xr:uid="{00000000-0005-0000-0000-0000A4740000}"/>
    <cellStyle name="Calculation 3 2 2 7 2" xfId="29892" xr:uid="{00000000-0005-0000-0000-0000A5740000}"/>
    <cellStyle name="Calculation 3 2 2 7 3" xfId="29893" xr:uid="{00000000-0005-0000-0000-0000A6740000}"/>
    <cellStyle name="Calculation 3 2 2 7 4" xfId="29894" xr:uid="{00000000-0005-0000-0000-0000A7740000}"/>
    <cellStyle name="Calculation 3 2 2 7 5" xfId="29895" xr:uid="{00000000-0005-0000-0000-0000A8740000}"/>
    <cellStyle name="Calculation 3 2 2 7 6" xfId="29896" xr:uid="{00000000-0005-0000-0000-0000A9740000}"/>
    <cellStyle name="Calculation 3 2 2 8" xfId="29897" xr:uid="{00000000-0005-0000-0000-0000AA740000}"/>
    <cellStyle name="Calculation 3 2 2 9" xfId="29898" xr:uid="{00000000-0005-0000-0000-0000AB740000}"/>
    <cellStyle name="Calculation 3 2 20" xfId="29899" xr:uid="{00000000-0005-0000-0000-0000AC740000}"/>
    <cellStyle name="Calculation 3 2 20 10" xfId="29900" xr:uid="{00000000-0005-0000-0000-0000AD740000}"/>
    <cellStyle name="Calculation 3 2 20 2" xfId="29901" xr:uid="{00000000-0005-0000-0000-0000AE740000}"/>
    <cellStyle name="Calculation 3 2 20 2 2" xfId="29902" xr:uid="{00000000-0005-0000-0000-0000AF740000}"/>
    <cellStyle name="Calculation 3 2 20 2 3" xfId="29903" xr:uid="{00000000-0005-0000-0000-0000B0740000}"/>
    <cellStyle name="Calculation 3 2 20 2 4" xfId="29904" xr:uid="{00000000-0005-0000-0000-0000B1740000}"/>
    <cellStyle name="Calculation 3 2 20 2 5" xfId="29905" xr:uid="{00000000-0005-0000-0000-0000B2740000}"/>
    <cellStyle name="Calculation 3 2 20 2 6" xfId="29906" xr:uid="{00000000-0005-0000-0000-0000B3740000}"/>
    <cellStyle name="Calculation 3 2 20 3" xfId="29907" xr:uid="{00000000-0005-0000-0000-0000B4740000}"/>
    <cellStyle name="Calculation 3 2 20 3 2" xfId="29908" xr:uid="{00000000-0005-0000-0000-0000B5740000}"/>
    <cellStyle name="Calculation 3 2 20 3 3" xfId="29909" xr:uid="{00000000-0005-0000-0000-0000B6740000}"/>
    <cellStyle name="Calculation 3 2 20 3 4" xfId="29910" xr:uid="{00000000-0005-0000-0000-0000B7740000}"/>
    <cellStyle name="Calculation 3 2 20 3 5" xfId="29911" xr:uid="{00000000-0005-0000-0000-0000B8740000}"/>
    <cellStyle name="Calculation 3 2 20 3 6" xfId="29912" xr:uid="{00000000-0005-0000-0000-0000B9740000}"/>
    <cellStyle name="Calculation 3 2 20 4" xfId="29913" xr:uid="{00000000-0005-0000-0000-0000BA740000}"/>
    <cellStyle name="Calculation 3 2 20 4 2" xfId="29914" xr:uid="{00000000-0005-0000-0000-0000BB740000}"/>
    <cellStyle name="Calculation 3 2 20 4 3" xfId="29915" xr:uid="{00000000-0005-0000-0000-0000BC740000}"/>
    <cellStyle name="Calculation 3 2 20 4 4" xfId="29916" xr:uid="{00000000-0005-0000-0000-0000BD740000}"/>
    <cellStyle name="Calculation 3 2 20 4 5" xfId="29917" xr:uid="{00000000-0005-0000-0000-0000BE740000}"/>
    <cellStyle name="Calculation 3 2 20 4 6" xfId="29918" xr:uid="{00000000-0005-0000-0000-0000BF740000}"/>
    <cellStyle name="Calculation 3 2 20 5" xfId="29919" xr:uid="{00000000-0005-0000-0000-0000C0740000}"/>
    <cellStyle name="Calculation 3 2 20 5 2" xfId="29920" xr:uid="{00000000-0005-0000-0000-0000C1740000}"/>
    <cellStyle name="Calculation 3 2 20 5 3" xfId="29921" xr:uid="{00000000-0005-0000-0000-0000C2740000}"/>
    <cellStyle name="Calculation 3 2 20 5 4" xfId="29922" xr:uid="{00000000-0005-0000-0000-0000C3740000}"/>
    <cellStyle name="Calculation 3 2 20 5 5" xfId="29923" xr:uid="{00000000-0005-0000-0000-0000C4740000}"/>
    <cellStyle name="Calculation 3 2 20 5 6" xfId="29924" xr:uid="{00000000-0005-0000-0000-0000C5740000}"/>
    <cellStyle name="Calculation 3 2 20 6" xfId="29925" xr:uid="{00000000-0005-0000-0000-0000C6740000}"/>
    <cellStyle name="Calculation 3 2 20 6 2" xfId="29926" xr:uid="{00000000-0005-0000-0000-0000C7740000}"/>
    <cellStyle name="Calculation 3 2 20 6 3" xfId="29927" xr:uid="{00000000-0005-0000-0000-0000C8740000}"/>
    <cellStyle name="Calculation 3 2 20 6 4" xfId="29928" xr:uid="{00000000-0005-0000-0000-0000C9740000}"/>
    <cellStyle name="Calculation 3 2 20 6 5" xfId="29929" xr:uid="{00000000-0005-0000-0000-0000CA740000}"/>
    <cellStyle name="Calculation 3 2 20 6 6" xfId="29930" xr:uid="{00000000-0005-0000-0000-0000CB740000}"/>
    <cellStyle name="Calculation 3 2 20 7" xfId="29931" xr:uid="{00000000-0005-0000-0000-0000CC740000}"/>
    <cellStyle name="Calculation 3 2 20 7 2" xfId="29932" xr:uid="{00000000-0005-0000-0000-0000CD740000}"/>
    <cellStyle name="Calculation 3 2 20 7 3" xfId="29933" xr:uid="{00000000-0005-0000-0000-0000CE740000}"/>
    <cellStyle name="Calculation 3 2 20 7 4" xfId="29934" xr:uid="{00000000-0005-0000-0000-0000CF740000}"/>
    <cellStyle name="Calculation 3 2 20 7 5" xfId="29935" xr:uid="{00000000-0005-0000-0000-0000D0740000}"/>
    <cellStyle name="Calculation 3 2 20 7 6" xfId="29936" xr:uid="{00000000-0005-0000-0000-0000D1740000}"/>
    <cellStyle name="Calculation 3 2 20 8" xfId="29937" xr:uid="{00000000-0005-0000-0000-0000D2740000}"/>
    <cellStyle name="Calculation 3 2 20 9" xfId="29938" xr:uid="{00000000-0005-0000-0000-0000D3740000}"/>
    <cellStyle name="Calculation 3 2 21" xfId="29939" xr:uid="{00000000-0005-0000-0000-0000D4740000}"/>
    <cellStyle name="Calculation 3 2 21 10" xfId="29940" xr:uid="{00000000-0005-0000-0000-0000D5740000}"/>
    <cellStyle name="Calculation 3 2 21 2" xfId="29941" xr:uid="{00000000-0005-0000-0000-0000D6740000}"/>
    <cellStyle name="Calculation 3 2 21 2 2" xfId="29942" xr:uid="{00000000-0005-0000-0000-0000D7740000}"/>
    <cellStyle name="Calculation 3 2 21 2 3" xfId="29943" xr:uid="{00000000-0005-0000-0000-0000D8740000}"/>
    <cellStyle name="Calculation 3 2 21 2 4" xfId="29944" xr:uid="{00000000-0005-0000-0000-0000D9740000}"/>
    <cellStyle name="Calculation 3 2 21 2 5" xfId="29945" xr:uid="{00000000-0005-0000-0000-0000DA740000}"/>
    <cellStyle name="Calculation 3 2 21 2 6" xfId="29946" xr:uid="{00000000-0005-0000-0000-0000DB740000}"/>
    <cellStyle name="Calculation 3 2 21 3" xfId="29947" xr:uid="{00000000-0005-0000-0000-0000DC740000}"/>
    <cellStyle name="Calculation 3 2 21 3 2" xfId="29948" xr:uid="{00000000-0005-0000-0000-0000DD740000}"/>
    <cellStyle name="Calculation 3 2 21 3 3" xfId="29949" xr:uid="{00000000-0005-0000-0000-0000DE740000}"/>
    <cellStyle name="Calculation 3 2 21 3 4" xfId="29950" xr:uid="{00000000-0005-0000-0000-0000DF740000}"/>
    <cellStyle name="Calculation 3 2 21 3 5" xfId="29951" xr:uid="{00000000-0005-0000-0000-0000E0740000}"/>
    <cellStyle name="Calculation 3 2 21 3 6" xfId="29952" xr:uid="{00000000-0005-0000-0000-0000E1740000}"/>
    <cellStyle name="Calculation 3 2 21 4" xfId="29953" xr:uid="{00000000-0005-0000-0000-0000E2740000}"/>
    <cellStyle name="Calculation 3 2 21 4 2" xfId="29954" xr:uid="{00000000-0005-0000-0000-0000E3740000}"/>
    <cellStyle name="Calculation 3 2 21 4 3" xfId="29955" xr:uid="{00000000-0005-0000-0000-0000E4740000}"/>
    <cellStyle name="Calculation 3 2 21 4 4" xfId="29956" xr:uid="{00000000-0005-0000-0000-0000E5740000}"/>
    <cellStyle name="Calculation 3 2 21 4 5" xfId="29957" xr:uid="{00000000-0005-0000-0000-0000E6740000}"/>
    <cellStyle name="Calculation 3 2 21 4 6" xfId="29958" xr:uid="{00000000-0005-0000-0000-0000E7740000}"/>
    <cellStyle name="Calculation 3 2 21 5" xfId="29959" xr:uid="{00000000-0005-0000-0000-0000E8740000}"/>
    <cellStyle name="Calculation 3 2 21 5 2" xfId="29960" xr:uid="{00000000-0005-0000-0000-0000E9740000}"/>
    <cellStyle name="Calculation 3 2 21 5 3" xfId="29961" xr:uid="{00000000-0005-0000-0000-0000EA740000}"/>
    <cellStyle name="Calculation 3 2 21 5 4" xfId="29962" xr:uid="{00000000-0005-0000-0000-0000EB740000}"/>
    <cellStyle name="Calculation 3 2 21 5 5" xfId="29963" xr:uid="{00000000-0005-0000-0000-0000EC740000}"/>
    <cellStyle name="Calculation 3 2 21 5 6" xfId="29964" xr:uid="{00000000-0005-0000-0000-0000ED740000}"/>
    <cellStyle name="Calculation 3 2 21 6" xfId="29965" xr:uid="{00000000-0005-0000-0000-0000EE740000}"/>
    <cellStyle name="Calculation 3 2 21 6 2" xfId="29966" xr:uid="{00000000-0005-0000-0000-0000EF740000}"/>
    <cellStyle name="Calculation 3 2 21 6 3" xfId="29967" xr:uid="{00000000-0005-0000-0000-0000F0740000}"/>
    <cellStyle name="Calculation 3 2 21 6 4" xfId="29968" xr:uid="{00000000-0005-0000-0000-0000F1740000}"/>
    <cellStyle name="Calculation 3 2 21 6 5" xfId="29969" xr:uid="{00000000-0005-0000-0000-0000F2740000}"/>
    <cellStyle name="Calculation 3 2 21 6 6" xfId="29970" xr:uid="{00000000-0005-0000-0000-0000F3740000}"/>
    <cellStyle name="Calculation 3 2 21 7" xfId="29971" xr:uid="{00000000-0005-0000-0000-0000F4740000}"/>
    <cellStyle name="Calculation 3 2 21 7 2" xfId="29972" xr:uid="{00000000-0005-0000-0000-0000F5740000}"/>
    <cellStyle name="Calculation 3 2 21 7 3" xfId="29973" xr:uid="{00000000-0005-0000-0000-0000F6740000}"/>
    <cellStyle name="Calculation 3 2 21 7 4" xfId="29974" xr:uid="{00000000-0005-0000-0000-0000F7740000}"/>
    <cellStyle name="Calculation 3 2 21 7 5" xfId="29975" xr:uid="{00000000-0005-0000-0000-0000F8740000}"/>
    <cellStyle name="Calculation 3 2 21 7 6" xfId="29976" xr:uid="{00000000-0005-0000-0000-0000F9740000}"/>
    <cellStyle name="Calculation 3 2 21 8" xfId="29977" xr:uid="{00000000-0005-0000-0000-0000FA740000}"/>
    <cellStyle name="Calculation 3 2 21 9" xfId="29978" xr:uid="{00000000-0005-0000-0000-0000FB740000}"/>
    <cellStyle name="Calculation 3 2 22" xfId="29979" xr:uid="{00000000-0005-0000-0000-0000FC740000}"/>
    <cellStyle name="Calculation 3 2 22 10" xfId="29980" xr:uid="{00000000-0005-0000-0000-0000FD740000}"/>
    <cellStyle name="Calculation 3 2 22 2" xfId="29981" xr:uid="{00000000-0005-0000-0000-0000FE740000}"/>
    <cellStyle name="Calculation 3 2 22 2 2" xfId="29982" xr:uid="{00000000-0005-0000-0000-0000FF740000}"/>
    <cellStyle name="Calculation 3 2 22 2 3" xfId="29983" xr:uid="{00000000-0005-0000-0000-000000750000}"/>
    <cellStyle name="Calculation 3 2 22 2 4" xfId="29984" xr:uid="{00000000-0005-0000-0000-000001750000}"/>
    <cellStyle name="Calculation 3 2 22 2 5" xfId="29985" xr:uid="{00000000-0005-0000-0000-000002750000}"/>
    <cellStyle name="Calculation 3 2 22 2 6" xfId="29986" xr:uid="{00000000-0005-0000-0000-000003750000}"/>
    <cellStyle name="Calculation 3 2 22 3" xfId="29987" xr:uid="{00000000-0005-0000-0000-000004750000}"/>
    <cellStyle name="Calculation 3 2 22 3 2" xfId="29988" xr:uid="{00000000-0005-0000-0000-000005750000}"/>
    <cellStyle name="Calculation 3 2 22 3 3" xfId="29989" xr:uid="{00000000-0005-0000-0000-000006750000}"/>
    <cellStyle name="Calculation 3 2 22 3 4" xfId="29990" xr:uid="{00000000-0005-0000-0000-000007750000}"/>
    <cellStyle name="Calculation 3 2 22 3 5" xfId="29991" xr:uid="{00000000-0005-0000-0000-000008750000}"/>
    <cellStyle name="Calculation 3 2 22 3 6" xfId="29992" xr:uid="{00000000-0005-0000-0000-000009750000}"/>
    <cellStyle name="Calculation 3 2 22 4" xfId="29993" xr:uid="{00000000-0005-0000-0000-00000A750000}"/>
    <cellStyle name="Calculation 3 2 22 4 2" xfId="29994" xr:uid="{00000000-0005-0000-0000-00000B750000}"/>
    <cellStyle name="Calculation 3 2 22 4 3" xfId="29995" xr:uid="{00000000-0005-0000-0000-00000C750000}"/>
    <cellStyle name="Calculation 3 2 22 4 4" xfId="29996" xr:uid="{00000000-0005-0000-0000-00000D750000}"/>
    <cellStyle name="Calculation 3 2 22 4 5" xfId="29997" xr:uid="{00000000-0005-0000-0000-00000E750000}"/>
    <cellStyle name="Calculation 3 2 22 4 6" xfId="29998" xr:uid="{00000000-0005-0000-0000-00000F750000}"/>
    <cellStyle name="Calculation 3 2 22 5" xfId="29999" xr:uid="{00000000-0005-0000-0000-000010750000}"/>
    <cellStyle name="Calculation 3 2 22 5 2" xfId="30000" xr:uid="{00000000-0005-0000-0000-000011750000}"/>
    <cellStyle name="Calculation 3 2 22 5 3" xfId="30001" xr:uid="{00000000-0005-0000-0000-000012750000}"/>
    <cellStyle name="Calculation 3 2 22 5 4" xfId="30002" xr:uid="{00000000-0005-0000-0000-000013750000}"/>
    <cellStyle name="Calculation 3 2 22 5 5" xfId="30003" xr:uid="{00000000-0005-0000-0000-000014750000}"/>
    <cellStyle name="Calculation 3 2 22 5 6" xfId="30004" xr:uid="{00000000-0005-0000-0000-000015750000}"/>
    <cellStyle name="Calculation 3 2 22 6" xfId="30005" xr:uid="{00000000-0005-0000-0000-000016750000}"/>
    <cellStyle name="Calculation 3 2 22 6 2" xfId="30006" xr:uid="{00000000-0005-0000-0000-000017750000}"/>
    <cellStyle name="Calculation 3 2 22 6 3" xfId="30007" xr:uid="{00000000-0005-0000-0000-000018750000}"/>
    <cellStyle name="Calculation 3 2 22 6 4" xfId="30008" xr:uid="{00000000-0005-0000-0000-000019750000}"/>
    <cellStyle name="Calculation 3 2 22 6 5" xfId="30009" xr:uid="{00000000-0005-0000-0000-00001A750000}"/>
    <cellStyle name="Calculation 3 2 22 6 6" xfId="30010" xr:uid="{00000000-0005-0000-0000-00001B750000}"/>
    <cellStyle name="Calculation 3 2 22 7" xfId="30011" xr:uid="{00000000-0005-0000-0000-00001C750000}"/>
    <cellStyle name="Calculation 3 2 22 7 2" xfId="30012" xr:uid="{00000000-0005-0000-0000-00001D750000}"/>
    <cellStyle name="Calculation 3 2 22 7 3" xfId="30013" xr:uid="{00000000-0005-0000-0000-00001E750000}"/>
    <cellStyle name="Calculation 3 2 22 7 4" xfId="30014" xr:uid="{00000000-0005-0000-0000-00001F750000}"/>
    <cellStyle name="Calculation 3 2 22 7 5" xfId="30015" xr:uid="{00000000-0005-0000-0000-000020750000}"/>
    <cellStyle name="Calculation 3 2 22 7 6" xfId="30016" xr:uid="{00000000-0005-0000-0000-000021750000}"/>
    <cellStyle name="Calculation 3 2 22 8" xfId="30017" xr:uid="{00000000-0005-0000-0000-000022750000}"/>
    <cellStyle name="Calculation 3 2 22 9" xfId="30018" xr:uid="{00000000-0005-0000-0000-000023750000}"/>
    <cellStyle name="Calculation 3 2 23" xfId="30019" xr:uid="{00000000-0005-0000-0000-000024750000}"/>
    <cellStyle name="Calculation 3 2 23 10" xfId="30020" xr:uid="{00000000-0005-0000-0000-000025750000}"/>
    <cellStyle name="Calculation 3 2 23 2" xfId="30021" xr:uid="{00000000-0005-0000-0000-000026750000}"/>
    <cellStyle name="Calculation 3 2 23 2 2" xfId="30022" xr:uid="{00000000-0005-0000-0000-000027750000}"/>
    <cellStyle name="Calculation 3 2 23 2 3" xfId="30023" xr:uid="{00000000-0005-0000-0000-000028750000}"/>
    <cellStyle name="Calculation 3 2 23 2 4" xfId="30024" xr:uid="{00000000-0005-0000-0000-000029750000}"/>
    <cellStyle name="Calculation 3 2 23 2 5" xfId="30025" xr:uid="{00000000-0005-0000-0000-00002A750000}"/>
    <cellStyle name="Calculation 3 2 23 2 6" xfId="30026" xr:uid="{00000000-0005-0000-0000-00002B750000}"/>
    <cellStyle name="Calculation 3 2 23 3" xfId="30027" xr:uid="{00000000-0005-0000-0000-00002C750000}"/>
    <cellStyle name="Calculation 3 2 23 3 2" xfId="30028" xr:uid="{00000000-0005-0000-0000-00002D750000}"/>
    <cellStyle name="Calculation 3 2 23 3 3" xfId="30029" xr:uid="{00000000-0005-0000-0000-00002E750000}"/>
    <cellStyle name="Calculation 3 2 23 3 4" xfId="30030" xr:uid="{00000000-0005-0000-0000-00002F750000}"/>
    <cellStyle name="Calculation 3 2 23 3 5" xfId="30031" xr:uid="{00000000-0005-0000-0000-000030750000}"/>
    <cellStyle name="Calculation 3 2 23 3 6" xfId="30032" xr:uid="{00000000-0005-0000-0000-000031750000}"/>
    <cellStyle name="Calculation 3 2 23 4" xfId="30033" xr:uid="{00000000-0005-0000-0000-000032750000}"/>
    <cellStyle name="Calculation 3 2 23 4 2" xfId="30034" xr:uid="{00000000-0005-0000-0000-000033750000}"/>
    <cellStyle name="Calculation 3 2 23 4 3" xfId="30035" xr:uid="{00000000-0005-0000-0000-000034750000}"/>
    <cellStyle name="Calculation 3 2 23 4 4" xfId="30036" xr:uid="{00000000-0005-0000-0000-000035750000}"/>
    <cellStyle name="Calculation 3 2 23 4 5" xfId="30037" xr:uid="{00000000-0005-0000-0000-000036750000}"/>
    <cellStyle name="Calculation 3 2 23 4 6" xfId="30038" xr:uid="{00000000-0005-0000-0000-000037750000}"/>
    <cellStyle name="Calculation 3 2 23 5" xfId="30039" xr:uid="{00000000-0005-0000-0000-000038750000}"/>
    <cellStyle name="Calculation 3 2 23 5 2" xfId="30040" xr:uid="{00000000-0005-0000-0000-000039750000}"/>
    <cellStyle name="Calculation 3 2 23 5 3" xfId="30041" xr:uid="{00000000-0005-0000-0000-00003A750000}"/>
    <cellStyle name="Calculation 3 2 23 5 4" xfId="30042" xr:uid="{00000000-0005-0000-0000-00003B750000}"/>
    <cellStyle name="Calculation 3 2 23 5 5" xfId="30043" xr:uid="{00000000-0005-0000-0000-00003C750000}"/>
    <cellStyle name="Calculation 3 2 23 5 6" xfId="30044" xr:uid="{00000000-0005-0000-0000-00003D750000}"/>
    <cellStyle name="Calculation 3 2 23 6" xfId="30045" xr:uid="{00000000-0005-0000-0000-00003E750000}"/>
    <cellStyle name="Calculation 3 2 23 6 2" xfId="30046" xr:uid="{00000000-0005-0000-0000-00003F750000}"/>
    <cellStyle name="Calculation 3 2 23 6 3" xfId="30047" xr:uid="{00000000-0005-0000-0000-000040750000}"/>
    <cellStyle name="Calculation 3 2 23 6 4" xfId="30048" xr:uid="{00000000-0005-0000-0000-000041750000}"/>
    <cellStyle name="Calculation 3 2 23 6 5" xfId="30049" xr:uid="{00000000-0005-0000-0000-000042750000}"/>
    <cellStyle name="Calculation 3 2 23 6 6" xfId="30050" xr:uid="{00000000-0005-0000-0000-000043750000}"/>
    <cellStyle name="Calculation 3 2 23 7" xfId="30051" xr:uid="{00000000-0005-0000-0000-000044750000}"/>
    <cellStyle name="Calculation 3 2 23 7 2" xfId="30052" xr:uid="{00000000-0005-0000-0000-000045750000}"/>
    <cellStyle name="Calculation 3 2 23 7 3" xfId="30053" xr:uid="{00000000-0005-0000-0000-000046750000}"/>
    <cellStyle name="Calculation 3 2 23 7 4" xfId="30054" xr:uid="{00000000-0005-0000-0000-000047750000}"/>
    <cellStyle name="Calculation 3 2 23 7 5" xfId="30055" xr:uid="{00000000-0005-0000-0000-000048750000}"/>
    <cellStyle name="Calculation 3 2 23 7 6" xfId="30056" xr:uid="{00000000-0005-0000-0000-000049750000}"/>
    <cellStyle name="Calculation 3 2 23 8" xfId="30057" xr:uid="{00000000-0005-0000-0000-00004A750000}"/>
    <cellStyle name="Calculation 3 2 23 9" xfId="30058" xr:uid="{00000000-0005-0000-0000-00004B750000}"/>
    <cellStyle name="Calculation 3 2 24" xfId="30059" xr:uid="{00000000-0005-0000-0000-00004C750000}"/>
    <cellStyle name="Calculation 3 2 24 10" xfId="30060" xr:uid="{00000000-0005-0000-0000-00004D750000}"/>
    <cellStyle name="Calculation 3 2 24 2" xfId="30061" xr:uid="{00000000-0005-0000-0000-00004E750000}"/>
    <cellStyle name="Calculation 3 2 24 2 2" xfId="30062" xr:uid="{00000000-0005-0000-0000-00004F750000}"/>
    <cellStyle name="Calculation 3 2 24 2 3" xfId="30063" xr:uid="{00000000-0005-0000-0000-000050750000}"/>
    <cellStyle name="Calculation 3 2 24 2 4" xfId="30064" xr:uid="{00000000-0005-0000-0000-000051750000}"/>
    <cellStyle name="Calculation 3 2 24 2 5" xfId="30065" xr:uid="{00000000-0005-0000-0000-000052750000}"/>
    <cellStyle name="Calculation 3 2 24 2 6" xfId="30066" xr:uid="{00000000-0005-0000-0000-000053750000}"/>
    <cellStyle name="Calculation 3 2 24 3" xfId="30067" xr:uid="{00000000-0005-0000-0000-000054750000}"/>
    <cellStyle name="Calculation 3 2 24 3 2" xfId="30068" xr:uid="{00000000-0005-0000-0000-000055750000}"/>
    <cellStyle name="Calculation 3 2 24 3 3" xfId="30069" xr:uid="{00000000-0005-0000-0000-000056750000}"/>
    <cellStyle name="Calculation 3 2 24 3 4" xfId="30070" xr:uid="{00000000-0005-0000-0000-000057750000}"/>
    <cellStyle name="Calculation 3 2 24 3 5" xfId="30071" xr:uid="{00000000-0005-0000-0000-000058750000}"/>
    <cellStyle name="Calculation 3 2 24 3 6" xfId="30072" xr:uid="{00000000-0005-0000-0000-000059750000}"/>
    <cellStyle name="Calculation 3 2 24 4" xfId="30073" xr:uid="{00000000-0005-0000-0000-00005A750000}"/>
    <cellStyle name="Calculation 3 2 24 4 2" xfId="30074" xr:uid="{00000000-0005-0000-0000-00005B750000}"/>
    <cellStyle name="Calculation 3 2 24 4 3" xfId="30075" xr:uid="{00000000-0005-0000-0000-00005C750000}"/>
    <cellStyle name="Calculation 3 2 24 4 4" xfId="30076" xr:uid="{00000000-0005-0000-0000-00005D750000}"/>
    <cellStyle name="Calculation 3 2 24 4 5" xfId="30077" xr:uid="{00000000-0005-0000-0000-00005E750000}"/>
    <cellStyle name="Calculation 3 2 24 4 6" xfId="30078" xr:uid="{00000000-0005-0000-0000-00005F750000}"/>
    <cellStyle name="Calculation 3 2 24 5" xfId="30079" xr:uid="{00000000-0005-0000-0000-000060750000}"/>
    <cellStyle name="Calculation 3 2 24 5 2" xfId="30080" xr:uid="{00000000-0005-0000-0000-000061750000}"/>
    <cellStyle name="Calculation 3 2 24 5 3" xfId="30081" xr:uid="{00000000-0005-0000-0000-000062750000}"/>
    <cellStyle name="Calculation 3 2 24 5 4" xfId="30082" xr:uid="{00000000-0005-0000-0000-000063750000}"/>
    <cellStyle name="Calculation 3 2 24 5 5" xfId="30083" xr:uid="{00000000-0005-0000-0000-000064750000}"/>
    <cellStyle name="Calculation 3 2 24 5 6" xfId="30084" xr:uid="{00000000-0005-0000-0000-000065750000}"/>
    <cellStyle name="Calculation 3 2 24 6" xfId="30085" xr:uid="{00000000-0005-0000-0000-000066750000}"/>
    <cellStyle name="Calculation 3 2 24 6 2" xfId="30086" xr:uid="{00000000-0005-0000-0000-000067750000}"/>
    <cellStyle name="Calculation 3 2 24 6 3" xfId="30087" xr:uid="{00000000-0005-0000-0000-000068750000}"/>
    <cellStyle name="Calculation 3 2 24 6 4" xfId="30088" xr:uid="{00000000-0005-0000-0000-000069750000}"/>
    <cellStyle name="Calculation 3 2 24 6 5" xfId="30089" xr:uid="{00000000-0005-0000-0000-00006A750000}"/>
    <cellStyle name="Calculation 3 2 24 6 6" xfId="30090" xr:uid="{00000000-0005-0000-0000-00006B750000}"/>
    <cellStyle name="Calculation 3 2 24 7" xfId="30091" xr:uid="{00000000-0005-0000-0000-00006C750000}"/>
    <cellStyle name="Calculation 3 2 24 7 2" xfId="30092" xr:uid="{00000000-0005-0000-0000-00006D750000}"/>
    <cellStyle name="Calculation 3 2 24 7 3" xfId="30093" xr:uid="{00000000-0005-0000-0000-00006E750000}"/>
    <cellStyle name="Calculation 3 2 24 7 4" xfId="30094" xr:uid="{00000000-0005-0000-0000-00006F750000}"/>
    <cellStyle name="Calculation 3 2 24 7 5" xfId="30095" xr:uid="{00000000-0005-0000-0000-000070750000}"/>
    <cellStyle name="Calculation 3 2 24 7 6" xfId="30096" xr:uid="{00000000-0005-0000-0000-000071750000}"/>
    <cellStyle name="Calculation 3 2 24 8" xfId="30097" xr:uid="{00000000-0005-0000-0000-000072750000}"/>
    <cellStyle name="Calculation 3 2 24 9" xfId="30098" xr:uid="{00000000-0005-0000-0000-000073750000}"/>
    <cellStyle name="Calculation 3 2 25" xfId="30099" xr:uid="{00000000-0005-0000-0000-000074750000}"/>
    <cellStyle name="Calculation 3 2 25 10" xfId="30100" xr:uid="{00000000-0005-0000-0000-000075750000}"/>
    <cellStyle name="Calculation 3 2 25 2" xfId="30101" xr:uid="{00000000-0005-0000-0000-000076750000}"/>
    <cellStyle name="Calculation 3 2 25 2 2" xfId="30102" xr:uid="{00000000-0005-0000-0000-000077750000}"/>
    <cellStyle name="Calculation 3 2 25 2 3" xfId="30103" xr:uid="{00000000-0005-0000-0000-000078750000}"/>
    <cellStyle name="Calculation 3 2 25 2 4" xfId="30104" xr:uid="{00000000-0005-0000-0000-000079750000}"/>
    <cellStyle name="Calculation 3 2 25 2 5" xfId="30105" xr:uid="{00000000-0005-0000-0000-00007A750000}"/>
    <cellStyle name="Calculation 3 2 25 2 6" xfId="30106" xr:uid="{00000000-0005-0000-0000-00007B750000}"/>
    <cellStyle name="Calculation 3 2 25 3" xfId="30107" xr:uid="{00000000-0005-0000-0000-00007C750000}"/>
    <cellStyle name="Calculation 3 2 25 3 2" xfId="30108" xr:uid="{00000000-0005-0000-0000-00007D750000}"/>
    <cellStyle name="Calculation 3 2 25 3 3" xfId="30109" xr:uid="{00000000-0005-0000-0000-00007E750000}"/>
    <cellStyle name="Calculation 3 2 25 3 4" xfId="30110" xr:uid="{00000000-0005-0000-0000-00007F750000}"/>
    <cellStyle name="Calculation 3 2 25 3 5" xfId="30111" xr:uid="{00000000-0005-0000-0000-000080750000}"/>
    <cellStyle name="Calculation 3 2 25 3 6" xfId="30112" xr:uid="{00000000-0005-0000-0000-000081750000}"/>
    <cellStyle name="Calculation 3 2 25 4" xfId="30113" xr:uid="{00000000-0005-0000-0000-000082750000}"/>
    <cellStyle name="Calculation 3 2 25 4 2" xfId="30114" xr:uid="{00000000-0005-0000-0000-000083750000}"/>
    <cellStyle name="Calculation 3 2 25 4 3" xfId="30115" xr:uid="{00000000-0005-0000-0000-000084750000}"/>
    <cellStyle name="Calculation 3 2 25 4 4" xfId="30116" xr:uid="{00000000-0005-0000-0000-000085750000}"/>
    <cellStyle name="Calculation 3 2 25 4 5" xfId="30117" xr:uid="{00000000-0005-0000-0000-000086750000}"/>
    <cellStyle name="Calculation 3 2 25 4 6" xfId="30118" xr:uid="{00000000-0005-0000-0000-000087750000}"/>
    <cellStyle name="Calculation 3 2 25 5" xfId="30119" xr:uid="{00000000-0005-0000-0000-000088750000}"/>
    <cellStyle name="Calculation 3 2 25 5 2" xfId="30120" xr:uid="{00000000-0005-0000-0000-000089750000}"/>
    <cellStyle name="Calculation 3 2 25 5 3" xfId="30121" xr:uid="{00000000-0005-0000-0000-00008A750000}"/>
    <cellStyle name="Calculation 3 2 25 5 4" xfId="30122" xr:uid="{00000000-0005-0000-0000-00008B750000}"/>
    <cellStyle name="Calculation 3 2 25 5 5" xfId="30123" xr:uid="{00000000-0005-0000-0000-00008C750000}"/>
    <cellStyle name="Calculation 3 2 25 5 6" xfId="30124" xr:uid="{00000000-0005-0000-0000-00008D750000}"/>
    <cellStyle name="Calculation 3 2 25 6" xfId="30125" xr:uid="{00000000-0005-0000-0000-00008E750000}"/>
    <cellStyle name="Calculation 3 2 25 6 2" xfId="30126" xr:uid="{00000000-0005-0000-0000-00008F750000}"/>
    <cellStyle name="Calculation 3 2 25 6 3" xfId="30127" xr:uid="{00000000-0005-0000-0000-000090750000}"/>
    <cellStyle name="Calculation 3 2 25 6 4" xfId="30128" xr:uid="{00000000-0005-0000-0000-000091750000}"/>
    <cellStyle name="Calculation 3 2 25 6 5" xfId="30129" xr:uid="{00000000-0005-0000-0000-000092750000}"/>
    <cellStyle name="Calculation 3 2 25 6 6" xfId="30130" xr:uid="{00000000-0005-0000-0000-000093750000}"/>
    <cellStyle name="Calculation 3 2 25 7" xfId="30131" xr:uid="{00000000-0005-0000-0000-000094750000}"/>
    <cellStyle name="Calculation 3 2 25 7 2" xfId="30132" xr:uid="{00000000-0005-0000-0000-000095750000}"/>
    <cellStyle name="Calculation 3 2 25 7 3" xfId="30133" xr:uid="{00000000-0005-0000-0000-000096750000}"/>
    <cellStyle name="Calculation 3 2 25 7 4" xfId="30134" xr:uid="{00000000-0005-0000-0000-000097750000}"/>
    <cellStyle name="Calculation 3 2 25 7 5" xfId="30135" xr:uid="{00000000-0005-0000-0000-000098750000}"/>
    <cellStyle name="Calculation 3 2 25 7 6" xfId="30136" xr:uid="{00000000-0005-0000-0000-000099750000}"/>
    <cellStyle name="Calculation 3 2 25 8" xfId="30137" xr:uid="{00000000-0005-0000-0000-00009A750000}"/>
    <cellStyle name="Calculation 3 2 25 9" xfId="30138" xr:uid="{00000000-0005-0000-0000-00009B750000}"/>
    <cellStyle name="Calculation 3 2 26" xfId="30139" xr:uid="{00000000-0005-0000-0000-00009C750000}"/>
    <cellStyle name="Calculation 3 2 26 10" xfId="30140" xr:uid="{00000000-0005-0000-0000-00009D750000}"/>
    <cellStyle name="Calculation 3 2 26 2" xfId="30141" xr:uid="{00000000-0005-0000-0000-00009E750000}"/>
    <cellStyle name="Calculation 3 2 26 2 2" xfId="30142" xr:uid="{00000000-0005-0000-0000-00009F750000}"/>
    <cellStyle name="Calculation 3 2 26 2 3" xfId="30143" xr:uid="{00000000-0005-0000-0000-0000A0750000}"/>
    <cellStyle name="Calculation 3 2 26 2 4" xfId="30144" xr:uid="{00000000-0005-0000-0000-0000A1750000}"/>
    <cellStyle name="Calculation 3 2 26 2 5" xfId="30145" xr:uid="{00000000-0005-0000-0000-0000A2750000}"/>
    <cellStyle name="Calculation 3 2 26 2 6" xfId="30146" xr:uid="{00000000-0005-0000-0000-0000A3750000}"/>
    <cellStyle name="Calculation 3 2 26 3" xfId="30147" xr:uid="{00000000-0005-0000-0000-0000A4750000}"/>
    <cellStyle name="Calculation 3 2 26 3 2" xfId="30148" xr:uid="{00000000-0005-0000-0000-0000A5750000}"/>
    <cellStyle name="Calculation 3 2 26 3 3" xfId="30149" xr:uid="{00000000-0005-0000-0000-0000A6750000}"/>
    <cellStyle name="Calculation 3 2 26 3 4" xfId="30150" xr:uid="{00000000-0005-0000-0000-0000A7750000}"/>
    <cellStyle name="Calculation 3 2 26 3 5" xfId="30151" xr:uid="{00000000-0005-0000-0000-0000A8750000}"/>
    <cellStyle name="Calculation 3 2 26 3 6" xfId="30152" xr:uid="{00000000-0005-0000-0000-0000A9750000}"/>
    <cellStyle name="Calculation 3 2 26 4" xfId="30153" xr:uid="{00000000-0005-0000-0000-0000AA750000}"/>
    <cellStyle name="Calculation 3 2 26 4 2" xfId="30154" xr:uid="{00000000-0005-0000-0000-0000AB750000}"/>
    <cellStyle name="Calculation 3 2 26 4 3" xfId="30155" xr:uid="{00000000-0005-0000-0000-0000AC750000}"/>
    <cellStyle name="Calculation 3 2 26 4 4" xfId="30156" xr:uid="{00000000-0005-0000-0000-0000AD750000}"/>
    <cellStyle name="Calculation 3 2 26 4 5" xfId="30157" xr:uid="{00000000-0005-0000-0000-0000AE750000}"/>
    <cellStyle name="Calculation 3 2 26 4 6" xfId="30158" xr:uid="{00000000-0005-0000-0000-0000AF750000}"/>
    <cellStyle name="Calculation 3 2 26 5" xfId="30159" xr:uid="{00000000-0005-0000-0000-0000B0750000}"/>
    <cellStyle name="Calculation 3 2 26 5 2" xfId="30160" xr:uid="{00000000-0005-0000-0000-0000B1750000}"/>
    <cellStyle name="Calculation 3 2 26 5 3" xfId="30161" xr:uid="{00000000-0005-0000-0000-0000B2750000}"/>
    <cellStyle name="Calculation 3 2 26 5 4" xfId="30162" xr:uid="{00000000-0005-0000-0000-0000B3750000}"/>
    <cellStyle name="Calculation 3 2 26 5 5" xfId="30163" xr:uid="{00000000-0005-0000-0000-0000B4750000}"/>
    <cellStyle name="Calculation 3 2 26 5 6" xfId="30164" xr:uid="{00000000-0005-0000-0000-0000B5750000}"/>
    <cellStyle name="Calculation 3 2 26 6" xfId="30165" xr:uid="{00000000-0005-0000-0000-0000B6750000}"/>
    <cellStyle name="Calculation 3 2 26 6 2" xfId="30166" xr:uid="{00000000-0005-0000-0000-0000B7750000}"/>
    <cellStyle name="Calculation 3 2 26 6 3" xfId="30167" xr:uid="{00000000-0005-0000-0000-0000B8750000}"/>
    <cellStyle name="Calculation 3 2 26 6 4" xfId="30168" xr:uid="{00000000-0005-0000-0000-0000B9750000}"/>
    <cellStyle name="Calculation 3 2 26 6 5" xfId="30169" xr:uid="{00000000-0005-0000-0000-0000BA750000}"/>
    <cellStyle name="Calculation 3 2 26 6 6" xfId="30170" xr:uid="{00000000-0005-0000-0000-0000BB750000}"/>
    <cellStyle name="Calculation 3 2 26 7" xfId="30171" xr:uid="{00000000-0005-0000-0000-0000BC750000}"/>
    <cellStyle name="Calculation 3 2 26 7 2" xfId="30172" xr:uid="{00000000-0005-0000-0000-0000BD750000}"/>
    <cellStyle name="Calculation 3 2 26 7 3" xfId="30173" xr:uid="{00000000-0005-0000-0000-0000BE750000}"/>
    <cellStyle name="Calculation 3 2 26 7 4" xfId="30174" xr:uid="{00000000-0005-0000-0000-0000BF750000}"/>
    <cellStyle name="Calculation 3 2 26 7 5" xfId="30175" xr:uid="{00000000-0005-0000-0000-0000C0750000}"/>
    <cellStyle name="Calculation 3 2 26 7 6" xfId="30176" xr:uid="{00000000-0005-0000-0000-0000C1750000}"/>
    <cellStyle name="Calculation 3 2 26 8" xfId="30177" xr:uid="{00000000-0005-0000-0000-0000C2750000}"/>
    <cellStyle name="Calculation 3 2 26 9" xfId="30178" xr:uid="{00000000-0005-0000-0000-0000C3750000}"/>
    <cellStyle name="Calculation 3 2 27" xfId="30179" xr:uid="{00000000-0005-0000-0000-0000C4750000}"/>
    <cellStyle name="Calculation 3 2 27 2" xfId="30180" xr:uid="{00000000-0005-0000-0000-0000C5750000}"/>
    <cellStyle name="Calculation 3 2 27 3" xfId="30181" xr:uid="{00000000-0005-0000-0000-0000C6750000}"/>
    <cellStyle name="Calculation 3 2 27 4" xfId="30182" xr:uid="{00000000-0005-0000-0000-0000C7750000}"/>
    <cellStyle name="Calculation 3 2 27 5" xfId="30183" xr:uid="{00000000-0005-0000-0000-0000C8750000}"/>
    <cellStyle name="Calculation 3 2 27 6" xfId="30184" xr:uid="{00000000-0005-0000-0000-0000C9750000}"/>
    <cellStyle name="Calculation 3 2 28" xfId="30185" xr:uid="{00000000-0005-0000-0000-0000CA750000}"/>
    <cellStyle name="Calculation 3 2 28 2" xfId="30186" xr:uid="{00000000-0005-0000-0000-0000CB750000}"/>
    <cellStyle name="Calculation 3 2 28 3" xfId="30187" xr:uid="{00000000-0005-0000-0000-0000CC750000}"/>
    <cellStyle name="Calculation 3 2 28 4" xfId="30188" xr:uid="{00000000-0005-0000-0000-0000CD750000}"/>
    <cellStyle name="Calculation 3 2 28 5" xfId="30189" xr:uid="{00000000-0005-0000-0000-0000CE750000}"/>
    <cellStyle name="Calculation 3 2 28 6" xfId="30190" xr:uid="{00000000-0005-0000-0000-0000CF750000}"/>
    <cellStyle name="Calculation 3 2 29" xfId="30191" xr:uid="{00000000-0005-0000-0000-0000D0750000}"/>
    <cellStyle name="Calculation 3 2 29 2" xfId="30192" xr:uid="{00000000-0005-0000-0000-0000D1750000}"/>
    <cellStyle name="Calculation 3 2 29 3" xfId="30193" xr:uid="{00000000-0005-0000-0000-0000D2750000}"/>
    <cellStyle name="Calculation 3 2 29 4" xfId="30194" xr:uid="{00000000-0005-0000-0000-0000D3750000}"/>
    <cellStyle name="Calculation 3 2 29 5" xfId="30195" xr:uid="{00000000-0005-0000-0000-0000D4750000}"/>
    <cellStyle name="Calculation 3 2 29 6" xfId="30196" xr:uid="{00000000-0005-0000-0000-0000D5750000}"/>
    <cellStyle name="Calculation 3 2 3" xfId="30197" xr:uid="{00000000-0005-0000-0000-0000D6750000}"/>
    <cellStyle name="Calculation 3 2 3 10" xfId="30198" xr:uid="{00000000-0005-0000-0000-0000D7750000}"/>
    <cellStyle name="Calculation 3 2 3 2" xfId="30199" xr:uid="{00000000-0005-0000-0000-0000D8750000}"/>
    <cellStyle name="Calculation 3 2 3 2 2" xfId="30200" xr:uid="{00000000-0005-0000-0000-0000D9750000}"/>
    <cellStyle name="Calculation 3 2 3 2 3" xfId="30201" xr:uid="{00000000-0005-0000-0000-0000DA750000}"/>
    <cellStyle name="Calculation 3 2 3 2 4" xfId="30202" xr:uid="{00000000-0005-0000-0000-0000DB750000}"/>
    <cellStyle name="Calculation 3 2 3 2 5" xfId="30203" xr:uid="{00000000-0005-0000-0000-0000DC750000}"/>
    <cellStyle name="Calculation 3 2 3 2 6" xfId="30204" xr:uid="{00000000-0005-0000-0000-0000DD750000}"/>
    <cellStyle name="Calculation 3 2 3 3" xfId="30205" xr:uid="{00000000-0005-0000-0000-0000DE750000}"/>
    <cellStyle name="Calculation 3 2 3 3 2" xfId="30206" xr:uid="{00000000-0005-0000-0000-0000DF750000}"/>
    <cellStyle name="Calculation 3 2 3 3 3" xfId="30207" xr:uid="{00000000-0005-0000-0000-0000E0750000}"/>
    <cellStyle name="Calculation 3 2 3 3 4" xfId="30208" xr:uid="{00000000-0005-0000-0000-0000E1750000}"/>
    <cellStyle name="Calculation 3 2 3 3 5" xfId="30209" xr:uid="{00000000-0005-0000-0000-0000E2750000}"/>
    <cellStyle name="Calculation 3 2 3 3 6" xfId="30210" xr:uid="{00000000-0005-0000-0000-0000E3750000}"/>
    <cellStyle name="Calculation 3 2 3 4" xfId="30211" xr:uid="{00000000-0005-0000-0000-0000E4750000}"/>
    <cellStyle name="Calculation 3 2 3 4 2" xfId="30212" xr:uid="{00000000-0005-0000-0000-0000E5750000}"/>
    <cellStyle name="Calculation 3 2 3 4 3" xfId="30213" xr:uid="{00000000-0005-0000-0000-0000E6750000}"/>
    <cellStyle name="Calculation 3 2 3 4 4" xfId="30214" xr:uid="{00000000-0005-0000-0000-0000E7750000}"/>
    <cellStyle name="Calculation 3 2 3 4 5" xfId="30215" xr:uid="{00000000-0005-0000-0000-0000E8750000}"/>
    <cellStyle name="Calculation 3 2 3 4 6" xfId="30216" xr:uid="{00000000-0005-0000-0000-0000E9750000}"/>
    <cellStyle name="Calculation 3 2 3 5" xfId="30217" xr:uid="{00000000-0005-0000-0000-0000EA750000}"/>
    <cellStyle name="Calculation 3 2 3 5 2" xfId="30218" xr:uid="{00000000-0005-0000-0000-0000EB750000}"/>
    <cellStyle name="Calculation 3 2 3 5 3" xfId="30219" xr:uid="{00000000-0005-0000-0000-0000EC750000}"/>
    <cellStyle name="Calculation 3 2 3 5 4" xfId="30220" xr:uid="{00000000-0005-0000-0000-0000ED750000}"/>
    <cellStyle name="Calculation 3 2 3 5 5" xfId="30221" xr:uid="{00000000-0005-0000-0000-0000EE750000}"/>
    <cellStyle name="Calculation 3 2 3 5 6" xfId="30222" xr:uid="{00000000-0005-0000-0000-0000EF750000}"/>
    <cellStyle name="Calculation 3 2 3 6" xfId="30223" xr:uid="{00000000-0005-0000-0000-0000F0750000}"/>
    <cellStyle name="Calculation 3 2 3 6 2" xfId="30224" xr:uid="{00000000-0005-0000-0000-0000F1750000}"/>
    <cellStyle name="Calculation 3 2 3 6 3" xfId="30225" xr:uid="{00000000-0005-0000-0000-0000F2750000}"/>
    <cellStyle name="Calculation 3 2 3 6 4" xfId="30226" xr:uid="{00000000-0005-0000-0000-0000F3750000}"/>
    <cellStyle name="Calculation 3 2 3 6 5" xfId="30227" xr:uid="{00000000-0005-0000-0000-0000F4750000}"/>
    <cellStyle name="Calculation 3 2 3 6 6" xfId="30228" xr:uid="{00000000-0005-0000-0000-0000F5750000}"/>
    <cellStyle name="Calculation 3 2 3 7" xfId="30229" xr:uid="{00000000-0005-0000-0000-0000F6750000}"/>
    <cellStyle name="Calculation 3 2 3 7 2" xfId="30230" xr:uid="{00000000-0005-0000-0000-0000F7750000}"/>
    <cellStyle name="Calculation 3 2 3 7 3" xfId="30231" xr:uid="{00000000-0005-0000-0000-0000F8750000}"/>
    <cellStyle name="Calculation 3 2 3 7 4" xfId="30232" xr:uid="{00000000-0005-0000-0000-0000F9750000}"/>
    <cellStyle name="Calculation 3 2 3 7 5" xfId="30233" xr:uid="{00000000-0005-0000-0000-0000FA750000}"/>
    <cellStyle name="Calculation 3 2 3 7 6" xfId="30234" xr:uid="{00000000-0005-0000-0000-0000FB750000}"/>
    <cellStyle name="Calculation 3 2 3 8" xfId="30235" xr:uid="{00000000-0005-0000-0000-0000FC750000}"/>
    <cellStyle name="Calculation 3 2 3 9" xfId="30236" xr:uid="{00000000-0005-0000-0000-0000FD750000}"/>
    <cellStyle name="Calculation 3 2 30" xfId="30237" xr:uid="{00000000-0005-0000-0000-0000FE750000}"/>
    <cellStyle name="Calculation 3 2 30 2" xfId="30238" xr:uid="{00000000-0005-0000-0000-0000FF750000}"/>
    <cellStyle name="Calculation 3 2 30 3" xfId="30239" xr:uid="{00000000-0005-0000-0000-000000760000}"/>
    <cellStyle name="Calculation 3 2 30 4" xfId="30240" xr:uid="{00000000-0005-0000-0000-000001760000}"/>
    <cellStyle name="Calculation 3 2 30 5" xfId="30241" xr:uid="{00000000-0005-0000-0000-000002760000}"/>
    <cellStyle name="Calculation 3 2 30 6" xfId="30242" xr:uid="{00000000-0005-0000-0000-000003760000}"/>
    <cellStyle name="Calculation 3 2 31" xfId="30243" xr:uid="{00000000-0005-0000-0000-000004760000}"/>
    <cellStyle name="Calculation 3 2 31 2" xfId="30244" xr:uid="{00000000-0005-0000-0000-000005760000}"/>
    <cellStyle name="Calculation 3 2 31 3" xfId="30245" xr:uid="{00000000-0005-0000-0000-000006760000}"/>
    <cellStyle name="Calculation 3 2 31 4" xfId="30246" xr:uid="{00000000-0005-0000-0000-000007760000}"/>
    <cellStyle name="Calculation 3 2 31 5" xfId="30247" xr:uid="{00000000-0005-0000-0000-000008760000}"/>
    <cellStyle name="Calculation 3 2 31 6" xfId="30248" xr:uid="{00000000-0005-0000-0000-000009760000}"/>
    <cellStyle name="Calculation 3 2 32" xfId="30249" xr:uid="{00000000-0005-0000-0000-00000A760000}"/>
    <cellStyle name="Calculation 3 2 32 2" xfId="30250" xr:uid="{00000000-0005-0000-0000-00000B760000}"/>
    <cellStyle name="Calculation 3 2 32 3" xfId="30251" xr:uid="{00000000-0005-0000-0000-00000C760000}"/>
    <cellStyle name="Calculation 3 2 32 4" xfId="30252" xr:uid="{00000000-0005-0000-0000-00000D760000}"/>
    <cellStyle name="Calculation 3 2 32 5" xfId="30253" xr:uid="{00000000-0005-0000-0000-00000E760000}"/>
    <cellStyle name="Calculation 3 2 32 6" xfId="30254" xr:uid="{00000000-0005-0000-0000-00000F760000}"/>
    <cellStyle name="Calculation 3 2 33" xfId="30255" xr:uid="{00000000-0005-0000-0000-000010760000}"/>
    <cellStyle name="Calculation 3 2 34" xfId="30256" xr:uid="{00000000-0005-0000-0000-000011760000}"/>
    <cellStyle name="Calculation 3 2 35" xfId="30257" xr:uid="{00000000-0005-0000-0000-000012760000}"/>
    <cellStyle name="Calculation 3 2 4" xfId="30258" xr:uid="{00000000-0005-0000-0000-000013760000}"/>
    <cellStyle name="Calculation 3 2 4 10" xfId="30259" xr:uid="{00000000-0005-0000-0000-000014760000}"/>
    <cellStyle name="Calculation 3 2 4 2" xfId="30260" xr:uid="{00000000-0005-0000-0000-000015760000}"/>
    <cellStyle name="Calculation 3 2 4 2 2" xfId="30261" xr:uid="{00000000-0005-0000-0000-000016760000}"/>
    <cellStyle name="Calculation 3 2 4 2 3" xfId="30262" xr:uid="{00000000-0005-0000-0000-000017760000}"/>
    <cellStyle name="Calculation 3 2 4 2 4" xfId="30263" xr:uid="{00000000-0005-0000-0000-000018760000}"/>
    <cellStyle name="Calculation 3 2 4 2 5" xfId="30264" xr:uid="{00000000-0005-0000-0000-000019760000}"/>
    <cellStyle name="Calculation 3 2 4 2 6" xfId="30265" xr:uid="{00000000-0005-0000-0000-00001A760000}"/>
    <cellStyle name="Calculation 3 2 4 3" xfId="30266" xr:uid="{00000000-0005-0000-0000-00001B760000}"/>
    <cellStyle name="Calculation 3 2 4 3 2" xfId="30267" xr:uid="{00000000-0005-0000-0000-00001C760000}"/>
    <cellStyle name="Calculation 3 2 4 3 3" xfId="30268" xr:uid="{00000000-0005-0000-0000-00001D760000}"/>
    <cellStyle name="Calculation 3 2 4 3 4" xfId="30269" xr:uid="{00000000-0005-0000-0000-00001E760000}"/>
    <cellStyle name="Calculation 3 2 4 3 5" xfId="30270" xr:uid="{00000000-0005-0000-0000-00001F760000}"/>
    <cellStyle name="Calculation 3 2 4 3 6" xfId="30271" xr:uid="{00000000-0005-0000-0000-000020760000}"/>
    <cellStyle name="Calculation 3 2 4 4" xfId="30272" xr:uid="{00000000-0005-0000-0000-000021760000}"/>
    <cellStyle name="Calculation 3 2 4 4 2" xfId="30273" xr:uid="{00000000-0005-0000-0000-000022760000}"/>
    <cellStyle name="Calculation 3 2 4 4 3" xfId="30274" xr:uid="{00000000-0005-0000-0000-000023760000}"/>
    <cellStyle name="Calculation 3 2 4 4 4" xfId="30275" xr:uid="{00000000-0005-0000-0000-000024760000}"/>
    <cellStyle name="Calculation 3 2 4 4 5" xfId="30276" xr:uid="{00000000-0005-0000-0000-000025760000}"/>
    <cellStyle name="Calculation 3 2 4 4 6" xfId="30277" xr:uid="{00000000-0005-0000-0000-000026760000}"/>
    <cellStyle name="Calculation 3 2 4 5" xfId="30278" xr:uid="{00000000-0005-0000-0000-000027760000}"/>
    <cellStyle name="Calculation 3 2 4 5 2" xfId="30279" xr:uid="{00000000-0005-0000-0000-000028760000}"/>
    <cellStyle name="Calculation 3 2 4 5 3" xfId="30280" xr:uid="{00000000-0005-0000-0000-000029760000}"/>
    <cellStyle name="Calculation 3 2 4 5 4" xfId="30281" xr:uid="{00000000-0005-0000-0000-00002A760000}"/>
    <cellStyle name="Calculation 3 2 4 5 5" xfId="30282" xr:uid="{00000000-0005-0000-0000-00002B760000}"/>
    <cellStyle name="Calculation 3 2 4 5 6" xfId="30283" xr:uid="{00000000-0005-0000-0000-00002C760000}"/>
    <cellStyle name="Calculation 3 2 4 6" xfId="30284" xr:uid="{00000000-0005-0000-0000-00002D760000}"/>
    <cellStyle name="Calculation 3 2 4 6 2" xfId="30285" xr:uid="{00000000-0005-0000-0000-00002E760000}"/>
    <cellStyle name="Calculation 3 2 4 6 3" xfId="30286" xr:uid="{00000000-0005-0000-0000-00002F760000}"/>
    <cellStyle name="Calculation 3 2 4 6 4" xfId="30287" xr:uid="{00000000-0005-0000-0000-000030760000}"/>
    <cellStyle name="Calculation 3 2 4 6 5" xfId="30288" xr:uid="{00000000-0005-0000-0000-000031760000}"/>
    <cellStyle name="Calculation 3 2 4 6 6" xfId="30289" xr:uid="{00000000-0005-0000-0000-000032760000}"/>
    <cellStyle name="Calculation 3 2 4 7" xfId="30290" xr:uid="{00000000-0005-0000-0000-000033760000}"/>
    <cellStyle name="Calculation 3 2 4 7 2" xfId="30291" xr:uid="{00000000-0005-0000-0000-000034760000}"/>
    <cellStyle name="Calculation 3 2 4 7 3" xfId="30292" xr:uid="{00000000-0005-0000-0000-000035760000}"/>
    <cellStyle name="Calculation 3 2 4 7 4" xfId="30293" xr:uid="{00000000-0005-0000-0000-000036760000}"/>
    <cellStyle name="Calculation 3 2 4 7 5" xfId="30294" xr:uid="{00000000-0005-0000-0000-000037760000}"/>
    <cellStyle name="Calculation 3 2 4 7 6" xfId="30295" xr:uid="{00000000-0005-0000-0000-000038760000}"/>
    <cellStyle name="Calculation 3 2 4 8" xfId="30296" xr:uid="{00000000-0005-0000-0000-000039760000}"/>
    <cellStyle name="Calculation 3 2 4 9" xfId="30297" xr:uid="{00000000-0005-0000-0000-00003A760000}"/>
    <cellStyle name="Calculation 3 2 5" xfId="30298" xr:uid="{00000000-0005-0000-0000-00003B760000}"/>
    <cellStyle name="Calculation 3 2 5 10" xfId="30299" xr:uid="{00000000-0005-0000-0000-00003C760000}"/>
    <cellStyle name="Calculation 3 2 5 2" xfId="30300" xr:uid="{00000000-0005-0000-0000-00003D760000}"/>
    <cellStyle name="Calculation 3 2 5 2 2" xfId="30301" xr:uid="{00000000-0005-0000-0000-00003E760000}"/>
    <cellStyle name="Calculation 3 2 5 2 3" xfId="30302" xr:uid="{00000000-0005-0000-0000-00003F760000}"/>
    <cellStyle name="Calculation 3 2 5 2 4" xfId="30303" xr:uid="{00000000-0005-0000-0000-000040760000}"/>
    <cellStyle name="Calculation 3 2 5 2 5" xfId="30304" xr:uid="{00000000-0005-0000-0000-000041760000}"/>
    <cellStyle name="Calculation 3 2 5 2 6" xfId="30305" xr:uid="{00000000-0005-0000-0000-000042760000}"/>
    <cellStyle name="Calculation 3 2 5 3" xfId="30306" xr:uid="{00000000-0005-0000-0000-000043760000}"/>
    <cellStyle name="Calculation 3 2 5 3 2" xfId="30307" xr:uid="{00000000-0005-0000-0000-000044760000}"/>
    <cellStyle name="Calculation 3 2 5 3 3" xfId="30308" xr:uid="{00000000-0005-0000-0000-000045760000}"/>
    <cellStyle name="Calculation 3 2 5 3 4" xfId="30309" xr:uid="{00000000-0005-0000-0000-000046760000}"/>
    <cellStyle name="Calculation 3 2 5 3 5" xfId="30310" xr:uid="{00000000-0005-0000-0000-000047760000}"/>
    <cellStyle name="Calculation 3 2 5 3 6" xfId="30311" xr:uid="{00000000-0005-0000-0000-000048760000}"/>
    <cellStyle name="Calculation 3 2 5 4" xfId="30312" xr:uid="{00000000-0005-0000-0000-000049760000}"/>
    <cellStyle name="Calculation 3 2 5 4 2" xfId="30313" xr:uid="{00000000-0005-0000-0000-00004A760000}"/>
    <cellStyle name="Calculation 3 2 5 4 3" xfId="30314" xr:uid="{00000000-0005-0000-0000-00004B760000}"/>
    <cellStyle name="Calculation 3 2 5 4 4" xfId="30315" xr:uid="{00000000-0005-0000-0000-00004C760000}"/>
    <cellStyle name="Calculation 3 2 5 4 5" xfId="30316" xr:uid="{00000000-0005-0000-0000-00004D760000}"/>
    <cellStyle name="Calculation 3 2 5 4 6" xfId="30317" xr:uid="{00000000-0005-0000-0000-00004E760000}"/>
    <cellStyle name="Calculation 3 2 5 5" xfId="30318" xr:uid="{00000000-0005-0000-0000-00004F760000}"/>
    <cellStyle name="Calculation 3 2 5 5 2" xfId="30319" xr:uid="{00000000-0005-0000-0000-000050760000}"/>
    <cellStyle name="Calculation 3 2 5 5 3" xfId="30320" xr:uid="{00000000-0005-0000-0000-000051760000}"/>
    <cellStyle name="Calculation 3 2 5 5 4" xfId="30321" xr:uid="{00000000-0005-0000-0000-000052760000}"/>
    <cellStyle name="Calculation 3 2 5 5 5" xfId="30322" xr:uid="{00000000-0005-0000-0000-000053760000}"/>
    <cellStyle name="Calculation 3 2 5 5 6" xfId="30323" xr:uid="{00000000-0005-0000-0000-000054760000}"/>
    <cellStyle name="Calculation 3 2 5 6" xfId="30324" xr:uid="{00000000-0005-0000-0000-000055760000}"/>
    <cellStyle name="Calculation 3 2 5 6 2" xfId="30325" xr:uid="{00000000-0005-0000-0000-000056760000}"/>
    <cellStyle name="Calculation 3 2 5 6 3" xfId="30326" xr:uid="{00000000-0005-0000-0000-000057760000}"/>
    <cellStyle name="Calculation 3 2 5 6 4" xfId="30327" xr:uid="{00000000-0005-0000-0000-000058760000}"/>
    <cellStyle name="Calculation 3 2 5 6 5" xfId="30328" xr:uid="{00000000-0005-0000-0000-000059760000}"/>
    <cellStyle name="Calculation 3 2 5 6 6" xfId="30329" xr:uid="{00000000-0005-0000-0000-00005A760000}"/>
    <cellStyle name="Calculation 3 2 5 7" xfId="30330" xr:uid="{00000000-0005-0000-0000-00005B760000}"/>
    <cellStyle name="Calculation 3 2 5 7 2" xfId="30331" xr:uid="{00000000-0005-0000-0000-00005C760000}"/>
    <cellStyle name="Calculation 3 2 5 7 3" xfId="30332" xr:uid="{00000000-0005-0000-0000-00005D760000}"/>
    <cellStyle name="Calculation 3 2 5 7 4" xfId="30333" xr:uid="{00000000-0005-0000-0000-00005E760000}"/>
    <cellStyle name="Calculation 3 2 5 7 5" xfId="30334" xr:uid="{00000000-0005-0000-0000-00005F760000}"/>
    <cellStyle name="Calculation 3 2 5 7 6" xfId="30335" xr:uid="{00000000-0005-0000-0000-000060760000}"/>
    <cellStyle name="Calculation 3 2 5 8" xfId="30336" xr:uid="{00000000-0005-0000-0000-000061760000}"/>
    <cellStyle name="Calculation 3 2 5 9" xfId="30337" xr:uid="{00000000-0005-0000-0000-000062760000}"/>
    <cellStyle name="Calculation 3 2 6" xfId="30338" xr:uid="{00000000-0005-0000-0000-000063760000}"/>
    <cellStyle name="Calculation 3 2 6 10" xfId="30339" xr:uid="{00000000-0005-0000-0000-000064760000}"/>
    <cellStyle name="Calculation 3 2 6 2" xfId="30340" xr:uid="{00000000-0005-0000-0000-000065760000}"/>
    <cellStyle name="Calculation 3 2 6 2 2" xfId="30341" xr:uid="{00000000-0005-0000-0000-000066760000}"/>
    <cellStyle name="Calculation 3 2 6 2 3" xfId="30342" xr:uid="{00000000-0005-0000-0000-000067760000}"/>
    <cellStyle name="Calculation 3 2 6 2 4" xfId="30343" xr:uid="{00000000-0005-0000-0000-000068760000}"/>
    <cellStyle name="Calculation 3 2 6 2 5" xfId="30344" xr:uid="{00000000-0005-0000-0000-000069760000}"/>
    <cellStyle name="Calculation 3 2 6 2 6" xfId="30345" xr:uid="{00000000-0005-0000-0000-00006A760000}"/>
    <cellStyle name="Calculation 3 2 6 3" xfId="30346" xr:uid="{00000000-0005-0000-0000-00006B760000}"/>
    <cellStyle name="Calculation 3 2 6 3 2" xfId="30347" xr:uid="{00000000-0005-0000-0000-00006C760000}"/>
    <cellStyle name="Calculation 3 2 6 3 3" xfId="30348" xr:uid="{00000000-0005-0000-0000-00006D760000}"/>
    <cellStyle name="Calculation 3 2 6 3 4" xfId="30349" xr:uid="{00000000-0005-0000-0000-00006E760000}"/>
    <cellStyle name="Calculation 3 2 6 3 5" xfId="30350" xr:uid="{00000000-0005-0000-0000-00006F760000}"/>
    <cellStyle name="Calculation 3 2 6 3 6" xfId="30351" xr:uid="{00000000-0005-0000-0000-000070760000}"/>
    <cellStyle name="Calculation 3 2 6 4" xfId="30352" xr:uid="{00000000-0005-0000-0000-000071760000}"/>
    <cellStyle name="Calculation 3 2 6 4 2" xfId="30353" xr:uid="{00000000-0005-0000-0000-000072760000}"/>
    <cellStyle name="Calculation 3 2 6 4 3" xfId="30354" xr:uid="{00000000-0005-0000-0000-000073760000}"/>
    <cellStyle name="Calculation 3 2 6 4 4" xfId="30355" xr:uid="{00000000-0005-0000-0000-000074760000}"/>
    <cellStyle name="Calculation 3 2 6 4 5" xfId="30356" xr:uid="{00000000-0005-0000-0000-000075760000}"/>
    <cellStyle name="Calculation 3 2 6 4 6" xfId="30357" xr:uid="{00000000-0005-0000-0000-000076760000}"/>
    <cellStyle name="Calculation 3 2 6 5" xfId="30358" xr:uid="{00000000-0005-0000-0000-000077760000}"/>
    <cellStyle name="Calculation 3 2 6 5 2" xfId="30359" xr:uid="{00000000-0005-0000-0000-000078760000}"/>
    <cellStyle name="Calculation 3 2 6 5 3" xfId="30360" xr:uid="{00000000-0005-0000-0000-000079760000}"/>
    <cellStyle name="Calculation 3 2 6 5 4" xfId="30361" xr:uid="{00000000-0005-0000-0000-00007A760000}"/>
    <cellStyle name="Calculation 3 2 6 5 5" xfId="30362" xr:uid="{00000000-0005-0000-0000-00007B760000}"/>
    <cellStyle name="Calculation 3 2 6 5 6" xfId="30363" xr:uid="{00000000-0005-0000-0000-00007C760000}"/>
    <cellStyle name="Calculation 3 2 6 6" xfId="30364" xr:uid="{00000000-0005-0000-0000-00007D760000}"/>
    <cellStyle name="Calculation 3 2 6 6 2" xfId="30365" xr:uid="{00000000-0005-0000-0000-00007E760000}"/>
    <cellStyle name="Calculation 3 2 6 6 3" xfId="30366" xr:uid="{00000000-0005-0000-0000-00007F760000}"/>
    <cellStyle name="Calculation 3 2 6 6 4" xfId="30367" xr:uid="{00000000-0005-0000-0000-000080760000}"/>
    <cellStyle name="Calculation 3 2 6 6 5" xfId="30368" xr:uid="{00000000-0005-0000-0000-000081760000}"/>
    <cellStyle name="Calculation 3 2 6 6 6" xfId="30369" xr:uid="{00000000-0005-0000-0000-000082760000}"/>
    <cellStyle name="Calculation 3 2 6 7" xfId="30370" xr:uid="{00000000-0005-0000-0000-000083760000}"/>
    <cellStyle name="Calculation 3 2 6 7 2" xfId="30371" xr:uid="{00000000-0005-0000-0000-000084760000}"/>
    <cellStyle name="Calculation 3 2 6 7 3" xfId="30372" xr:uid="{00000000-0005-0000-0000-000085760000}"/>
    <cellStyle name="Calculation 3 2 6 7 4" xfId="30373" xr:uid="{00000000-0005-0000-0000-000086760000}"/>
    <cellStyle name="Calculation 3 2 6 7 5" xfId="30374" xr:uid="{00000000-0005-0000-0000-000087760000}"/>
    <cellStyle name="Calculation 3 2 6 7 6" xfId="30375" xr:uid="{00000000-0005-0000-0000-000088760000}"/>
    <cellStyle name="Calculation 3 2 6 8" xfId="30376" xr:uid="{00000000-0005-0000-0000-000089760000}"/>
    <cellStyle name="Calculation 3 2 6 9" xfId="30377" xr:uid="{00000000-0005-0000-0000-00008A760000}"/>
    <cellStyle name="Calculation 3 2 7" xfId="30378" xr:uid="{00000000-0005-0000-0000-00008B760000}"/>
    <cellStyle name="Calculation 3 2 7 10" xfId="30379" xr:uid="{00000000-0005-0000-0000-00008C760000}"/>
    <cellStyle name="Calculation 3 2 7 2" xfId="30380" xr:uid="{00000000-0005-0000-0000-00008D760000}"/>
    <cellStyle name="Calculation 3 2 7 2 2" xfId="30381" xr:uid="{00000000-0005-0000-0000-00008E760000}"/>
    <cellStyle name="Calculation 3 2 7 2 3" xfId="30382" xr:uid="{00000000-0005-0000-0000-00008F760000}"/>
    <cellStyle name="Calculation 3 2 7 2 4" xfId="30383" xr:uid="{00000000-0005-0000-0000-000090760000}"/>
    <cellStyle name="Calculation 3 2 7 2 5" xfId="30384" xr:uid="{00000000-0005-0000-0000-000091760000}"/>
    <cellStyle name="Calculation 3 2 7 2 6" xfId="30385" xr:uid="{00000000-0005-0000-0000-000092760000}"/>
    <cellStyle name="Calculation 3 2 7 3" xfId="30386" xr:uid="{00000000-0005-0000-0000-000093760000}"/>
    <cellStyle name="Calculation 3 2 7 3 2" xfId="30387" xr:uid="{00000000-0005-0000-0000-000094760000}"/>
    <cellStyle name="Calculation 3 2 7 3 3" xfId="30388" xr:uid="{00000000-0005-0000-0000-000095760000}"/>
    <cellStyle name="Calculation 3 2 7 3 4" xfId="30389" xr:uid="{00000000-0005-0000-0000-000096760000}"/>
    <cellStyle name="Calculation 3 2 7 3 5" xfId="30390" xr:uid="{00000000-0005-0000-0000-000097760000}"/>
    <cellStyle name="Calculation 3 2 7 3 6" xfId="30391" xr:uid="{00000000-0005-0000-0000-000098760000}"/>
    <cellStyle name="Calculation 3 2 7 4" xfId="30392" xr:uid="{00000000-0005-0000-0000-000099760000}"/>
    <cellStyle name="Calculation 3 2 7 4 2" xfId="30393" xr:uid="{00000000-0005-0000-0000-00009A760000}"/>
    <cellStyle name="Calculation 3 2 7 4 3" xfId="30394" xr:uid="{00000000-0005-0000-0000-00009B760000}"/>
    <cellStyle name="Calculation 3 2 7 4 4" xfId="30395" xr:uid="{00000000-0005-0000-0000-00009C760000}"/>
    <cellStyle name="Calculation 3 2 7 4 5" xfId="30396" xr:uid="{00000000-0005-0000-0000-00009D760000}"/>
    <cellStyle name="Calculation 3 2 7 4 6" xfId="30397" xr:uid="{00000000-0005-0000-0000-00009E760000}"/>
    <cellStyle name="Calculation 3 2 7 5" xfId="30398" xr:uid="{00000000-0005-0000-0000-00009F760000}"/>
    <cellStyle name="Calculation 3 2 7 5 2" xfId="30399" xr:uid="{00000000-0005-0000-0000-0000A0760000}"/>
    <cellStyle name="Calculation 3 2 7 5 3" xfId="30400" xr:uid="{00000000-0005-0000-0000-0000A1760000}"/>
    <cellStyle name="Calculation 3 2 7 5 4" xfId="30401" xr:uid="{00000000-0005-0000-0000-0000A2760000}"/>
    <cellStyle name="Calculation 3 2 7 5 5" xfId="30402" xr:uid="{00000000-0005-0000-0000-0000A3760000}"/>
    <cellStyle name="Calculation 3 2 7 5 6" xfId="30403" xr:uid="{00000000-0005-0000-0000-0000A4760000}"/>
    <cellStyle name="Calculation 3 2 7 6" xfId="30404" xr:uid="{00000000-0005-0000-0000-0000A5760000}"/>
    <cellStyle name="Calculation 3 2 7 6 2" xfId="30405" xr:uid="{00000000-0005-0000-0000-0000A6760000}"/>
    <cellStyle name="Calculation 3 2 7 6 3" xfId="30406" xr:uid="{00000000-0005-0000-0000-0000A7760000}"/>
    <cellStyle name="Calculation 3 2 7 6 4" xfId="30407" xr:uid="{00000000-0005-0000-0000-0000A8760000}"/>
    <cellStyle name="Calculation 3 2 7 6 5" xfId="30408" xr:uid="{00000000-0005-0000-0000-0000A9760000}"/>
    <cellStyle name="Calculation 3 2 7 6 6" xfId="30409" xr:uid="{00000000-0005-0000-0000-0000AA760000}"/>
    <cellStyle name="Calculation 3 2 7 7" xfId="30410" xr:uid="{00000000-0005-0000-0000-0000AB760000}"/>
    <cellStyle name="Calculation 3 2 7 7 2" xfId="30411" xr:uid="{00000000-0005-0000-0000-0000AC760000}"/>
    <cellStyle name="Calculation 3 2 7 7 3" xfId="30412" xr:uid="{00000000-0005-0000-0000-0000AD760000}"/>
    <cellStyle name="Calculation 3 2 7 7 4" xfId="30413" xr:uid="{00000000-0005-0000-0000-0000AE760000}"/>
    <cellStyle name="Calculation 3 2 7 7 5" xfId="30414" xr:uid="{00000000-0005-0000-0000-0000AF760000}"/>
    <cellStyle name="Calculation 3 2 7 7 6" xfId="30415" xr:uid="{00000000-0005-0000-0000-0000B0760000}"/>
    <cellStyle name="Calculation 3 2 7 8" xfId="30416" xr:uid="{00000000-0005-0000-0000-0000B1760000}"/>
    <cellStyle name="Calculation 3 2 7 9" xfId="30417" xr:uid="{00000000-0005-0000-0000-0000B2760000}"/>
    <cellStyle name="Calculation 3 2 8" xfId="30418" xr:uid="{00000000-0005-0000-0000-0000B3760000}"/>
    <cellStyle name="Calculation 3 2 8 10" xfId="30419" xr:uid="{00000000-0005-0000-0000-0000B4760000}"/>
    <cellStyle name="Calculation 3 2 8 2" xfId="30420" xr:uid="{00000000-0005-0000-0000-0000B5760000}"/>
    <cellStyle name="Calculation 3 2 8 2 2" xfId="30421" xr:uid="{00000000-0005-0000-0000-0000B6760000}"/>
    <cellStyle name="Calculation 3 2 8 2 3" xfId="30422" xr:uid="{00000000-0005-0000-0000-0000B7760000}"/>
    <cellStyle name="Calculation 3 2 8 2 4" xfId="30423" xr:uid="{00000000-0005-0000-0000-0000B8760000}"/>
    <cellStyle name="Calculation 3 2 8 2 5" xfId="30424" xr:uid="{00000000-0005-0000-0000-0000B9760000}"/>
    <cellStyle name="Calculation 3 2 8 2 6" xfId="30425" xr:uid="{00000000-0005-0000-0000-0000BA760000}"/>
    <cellStyle name="Calculation 3 2 8 3" xfId="30426" xr:uid="{00000000-0005-0000-0000-0000BB760000}"/>
    <cellStyle name="Calculation 3 2 8 3 2" xfId="30427" xr:uid="{00000000-0005-0000-0000-0000BC760000}"/>
    <cellStyle name="Calculation 3 2 8 3 3" xfId="30428" xr:uid="{00000000-0005-0000-0000-0000BD760000}"/>
    <cellStyle name="Calculation 3 2 8 3 4" xfId="30429" xr:uid="{00000000-0005-0000-0000-0000BE760000}"/>
    <cellStyle name="Calculation 3 2 8 3 5" xfId="30430" xr:uid="{00000000-0005-0000-0000-0000BF760000}"/>
    <cellStyle name="Calculation 3 2 8 3 6" xfId="30431" xr:uid="{00000000-0005-0000-0000-0000C0760000}"/>
    <cellStyle name="Calculation 3 2 8 4" xfId="30432" xr:uid="{00000000-0005-0000-0000-0000C1760000}"/>
    <cellStyle name="Calculation 3 2 8 4 2" xfId="30433" xr:uid="{00000000-0005-0000-0000-0000C2760000}"/>
    <cellStyle name="Calculation 3 2 8 4 3" xfId="30434" xr:uid="{00000000-0005-0000-0000-0000C3760000}"/>
    <cellStyle name="Calculation 3 2 8 4 4" xfId="30435" xr:uid="{00000000-0005-0000-0000-0000C4760000}"/>
    <cellStyle name="Calculation 3 2 8 4 5" xfId="30436" xr:uid="{00000000-0005-0000-0000-0000C5760000}"/>
    <cellStyle name="Calculation 3 2 8 4 6" xfId="30437" xr:uid="{00000000-0005-0000-0000-0000C6760000}"/>
    <cellStyle name="Calculation 3 2 8 5" xfId="30438" xr:uid="{00000000-0005-0000-0000-0000C7760000}"/>
    <cellStyle name="Calculation 3 2 8 5 2" xfId="30439" xr:uid="{00000000-0005-0000-0000-0000C8760000}"/>
    <cellStyle name="Calculation 3 2 8 5 3" xfId="30440" xr:uid="{00000000-0005-0000-0000-0000C9760000}"/>
    <cellStyle name="Calculation 3 2 8 5 4" xfId="30441" xr:uid="{00000000-0005-0000-0000-0000CA760000}"/>
    <cellStyle name="Calculation 3 2 8 5 5" xfId="30442" xr:uid="{00000000-0005-0000-0000-0000CB760000}"/>
    <cellStyle name="Calculation 3 2 8 5 6" xfId="30443" xr:uid="{00000000-0005-0000-0000-0000CC760000}"/>
    <cellStyle name="Calculation 3 2 8 6" xfId="30444" xr:uid="{00000000-0005-0000-0000-0000CD760000}"/>
    <cellStyle name="Calculation 3 2 8 6 2" xfId="30445" xr:uid="{00000000-0005-0000-0000-0000CE760000}"/>
    <cellStyle name="Calculation 3 2 8 6 3" xfId="30446" xr:uid="{00000000-0005-0000-0000-0000CF760000}"/>
    <cellStyle name="Calculation 3 2 8 6 4" xfId="30447" xr:uid="{00000000-0005-0000-0000-0000D0760000}"/>
    <cellStyle name="Calculation 3 2 8 6 5" xfId="30448" xr:uid="{00000000-0005-0000-0000-0000D1760000}"/>
    <cellStyle name="Calculation 3 2 8 6 6" xfId="30449" xr:uid="{00000000-0005-0000-0000-0000D2760000}"/>
    <cellStyle name="Calculation 3 2 8 7" xfId="30450" xr:uid="{00000000-0005-0000-0000-0000D3760000}"/>
    <cellStyle name="Calculation 3 2 8 7 2" xfId="30451" xr:uid="{00000000-0005-0000-0000-0000D4760000}"/>
    <cellStyle name="Calculation 3 2 8 7 3" xfId="30452" xr:uid="{00000000-0005-0000-0000-0000D5760000}"/>
    <cellStyle name="Calculation 3 2 8 7 4" xfId="30453" xr:uid="{00000000-0005-0000-0000-0000D6760000}"/>
    <cellStyle name="Calculation 3 2 8 7 5" xfId="30454" xr:uid="{00000000-0005-0000-0000-0000D7760000}"/>
    <cellStyle name="Calculation 3 2 8 7 6" xfId="30455" xr:uid="{00000000-0005-0000-0000-0000D8760000}"/>
    <cellStyle name="Calculation 3 2 8 8" xfId="30456" xr:uid="{00000000-0005-0000-0000-0000D9760000}"/>
    <cellStyle name="Calculation 3 2 8 9" xfId="30457" xr:uid="{00000000-0005-0000-0000-0000DA760000}"/>
    <cellStyle name="Calculation 3 2 9" xfId="30458" xr:uid="{00000000-0005-0000-0000-0000DB760000}"/>
    <cellStyle name="Calculation 3 2 9 10" xfId="30459" xr:uid="{00000000-0005-0000-0000-0000DC760000}"/>
    <cellStyle name="Calculation 3 2 9 2" xfId="30460" xr:uid="{00000000-0005-0000-0000-0000DD760000}"/>
    <cellStyle name="Calculation 3 2 9 2 2" xfId="30461" xr:uid="{00000000-0005-0000-0000-0000DE760000}"/>
    <cellStyle name="Calculation 3 2 9 2 3" xfId="30462" xr:uid="{00000000-0005-0000-0000-0000DF760000}"/>
    <cellStyle name="Calculation 3 2 9 2 4" xfId="30463" xr:uid="{00000000-0005-0000-0000-0000E0760000}"/>
    <cellStyle name="Calculation 3 2 9 2 5" xfId="30464" xr:uid="{00000000-0005-0000-0000-0000E1760000}"/>
    <cellStyle name="Calculation 3 2 9 2 6" xfId="30465" xr:uid="{00000000-0005-0000-0000-0000E2760000}"/>
    <cellStyle name="Calculation 3 2 9 3" xfId="30466" xr:uid="{00000000-0005-0000-0000-0000E3760000}"/>
    <cellStyle name="Calculation 3 2 9 3 2" xfId="30467" xr:uid="{00000000-0005-0000-0000-0000E4760000}"/>
    <cellStyle name="Calculation 3 2 9 3 3" xfId="30468" xr:uid="{00000000-0005-0000-0000-0000E5760000}"/>
    <cellStyle name="Calculation 3 2 9 3 4" xfId="30469" xr:uid="{00000000-0005-0000-0000-0000E6760000}"/>
    <cellStyle name="Calculation 3 2 9 3 5" xfId="30470" xr:uid="{00000000-0005-0000-0000-0000E7760000}"/>
    <cellStyle name="Calculation 3 2 9 3 6" xfId="30471" xr:uid="{00000000-0005-0000-0000-0000E8760000}"/>
    <cellStyle name="Calculation 3 2 9 4" xfId="30472" xr:uid="{00000000-0005-0000-0000-0000E9760000}"/>
    <cellStyle name="Calculation 3 2 9 4 2" xfId="30473" xr:uid="{00000000-0005-0000-0000-0000EA760000}"/>
    <cellStyle name="Calculation 3 2 9 4 3" xfId="30474" xr:uid="{00000000-0005-0000-0000-0000EB760000}"/>
    <cellStyle name="Calculation 3 2 9 4 4" xfId="30475" xr:uid="{00000000-0005-0000-0000-0000EC760000}"/>
    <cellStyle name="Calculation 3 2 9 4 5" xfId="30476" xr:uid="{00000000-0005-0000-0000-0000ED760000}"/>
    <cellStyle name="Calculation 3 2 9 4 6" xfId="30477" xr:uid="{00000000-0005-0000-0000-0000EE760000}"/>
    <cellStyle name="Calculation 3 2 9 5" xfId="30478" xr:uid="{00000000-0005-0000-0000-0000EF760000}"/>
    <cellStyle name="Calculation 3 2 9 5 2" xfId="30479" xr:uid="{00000000-0005-0000-0000-0000F0760000}"/>
    <cellStyle name="Calculation 3 2 9 5 3" xfId="30480" xr:uid="{00000000-0005-0000-0000-0000F1760000}"/>
    <cellStyle name="Calculation 3 2 9 5 4" xfId="30481" xr:uid="{00000000-0005-0000-0000-0000F2760000}"/>
    <cellStyle name="Calculation 3 2 9 5 5" xfId="30482" xr:uid="{00000000-0005-0000-0000-0000F3760000}"/>
    <cellStyle name="Calculation 3 2 9 5 6" xfId="30483" xr:uid="{00000000-0005-0000-0000-0000F4760000}"/>
    <cellStyle name="Calculation 3 2 9 6" xfId="30484" xr:uid="{00000000-0005-0000-0000-0000F5760000}"/>
    <cellStyle name="Calculation 3 2 9 6 2" xfId="30485" xr:uid="{00000000-0005-0000-0000-0000F6760000}"/>
    <cellStyle name="Calculation 3 2 9 6 3" xfId="30486" xr:uid="{00000000-0005-0000-0000-0000F7760000}"/>
    <cellStyle name="Calculation 3 2 9 6 4" xfId="30487" xr:uid="{00000000-0005-0000-0000-0000F8760000}"/>
    <cellStyle name="Calculation 3 2 9 6 5" xfId="30488" xr:uid="{00000000-0005-0000-0000-0000F9760000}"/>
    <cellStyle name="Calculation 3 2 9 6 6" xfId="30489" xr:uid="{00000000-0005-0000-0000-0000FA760000}"/>
    <cellStyle name="Calculation 3 2 9 7" xfId="30490" xr:uid="{00000000-0005-0000-0000-0000FB760000}"/>
    <cellStyle name="Calculation 3 2 9 7 2" xfId="30491" xr:uid="{00000000-0005-0000-0000-0000FC760000}"/>
    <cellStyle name="Calculation 3 2 9 7 3" xfId="30492" xr:uid="{00000000-0005-0000-0000-0000FD760000}"/>
    <cellStyle name="Calculation 3 2 9 7 4" xfId="30493" xr:uid="{00000000-0005-0000-0000-0000FE760000}"/>
    <cellStyle name="Calculation 3 2 9 7 5" xfId="30494" xr:uid="{00000000-0005-0000-0000-0000FF760000}"/>
    <cellStyle name="Calculation 3 2 9 7 6" xfId="30495" xr:uid="{00000000-0005-0000-0000-000000770000}"/>
    <cellStyle name="Calculation 3 2 9 8" xfId="30496" xr:uid="{00000000-0005-0000-0000-000001770000}"/>
    <cellStyle name="Calculation 3 2 9 9" xfId="30497" xr:uid="{00000000-0005-0000-0000-000002770000}"/>
    <cellStyle name="Calculation 3 20" xfId="30498" xr:uid="{00000000-0005-0000-0000-000003770000}"/>
    <cellStyle name="Calculation 3 20 10" xfId="30499" xr:uid="{00000000-0005-0000-0000-000004770000}"/>
    <cellStyle name="Calculation 3 20 2" xfId="30500" xr:uid="{00000000-0005-0000-0000-000005770000}"/>
    <cellStyle name="Calculation 3 20 2 2" xfId="30501" xr:uid="{00000000-0005-0000-0000-000006770000}"/>
    <cellStyle name="Calculation 3 20 2 3" xfId="30502" xr:uid="{00000000-0005-0000-0000-000007770000}"/>
    <cellStyle name="Calculation 3 20 2 4" xfId="30503" xr:uid="{00000000-0005-0000-0000-000008770000}"/>
    <cellStyle name="Calculation 3 20 2 5" xfId="30504" xr:uid="{00000000-0005-0000-0000-000009770000}"/>
    <cellStyle name="Calculation 3 20 2 6" xfId="30505" xr:uid="{00000000-0005-0000-0000-00000A770000}"/>
    <cellStyle name="Calculation 3 20 3" xfId="30506" xr:uid="{00000000-0005-0000-0000-00000B770000}"/>
    <cellStyle name="Calculation 3 20 3 2" xfId="30507" xr:uid="{00000000-0005-0000-0000-00000C770000}"/>
    <cellStyle name="Calculation 3 20 3 3" xfId="30508" xr:uid="{00000000-0005-0000-0000-00000D770000}"/>
    <cellStyle name="Calculation 3 20 3 4" xfId="30509" xr:uid="{00000000-0005-0000-0000-00000E770000}"/>
    <cellStyle name="Calculation 3 20 3 5" xfId="30510" xr:uid="{00000000-0005-0000-0000-00000F770000}"/>
    <cellStyle name="Calculation 3 20 3 6" xfId="30511" xr:uid="{00000000-0005-0000-0000-000010770000}"/>
    <cellStyle name="Calculation 3 20 4" xfId="30512" xr:uid="{00000000-0005-0000-0000-000011770000}"/>
    <cellStyle name="Calculation 3 20 4 2" xfId="30513" xr:uid="{00000000-0005-0000-0000-000012770000}"/>
    <cellStyle name="Calculation 3 20 4 3" xfId="30514" xr:uid="{00000000-0005-0000-0000-000013770000}"/>
    <cellStyle name="Calculation 3 20 4 4" xfId="30515" xr:uid="{00000000-0005-0000-0000-000014770000}"/>
    <cellStyle name="Calculation 3 20 4 5" xfId="30516" xr:uid="{00000000-0005-0000-0000-000015770000}"/>
    <cellStyle name="Calculation 3 20 4 6" xfId="30517" xr:uid="{00000000-0005-0000-0000-000016770000}"/>
    <cellStyle name="Calculation 3 20 5" xfId="30518" xr:uid="{00000000-0005-0000-0000-000017770000}"/>
    <cellStyle name="Calculation 3 20 5 2" xfId="30519" xr:uid="{00000000-0005-0000-0000-000018770000}"/>
    <cellStyle name="Calculation 3 20 5 3" xfId="30520" xr:uid="{00000000-0005-0000-0000-000019770000}"/>
    <cellStyle name="Calculation 3 20 5 4" xfId="30521" xr:uid="{00000000-0005-0000-0000-00001A770000}"/>
    <cellStyle name="Calculation 3 20 5 5" xfId="30522" xr:uid="{00000000-0005-0000-0000-00001B770000}"/>
    <cellStyle name="Calculation 3 20 5 6" xfId="30523" xr:uid="{00000000-0005-0000-0000-00001C770000}"/>
    <cellStyle name="Calculation 3 20 6" xfId="30524" xr:uid="{00000000-0005-0000-0000-00001D770000}"/>
    <cellStyle name="Calculation 3 20 6 2" xfId="30525" xr:uid="{00000000-0005-0000-0000-00001E770000}"/>
    <cellStyle name="Calculation 3 20 6 3" xfId="30526" xr:uid="{00000000-0005-0000-0000-00001F770000}"/>
    <cellStyle name="Calculation 3 20 6 4" xfId="30527" xr:uid="{00000000-0005-0000-0000-000020770000}"/>
    <cellStyle name="Calculation 3 20 6 5" xfId="30528" xr:uid="{00000000-0005-0000-0000-000021770000}"/>
    <cellStyle name="Calculation 3 20 6 6" xfId="30529" xr:uid="{00000000-0005-0000-0000-000022770000}"/>
    <cellStyle name="Calculation 3 20 7" xfId="30530" xr:uid="{00000000-0005-0000-0000-000023770000}"/>
    <cellStyle name="Calculation 3 20 7 2" xfId="30531" xr:uid="{00000000-0005-0000-0000-000024770000}"/>
    <cellStyle name="Calculation 3 20 7 3" xfId="30532" xr:uid="{00000000-0005-0000-0000-000025770000}"/>
    <cellStyle name="Calculation 3 20 7 4" xfId="30533" xr:uid="{00000000-0005-0000-0000-000026770000}"/>
    <cellStyle name="Calculation 3 20 7 5" xfId="30534" xr:uid="{00000000-0005-0000-0000-000027770000}"/>
    <cellStyle name="Calculation 3 20 7 6" xfId="30535" xr:uid="{00000000-0005-0000-0000-000028770000}"/>
    <cellStyle name="Calculation 3 20 8" xfId="30536" xr:uid="{00000000-0005-0000-0000-000029770000}"/>
    <cellStyle name="Calculation 3 20 9" xfId="30537" xr:uid="{00000000-0005-0000-0000-00002A770000}"/>
    <cellStyle name="Calculation 3 21" xfId="30538" xr:uid="{00000000-0005-0000-0000-00002B770000}"/>
    <cellStyle name="Calculation 3 21 10" xfId="30539" xr:uid="{00000000-0005-0000-0000-00002C770000}"/>
    <cellStyle name="Calculation 3 21 2" xfId="30540" xr:uid="{00000000-0005-0000-0000-00002D770000}"/>
    <cellStyle name="Calculation 3 21 2 2" xfId="30541" xr:uid="{00000000-0005-0000-0000-00002E770000}"/>
    <cellStyle name="Calculation 3 21 2 3" xfId="30542" xr:uid="{00000000-0005-0000-0000-00002F770000}"/>
    <cellStyle name="Calculation 3 21 2 4" xfId="30543" xr:uid="{00000000-0005-0000-0000-000030770000}"/>
    <cellStyle name="Calculation 3 21 2 5" xfId="30544" xr:uid="{00000000-0005-0000-0000-000031770000}"/>
    <cellStyle name="Calculation 3 21 2 6" xfId="30545" xr:uid="{00000000-0005-0000-0000-000032770000}"/>
    <cellStyle name="Calculation 3 21 3" xfId="30546" xr:uid="{00000000-0005-0000-0000-000033770000}"/>
    <cellStyle name="Calculation 3 21 3 2" xfId="30547" xr:uid="{00000000-0005-0000-0000-000034770000}"/>
    <cellStyle name="Calculation 3 21 3 3" xfId="30548" xr:uid="{00000000-0005-0000-0000-000035770000}"/>
    <cellStyle name="Calculation 3 21 3 4" xfId="30549" xr:uid="{00000000-0005-0000-0000-000036770000}"/>
    <cellStyle name="Calculation 3 21 3 5" xfId="30550" xr:uid="{00000000-0005-0000-0000-000037770000}"/>
    <cellStyle name="Calculation 3 21 3 6" xfId="30551" xr:uid="{00000000-0005-0000-0000-000038770000}"/>
    <cellStyle name="Calculation 3 21 4" xfId="30552" xr:uid="{00000000-0005-0000-0000-000039770000}"/>
    <cellStyle name="Calculation 3 21 4 2" xfId="30553" xr:uid="{00000000-0005-0000-0000-00003A770000}"/>
    <cellStyle name="Calculation 3 21 4 3" xfId="30554" xr:uid="{00000000-0005-0000-0000-00003B770000}"/>
    <cellStyle name="Calculation 3 21 4 4" xfId="30555" xr:uid="{00000000-0005-0000-0000-00003C770000}"/>
    <cellStyle name="Calculation 3 21 4 5" xfId="30556" xr:uid="{00000000-0005-0000-0000-00003D770000}"/>
    <cellStyle name="Calculation 3 21 4 6" xfId="30557" xr:uid="{00000000-0005-0000-0000-00003E770000}"/>
    <cellStyle name="Calculation 3 21 5" xfId="30558" xr:uid="{00000000-0005-0000-0000-00003F770000}"/>
    <cellStyle name="Calculation 3 21 5 2" xfId="30559" xr:uid="{00000000-0005-0000-0000-000040770000}"/>
    <cellStyle name="Calculation 3 21 5 3" xfId="30560" xr:uid="{00000000-0005-0000-0000-000041770000}"/>
    <cellStyle name="Calculation 3 21 5 4" xfId="30561" xr:uid="{00000000-0005-0000-0000-000042770000}"/>
    <cellStyle name="Calculation 3 21 5 5" xfId="30562" xr:uid="{00000000-0005-0000-0000-000043770000}"/>
    <cellStyle name="Calculation 3 21 5 6" xfId="30563" xr:uid="{00000000-0005-0000-0000-000044770000}"/>
    <cellStyle name="Calculation 3 21 6" xfId="30564" xr:uid="{00000000-0005-0000-0000-000045770000}"/>
    <cellStyle name="Calculation 3 21 6 2" xfId="30565" xr:uid="{00000000-0005-0000-0000-000046770000}"/>
    <cellStyle name="Calculation 3 21 6 3" xfId="30566" xr:uid="{00000000-0005-0000-0000-000047770000}"/>
    <cellStyle name="Calculation 3 21 6 4" xfId="30567" xr:uid="{00000000-0005-0000-0000-000048770000}"/>
    <cellStyle name="Calculation 3 21 6 5" xfId="30568" xr:uid="{00000000-0005-0000-0000-000049770000}"/>
    <cellStyle name="Calculation 3 21 6 6" xfId="30569" xr:uid="{00000000-0005-0000-0000-00004A770000}"/>
    <cellStyle name="Calculation 3 21 7" xfId="30570" xr:uid="{00000000-0005-0000-0000-00004B770000}"/>
    <cellStyle name="Calculation 3 21 7 2" xfId="30571" xr:uid="{00000000-0005-0000-0000-00004C770000}"/>
    <cellStyle name="Calculation 3 21 7 3" xfId="30572" xr:uid="{00000000-0005-0000-0000-00004D770000}"/>
    <cellStyle name="Calculation 3 21 7 4" xfId="30573" xr:uid="{00000000-0005-0000-0000-00004E770000}"/>
    <cellStyle name="Calculation 3 21 7 5" xfId="30574" xr:uid="{00000000-0005-0000-0000-00004F770000}"/>
    <cellStyle name="Calculation 3 21 7 6" xfId="30575" xr:uid="{00000000-0005-0000-0000-000050770000}"/>
    <cellStyle name="Calculation 3 21 8" xfId="30576" xr:uid="{00000000-0005-0000-0000-000051770000}"/>
    <cellStyle name="Calculation 3 21 9" xfId="30577" xr:uid="{00000000-0005-0000-0000-000052770000}"/>
    <cellStyle name="Calculation 3 22" xfId="30578" xr:uid="{00000000-0005-0000-0000-000053770000}"/>
    <cellStyle name="Calculation 3 22 10" xfId="30579" xr:uid="{00000000-0005-0000-0000-000054770000}"/>
    <cellStyle name="Calculation 3 22 2" xfId="30580" xr:uid="{00000000-0005-0000-0000-000055770000}"/>
    <cellStyle name="Calculation 3 22 2 2" xfId="30581" xr:uid="{00000000-0005-0000-0000-000056770000}"/>
    <cellStyle name="Calculation 3 22 2 3" xfId="30582" xr:uid="{00000000-0005-0000-0000-000057770000}"/>
    <cellStyle name="Calculation 3 22 2 4" xfId="30583" xr:uid="{00000000-0005-0000-0000-000058770000}"/>
    <cellStyle name="Calculation 3 22 2 5" xfId="30584" xr:uid="{00000000-0005-0000-0000-000059770000}"/>
    <cellStyle name="Calculation 3 22 2 6" xfId="30585" xr:uid="{00000000-0005-0000-0000-00005A770000}"/>
    <cellStyle name="Calculation 3 22 3" xfId="30586" xr:uid="{00000000-0005-0000-0000-00005B770000}"/>
    <cellStyle name="Calculation 3 22 3 2" xfId="30587" xr:uid="{00000000-0005-0000-0000-00005C770000}"/>
    <cellStyle name="Calculation 3 22 3 3" xfId="30588" xr:uid="{00000000-0005-0000-0000-00005D770000}"/>
    <cellStyle name="Calculation 3 22 3 4" xfId="30589" xr:uid="{00000000-0005-0000-0000-00005E770000}"/>
    <cellStyle name="Calculation 3 22 3 5" xfId="30590" xr:uid="{00000000-0005-0000-0000-00005F770000}"/>
    <cellStyle name="Calculation 3 22 3 6" xfId="30591" xr:uid="{00000000-0005-0000-0000-000060770000}"/>
    <cellStyle name="Calculation 3 22 4" xfId="30592" xr:uid="{00000000-0005-0000-0000-000061770000}"/>
    <cellStyle name="Calculation 3 22 4 2" xfId="30593" xr:uid="{00000000-0005-0000-0000-000062770000}"/>
    <cellStyle name="Calculation 3 22 4 3" xfId="30594" xr:uid="{00000000-0005-0000-0000-000063770000}"/>
    <cellStyle name="Calculation 3 22 4 4" xfId="30595" xr:uid="{00000000-0005-0000-0000-000064770000}"/>
    <cellStyle name="Calculation 3 22 4 5" xfId="30596" xr:uid="{00000000-0005-0000-0000-000065770000}"/>
    <cellStyle name="Calculation 3 22 4 6" xfId="30597" xr:uid="{00000000-0005-0000-0000-000066770000}"/>
    <cellStyle name="Calculation 3 22 5" xfId="30598" xr:uid="{00000000-0005-0000-0000-000067770000}"/>
    <cellStyle name="Calculation 3 22 5 2" xfId="30599" xr:uid="{00000000-0005-0000-0000-000068770000}"/>
    <cellStyle name="Calculation 3 22 5 3" xfId="30600" xr:uid="{00000000-0005-0000-0000-000069770000}"/>
    <cellStyle name="Calculation 3 22 5 4" xfId="30601" xr:uid="{00000000-0005-0000-0000-00006A770000}"/>
    <cellStyle name="Calculation 3 22 5 5" xfId="30602" xr:uid="{00000000-0005-0000-0000-00006B770000}"/>
    <cellStyle name="Calculation 3 22 5 6" xfId="30603" xr:uid="{00000000-0005-0000-0000-00006C770000}"/>
    <cellStyle name="Calculation 3 22 6" xfId="30604" xr:uid="{00000000-0005-0000-0000-00006D770000}"/>
    <cellStyle name="Calculation 3 22 6 2" xfId="30605" xr:uid="{00000000-0005-0000-0000-00006E770000}"/>
    <cellStyle name="Calculation 3 22 6 3" xfId="30606" xr:uid="{00000000-0005-0000-0000-00006F770000}"/>
    <cellStyle name="Calculation 3 22 6 4" xfId="30607" xr:uid="{00000000-0005-0000-0000-000070770000}"/>
    <cellStyle name="Calculation 3 22 6 5" xfId="30608" xr:uid="{00000000-0005-0000-0000-000071770000}"/>
    <cellStyle name="Calculation 3 22 6 6" xfId="30609" xr:uid="{00000000-0005-0000-0000-000072770000}"/>
    <cellStyle name="Calculation 3 22 7" xfId="30610" xr:uid="{00000000-0005-0000-0000-000073770000}"/>
    <cellStyle name="Calculation 3 22 7 2" xfId="30611" xr:uid="{00000000-0005-0000-0000-000074770000}"/>
    <cellStyle name="Calculation 3 22 7 3" xfId="30612" xr:uid="{00000000-0005-0000-0000-000075770000}"/>
    <cellStyle name="Calculation 3 22 7 4" xfId="30613" xr:uid="{00000000-0005-0000-0000-000076770000}"/>
    <cellStyle name="Calculation 3 22 7 5" xfId="30614" xr:uid="{00000000-0005-0000-0000-000077770000}"/>
    <cellStyle name="Calculation 3 22 7 6" xfId="30615" xr:uid="{00000000-0005-0000-0000-000078770000}"/>
    <cellStyle name="Calculation 3 22 8" xfId="30616" xr:uid="{00000000-0005-0000-0000-000079770000}"/>
    <cellStyle name="Calculation 3 22 9" xfId="30617" xr:uid="{00000000-0005-0000-0000-00007A770000}"/>
    <cellStyle name="Calculation 3 23" xfId="30618" xr:uid="{00000000-0005-0000-0000-00007B770000}"/>
    <cellStyle name="Calculation 3 23 10" xfId="30619" xr:uid="{00000000-0005-0000-0000-00007C770000}"/>
    <cellStyle name="Calculation 3 23 2" xfId="30620" xr:uid="{00000000-0005-0000-0000-00007D770000}"/>
    <cellStyle name="Calculation 3 23 2 2" xfId="30621" xr:uid="{00000000-0005-0000-0000-00007E770000}"/>
    <cellStyle name="Calculation 3 23 2 3" xfId="30622" xr:uid="{00000000-0005-0000-0000-00007F770000}"/>
    <cellStyle name="Calculation 3 23 2 4" xfId="30623" xr:uid="{00000000-0005-0000-0000-000080770000}"/>
    <cellStyle name="Calculation 3 23 2 5" xfId="30624" xr:uid="{00000000-0005-0000-0000-000081770000}"/>
    <cellStyle name="Calculation 3 23 2 6" xfId="30625" xr:uid="{00000000-0005-0000-0000-000082770000}"/>
    <cellStyle name="Calculation 3 23 3" xfId="30626" xr:uid="{00000000-0005-0000-0000-000083770000}"/>
    <cellStyle name="Calculation 3 23 3 2" xfId="30627" xr:uid="{00000000-0005-0000-0000-000084770000}"/>
    <cellStyle name="Calculation 3 23 3 3" xfId="30628" xr:uid="{00000000-0005-0000-0000-000085770000}"/>
    <cellStyle name="Calculation 3 23 3 4" xfId="30629" xr:uid="{00000000-0005-0000-0000-000086770000}"/>
    <cellStyle name="Calculation 3 23 3 5" xfId="30630" xr:uid="{00000000-0005-0000-0000-000087770000}"/>
    <cellStyle name="Calculation 3 23 3 6" xfId="30631" xr:uid="{00000000-0005-0000-0000-000088770000}"/>
    <cellStyle name="Calculation 3 23 4" xfId="30632" xr:uid="{00000000-0005-0000-0000-000089770000}"/>
    <cellStyle name="Calculation 3 23 4 2" xfId="30633" xr:uid="{00000000-0005-0000-0000-00008A770000}"/>
    <cellStyle name="Calculation 3 23 4 3" xfId="30634" xr:uid="{00000000-0005-0000-0000-00008B770000}"/>
    <cellStyle name="Calculation 3 23 4 4" xfId="30635" xr:uid="{00000000-0005-0000-0000-00008C770000}"/>
    <cellStyle name="Calculation 3 23 4 5" xfId="30636" xr:uid="{00000000-0005-0000-0000-00008D770000}"/>
    <cellStyle name="Calculation 3 23 4 6" xfId="30637" xr:uid="{00000000-0005-0000-0000-00008E770000}"/>
    <cellStyle name="Calculation 3 23 5" xfId="30638" xr:uid="{00000000-0005-0000-0000-00008F770000}"/>
    <cellStyle name="Calculation 3 23 5 2" xfId="30639" xr:uid="{00000000-0005-0000-0000-000090770000}"/>
    <cellStyle name="Calculation 3 23 5 3" xfId="30640" xr:uid="{00000000-0005-0000-0000-000091770000}"/>
    <cellStyle name="Calculation 3 23 5 4" xfId="30641" xr:uid="{00000000-0005-0000-0000-000092770000}"/>
    <cellStyle name="Calculation 3 23 5 5" xfId="30642" xr:uid="{00000000-0005-0000-0000-000093770000}"/>
    <cellStyle name="Calculation 3 23 5 6" xfId="30643" xr:uid="{00000000-0005-0000-0000-000094770000}"/>
    <cellStyle name="Calculation 3 23 6" xfId="30644" xr:uid="{00000000-0005-0000-0000-000095770000}"/>
    <cellStyle name="Calculation 3 23 6 2" xfId="30645" xr:uid="{00000000-0005-0000-0000-000096770000}"/>
    <cellStyle name="Calculation 3 23 6 3" xfId="30646" xr:uid="{00000000-0005-0000-0000-000097770000}"/>
    <cellStyle name="Calculation 3 23 6 4" xfId="30647" xr:uid="{00000000-0005-0000-0000-000098770000}"/>
    <cellStyle name="Calculation 3 23 6 5" xfId="30648" xr:uid="{00000000-0005-0000-0000-000099770000}"/>
    <cellStyle name="Calculation 3 23 6 6" xfId="30649" xr:uid="{00000000-0005-0000-0000-00009A770000}"/>
    <cellStyle name="Calculation 3 23 7" xfId="30650" xr:uid="{00000000-0005-0000-0000-00009B770000}"/>
    <cellStyle name="Calculation 3 23 7 2" xfId="30651" xr:uid="{00000000-0005-0000-0000-00009C770000}"/>
    <cellStyle name="Calculation 3 23 7 3" xfId="30652" xr:uid="{00000000-0005-0000-0000-00009D770000}"/>
    <cellStyle name="Calculation 3 23 7 4" xfId="30653" xr:uid="{00000000-0005-0000-0000-00009E770000}"/>
    <cellStyle name="Calculation 3 23 7 5" xfId="30654" xr:uid="{00000000-0005-0000-0000-00009F770000}"/>
    <cellStyle name="Calculation 3 23 7 6" xfId="30655" xr:uid="{00000000-0005-0000-0000-0000A0770000}"/>
    <cellStyle name="Calculation 3 23 8" xfId="30656" xr:uid="{00000000-0005-0000-0000-0000A1770000}"/>
    <cellStyle name="Calculation 3 23 9" xfId="30657" xr:uid="{00000000-0005-0000-0000-0000A2770000}"/>
    <cellStyle name="Calculation 3 24" xfId="30658" xr:uid="{00000000-0005-0000-0000-0000A3770000}"/>
    <cellStyle name="Calculation 3 24 10" xfId="30659" xr:uid="{00000000-0005-0000-0000-0000A4770000}"/>
    <cellStyle name="Calculation 3 24 2" xfId="30660" xr:uid="{00000000-0005-0000-0000-0000A5770000}"/>
    <cellStyle name="Calculation 3 24 2 2" xfId="30661" xr:uid="{00000000-0005-0000-0000-0000A6770000}"/>
    <cellStyle name="Calculation 3 24 2 3" xfId="30662" xr:uid="{00000000-0005-0000-0000-0000A7770000}"/>
    <cellStyle name="Calculation 3 24 2 4" xfId="30663" xr:uid="{00000000-0005-0000-0000-0000A8770000}"/>
    <cellStyle name="Calculation 3 24 2 5" xfId="30664" xr:uid="{00000000-0005-0000-0000-0000A9770000}"/>
    <cellStyle name="Calculation 3 24 2 6" xfId="30665" xr:uid="{00000000-0005-0000-0000-0000AA770000}"/>
    <cellStyle name="Calculation 3 24 3" xfId="30666" xr:uid="{00000000-0005-0000-0000-0000AB770000}"/>
    <cellStyle name="Calculation 3 24 3 2" xfId="30667" xr:uid="{00000000-0005-0000-0000-0000AC770000}"/>
    <cellStyle name="Calculation 3 24 3 3" xfId="30668" xr:uid="{00000000-0005-0000-0000-0000AD770000}"/>
    <cellStyle name="Calculation 3 24 3 4" xfId="30669" xr:uid="{00000000-0005-0000-0000-0000AE770000}"/>
    <cellStyle name="Calculation 3 24 3 5" xfId="30670" xr:uid="{00000000-0005-0000-0000-0000AF770000}"/>
    <cellStyle name="Calculation 3 24 3 6" xfId="30671" xr:uid="{00000000-0005-0000-0000-0000B0770000}"/>
    <cellStyle name="Calculation 3 24 4" xfId="30672" xr:uid="{00000000-0005-0000-0000-0000B1770000}"/>
    <cellStyle name="Calculation 3 24 4 2" xfId="30673" xr:uid="{00000000-0005-0000-0000-0000B2770000}"/>
    <cellStyle name="Calculation 3 24 4 3" xfId="30674" xr:uid="{00000000-0005-0000-0000-0000B3770000}"/>
    <cellStyle name="Calculation 3 24 4 4" xfId="30675" xr:uid="{00000000-0005-0000-0000-0000B4770000}"/>
    <cellStyle name="Calculation 3 24 4 5" xfId="30676" xr:uid="{00000000-0005-0000-0000-0000B5770000}"/>
    <cellStyle name="Calculation 3 24 4 6" xfId="30677" xr:uid="{00000000-0005-0000-0000-0000B6770000}"/>
    <cellStyle name="Calculation 3 24 5" xfId="30678" xr:uid="{00000000-0005-0000-0000-0000B7770000}"/>
    <cellStyle name="Calculation 3 24 5 2" xfId="30679" xr:uid="{00000000-0005-0000-0000-0000B8770000}"/>
    <cellStyle name="Calculation 3 24 5 3" xfId="30680" xr:uid="{00000000-0005-0000-0000-0000B9770000}"/>
    <cellStyle name="Calculation 3 24 5 4" xfId="30681" xr:uid="{00000000-0005-0000-0000-0000BA770000}"/>
    <cellStyle name="Calculation 3 24 5 5" xfId="30682" xr:uid="{00000000-0005-0000-0000-0000BB770000}"/>
    <cellStyle name="Calculation 3 24 5 6" xfId="30683" xr:uid="{00000000-0005-0000-0000-0000BC770000}"/>
    <cellStyle name="Calculation 3 24 6" xfId="30684" xr:uid="{00000000-0005-0000-0000-0000BD770000}"/>
    <cellStyle name="Calculation 3 24 6 2" xfId="30685" xr:uid="{00000000-0005-0000-0000-0000BE770000}"/>
    <cellStyle name="Calculation 3 24 6 3" xfId="30686" xr:uid="{00000000-0005-0000-0000-0000BF770000}"/>
    <cellStyle name="Calculation 3 24 6 4" xfId="30687" xr:uid="{00000000-0005-0000-0000-0000C0770000}"/>
    <cellStyle name="Calculation 3 24 6 5" xfId="30688" xr:uid="{00000000-0005-0000-0000-0000C1770000}"/>
    <cellStyle name="Calculation 3 24 6 6" xfId="30689" xr:uid="{00000000-0005-0000-0000-0000C2770000}"/>
    <cellStyle name="Calculation 3 24 7" xfId="30690" xr:uid="{00000000-0005-0000-0000-0000C3770000}"/>
    <cellStyle name="Calculation 3 24 7 2" xfId="30691" xr:uid="{00000000-0005-0000-0000-0000C4770000}"/>
    <cellStyle name="Calculation 3 24 7 3" xfId="30692" xr:uid="{00000000-0005-0000-0000-0000C5770000}"/>
    <cellStyle name="Calculation 3 24 7 4" xfId="30693" xr:uid="{00000000-0005-0000-0000-0000C6770000}"/>
    <cellStyle name="Calculation 3 24 7 5" xfId="30694" xr:uid="{00000000-0005-0000-0000-0000C7770000}"/>
    <cellStyle name="Calculation 3 24 7 6" xfId="30695" xr:uid="{00000000-0005-0000-0000-0000C8770000}"/>
    <cellStyle name="Calculation 3 24 8" xfId="30696" xr:uid="{00000000-0005-0000-0000-0000C9770000}"/>
    <cellStyle name="Calculation 3 24 9" xfId="30697" xr:uid="{00000000-0005-0000-0000-0000CA770000}"/>
    <cellStyle name="Calculation 3 25" xfId="30698" xr:uid="{00000000-0005-0000-0000-0000CB770000}"/>
    <cellStyle name="Calculation 3 25 10" xfId="30699" xr:uid="{00000000-0005-0000-0000-0000CC770000}"/>
    <cellStyle name="Calculation 3 25 2" xfId="30700" xr:uid="{00000000-0005-0000-0000-0000CD770000}"/>
    <cellStyle name="Calculation 3 25 2 2" xfId="30701" xr:uid="{00000000-0005-0000-0000-0000CE770000}"/>
    <cellStyle name="Calculation 3 25 2 3" xfId="30702" xr:uid="{00000000-0005-0000-0000-0000CF770000}"/>
    <cellStyle name="Calculation 3 25 2 4" xfId="30703" xr:uid="{00000000-0005-0000-0000-0000D0770000}"/>
    <cellStyle name="Calculation 3 25 2 5" xfId="30704" xr:uid="{00000000-0005-0000-0000-0000D1770000}"/>
    <cellStyle name="Calculation 3 25 2 6" xfId="30705" xr:uid="{00000000-0005-0000-0000-0000D2770000}"/>
    <cellStyle name="Calculation 3 25 3" xfId="30706" xr:uid="{00000000-0005-0000-0000-0000D3770000}"/>
    <cellStyle name="Calculation 3 25 3 2" xfId="30707" xr:uid="{00000000-0005-0000-0000-0000D4770000}"/>
    <cellStyle name="Calculation 3 25 3 3" xfId="30708" xr:uid="{00000000-0005-0000-0000-0000D5770000}"/>
    <cellStyle name="Calculation 3 25 3 4" xfId="30709" xr:uid="{00000000-0005-0000-0000-0000D6770000}"/>
    <cellStyle name="Calculation 3 25 3 5" xfId="30710" xr:uid="{00000000-0005-0000-0000-0000D7770000}"/>
    <cellStyle name="Calculation 3 25 3 6" xfId="30711" xr:uid="{00000000-0005-0000-0000-0000D8770000}"/>
    <cellStyle name="Calculation 3 25 4" xfId="30712" xr:uid="{00000000-0005-0000-0000-0000D9770000}"/>
    <cellStyle name="Calculation 3 25 4 2" xfId="30713" xr:uid="{00000000-0005-0000-0000-0000DA770000}"/>
    <cellStyle name="Calculation 3 25 4 3" xfId="30714" xr:uid="{00000000-0005-0000-0000-0000DB770000}"/>
    <cellStyle name="Calculation 3 25 4 4" xfId="30715" xr:uid="{00000000-0005-0000-0000-0000DC770000}"/>
    <cellStyle name="Calculation 3 25 4 5" xfId="30716" xr:uid="{00000000-0005-0000-0000-0000DD770000}"/>
    <cellStyle name="Calculation 3 25 4 6" xfId="30717" xr:uid="{00000000-0005-0000-0000-0000DE770000}"/>
    <cellStyle name="Calculation 3 25 5" xfId="30718" xr:uid="{00000000-0005-0000-0000-0000DF770000}"/>
    <cellStyle name="Calculation 3 25 5 2" xfId="30719" xr:uid="{00000000-0005-0000-0000-0000E0770000}"/>
    <cellStyle name="Calculation 3 25 5 3" xfId="30720" xr:uid="{00000000-0005-0000-0000-0000E1770000}"/>
    <cellStyle name="Calculation 3 25 5 4" xfId="30721" xr:uid="{00000000-0005-0000-0000-0000E2770000}"/>
    <cellStyle name="Calculation 3 25 5 5" xfId="30722" xr:uid="{00000000-0005-0000-0000-0000E3770000}"/>
    <cellStyle name="Calculation 3 25 5 6" xfId="30723" xr:uid="{00000000-0005-0000-0000-0000E4770000}"/>
    <cellStyle name="Calculation 3 25 6" xfId="30724" xr:uid="{00000000-0005-0000-0000-0000E5770000}"/>
    <cellStyle name="Calculation 3 25 6 2" xfId="30725" xr:uid="{00000000-0005-0000-0000-0000E6770000}"/>
    <cellStyle name="Calculation 3 25 6 3" xfId="30726" xr:uid="{00000000-0005-0000-0000-0000E7770000}"/>
    <cellStyle name="Calculation 3 25 6 4" xfId="30727" xr:uid="{00000000-0005-0000-0000-0000E8770000}"/>
    <cellStyle name="Calculation 3 25 6 5" xfId="30728" xr:uid="{00000000-0005-0000-0000-0000E9770000}"/>
    <cellStyle name="Calculation 3 25 6 6" xfId="30729" xr:uid="{00000000-0005-0000-0000-0000EA770000}"/>
    <cellStyle name="Calculation 3 25 7" xfId="30730" xr:uid="{00000000-0005-0000-0000-0000EB770000}"/>
    <cellStyle name="Calculation 3 25 7 2" xfId="30731" xr:uid="{00000000-0005-0000-0000-0000EC770000}"/>
    <cellStyle name="Calculation 3 25 7 3" xfId="30732" xr:uid="{00000000-0005-0000-0000-0000ED770000}"/>
    <cellStyle name="Calculation 3 25 7 4" xfId="30733" xr:uid="{00000000-0005-0000-0000-0000EE770000}"/>
    <cellStyle name="Calculation 3 25 7 5" xfId="30734" xr:uid="{00000000-0005-0000-0000-0000EF770000}"/>
    <cellStyle name="Calculation 3 25 7 6" xfId="30735" xr:uid="{00000000-0005-0000-0000-0000F0770000}"/>
    <cellStyle name="Calculation 3 25 8" xfId="30736" xr:uid="{00000000-0005-0000-0000-0000F1770000}"/>
    <cellStyle name="Calculation 3 25 9" xfId="30737" xr:uid="{00000000-0005-0000-0000-0000F2770000}"/>
    <cellStyle name="Calculation 3 26" xfId="30738" xr:uid="{00000000-0005-0000-0000-0000F3770000}"/>
    <cellStyle name="Calculation 3 26 2" xfId="30739" xr:uid="{00000000-0005-0000-0000-0000F4770000}"/>
    <cellStyle name="Calculation 3 26 3" xfId="30740" xr:uid="{00000000-0005-0000-0000-0000F5770000}"/>
    <cellStyle name="Calculation 3 26 4" xfId="30741" xr:uid="{00000000-0005-0000-0000-0000F6770000}"/>
    <cellStyle name="Calculation 3 26 5" xfId="30742" xr:uid="{00000000-0005-0000-0000-0000F7770000}"/>
    <cellStyle name="Calculation 3 26 6" xfId="30743" xr:uid="{00000000-0005-0000-0000-0000F8770000}"/>
    <cellStyle name="Calculation 3 27" xfId="30744" xr:uid="{00000000-0005-0000-0000-0000F9770000}"/>
    <cellStyle name="Calculation 3 27 2" xfId="30745" xr:uid="{00000000-0005-0000-0000-0000FA770000}"/>
    <cellStyle name="Calculation 3 27 3" xfId="30746" xr:uid="{00000000-0005-0000-0000-0000FB770000}"/>
    <cellStyle name="Calculation 3 27 4" xfId="30747" xr:uid="{00000000-0005-0000-0000-0000FC770000}"/>
    <cellStyle name="Calculation 3 27 5" xfId="30748" xr:uid="{00000000-0005-0000-0000-0000FD770000}"/>
    <cellStyle name="Calculation 3 27 6" xfId="30749" xr:uid="{00000000-0005-0000-0000-0000FE770000}"/>
    <cellStyle name="Calculation 3 28" xfId="30750" xr:uid="{00000000-0005-0000-0000-0000FF770000}"/>
    <cellStyle name="Calculation 3 28 2" xfId="30751" xr:uid="{00000000-0005-0000-0000-000000780000}"/>
    <cellStyle name="Calculation 3 28 3" xfId="30752" xr:uid="{00000000-0005-0000-0000-000001780000}"/>
    <cellStyle name="Calculation 3 28 4" xfId="30753" xr:uid="{00000000-0005-0000-0000-000002780000}"/>
    <cellStyle name="Calculation 3 28 5" xfId="30754" xr:uid="{00000000-0005-0000-0000-000003780000}"/>
    <cellStyle name="Calculation 3 28 6" xfId="30755" xr:uid="{00000000-0005-0000-0000-000004780000}"/>
    <cellStyle name="Calculation 3 29" xfId="30756" xr:uid="{00000000-0005-0000-0000-000005780000}"/>
    <cellStyle name="Calculation 3 29 2" xfId="30757" xr:uid="{00000000-0005-0000-0000-000006780000}"/>
    <cellStyle name="Calculation 3 29 3" xfId="30758" xr:uid="{00000000-0005-0000-0000-000007780000}"/>
    <cellStyle name="Calculation 3 29 4" xfId="30759" xr:uid="{00000000-0005-0000-0000-000008780000}"/>
    <cellStyle name="Calculation 3 29 5" xfId="30760" xr:uid="{00000000-0005-0000-0000-000009780000}"/>
    <cellStyle name="Calculation 3 29 6" xfId="30761" xr:uid="{00000000-0005-0000-0000-00000A780000}"/>
    <cellStyle name="Calculation 3 3" xfId="30762" xr:uid="{00000000-0005-0000-0000-00000B780000}"/>
    <cellStyle name="Calculation 3 3 10" xfId="30763" xr:uid="{00000000-0005-0000-0000-00000C780000}"/>
    <cellStyle name="Calculation 3 3 10 10" xfId="30764" xr:uid="{00000000-0005-0000-0000-00000D780000}"/>
    <cellStyle name="Calculation 3 3 10 2" xfId="30765" xr:uid="{00000000-0005-0000-0000-00000E780000}"/>
    <cellStyle name="Calculation 3 3 10 2 2" xfId="30766" xr:uid="{00000000-0005-0000-0000-00000F780000}"/>
    <cellStyle name="Calculation 3 3 10 2 3" xfId="30767" xr:uid="{00000000-0005-0000-0000-000010780000}"/>
    <cellStyle name="Calculation 3 3 10 2 4" xfId="30768" xr:uid="{00000000-0005-0000-0000-000011780000}"/>
    <cellStyle name="Calculation 3 3 10 2 5" xfId="30769" xr:uid="{00000000-0005-0000-0000-000012780000}"/>
    <cellStyle name="Calculation 3 3 10 2 6" xfId="30770" xr:uid="{00000000-0005-0000-0000-000013780000}"/>
    <cellStyle name="Calculation 3 3 10 3" xfId="30771" xr:uid="{00000000-0005-0000-0000-000014780000}"/>
    <cellStyle name="Calculation 3 3 10 3 2" xfId="30772" xr:uid="{00000000-0005-0000-0000-000015780000}"/>
    <cellStyle name="Calculation 3 3 10 3 3" xfId="30773" xr:uid="{00000000-0005-0000-0000-000016780000}"/>
    <cellStyle name="Calculation 3 3 10 3 4" xfId="30774" xr:uid="{00000000-0005-0000-0000-000017780000}"/>
    <cellStyle name="Calculation 3 3 10 3 5" xfId="30775" xr:uid="{00000000-0005-0000-0000-000018780000}"/>
    <cellStyle name="Calculation 3 3 10 3 6" xfId="30776" xr:uid="{00000000-0005-0000-0000-000019780000}"/>
    <cellStyle name="Calculation 3 3 10 4" xfId="30777" xr:uid="{00000000-0005-0000-0000-00001A780000}"/>
    <cellStyle name="Calculation 3 3 10 4 2" xfId="30778" xr:uid="{00000000-0005-0000-0000-00001B780000}"/>
    <cellStyle name="Calculation 3 3 10 4 3" xfId="30779" xr:uid="{00000000-0005-0000-0000-00001C780000}"/>
    <cellStyle name="Calculation 3 3 10 4 4" xfId="30780" xr:uid="{00000000-0005-0000-0000-00001D780000}"/>
    <cellStyle name="Calculation 3 3 10 4 5" xfId="30781" xr:uid="{00000000-0005-0000-0000-00001E780000}"/>
    <cellStyle name="Calculation 3 3 10 4 6" xfId="30782" xr:uid="{00000000-0005-0000-0000-00001F780000}"/>
    <cellStyle name="Calculation 3 3 10 5" xfId="30783" xr:uid="{00000000-0005-0000-0000-000020780000}"/>
    <cellStyle name="Calculation 3 3 10 5 2" xfId="30784" xr:uid="{00000000-0005-0000-0000-000021780000}"/>
    <cellStyle name="Calculation 3 3 10 5 3" xfId="30785" xr:uid="{00000000-0005-0000-0000-000022780000}"/>
    <cellStyle name="Calculation 3 3 10 5 4" xfId="30786" xr:uid="{00000000-0005-0000-0000-000023780000}"/>
    <cellStyle name="Calculation 3 3 10 5 5" xfId="30787" xr:uid="{00000000-0005-0000-0000-000024780000}"/>
    <cellStyle name="Calculation 3 3 10 5 6" xfId="30788" xr:uid="{00000000-0005-0000-0000-000025780000}"/>
    <cellStyle name="Calculation 3 3 10 6" xfId="30789" xr:uid="{00000000-0005-0000-0000-000026780000}"/>
    <cellStyle name="Calculation 3 3 10 6 2" xfId="30790" xr:uid="{00000000-0005-0000-0000-000027780000}"/>
    <cellStyle name="Calculation 3 3 10 6 3" xfId="30791" xr:uid="{00000000-0005-0000-0000-000028780000}"/>
    <cellStyle name="Calculation 3 3 10 6 4" xfId="30792" xr:uid="{00000000-0005-0000-0000-000029780000}"/>
    <cellStyle name="Calculation 3 3 10 6 5" xfId="30793" xr:uid="{00000000-0005-0000-0000-00002A780000}"/>
    <cellStyle name="Calculation 3 3 10 6 6" xfId="30794" xr:uid="{00000000-0005-0000-0000-00002B780000}"/>
    <cellStyle name="Calculation 3 3 10 7" xfId="30795" xr:uid="{00000000-0005-0000-0000-00002C780000}"/>
    <cellStyle name="Calculation 3 3 10 7 2" xfId="30796" xr:uid="{00000000-0005-0000-0000-00002D780000}"/>
    <cellStyle name="Calculation 3 3 10 7 3" xfId="30797" xr:uid="{00000000-0005-0000-0000-00002E780000}"/>
    <cellStyle name="Calculation 3 3 10 7 4" xfId="30798" xr:uid="{00000000-0005-0000-0000-00002F780000}"/>
    <cellStyle name="Calculation 3 3 10 7 5" xfId="30799" xr:uid="{00000000-0005-0000-0000-000030780000}"/>
    <cellStyle name="Calculation 3 3 10 7 6" xfId="30800" xr:uid="{00000000-0005-0000-0000-000031780000}"/>
    <cellStyle name="Calculation 3 3 10 8" xfId="30801" xr:uid="{00000000-0005-0000-0000-000032780000}"/>
    <cellStyle name="Calculation 3 3 10 9" xfId="30802" xr:uid="{00000000-0005-0000-0000-000033780000}"/>
    <cellStyle name="Calculation 3 3 11" xfId="30803" xr:uid="{00000000-0005-0000-0000-000034780000}"/>
    <cellStyle name="Calculation 3 3 11 10" xfId="30804" xr:uid="{00000000-0005-0000-0000-000035780000}"/>
    <cellStyle name="Calculation 3 3 11 2" xfId="30805" xr:uid="{00000000-0005-0000-0000-000036780000}"/>
    <cellStyle name="Calculation 3 3 11 2 2" xfId="30806" xr:uid="{00000000-0005-0000-0000-000037780000}"/>
    <cellStyle name="Calculation 3 3 11 2 3" xfId="30807" xr:uid="{00000000-0005-0000-0000-000038780000}"/>
    <cellStyle name="Calculation 3 3 11 2 4" xfId="30808" xr:uid="{00000000-0005-0000-0000-000039780000}"/>
    <cellStyle name="Calculation 3 3 11 2 5" xfId="30809" xr:uid="{00000000-0005-0000-0000-00003A780000}"/>
    <cellStyle name="Calculation 3 3 11 2 6" xfId="30810" xr:uid="{00000000-0005-0000-0000-00003B780000}"/>
    <cellStyle name="Calculation 3 3 11 3" xfId="30811" xr:uid="{00000000-0005-0000-0000-00003C780000}"/>
    <cellStyle name="Calculation 3 3 11 3 2" xfId="30812" xr:uid="{00000000-0005-0000-0000-00003D780000}"/>
    <cellStyle name="Calculation 3 3 11 3 3" xfId="30813" xr:uid="{00000000-0005-0000-0000-00003E780000}"/>
    <cellStyle name="Calculation 3 3 11 3 4" xfId="30814" xr:uid="{00000000-0005-0000-0000-00003F780000}"/>
    <cellStyle name="Calculation 3 3 11 3 5" xfId="30815" xr:uid="{00000000-0005-0000-0000-000040780000}"/>
    <cellStyle name="Calculation 3 3 11 3 6" xfId="30816" xr:uid="{00000000-0005-0000-0000-000041780000}"/>
    <cellStyle name="Calculation 3 3 11 4" xfId="30817" xr:uid="{00000000-0005-0000-0000-000042780000}"/>
    <cellStyle name="Calculation 3 3 11 4 2" xfId="30818" xr:uid="{00000000-0005-0000-0000-000043780000}"/>
    <cellStyle name="Calculation 3 3 11 4 3" xfId="30819" xr:uid="{00000000-0005-0000-0000-000044780000}"/>
    <cellStyle name="Calculation 3 3 11 4 4" xfId="30820" xr:uid="{00000000-0005-0000-0000-000045780000}"/>
    <cellStyle name="Calculation 3 3 11 4 5" xfId="30821" xr:uid="{00000000-0005-0000-0000-000046780000}"/>
    <cellStyle name="Calculation 3 3 11 4 6" xfId="30822" xr:uid="{00000000-0005-0000-0000-000047780000}"/>
    <cellStyle name="Calculation 3 3 11 5" xfId="30823" xr:uid="{00000000-0005-0000-0000-000048780000}"/>
    <cellStyle name="Calculation 3 3 11 5 2" xfId="30824" xr:uid="{00000000-0005-0000-0000-000049780000}"/>
    <cellStyle name="Calculation 3 3 11 5 3" xfId="30825" xr:uid="{00000000-0005-0000-0000-00004A780000}"/>
    <cellStyle name="Calculation 3 3 11 5 4" xfId="30826" xr:uid="{00000000-0005-0000-0000-00004B780000}"/>
    <cellStyle name="Calculation 3 3 11 5 5" xfId="30827" xr:uid="{00000000-0005-0000-0000-00004C780000}"/>
    <cellStyle name="Calculation 3 3 11 5 6" xfId="30828" xr:uid="{00000000-0005-0000-0000-00004D780000}"/>
    <cellStyle name="Calculation 3 3 11 6" xfId="30829" xr:uid="{00000000-0005-0000-0000-00004E780000}"/>
    <cellStyle name="Calculation 3 3 11 6 2" xfId="30830" xr:uid="{00000000-0005-0000-0000-00004F780000}"/>
    <cellStyle name="Calculation 3 3 11 6 3" xfId="30831" xr:uid="{00000000-0005-0000-0000-000050780000}"/>
    <cellStyle name="Calculation 3 3 11 6 4" xfId="30832" xr:uid="{00000000-0005-0000-0000-000051780000}"/>
    <cellStyle name="Calculation 3 3 11 6 5" xfId="30833" xr:uid="{00000000-0005-0000-0000-000052780000}"/>
    <cellStyle name="Calculation 3 3 11 6 6" xfId="30834" xr:uid="{00000000-0005-0000-0000-000053780000}"/>
    <cellStyle name="Calculation 3 3 11 7" xfId="30835" xr:uid="{00000000-0005-0000-0000-000054780000}"/>
    <cellStyle name="Calculation 3 3 11 7 2" xfId="30836" xr:uid="{00000000-0005-0000-0000-000055780000}"/>
    <cellStyle name="Calculation 3 3 11 7 3" xfId="30837" xr:uid="{00000000-0005-0000-0000-000056780000}"/>
    <cellStyle name="Calculation 3 3 11 7 4" xfId="30838" xr:uid="{00000000-0005-0000-0000-000057780000}"/>
    <cellStyle name="Calculation 3 3 11 7 5" xfId="30839" xr:uid="{00000000-0005-0000-0000-000058780000}"/>
    <cellStyle name="Calculation 3 3 11 7 6" xfId="30840" xr:uid="{00000000-0005-0000-0000-000059780000}"/>
    <cellStyle name="Calculation 3 3 11 8" xfId="30841" xr:uid="{00000000-0005-0000-0000-00005A780000}"/>
    <cellStyle name="Calculation 3 3 11 9" xfId="30842" xr:uid="{00000000-0005-0000-0000-00005B780000}"/>
    <cellStyle name="Calculation 3 3 12" xfId="30843" xr:uid="{00000000-0005-0000-0000-00005C780000}"/>
    <cellStyle name="Calculation 3 3 12 10" xfId="30844" xr:uid="{00000000-0005-0000-0000-00005D780000}"/>
    <cellStyle name="Calculation 3 3 12 2" xfId="30845" xr:uid="{00000000-0005-0000-0000-00005E780000}"/>
    <cellStyle name="Calculation 3 3 12 2 2" xfId="30846" xr:uid="{00000000-0005-0000-0000-00005F780000}"/>
    <cellStyle name="Calculation 3 3 12 2 3" xfId="30847" xr:uid="{00000000-0005-0000-0000-000060780000}"/>
    <cellStyle name="Calculation 3 3 12 2 4" xfId="30848" xr:uid="{00000000-0005-0000-0000-000061780000}"/>
    <cellStyle name="Calculation 3 3 12 2 5" xfId="30849" xr:uid="{00000000-0005-0000-0000-000062780000}"/>
    <cellStyle name="Calculation 3 3 12 2 6" xfId="30850" xr:uid="{00000000-0005-0000-0000-000063780000}"/>
    <cellStyle name="Calculation 3 3 12 3" xfId="30851" xr:uid="{00000000-0005-0000-0000-000064780000}"/>
    <cellStyle name="Calculation 3 3 12 3 2" xfId="30852" xr:uid="{00000000-0005-0000-0000-000065780000}"/>
    <cellStyle name="Calculation 3 3 12 3 3" xfId="30853" xr:uid="{00000000-0005-0000-0000-000066780000}"/>
    <cellStyle name="Calculation 3 3 12 3 4" xfId="30854" xr:uid="{00000000-0005-0000-0000-000067780000}"/>
    <cellStyle name="Calculation 3 3 12 3 5" xfId="30855" xr:uid="{00000000-0005-0000-0000-000068780000}"/>
    <cellStyle name="Calculation 3 3 12 3 6" xfId="30856" xr:uid="{00000000-0005-0000-0000-000069780000}"/>
    <cellStyle name="Calculation 3 3 12 4" xfId="30857" xr:uid="{00000000-0005-0000-0000-00006A780000}"/>
    <cellStyle name="Calculation 3 3 12 4 2" xfId="30858" xr:uid="{00000000-0005-0000-0000-00006B780000}"/>
    <cellStyle name="Calculation 3 3 12 4 3" xfId="30859" xr:uid="{00000000-0005-0000-0000-00006C780000}"/>
    <cellStyle name="Calculation 3 3 12 4 4" xfId="30860" xr:uid="{00000000-0005-0000-0000-00006D780000}"/>
    <cellStyle name="Calculation 3 3 12 4 5" xfId="30861" xr:uid="{00000000-0005-0000-0000-00006E780000}"/>
    <cellStyle name="Calculation 3 3 12 4 6" xfId="30862" xr:uid="{00000000-0005-0000-0000-00006F780000}"/>
    <cellStyle name="Calculation 3 3 12 5" xfId="30863" xr:uid="{00000000-0005-0000-0000-000070780000}"/>
    <cellStyle name="Calculation 3 3 12 5 2" xfId="30864" xr:uid="{00000000-0005-0000-0000-000071780000}"/>
    <cellStyle name="Calculation 3 3 12 5 3" xfId="30865" xr:uid="{00000000-0005-0000-0000-000072780000}"/>
    <cellStyle name="Calculation 3 3 12 5 4" xfId="30866" xr:uid="{00000000-0005-0000-0000-000073780000}"/>
    <cellStyle name="Calculation 3 3 12 5 5" xfId="30867" xr:uid="{00000000-0005-0000-0000-000074780000}"/>
    <cellStyle name="Calculation 3 3 12 5 6" xfId="30868" xr:uid="{00000000-0005-0000-0000-000075780000}"/>
    <cellStyle name="Calculation 3 3 12 6" xfId="30869" xr:uid="{00000000-0005-0000-0000-000076780000}"/>
    <cellStyle name="Calculation 3 3 12 6 2" xfId="30870" xr:uid="{00000000-0005-0000-0000-000077780000}"/>
    <cellStyle name="Calculation 3 3 12 6 3" xfId="30871" xr:uid="{00000000-0005-0000-0000-000078780000}"/>
    <cellStyle name="Calculation 3 3 12 6 4" xfId="30872" xr:uid="{00000000-0005-0000-0000-000079780000}"/>
    <cellStyle name="Calculation 3 3 12 6 5" xfId="30873" xr:uid="{00000000-0005-0000-0000-00007A780000}"/>
    <cellStyle name="Calculation 3 3 12 6 6" xfId="30874" xr:uid="{00000000-0005-0000-0000-00007B780000}"/>
    <cellStyle name="Calculation 3 3 12 7" xfId="30875" xr:uid="{00000000-0005-0000-0000-00007C780000}"/>
    <cellStyle name="Calculation 3 3 12 7 2" xfId="30876" xr:uid="{00000000-0005-0000-0000-00007D780000}"/>
    <cellStyle name="Calculation 3 3 12 7 3" xfId="30877" xr:uid="{00000000-0005-0000-0000-00007E780000}"/>
    <cellStyle name="Calculation 3 3 12 7 4" xfId="30878" xr:uid="{00000000-0005-0000-0000-00007F780000}"/>
    <cellStyle name="Calculation 3 3 12 7 5" xfId="30879" xr:uid="{00000000-0005-0000-0000-000080780000}"/>
    <cellStyle name="Calculation 3 3 12 7 6" xfId="30880" xr:uid="{00000000-0005-0000-0000-000081780000}"/>
    <cellStyle name="Calculation 3 3 12 8" xfId="30881" xr:uid="{00000000-0005-0000-0000-000082780000}"/>
    <cellStyle name="Calculation 3 3 12 9" xfId="30882" xr:uid="{00000000-0005-0000-0000-000083780000}"/>
    <cellStyle name="Calculation 3 3 13" xfId="30883" xr:uid="{00000000-0005-0000-0000-000084780000}"/>
    <cellStyle name="Calculation 3 3 13 10" xfId="30884" xr:uid="{00000000-0005-0000-0000-000085780000}"/>
    <cellStyle name="Calculation 3 3 13 2" xfId="30885" xr:uid="{00000000-0005-0000-0000-000086780000}"/>
    <cellStyle name="Calculation 3 3 13 2 2" xfId="30886" xr:uid="{00000000-0005-0000-0000-000087780000}"/>
    <cellStyle name="Calculation 3 3 13 2 3" xfId="30887" xr:uid="{00000000-0005-0000-0000-000088780000}"/>
    <cellStyle name="Calculation 3 3 13 2 4" xfId="30888" xr:uid="{00000000-0005-0000-0000-000089780000}"/>
    <cellStyle name="Calculation 3 3 13 2 5" xfId="30889" xr:uid="{00000000-0005-0000-0000-00008A780000}"/>
    <cellStyle name="Calculation 3 3 13 2 6" xfId="30890" xr:uid="{00000000-0005-0000-0000-00008B780000}"/>
    <cellStyle name="Calculation 3 3 13 3" xfId="30891" xr:uid="{00000000-0005-0000-0000-00008C780000}"/>
    <cellStyle name="Calculation 3 3 13 3 2" xfId="30892" xr:uid="{00000000-0005-0000-0000-00008D780000}"/>
    <cellStyle name="Calculation 3 3 13 3 3" xfId="30893" xr:uid="{00000000-0005-0000-0000-00008E780000}"/>
    <cellStyle name="Calculation 3 3 13 3 4" xfId="30894" xr:uid="{00000000-0005-0000-0000-00008F780000}"/>
    <cellStyle name="Calculation 3 3 13 3 5" xfId="30895" xr:uid="{00000000-0005-0000-0000-000090780000}"/>
    <cellStyle name="Calculation 3 3 13 3 6" xfId="30896" xr:uid="{00000000-0005-0000-0000-000091780000}"/>
    <cellStyle name="Calculation 3 3 13 4" xfId="30897" xr:uid="{00000000-0005-0000-0000-000092780000}"/>
    <cellStyle name="Calculation 3 3 13 4 2" xfId="30898" xr:uid="{00000000-0005-0000-0000-000093780000}"/>
    <cellStyle name="Calculation 3 3 13 4 3" xfId="30899" xr:uid="{00000000-0005-0000-0000-000094780000}"/>
    <cellStyle name="Calculation 3 3 13 4 4" xfId="30900" xr:uid="{00000000-0005-0000-0000-000095780000}"/>
    <cellStyle name="Calculation 3 3 13 4 5" xfId="30901" xr:uid="{00000000-0005-0000-0000-000096780000}"/>
    <cellStyle name="Calculation 3 3 13 4 6" xfId="30902" xr:uid="{00000000-0005-0000-0000-000097780000}"/>
    <cellStyle name="Calculation 3 3 13 5" xfId="30903" xr:uid="{00000000-0005-0000-0000-000098780000}"/>
    <cellStyle name="Calculation 3 3 13 5 2" xfId="30904" xr:uid="{00000000-0005-0000-0000-000099780000}"/>
    <cellStyle name="Calculation 3 3 13 5 3" xfId="30905" xr:uid="{00000000-0005-0000-0000-00009A780000}"/>
    <cellStyle name="Calculation 3 3 13 5 4" xfId="30906" xr:uid="{00000000-0005-0000-0000-00009B780000}"/>
    <cellStyle name="Calculation 3 3 13 5 5" xfId="30907" xr:uid="{00000000-0005-0000-0000-00009C780000}"/>
    <cellStyle name="Calculation 3 3 13 5 6" xfId="30908" xr:uid="{00000000-0005-0000-0000-00009D780000}"/>
    <cellStyle name="Calculation 3 3 13 6" xfId="30909" xr:uid="{00000000-0005-0000-0000-00009E780000}"/>
    <cellStyle name="Calculation 3 3 13 6 2" xfId="30910" xr:uid="{00000000-0005-0000-0000-00009F780000}"/>
    <cellStyle name="Calculation 3 3 13 6 3" xfId="30911" xr:uid="{00000000-0005-0000-0000-0000A0780000}"/>
    <cellStyle name="Calculation 3 3 13 6 4" xfId="30912" xr:uid="{00000000-0005-0000-0000-0000A1780000}"/>
    <cellStyle name="Calculation 3 3 13 6 5" xfId="30913" xr:uid="{00000000-0005-0000-0000-0000A2780000}"/>
    <cellStyle name="Calculation 3 3 13 6 6" xfId="30914" xr:uid="{00000000-0005-0000-0000-0000A3780000}"/>
    <cellStyle name="Calculation 3 3 13 7" xfId="30915" xr:uid="{00000000-0005-0000-0000-0000A4780000}"/>
    <cellStyle name="Calculation 3 3 13 7 2" xfId="30916" xr:uid="{00000000-0005-0000-0000-0000A5780000}"/>
    <cellStyle name="Calculation 3 3 13 7 3" xfId="30917" xr:uid="{00000000-0005-0000-0000-0000A6780000}"/>
    <cellStyle name="Calculation 3 3 13 7 4" xfId="30918" xr:uid="{00000000-0005-0000-0000-0000A7780000}"/>
    <cellStyle name="Calculation 3 3 13 7 5" xfId="30919" xr:uid="{00000000-0005-0000-0000-0000A8780000}"/>
    <cellStyle name="Calculation 3 3 13 7 6" xfId="30920" xr:uid="{00000000-0005-0000-0000-0000A9780000}"/>
    <cellStyle name="Calculation 3 3 13 8" xfId="30921" xr:uid="{00000000-0005-0000-0000-0000AA780000}"/>
    <cellStyle name="Calculation 3 3 13 9" xfId="30922" xr:uid="{00000000-0005-0000-0000-0000AB780000}"/>
    <cellStyle name="Calculation 3 3 14" xfId="30923" xr:uid="{00000000-0005-0000-0000-0000AC780000}"/>
    <cellStyle name="Calculation 3 3 14 10" xfId="30924" xr:uid="{00000000-0005-0000-0000-0000AD780000}"/>
    <cellStyle name="Calculation 3 3 14 2" xfId="30925" xr:uid="{00000000-0005-0000-0000-0000AE780000}"/>
    <cellStyle name="Calculation 3 3 14 2 2" xfId="30926" xr:uid="{00000000-0005-0000-0000-0000AF780000}"/>
    <cellStyle name="Calculation 3 3 14 2 3" xfId="30927" xr:uid="{00000000-0005-0000-0000-0000B0780000}"/>
    <cellStyle name="Calculation 3 3 14 2 4" xfId="30928" xr:uid="{00000000-0005-0000-0000-0000B1780000}"/>
    <cellStyle name="Calculation 3 3 14 2 5" xfId="30929" xr:uid="{00000000-0005-0000-0000-0000B2780000}"/>
    <cellStyle name="Calculation 3 3 14 2 6" xfId="30930" xr:uid="{00000000-0005-0000-0000-0000B3780000}"/>
    <cellStyle name="Calculation 3 3 14 3" xfId="30931" xr:uid="{00000000-0005-0000-0000-0000B4780000}"/>
    <cellStyle name="Calculation 3 3 14 3 2" xfId="30932" xr:uid="{00000000-0005-0000-0000-0000B5780000}"/>
    <cellStyle name="Calculation 3 3 14 3 3" xfId="30933" xr:uid="{00000000-0005-0000-0000-0000B6780000}"/>
    <cellStyle name="Calculation 3 3 14 3 4" xfId="30934" xr:uid="{00000000-0005-0000-0000-0000B7780000}"/>
    <cellStyle name="Calculation 3 3 14 3 5" xfId="30935" xr:uid="{00000000-0005-0000-0000-0000B8780000}"/>
    <cellStyle name="Calculation 3 3 14 3 6" xfId="30936" xr:uid="{00000000-0005-0000-0000-0000B9780000}"/>
    <cellStyle name="Calculation 3 3 14 4" xfId="30937" xr:uid="{00000000-0005-0000-0000-0000BA780000}"/>
    <cellStyle name="Calculation 3 3 14 4 2" xfId="30938" xr:uid="{00000000-0005-0000-0000-0000BB780000}"/>
    <cellStyle name="Calculation 3 3 14 4 3" xfId="30939" xr:uid="{00000000-0005-0000-0000-0000BC780000}"/>
    <cellStyle name="Calculation 3 3 14 4 4" xfId="30940" xr:uid="{00000000-0005-0000-0000-0000BD780000}"/>
    <cellStyle name="Calculation 3 3 14 4 5" xfId="30941" xr:uid="{00000000-0005-0000-0000-0000BE780000}"/>
    <cellStyle name="Calculation 3 3 14 4 6" xfId="30942" xr:uid="{00000000-0005-0000-0000-0000BF780000}"/>
    <cellStyle name="Calculation 3 3 14 5" xfId="30943" xr:uid="{00000000-0005-0000-0000-0000C0780000}"/>
    <cellStyle name="Calculation 3 3 14 5 2" xfId="30944" xr:uid="{00000000-0005-0000-0000-0000C1780000}"/>
    <cellStyle name="Calculation 3 3 14 5 3" xfId="30945" xr:uid="{00000000-0005-0000-0000-0000C2780000}"/>
    <cellStyle name="Calculation 3 3 14 5 4" xfId="30946" xr:uid="{00000000-0005-0000-0000-0000C3780000}"/>
    <cellStyle name="Calculation 3 3 14 5 5" xfId="30947" xr:uid="{00000000-0005-0000-0000-0000C4780000}"/>
    <cellStyle name="Calculation 3 3 14 5 6" xfId="30948" xr:uid="{00000000-0005-0000-0000-0000C5780000}"/>
    <cellStyle name="Calculation 3 3 14 6" xfId="30949" xr:uid="{00000000-0005-0000-0000-0000C6780000}"/>
    <cellStyle name="Calculation 3 3 14 6 2" xfId="30950" xr:uid="{00000000-0005-0000-0000-0000C7780000}"/>
    <cellStyle name="Calculation 3 3 14 6 3" xfId="30951" xr:uid="{00000000-0005-0000-0000-0000C8780000}"/>
    <cellStyle name="Calculation 3 3 14 6 4" xfId="30952" xr:uid="{00000000-0005-0000-0000-0000C9780000}"/>
    <cellStyle name="Calculation 3 3 14 6 5" xfId="30953" xr:uid="{00000000-0005-0000-0000-0000CA780000}"/>
    <cellStyle name="Calculation 3 3 14 6 6" xfId="30954" xr:uid="{00000000-0005-0000-0000-0000CB780000}"/>
    <cellStyle name="Calculation 3 3 14 7" xfId="30955" xr:uid="{00000000-0005-0000-0000-0000CC780000}"/>
    <cellStyle name="Calculation 3 3 14 7 2" xfId="30956" xr:uid="{00000000-0005-0000-0000-0000CD780000}"/>
    <cellStyle name="Calculation 3 3 14 7 3" xfId="30957" xr:uid="{00000000-0005-0000-0000-0000CE780000}"/>
    <cellStyle name="Calculation 3 3 14 7 4" xfId="30958" xr:uid="{00000000-0005-0000-0000-0000CF780000}"/>
    <cellStyle name="Calculation 3 3 14 7 5" xfId="30959" xr:uid="{00000000-0005-0000-0000-0000D0780000}"/>
    <cellStyle name="Calculation 3 3 14 7 6" xfId="30960" xr:uid="{00000000-0005-0000-0000-0000D1780000}"/>
    <cellStyle name="Calculation 3 3 14 8" xfId="30961" xr:uid="{00000000-0005-0000-0000-0000D2780000}"/>
    <cellStyle name="Calculation 3 3 14 9" xfId="30962" xr:uid="{00000000-0005-0000-0000-0000D3780000}"/>
    <cellStyle name="Calculation 3 3 15" xfId="30963" xr:uid="{00000000-0005-0000-0000-0000D4780000}"/>
    <cellStyle name="Calculation 3 3 15 10" xfId="30964" xr:uid="{00000000-0005-0000-0000-0000D5780000}"/>
    <cellStyle name="Calculation 3 3 15 2" xfId="30965" xr:uid="{00000000-0005-0000-0000-0000D6780000}"/>
    <cellStyle name="Calculation 3 3 15 2 2" xfId="30966" xr:uid="{00000000-0005-0000-0000-0000D7780000}"/>
    <cellStyle name="Calculation 3 3 15 2 3" xfId="30967" xr:uid="{00000000-0005-0000-0000-0000D8780000}"/>
    <cellStyle name="Calculation 3 3 15 2 4" xfId="30968" xr:uid="{00000000-0005-0000-0000-0000D9780000}"/>
    <cellStyle name="Calculation 3 3 15 2 5" xfId="30969" xr:uid="{00000000-0005-0000-0000-0000DA780000}"/>
    <cellStyle name="Calculation 3 3 15 2 6" xfId="30970" xr:uid="{00000000-0005-0000-0000-0000DB780000}"/>
    <cellStyle name="Calculation 3 3 15 3" xfId="30971" xr:uid="{00000000-0005-0000-0000-0000DC780000}"/>
    <cellStyle name="Calculation 3 3 15 3 2" xfId="30972" xr:uid="{00000000-0005-0000-0000-0000DD780000}"/>
    <cellStyle name="Calculation 3 3 15 3 3" xfId="30973" xr:uid="{00000000-0005-0000-0000-0000DE780000}"/>
    <cellStyle name="Calculation 3 3 15 3 4" xfId="30974" xr:uid="{00000000-0005-0000-0000-0000DF780000}"/>
    <cellStyle name="Calculation 3 3 15 3 5" xfId="30975" xr:uid="{00000000-0005-0000-0000-0000E0780000}"/>
    <cellStyle name="Calculation 3 3 15 3 6" xfId="30976" xr:uid="{00000000-0005-0000-0000-0000E1780000}"/>
    <cellStyle name="Calculation 3 3 15 4" xfId="30977" xr:uid="{00000000-0005-0000-0000-0000E2780000}"/>
    <cellStyle name="Calculation 3 3 15 4 2" xfId="30978" xr:uid="{00000000-0005-0000-0000-0000E3780000}"/>
    <cellStyle name="Calculation 3 3 15 4 3" xfId="30979" xr:uid="{00000000-0005-0000-0000-0000E4780000}"/>
    <cellStyle name="Calculation 3 3 15 4 4" xfId="30980" xr:uid="{00000000-0005-0000-0000-0000E5780000}"/>
    <cellStyle name="Calculation 3 3 15 4 5" xfId="30981" xr:uid="{00000000-0005-0000-0000-0000E6780000}"/>
    <cellStyle name="Calculation 3 3 15 4 6" xfId="30982" xr:uid="{00000000-0005-0000-0000-0000E7780000}"/>
    <cellStyle name="Calculation 3 3 15 5" xfId="30983" xr:uid="{00000000-0005-0000-0000-0000E8780000}"/>
    <cellStyle name="Calculation 3 3 15 5 2" xfId="30984" xr:uid="{00000000-0005-0000-0000-0000E9780000}"/>
    <cellStyle name="Calculation 3 3 15 5 3" xfId="30985" xr:uid="{00000000-0005-0000-0000-0000EA780000}"/>
    <cellStyle name="Calculation 3 3 15 5 4" xfId="30986" xr:uid="{00000000-0005-0000-0000-0000EB780000}"/>
    <cellStyle name="Calculation 3 3 15 5 5" xfId="30987" xr:uid="{00000000-0005-0000-0000-0000EC780000}"/>
    <cellStyle name="Calculation 3 3 15 5 6" xfId="30988" xr:uid="{00000000-0005-0000-0000-0000ED780000}"/>
    <cellStyle name="Calculation 3 3 15 6" xfId="30989" xr:uid="{00000000-0005-0000-0000-0000EE780000}"/>
    <cellStyle name="Calculation 3 3 15 6 2" xfId="30990" xr:uid="{00000000-0005-0000-0000-0000EF780000}"/>
    <cellStyle name="Calculation 3 3 15 6 3" xfId="30991" xr:uid="{00000000-0005-0000-0000-0000F0780000}"/>
    <cellStyle name="Calculation 3 3 15 6 4" xfId="30992" xr:uid="{00000000-0005-0000-0000-0000F1780000}"/>
    <cellStyle name="Calculation 3 3 15 6 5" xfId="30993" xr:uid="{00000000-0005-0000-0000-0000F2780000}"/>
    <cellStyle name="Calculation 3 3 15 6 6" xfId="30994" xr:uid="{00000000-0005-0000-0000-0000F3780000}"/>
    <cellStyle name="Calculation 3 3 15 7" xfId="30995" xr:uid="{00000000-0005-0000-0000-0000F4780000}"/>
    <cellStyle name="Calculation 3 3 15 7 2" xfId="30996" xr:uid="{00000000-0005-0000-0000-0000F5780000}"/>
    <cellStyle name="Calculation 3 3 15 7 3" xfId="30997" xr:uid="{00000000-0005-0000-0000-0000F6780000}"/>
    <cellStyle name="Calculation 3 3 15 7 4" xfId="30998" xr:uid="{00000000-0005-0000-0000-0000F7780000}"/>
    <cellStyle name="Calculation 3 3 15 7 5" xfId="30999" xr:uid="{00000000-0005-0000-0000-0000F8780000}"/>
    <cellStyle name="Calculation 3 3 15 7 6" xfId="31000" xr:uid="{00000000-0005-0000-0000-0000F9780000}"/>
    <cellStyle name="Calculation 3 3 15 8" xfId="31001" xr:uid="{00000000-0005-0000-0000-0000FA780000}"/>
    <cellStyle name="Calculation 3 3 15 9" xfId="31002" xr:uid="{00000000-0005-0000-0000-0000FB780000}"/>
    <cellStyle name="Calculation 3 3 16" xfId="31003" xr:uid="{00000000-0005-0000-0000-0000FC780000}"/>
    <cellStyle name="Calculation 3 3 16 10" xfId="31004" xr:uid="{00000000-0005-0000-0000-0000FD780000}"/>
    <cellStyle name="Calculation 3 3 16 2" xfId="31005" xr:uid="{00000000-0005-0000-0000-0000FE780000}"/>
    <cellStyle name="Calculation 3 3 16 2 2" xfId="31006" xr:uid="{00000000-0005-0000-0000-0000FF780000}"/>
    <cellStyle name="Calculation 3 3 16 2 3" xfId="31007" xr:uid="{00000000-0005-0000-0000-000000790000}"/>
    <cellStyle name="Calculation 3 3 16 2 4" xfId="31008" xr:uid="{00000000-0005-0000-0000-000001790000}"/>
    <cellStyle name="Calculation 3 3 16 2 5" xfId="31009" xr:uid="{00000000-0005-0000-0000-000002790000}"/>
    <cellStyle name="Calculation 3 3 16 2 6" xfId="31010" xr:uid="{00000000-0005-0000-0000-000003790000}"/>
    <cellStyle name="Calculation 3 3 16 3" xfId="31011" xr:uid="{00000000-0005-0000-0000-000004790000}"/>
    <cellStyle name="Calculation 3 3 16 3 2" xfId="31012" xr:uid="{00000000-0005-0000-0000-000005790000}"/>
    <cellStyle name="Calculation 3 3 16 3 3" xfId="31013" xr:uid="{00000000-0005-0000-0000-000006790000}"/>
    <cellStyle name="Calculation 3 3 16 3 4" xfId="31014" xr:uid="{00000000-0005-0000-0000-000007790000}"/>
    <cellStyle name="Calculation 3 3 16 3 5" xfId="31015" xr:uid="{00000000-0005-0000-0000-000008790000}"/>
    <cellStyle name="Calculation 3 3 16 3 6" xfId="31016" xr:uid="{00000000-0005-0000-0000-000009790000}"/>
    <cellStyle name="Calculation 3 3 16 4" xfId="31017" xr:uid="{00000000-0005-0000-0000-00000A790000}"/>
    <cellStyle name="Calculation 3 3 16 4 2" xfId="31018" xr:uid="{00000000-0005-0000-0000-00000B790000}"/>
    <cellStyle name="Calculation 3 3 16 4 3" xfId="31019" xr:uid="{00000000-0005-0000-0000-00000C790000}"/>
    <cellStyle name="Calculation 3 3 16 4 4" xfId="31020" xr:uid="{00000000-0005-0000-0000-00000D790000}"/>
    <cellStyle name="Calculation 3 3 16 4 5" xfId="31021" xr:uid="{00000000-0005-0000-0000-00000E790000}"/>
    <cellStyle name="Calculation 3 3 16 4 6" xfId="31022" xr:uid="{00000000-0005-0000-0000-00000F790000}"/>
    <cellStyle name="Calculation 3 3 16 5" xfId="31023" xr:uid="{00000000-0005-0000-0000-000010790000}"/>
    <cellStyle name="Calculation 3 3 16 5 2" xfId="31024" xr:uid="{00000000-0005-0000-0000-000011790000}"/>
    <cellStyle name="Calculation 3 3 16 5 3" xfId="31025" xr:uid="{00000000-0005-0000-0000-000012790000}"/>
    <cellStyle name="Calculation 3 3 16 5 4" xfId="31026" xr:uid="{00000000-0005-0000-0000-000013790000}"/>
    <cellStyle name="Calculation 3 3 16 5 5" xfId="31027" xr:uid="{00000000-0005-0000-0000-000014790000}"/>
    <cellStyle name="Calculation 3 3 16 5 6" xfId="31028" xr:uid="{00000000-0005-0000-0000-000015790000}"/>
    <cellStyle name="Calculation 3 3 16 6" xfId="31029" xr:uid="{00000000-0005-0000-0000-000016790000}"/>
    <cellStyle name="Calculation 3 3 16 6 2" xfId="31030" xr:uid="{00000000-0005-0000-0000-000017790000}"/>
    <cellStyle name="Calculation 3 3 16 6 3" xfId="31031" xr:uid="{00000000-0005-0000-0000-000018790000}"/>
    <cellStyle name="Calculation 3 3 16 6 4" xfId="31032" xr:uid="{00000000-0005-0000-0000-000019790000}"/>
    <cellStyle name="Calculation 3 3 16 6 5" xfId="31033" xr:uid="{00000000-0005-0000-0000-00001A790000}"/>
    <cellStyle name="Calculation 3 3 16 6 6" xfId="31034" xr:uid="{00000000-0005-0000-0000-00001B790000}"/>
    <cellStyle name="Calculation 3 3 16 7" xfId="31035" xr:uid="{00000000-0005-0000-0000-00001C790000}"/>
    <cellStyle name="Calculation 3 3 16 7 2" xfId="31036" xr:uid="{00000000-0005-0000-0000-00001D790000}"/>
    <cellStyle name="Calculation 3 3 16 7 3" xfId="31037" xr:uid="{00000000-0005-0000-0000-00001E790000}"/>
    <cellStyle name="Calculation 3 3 16 7 4" xfId="31038" xr:uid="{00000000-0005-0000-0000-00001F790000}"/>
    <cellStyle name="Calculation 3 3 16 7 5" xfId="31039" xr:uid="{00000000-0005-0000-0000-000020790000}"/>
    <cellStyle name="Calculation 3 3 16 7 6" xfId="31040" xr:uid="{00000000-0005-0000-0000-000021790000}"/>
    <cellStyle name="Calculation 3 3 16 8" xfId="31041" xr:uid="{00000000-0005-0000-0000-000022790000}"/>
    <cellStyle name="Calculation 3 3 16 9" xfId="31042" xr:uid="{00000000-0005-0000-0000-000023790000}"/>
    <cellStyle name="Calculation 3 3 17" xfId="31043" xr:uid="{00000000-0005-0000-0000-000024790000}"/>
    <cellStyle name="Calculation 3 3 17 10" xfId="31044" xr:uid="{00000000-0005-0000-0000-000025790000}"/>
    <cellStyle name="Calculation 3 3 17 2" xfId="31045" xr:uid="{00000000-0005-0000-0000-000026790000}"/>
    <cellStyle name="Calculation 3 3 17 2 2" xfId="31046" xr:uid="{00000000-0005-0000-0000-000027790000}"/>
    <cellStyle name="Calculation 3 3 17 2 3" xfId="31047" xr:uid="{00000000-0005-0000-0000-000028790000}"/>
    <cellStyle name="Calculation 3 3 17 2 4" xfId="31048" xr:uid="{00000000-0005-0000-0000-000029790000}"/>
    <cellStyle name="Calculation 3 3 17 2 5" xfId="31049" xr:uid="{00000000-0005-0000-0000-00002A790000}"/>
    <cellStyle name="Calculation 3 3 17 2 6" xfId="31050" xr:uid="{00000000-0005-0000-0000-00002B790000}"/>
    <cellStyle name="Calculation 3 3 17 3" xfId="31051" xr:uid="{00000000-0005-0000-0000-00002C790000}"/>
    <cellStyle name="Calculation 3 3 17 3 2" xfId="31052" xr:uid="{00000000-0005-0000-0000-00002D790000}"/>
    <cellStyle name="Calculation 3 3 17 3 3" xfId="31053" xr:uid="{00000000-0005-0000-0000-00002E790000}"/>
    <cellStyle name="Calculation 3 3 17 3 4" xfId="31054" xr:uid="{00000000-0005-0000-0000-00002F790000}"/>
    <cellStyle name="Calculation 3 3 17 3 5" xfId="31055" xr:uid="{00000000-0005-0000-0000-000030790000}"/>
    <cellStyle name="Calculation 3 3 17 3 6" xfId="31056" xr:uid="{00000000-0005-0000-0000-000031790000}"/>
    <cellStyle name="Calculation 3 3 17 4" xfId="31057" xr:uid="{00000000-0005-0000-0000-000032790000}"/>
    <cellStyle name="Calculation 3 3 17 4 2" xfId="31058" xr:uid="{00000000-0005-0000-0000-000033790000}"/>
    <cellStyle name="Calculation 3 3 17 4 3" xfId="31059" xr:uid="{00000000-0005-0000-0000-000034790000}"/>
    <cellStyle name="Calculation 3 3 17 4 4" xfId="31060" xr:uid="{00000000-0005-0000-0000-000035790000}"/>
    <cellStyle name="Calculation 3 3 17 4 5" xfId="31061" xr:uid="{00000000-0005-0000-0000-000036790000}"/>
    <cellStyle name="Calculation 3 3 17 4 6" xfId="31062" xr:uid="{00000000-0005-0000-0000-000037790000}"/>
    <cellStyle name="Calculation 3 3 17 5" xfId="31063" xr:uid="{00000000-0005-0000-0000-000038790000}"/>
    <cellStyle name="Calculation 3 3 17 5 2" xfId="31064" xr:uid="{00000000-0005-0000-0000-000039790000}"/>
    <cellStyle name="Calculation 3 3 17 5 3" xfId="31065" xr:uid="{00000000-0005-0000-0000-00003A790000}"/>
    <cellStyle name="Calculation 3 3 17 5 4" xfId="31066" xr:uid="{00000000-0005-0000-0000-00003B790000}"/>
    <cellStyle name="Calculation 3 3 17 5 5" xfId="31067" xr:uid="{00000000-0005-0000-0000-00003C790000}"/>
    <cellStyle name="Calculation 3 3 17 5 6" xfId="31068" xr:uid="{00000000-0005-0000-0000-00003D790000}"/>
    <cellStyle name="Calculation 3 3 17 6" xfId="31069" xr:uid="{00000000-0005-0000-0000-00003E790000}"/>
    <cellStyle name="Calculation 3 3 17 6 2" xfId="31070" xr:uid="{00000000-0005-0000-0000-00003F790000}"/>
    <cellStyle name="Calculation 3 3 17 6 3" xfId="31071" xr:uid="{00000000-0005-0000-0000-000040790000}"/>
    <cellStyle name="Calculation 3 3 17 6 4" xfId="31072" xr:uid="{00000000-0005-0000-0000-000041790000}"/>
    <cellStyle name="Calculation 3 3 17 6 5" xfId="31073" xr:uid="{00000000-0005-0000-0000-000042790000}"/>
    <cellStyle name="Calculation 3 3 17 6 6" xfId="31074" xr:uid="{00000000-0005-0000-0000-000043790000}"/>
    <cellStyle name="Calculation 3 3 17 7" xfId="31075" xr:uid="{00000000-0005-0000-0000-000044790000}"/>
    <cellStyle name="Calculation 3 3 17 7 2" xfId="31076" xr:uid="{00000000-0005-0000-0000-000045790000}"/>
    <cellStyle name="Calculation 3 3 17 7 3" xfId="31077" xr:uid="{00000000-0005-0000-0000-000046790000}"/>
    <cellStyle name="Calculation 3 3 17 7 4" xfId="31078" xr:uid="{00000000-0005-0000-0000-000047790000}"/>
    <cellStyle name="Calculation 3 3 17 7 5" xfId="31079" xr:uid="{00000000-0005-0000-0000-000048790000}"/>
    <cellStyle name="Calculation 3 3 17 7 6" xfId="31080" xr:uid="{00000000-0005-0000-0000-000049790000}"/>
    <cellStyle name="Calculation 3 3 17 8" xfId="31081" xr:uid="{00000000-0005-0000-0000-00004A790000}"/>
    <cellStyle name="Calculation 3 3 17 9" xfId="31082" xr:uid="{00000000-0005-0000-0000-00004B790000}"/>
    <cellStyle name="Calculation 3 3 18" xfId="31083" xr:uid="{00000000-0005-0000-0000-00004C790000}"/>
    <cellStyle name="Calculation 3 3 18 10" xfId="31084" xr:uid="{00000000-0005-0000-0000-00004D790000}"/>
    <cellStyle name="Calculation 3 3 18 2" xfId="31085" xr:uid="{00000000-0005-0000-0000-00004E790000}"/>
    <cellStyle name="Calculation 3 3 18 2 2" xfId="31086" xr:uid="{00000000-0005-0000-0000-00004F790000}"/>
    <cellStyle name="Calculation 3 3 18 2 3" xfId="31087" xr:uid="{00000000-0005-0000-0000-000050790000}"/>
    <cellStyle name="Calculation 3 3 18 2 4" xfId="31088" xr:uid="{00000000-0005-0000-0000-000051790000}"/>
    <cellStyle name="Calculation 3 3 18 2 5" xfId="31089" xr:uid="{00000000-0005-0000-0000-000052790000}"/>
    <cellStyle name="Calculation 3 3 18 2 6" xfId="31090" xr:uid="{00000000-0005-0000-0000-000053790000}"/>
    <cellStyle name="Calculation 3 3 18 3" xfId="31091" xr:uid="{00000000-0005-0000-0000-000054790000}"/>
    <cellStyle name="Calculation 3 3 18 3 2" xfId="31092" xr:uid="{00000000-0005-0000-0000-000055790000}"/>
    <cellStyle name="Calculation 3 3 18 3 3" xfId="31093" xr:uid="{00000000-0005-0000-0000-000056790000}"/>
    <cellStyle name="Calculation 3 3 18 3 4" xfId="31094" xr:uid="{00000000-0005-0000-0000-000057790000}"/>
    <cellStyle name="Calculation 3 3 18 3 5" xfId="31095" xr:uid="{00000000-0005-0000-0000-000058790000}"/>
    <cellStyle name="Calculation 3 3 18 3 6" xfId="31096" xr:uid="{00000000-0005-0000-0000-000059790000}"/>
    <cellStyle name="Calculation 3 3 18 4" xfId="31097" xr:uid="{00000000-0005-0000-0000-00005A790000}"/>
    <cellStyle name="Calculation 3 3 18 4 2" xfId="31098" xr:uid="{00000000-0005-0000-0000-00005B790000}"/>
    <cellStyle name="Calculation 3 3 18 4 3" xfId="31099" xr:uid="{00000000-0005-0000-0000-00005C790000}"/>
    <cellStyle name="Calculation 3 3 18 4 4" xfId="31100" xr:uid="{00000000-0005-0000-0000-00005D790000}"/>
    <cellStyle name="Calculation 3 3 18 4 5" xfId="31101" xr:uid="{00000000-0005-0000-0000-00005E790000}"/>
    <cellStyle name="Calculation 3 3 18 4 6" xfId="31102" xr:uid="{00000000-0005-0000-0000-00005F790000}"/>
    <cellStyle name="Calculation 3 3 18 5" xfId="31103" xr:uid="{00000000-0005-0000-0000-000060790000}"/>
    <cellStyle name="Calculation 3 3 18 5 2" xfId="31104" xr:uid="{00000000-0005-0000-0000-000061790000}"/>
    <cellStyle name="Calculation 3 3 18 5 3" xfId="31105" xr:uid="{00000000-0005-0000-0000-000062790000}"/>
    <cellStyle name="Calculation 3 3 18 5 4" xfId="31106" xr:uid="{00000000-0005-0000-0000-000063790000}"/>
    <cellStyle name="Calculation 3 3 18 5 5" xfId="31107" xr:uid="{00000000-0005-0000-0000-000064790000}"/>
    <cellStyle name="Calculation 3 3 18 5 6" xfId="31108" xr:uid="{00000000-0005-0000-0000-000065790000}"/>
    <cellStyle name="Calculation 3 3 18 6" xfId="31109" xr:uid="{00000000-0005-0000-0000-000066790000}"/>
    <cellStyle name="Calculation 3 3 18 6 2" xfId="31110" xr:uid="{00000000-0005-0000-0000-000067790000}"/>
    <cellStyle name="Calculation 3 3 18 6 3" xfId="31111" xr:uid="{00000000-0005-0000-0000-000068790000}"/>
    <cellStyle name="Calculation 3 3 18 6 4" xfId="31112" xr:uid="{00000000-0005-0000-0000-000069790000}"/>
    <cellStyle name="Calculation 3 3 18 6 5" xfId="31113" xr:uid="{00000000-0005-0000-0000-00006A790000}"/>
    <cellStyle name="Calculation 3 3 18 6 6" xfId="31114" xr:uid="{00000000-0005-0000-0000-00006B790000}"/>
    <cellStyle name="Calculation 3 3 18 7" xfId="31115" xr:uid="{00000000-0005-0000-0000-00006C790000}"/>
    <cellStyle name="Calculation 3 3 18 7 2" xfId="31116" xr:uid="{00000000-0005-0000-0000-00006D790000}"/>
    <cellStyle name="Calculation 3 3 18 7 3" xfId="31117" xr:uid="{00000000-0005-0000-0000-00006E790000}"/>
    <cellStyle name="Calculation 3 3 18 7 4" xfId="31118" xr:uid="{00000000-0005-0000-0000-00006F790000}"/>
    <cellStyle name="Calculation 3 3 18 7 5" xfId="31119" xr:uid="{00000000-0005-0000-0000-000070790000}"/>
    <cellStyle name="Calculation 3 3 18 7 6" xfId="31120" xr:uid="{00000000-0005-0000-0000-000071790000}"/>
    <cellStyle name="Calculation 3 3 18 8" xfId="31121" xr:uid="{00000000-0005-0000-0000-000072790000}"/>
    <cellStyle name="Calculation 3 3 18 9" xfId="31122" xr:uid="{00000000-0005-0000-0000-000073790000}"/>
    <cellStyle name="Calculation 3 3 19" xfId="31123" xr:uid="{00000000-0005-0000-0000-000074790000}"/>
    <cellStyle name="Calculation 3 3 19 10" xfId="31124" xr:uid="{00000000-0005-0000-0000-000075790000}"/>
    <cellStyle name="Calculation 3 3 19 2" xfId="31125" xr:uid="{00000000-0005-0000-0000-000076790000}"/>
    <cellStyle name="Calculation 3 3 19 2 2" xfId="31126" xr:uid="{00000000-0005-0000-0000-000077790000}"/>
    <cellStyle name="Calculation 3 3 19 2 3" xfId="31127" xr:uid="{00000000-0005-0000-0000-000078790000}"/>
    <cellStyle name="Calculation 3 3 19 2 4" xfId="31128" xr:uid="{00000000-0005-0000-0000-000079790000}"/>
    <cellStyle name="Calculation 3 3 19 2 5" xfId="31129" xr:uid="{00000000-0005-0000-0000-00007A790000}"/>
    <cellStyle name="Calculation 3 3 19 2 6" xfId="31130" xr:uid="{00000000-0005-0000-0000-00007B790000}"/>
    <cellStyle name="Calculation 3 3 19 3" xfId="31131" xr:uid="{00000000-0005-0000-0000-00007C790000}"/>
    <cellStyle name="Calculation 3 3 19 3 2" xfId="31132" xr:uid="{00000000-0005-0000-0000-00007D790000}"/>
    <cellStyle name="Calculation 3 3 19 3 3" xfId="31133" xr:uid="{00000000-0005-0000-0000-00007E790000}"/>
    <cellStyle name="Calculation 3 3 19 3 4" xfId="31134" xr:uid="{00000000-0005-0000-0000-00007F790000}"/>
    <cellStyle name="Calculation 3 3 19 3 5" xfId="31135" xr:uid="{00000000-0005-0000-0000-000080790000}"/>
    <cellStyle name="Calculation 3 3 19 3 6" xfId="31136" xr:uid="{00000000-0005-0000-0000-000081790000}"/>
    <cellStyle name="Calculation 3 3 19 4" xfId="31137" xr:uid="{00000000-0005-0000-0000-000082790000}"/>
    <cellStyle name="Calculation 3 3 19 4 2" xfId="31138" xr:uid="{00000000-0005-0000-0000-000083790000}"/>
    <cellStyle name="Calculation 3 3 19 4 3" xfId="31139" xr:uid="{00000000-0005-0000-0000-000084790000}"/>
    <cellStyle name="Calculation 3 3 19 4 4" xfId="31140" xr:uid="{00000000-0005-0000-0000-000085790000}"/>
    <cellStyle name="Calculation 3 3 19 4 5" xfId="31141" xr:uid="{00000000-0005-0000-0000-000086790000}"/>
    <cellStyle name="Calculation 3 3 19 4 6" xfId="31142" xr:uid="{00000000-0005-0000-0000-000087790000}"/>
    <cellStyle name="Calculation 3 3 19 5" xfId="31143" xr:uid="{00000000-0005-0000-0000-000088790000}"/>
    <cellStyle name="Calculation 3 3 19 5 2" xfId="31144" xr:uid="{00000000-0005-0000-0000-000089790000}"/>
    <cellStyle name="Calculation 3 3 19 5 3" xfId="31145" xr:uid="{00000000-0005-0000-0000-00008A790000}"/>
    <cellStyle name="Calculation 3 3 19 5 4" xfId="31146" xr:uid="{00000000-0005-0000-0000-00008B790000}"/>
    <cellStyle name="Calculation 3 3 19 5 5" xfId="31147" xr:uid="{00000000-0005-0000-0000-00008C790000}"/>
    <cellStyle name="Calculation 3 3 19 5 6" xfId="31148" xr:uid="{00000000-0005-0000-0000-00008D790000}"/>
    <cellStyle name="Calculation 3 3 19 6" xfId="31149" xr:uid="{00000000-0005-0000-0000-00008E790000}"/>
    <cellStyle name="Calculation 3 3 19 6 2" xfId="31150" xr:uid="{00000000-0005-0000-0000-00008F790000}"/>
    <cellStyle name="Calculation 3 3 19 6 3" xfId="31151" xr:uid="{00000000-0005-0000-0000-000090790000}"/>
    <cellStyle name="Calculation 3 3 19 6 4" xfId="31152" xr:uid="{00000000-0005-0000-0000-000091790000}"/>
    <cellStyle name="Calculation 3 3 19 6 5" xfId="31153" xr:uid="{00000000-0005-0000-0000-000092790000}"/>
    <cellStyle name="Calculation 3 3 19 6 6" xfId="31154" xr:uid="{00000000-0005-0000-0000-000093790000}"/>
    <cellStyle name="Calculation 3 3 19 7" xfId="31155" xr:uid="{00000000-0005-0000-0000-000094790000}"/>
    <cellStyle name="Calculation 3 3 19 7 2" xfId="31156" xr:uid="{00000000-0005-0000-0000-000095790000}"/>
    <cellStyle name="Calculation 3 3 19 7 3" xfId="31157" xr:uid="{00000000-0005-0000-0000-000096790000}"/>
    <cellStyle name="Calculation 3 3 19 7 4" xfId="31158" xr:uid="{00000000-0005-0000-0000-000097790000}"/>
    <cellStyle name="Calculation 3 3 19 7 5" xfId="31159" xr:uid="{00000000-0005-0000-0000-000098790000}"/>
    <cellStyle name="Calculation 3 3 19 7 6" xfId="31160" xr:uid="{00000000-0005-0000-0000-000099790000}"/>
    <cellStyle name="Calculation 3 3 19 8" xfId="31161" xr:uid="{00000000-0005-0000-0000-00009A790000}"/>
    <cellStyle name="Calculation 3 3 19 9" xfId="31162" xr:uid="{00000000-0005-0000-0000-00009B790000}"/>
    <cellStyle name="Calculation 3 3 2" xfId="31163" xr:uid="{00000000-0005-0000-0000-00009C790000}"/>
    <cellStyle name="Calculation 3 3 2 10" xfId="31164" xr:uid="{00000000-0005-0000-0000-00009D790000}"/>
    <cellStyle name="Calculation 3 3 2 2" xfId="31165" xr:uid="{00000000-0005-0000-0000-00009E790000}"/>
    <cellStyle name="Calculation 3 3 2 2 2" xfId="31166" xr:uid="{00000000-0005-0000-0000-00009F790000}"/>
    <cellStyle name="Calculation 3 3 2 2 3" xfId="31167" xr:uid="{00000000-0005-0000-0000-0000A0790000}"/>
    <cellStyle name="Calculation 3 3 2 2 4" xfId="31168" xr:uid="{00000000-0005-0000-0000-0000A1790000}"/>
    <cellStyle name="Calculation 3 3 2 2 5" xfId="31169" xr:uid="{00000000-0005-0000-0000-0000A2790000}"/>
    <cellStyle name="Calculation 3 3 2 2 6" xfId="31170" xr:uid="{00000000-0005-0000-0000-0000A3790000}"/>
    <cellStyle name="Calculation 3 3 2 3" xfId="31171" xr:uid="{00000000-0005-0000-0000-0000A4790000}"/>
    <cellStyle name="Calculation 3 3 2 3 2" xfId="31172" xr:uid="{00000000-0005-0000-0000-0000A5790000}"/>
    <cellStyle name="Calculation 3 3 2 3 3" xfId="31173" xr:uid="{00000000-0005-0000-0000-0000A6790000}"/>
    <cellStyle name="Calculation 3 3 2 3 4" xfId="31174" xr:uid="{00000000-0005-0000-0000-0000A7790000}"/>
    <cellStyle name="Calculation 3 3 2 3 5" xfId="31175" xr:uid="{00000000-0005-0000-0000-0000A8790000}"/>
    <cellStyle name="Calculation 3 3 2 3 6" xfId="31176" xr:uid="{00000000-0005-0000-0000-0000A9790000}"/>
    <cellStyle name="Calculation 3 3 2 4" xfId="31177" xr:uid="{00000000-0005-0000-0000-0000AA790000}"/>
    <cellStyle name="Calculation 3 3 2 4 2" xfId="31178" xr:uid="{00000000-0005-0000-0000-0000AB790000}"/>
    <cellStyle name="Calculation 3 3 2 4 3" xfId="31179" xr:uid="{00000000-0005-0000-0000-0000AC790000}"/>
    <cellStyle name="Calculation 3 3 2 4 4" xfId="31180" xr:uid="{00000000-0005-0000-0000-0000AD790000}"/>
    <cellStyle name="Calculation 3 3 2 4 5" xfId="31181" xr:uid="{00000000-0005-0000-0000-0000AE790000}"/>
    <cellStyle name="Calculation 3 3 2 4 6" xfId="31182" xr:uid="{00000000-0005-0000-0000-0000AF790000}"/>
    <cellStyle name="Calculation 3 3 2 5" xfId="31183" xr:uid="{00000000-0005-0000-0000-0000B0790000}"/>
    <cellStyle name="Calculation 3 3 2 5 2" xfId="31184" xr:uid="{00000000-0005-0000-0000-0000B1790000}"/>
    <cellStyle name="Calculation 3 3 2 5 3" xfId="31185" xr:uid="{00000000-0005-0000-0000-0000B2790000}"/>
    <cellStyle name="Calculation 3 3 2 5 4" xfId="31186" xr:uid="{00000000-0005-0000-0000-0000B3790000}"/>
    <cellStyle name="Calculation 3 3 2 5 5" xfId="31187" xr:uid="{00000000-0005-0000-0000-0000B4790000}"/>
    <cellStyle name="Calculation 3 3 2 5 6" xfId="31188" xr:uid="{00000000-0005-0000-0000-0000B5790000}"/>
    <cellStyle name="Calculation 3 3 2 6" xfId="31189" xr:uid="{00000000-0005-0000-0000-0000B6790000}"/>
    <cellStyle name="Calculation 3 3 2 6 2" xfId="31190" xr:uid="{00000000-0005-0000-0000-0000B7790000}"/>
    <cellStyle name="Calculation 3 3 2 6 3" xfId="31191" xr:uid="{00000000-0005-0000-0000-0000B8790000}"/>
    <cellStyle name="Calculation 3 3 2 6 4" xfId="31192" xr:uid="{00000000-0005-0000-0000-0000B9790000}"/>
    <cellStyle name="Calculation 3 3 2 6 5" xfId="31193" xr:uid="{00000000-0005-0000-0000-0000BA790000}"/>
    <cellStyle name="Calculation 3 3 2 6 6" xfId="31194" xr:uid="{00000000-0005-0000-0000-0000BB790000}"/>
    <cellStyle name="Calculation 3 3 2 7" xfId="31195" xr:uid="{00000000-0005-0000-0000-0000BC790000}"/>
    <cellStyle name="Calculation 3 3 2 7 2" xfId="31196" xr:uid="{00000000-0005-0000-0000-0000BD790000}"/>
    <cellStyle name="Calculation 3 3 2 7 3" xfId="31197" xr:uid="{00000000-0005-0000-0000-0000BE790000}"/>
    <cellStyle name="Calculation 3 3 2 7 4" xfId="31198" xr:uid="{00000000-0005-0000-0000-0000BF790000}"/>
    <cellStyle name="Calculation 3 3 2 7 5" xfId="31199" xr:uid="{00000000-0005-0000-0000-0000C0790000}"/>
    <cellStyle name="Calculation 3 3 2 7 6" xfId="31200" xr:uid="{00000000-0005-0000-0000-0000C1790000}"/>
    <cellStyle name="Calculation 3 3 2 8" xfId="31201" xr:uid="{00000000-0005-0000-0000-0000C2790000}"/>
    <cellStyle name="Calculation 3 3 2 9" xfId="31202" xr:uid="{00000000-0005-0000-0000-0000C3790000}"/>
    <cellStyle name="Calculation 3 3 20" xfId="31203" xr:uid="{00000000-0005-0000-0000-0000C4790000}"/>
    <cellStyle name="Calculation 3 3 20 10" xfId="31204" xr:uid="{00000000-0005-0000-0000-0000C5790000}"/>
    <cellStyle name="Calculation 3 3 20 2" xfId="31205" xr:uid="{00000000-0005-0000-0000-0000C6790000}"/>
    <cellStyle name="Calculation 3 3 20 2 2" xfId="31206" xr:uid="{00000000-0005-0000-0000-0000C7790000}"/>
    <cellStyle name="Calculation 3 3 20 2 3" xfId="31207" xr:uid="{00000000-0005-0000-0000-0000C8790000}"/>
    <cellStyle name="Calculation 3 3 20 2 4" xfId="31208" xr:uid="{00000000-0005-0000-0000-0000C9790000}"/>
    <cellStyle name="Calculation 3 3 20 2 5" xfId="31209" xr:uid="{00000000-0005-0000-0000-0000CA790000}"/>
    <cellStyle name="Calculation 3 3 20 2 6" xfId="31210" xr:uid="{00000000-0005-0000-0000-0000CB790000}"/>
    <cellStyle name="Calculation 3 3 20 3" xfId="31211" xr:uid="{00000000-0005-0000-0000-0000CC790000}"/>
    <cellStyle name="Calculation 3 3 20 3 2" xfId="31212" xr:uid="{00000000-0005-0000-0000-0000CD790000}"/>
    <cellStyle name="Calculation 3 3 20 3 3" xfId="31213" xr:uid="{00000000-0005-0000-0000-0000CE790000}"/>
    <cellStyle name="Calculation 3 3 20 3 4" xfId="31214" xr:uid="{00000000-0005-0000-0000-0000CF790000}"/>
    <cellStyle name="Calculation 3 3 20 3 5" xfId="31215" xr:uid="{00000000-0005-0000-0000-0000D0790000}"/>
    <cellStyle name="Calculation 3 3 20 3 6" xfId="31216" xr:uid="{00000000-0005-0000-0000-0000D1790000}"/>
    <cellStyle name="Calculation 3 3 20 4" xfId="31217" xr:uid="{00000000-0005-0000-0000-0000D2790000}"/>
    <cellStyle name="Calculation 3 3 20 4 2" xfId="31218" xr:uid="{00000000-0005-0000-0000-0000D3790000}"/>
    <cellStyle name="Calculation 3 3 20 4 3" xfId="31219" xr:uid="{00000000-0005-0000-0000-0000D4790000}"/>
    <cellStyle name="Calculation 3 3 20 4 4" xfId="31220" xr:uid="{00000000-0005-0000-0000-0000D5790000}"/>
    <cellStyle name="Calculation 3 3 20 4 5" xfId="31221" xr:uid="{00000000-0005-0000-0000-0000D6790000}"/>
    <cellStyle name="Calculation 3 3 20 4 6" xfId="31222" xr:uid="{00000000-0005-0000-0000-0000D7790000}"/>
    <cellStyle name="Calculation 3 3 20 5" xfId="31223" xr:uid="{00000000-0005-0000-0000-0000D8790000}"/>
    <cellStyle name="Calculation 3 3 20 5 2" xfId="31224" xr:uid="{00000000-0005-0000-0000-0000D9790000}"/>
    <cellStyle name="Calculation 3 3 20 5 3" xfId="31225" xr:uid="{00000000-0005-0000-0000-0000DA790000}"/>
    <cellStyle name="Calculation 3 3 20 5 4" xfId="31226" xr:uid="{00000000-0005-0000-0000-0000DB790000}"/>
    <cellStyle name="Calculation 3 3 20 5 5" xfId="31227" xr:uid="{00000000-0005-0000-0000-0000DC790000}"/>
    <cellStyle name="Calculation 3 3 20 5 6" xfId="31228" xr:uid="{00000000-0005-0000-0000-0000DD790000}"/>
    <cellStyle name="Calculation 3 3 20 6" xfId="31229" xr:uid="{00000000-0005-0000-0000-0000DE790000}"/>
    <cellStyle name="Calculation 3 3 20 6 2" xfId="31230" xr:uid="{00000000-0005-0000-0000-0000DF790000}"/>
    <cellStyle name="Calculation 3 3 20 6 3" xfId="31231" xr:uid="{00000000-0005-0000-0000-0000E0790000}"/>
    <cellStyle name="Calculation 3 3 20 6 4" xfId="31232" xr:uid="{00000000-0005-0000-0000-0000E1790000}"/>
    <cellStyle name="Calculation 3 3 20 6 5" xfId="31233" xr:uid="{00000000-0005-0000-0000-0000E2790000}"/>
    <cellStyle name="Calculation 3 3 20 6 6" xfId="31234" xr:uid="{00000000-0005-0000-0000-0000E3790000}"/>
    <cellStyle name="Calculation 3 3 20 7" xfId="31235" xr:uid="{00000000-0005-0000-0000-0000E4790000}"/>
    <cellStyle name="Calculation 3 3 20 7 2" xfId="31236" xr:uid="{00000000-0005-0000-0000-0000E5790000}"/>
    <cellStyle name="Calculation 3 3 20 7 3" xfId="31237" xr:uid="{00000000-0005-0000-0000-0000E6790000}"/>
    <cellStyle name="Calculation 3 3 20 7 4" xfId="31238" xr:uid="{00000000-0005-0000-0000-0000E7790000}"/>
    <cellStyle name="Calculation 3 3 20 7 5" xfId="31239" xr:uid="{00000000-0005-0000-0000-0000E8790000}"/>
    <cellStyle name="Calculation 3 3 20 7 6" xfId="31240" xr:uid="{00000000-0005-0000-0000-0000E9790000}"/>
    <cellStyle name="Calculation 3 3 20 8" xfId="31241" xr:uid="{00000000-0005-0000-0000-0000EA790000}"/>
    <cellStyle name="Calculation 3 3 20 9" xfId="31242" xr:uid="{00000000-0005-0000-0000-0000EB790000}"/>
    <cellStyle name="Calculation 3 3 21" xfId="31243" xr:uid="{00000000-0005-0000-0000-0000EC790000}"/>
    <cellStyle name="Calculation 3 3 21 10" xfId="31244" xr:uid="{00000000-0005-0000-0000-0000ED790000}"/>
    <cellStyle name="Calculation 3 3 21 2" xfId="31245" xr:uid="{00000000-0005-0000-0000-0000EE790000}"/>
    <cellStyle name="Calculation 3 3 21 2 2" xfId="31246" xr:uid="{00000000-0005-0000-0000-0000EF790000}"/>
    <cellStyle name="Calculation 3 3 21 2 3" xfId="31247" xr:uid="{00000000-0005-0000-0000-0000F0790000}"/>
    <cellStyle name="Calculation 3 3 21 2 4" xfId="31248" xr:uid="{00000000-0005-0000-0000-0000F1790000}"/>
    <cellStyle name="Calculation 3 3 21 2 5" xfId="31249" xr:uid="{00000000-0005-0000-0000-0000F2790000}"/>
    <cellStyle name="Calculation 3 3 21 2 6" xfId="31250" xr:uid="{00000000-0005-0000-0000-0000F3790000}"/>
    <cellStyle name="Calculation 3 3 21 3" xfId="31251" xr:uid="{00000000-0005-0000-0000-0000F4790000}"/>
    <cellStyle name="Calculation 3 3 21 3 2" xfId="31252" xr:uid="{00000000-0005-0000-0000-0000F5790000}"/>
    <cellStyle name="Calculation 3 3 21 3 3" xfId="31253" xr:uid="{00000000-0005-0000-0000-0000F6790000}"/>
    <cellStyle name="Calculation 3 3 21 3 4" xfId="31254" xr:uid="{00000000-0005-0000-0000-0000F7790000}"/>
    <cellStyle name="Calculation 3 3 21 3 5" xfId="31255" xr:uid="{00000000-0005-0000-0000-0000F8790000}"/>
    <cellStyle name="Calculation 3 3 21 3 6" xfId="31256" xr:uid="{00000000-0005-0000-0000-0000F9790000}"/>
    <cellStyle name="Calculation 3 3 21 4" xfId="31257" xr:uid="{00000000-0005-0000-0000-0000FA790000}"/>
    <cellStyle name="Calculation 3 3 21 4 2" xfId="31258" xr:uid="{00000000-0005-0000-0000-0000FB790000}"/>
    <cellStyle name="Calculation 3 3 21 4 3" xfId="31259" xr:uid="{00000000-0005-0000-0000-0000FC790000}"/>
    <cellStyle name="Calculation 3 3 21 4 4" xfId="31260" xr:uid="{00000000-0005-0000-0000-0000FD790000}"/>
    <cellStyle name="Calculation 3 3 21 4 5" xfId="31261" xr:uid="{00000000-0005-0000-0000-0000FE790000}"/>
    <cellStyle name="Calculation 3 3 21 4 6" xfId="31262" xr:uid="{00000000-0005-0000-0000-0000FF790000}"/>
    <cellStyle name="Calculation 3 3 21 5" xfId="31263" xr:uid="{00000000-0005-0000-0000-0000007A0000}"/>
    <cellStyle name="Calculation 3 3 21 5 2" xfId="31264" xr:uid="{00000000-0005-0000-0000-0000017A0000}"/>
    <cellStyle name="Calculation 3 3 21 5 3" xfId="31265" xr:uid="{00000000-0005-0000-0000-0000027A0000}"/>
    <cellStyle name="Calculation 3 3 21 5 4" xfId="31266" xr:uid="{00000000-0005-0000-0000-0000037A0000}"/>
    <cellStyle name="Calculation 3 3 21 5 5" xfId="31267" xr:uid="{00000000-0005-0000-0000-0000047A0000}"/>
    <cellStyle name="Calculation 3 3 21 5 6" xfId="31268" xr:uid="{00000000-0005-0000-0000-0000057A0000}"/>
    <cellStyle name="Calculation 3 3 21 6" xfId="31269" xr:uid="{00000000-0005-0000-0000-0000067A0000}"/>
    <cellStyle name="Calculation 3 3 21 6 2" xfId="31270" xr:uid="{00000000-0005-0000-0000-0000077A0000}"/>
    <cellStyle name="Calculation 3 3 21 6 3" xfId="31271" xr:uid="{00000000-0005-0000-0000-0000087A0000}"/>
    <cellStyle name="Calculation 3 3 21 6 4" xfId="31272" xr:uid="{00000000-0005-0000-0000-0000097A0000}"/>
    <cellStyle name="Calculation 3 3 21 6 5" xfId="31273" xr:uid="{00000000-0005-0000-0000-00000A7A0000}"/>
    <cellStyle name="Calculation 3 3 21 6 6" xfId="31274" xr:uid="{00000000-0005-0000-0000-00000B7A0000}"/>
    <cellStyle name="Calculation 3 3 21 7" xfId="31275" xr:uid="{00000000-0005-0000-0000-00000C7A0000}"/>
    <cellStyle name="Calculation 3 3 21 7 2" xfId="31276" xr:uid="{00000000-0005-0000-0000-00000D7A0000}"/>
    <cellStyle name="Calculation 3 3 21 7 3" xfId="31277" xr:uid="{00000000-0005-0000-0000-00000E7A0000}"/>
    <cellStyle name="Calculation 3 3 21 7 4" xfId="31278" xr:uid="{00000000-0005-0000-0000-00000F7A0000}"/>
    <cellStyle name="Calculation 3 3 21 7 5" xfId="31279" xr:uid="{00000000-0005-0000-0000-0000107A0000}"/>
    <cellStyle name="Calculation 3 3 21 7 6" xfId="31280" xr:uid="{00000000-0005-0000-0000-0000117A0000}"/>
    <cellStyle name="Calculation 3 3 21 8" xfId="31281" xr:uid="{00000000-0005-0000-0000-0000127A0000}"/>
    <cellStyle name="Calculation 3 3 21 9" xfId="31282" xr:uid="{00000000-0005-0000-0000-0000137A0000}"/>
    <cellStyle name="Calculation 3 3 22" xfId="31283" xr:uid="{00000000-0005-0000-0000-0000147A0000}"/>
    <cellStyle name="Calculation 3 3 22 10" xfId="31284" xr:uid="{00000000-0005-0000-0000-0000157A0000}"/>
    <cellStyle name="Calculation 3 3 22 2" xfId="31285" xr:uid="{00000000-0005-0000-0000-0000167A0000}"/>
    <cellStyle name="Calculation 3 3 22 2 2" xfId="31286" xr:uid="{00000000-0005-0000-0000-0000177A0000}"/>
    <cellStyle name="Calculation 3 3 22 2 3" xfId="31287" xr:uid="{00000000-0005-0000-0000-0000187A0000}"/>
    <cellStyle name="Calculation 3 3 22 2 4" xfId="31288" xr:uid="{00000000-0005-0000-0000-0000197A0000}"/>
    <cellStyle name="Calculation 3 3 22 2 5" xfId="31289" xr:uid="{00000000-0005-0000-0000-00001A7A0000}"/>
    <cellStyle name="Calculation 3 3 22 2 6" xfId="31290" xr:uid="{00000000-0005-0000-0000-00001B7A0000}"/>
    <cellStyle name="Calculation 3 3 22 3" xfId="31291" xr:uid="{00000000-0005-0000-0000-00001C7A0000}"/>
    <cellStyle name="Calculation 3 3 22 3 2" xfId="31292" xr:uid="{00000000-0005-0000-0000-00001D7A0000}"/>
    <cellStyle name="Calculation 3 3 22 3 3" xfId="31293" xr:uid="{00000000-0005-0000-0000-00001E7A0000}"/>
    <cellStyle name="Calculation 3 3 22 3 4" xfId="31294" xr:uid="{00000000-0005-0000-0000-00001F7A0000}"/>
    <cellStyle name="Calculation 3 3 22 3 5" xfId="31295" xr:uid="{00000000-0005-0000-0000-0000207A0000}"/>
    <cellStyle name="Calculation 3 3 22 3 6" xfId="31296" xr:uid="{00000000-0005-0000-0000-0000217A0000}"/>
    <cellStyle name="Calculation 3 3 22 4" xfId="31297" xr:uid="{00000000-0005-0000-0000-0000227A0000}"/>
    <cellStyle name="Calculation 3 3 22 4 2" xfId="31298" xr:uid="{00000000-0005-0000-0000-0000237A0000}"/>
    <cellStyle name="Calculation 3 3 22 4 3" xfId="31299" xr:uid="{00000000-0005-0000-0000-0000247A0000}"/>
    <cellStyle name="Calculation 3 3 22 4 4" xfId="31300" xr:uid="{00000000-0005-0000-0000-0000257A0000}"/>
    <cellStyle name="Calculation 3 3 22 4 5" xfId="31301" xr:uid="{00000000-0005-0000-0000-0000267A0000}"/>
    <cellStyle name="Calculation 3 3 22 4 6" xfId="31302" xr:uid="{00000000-0005-0000-0000-0000277A0000}"/>
    <cellStyle name="Calculation 3 3 22 5" xfId="31303" xr:uid="{00000000-0005-0000-0000-0000287A0000}"/>
    <cellStyle name="Calculation 3 3 22 5 2" xfId="31304" xr:uid="{00000000-0005-0000-0000-0000297A0000}"/>
    <cellStyle name="Calculation 3 3 22 5 3" xfId="31305" xr:uid="{00000000-0005-0000-0000-00002A7A0000}"/>
    <cellStyle name="Calculation 3 3 22 5 4" xfId="31306" xr:uid="{00000000-0005-0000-0000-00002B7A0000}"/>
    <cellStyle name="Calculation 3 3 22 5 5" xfId="31307" xr:uid="{00000000-0005-0000-0000-00002C7A0000}"/>
    <cellStyle name="Calculation 3 3 22 5 6" xfId="31308" xr:uid="{00000000-0005-0000-0000-00002D7A0000}"/>
    <cellStyle name="Calculation 3 3 22 6" xfId="31309" xr:uid="{00000000-0005-0000-0000-00002E7A0000}"/>
    <cellStyle name="Calculation 3 3 22 6 2" xfId="31310" xr:uid="{00000000-0005-0000-0000-00002F7A0000}"/>
    <cellStyle name="Calculation 3 3 22 6 3" xfId="31311" xr:uid="{00000000-0005-0000-0000-0000307A0000}"/>
    <cellStyle name="Calculation 3 3 22 6 4" xfId="31312" xr:uid="{00000000-0005-0000-0000-0000317A0000}"/>
    <cellStyle name="Calculation 3 3 22 6 5" xfId="31313" xr:uid="{00000000-0005-0000-0000-0000327A0000}"/>
    <cellStyle name="Calculation 3 3 22 6 6" xfId="31314" xr:uid="{00000000-0005-0000-0000-0000337A0000}"/>
    <cellStyle name="Calculation 3 3 22 7" xfId="31315" xr:uid="{00000000-0005-0000-0000-0000347A0000}"/>
    <cellStyle name="Calculation 3 3 22 7 2" xfId="31316" xr:uid="{00000000-0005-0000-0000-0000357A0000}"/>
    <cellStyle name="Calculation 3 3 22 7 3" xfId="31317" xr:uid="{00000000-0005-0000-0000-0000367A0000}"/>
    <cellStyle name="Calculation 3 3 22 7 4" xfId="31318" xr:uid="{00000000-0005-0000-0000-0000377A0000}"/>
    <cellStyle name="Calculation 3 3 22 7 5" xfId="31319" xr:uid="{00000000-0005-0000-0000-0000387A0000}"/>
    <cellStyle name="Calculation 3 3 22 7 6" xfId="31320" xr:uid="{00000000-0005-0000-0000-0000397A0000}"/>
    <cellStyle name="Calculation 3 3 22 8" xfId="31321" xr:uid="{00000000-0005-0000-0000-00003A7A0000}"/>
    <cellStyle name="Calculation 3 3 22 9" xfId="31322" xr:uid="{00000000-0005-0000-0000-00003B7A0000}"/>
    <cellStyle name="Calculation 3 3 23" xfId="31323" xr:uid="{00000000-0005-0000-0000-00003C7A0000}"/>
    <cellStyle name="Calculation 3 3 23 10" xfId="31324" xr:uid="{00000000-0005-0000-0000-00003D7A0000}"/>
    <cellStyle name="Calculation 3 3 23 2" xfId="31325" xr:uid="{00000000-0005-0000-0000-00003E7A0000}"/>
    <cellStyle name="Calculation 3 3 23 2 2" xfId="31326" xr:uid="{00000000-0005-0000-0000-00003F7A0000}"/>
    <cellStyle name="Calculation 3 3 23 2 3" xfId="31327" xr:uid="{00000000-0005-0000-0000-0000407A0000}"/>
    <cellStyle name="Calculation 3 3 23 2 4" xfId="31328" xr:uid="{00000000-0005-0000-0000-0000417A0000}"/>
    <cellStyle name="Calculation 3 3 23 2 5" xfId="31329" xr:uid="{00000000-0005-0000-0000-0000427A0000}"/>
    <cellStyle name="Calculation 3 3 23 2 6" xfId="31330" xr:uid="{00000000-0005-0000-0000-0000437A0000}"/>
    <cellStyle name="Calculation 3 3 23 3" xfId="31331" xr:uid="{00000000-0005-0000-0000-0000447A0000}"/>
    <cellStyle name="Calculation 3 3 23 3 2" xfId="31332" xr:uid="{00000000-0005-0000-0000-0000457A0000}"/>
    <cellStyle name="Calculation 3 3 23 3 3" xfId="31333" xr:uid="{00000000-0005-0000-0000-0000467A0000}"/>
    <cellStyle name="Calculation 3 3 23 3 4" xfId="31334" xr:uid="{00000000-0005-0000-0000-0000477A0000}"/>
    <cellStyle name="Calculation 3 3 23 3 5" xfId="31335" xr:uid="{00000000-0005-0000-0000-0000487A0000}"/>
    <cellStyle name="Calculation 3 3 23 3 6" xfId="31336" xr:uid="{00000000-0005-0000-0000-0000497A0000}"/>
    <cellStyle name="Calculation 3 3 23 4" xfId="31337" xr:uid="{00000000-0005-0000-0000-00004A7A0000}"/>
    <cellStyle name="Calculation 3 3 23 4 2" xfId="31338" xr:uid="{00000000-0005-0000-0000-00004B7A0000}"/>
    <cellStyle name="Calculation 3 3 23 4 3" xfId="31339" xr:uid="{00000000-0005-0000-0000-00004C7A0000}"/>
    <cellStyle name="Calculation 3 3 23 4 4" xfId="31340" xr:uid="{00000000-0005-0000-0000-00004D7A0000}"/>
    <cellStyle name="Calculation 3 3 23 4 5" xfId="31341" xr:uid="{00000000-0005-0000-0000-00004E7A0000}"/>
    <cellStyle name="Calculation 3 3 23 4 6" xfId="31342" xr:uid="{00000000-0005-0000-0000-00004F7A0000}"/>
    <cellStyle name="Calculation 3 3 23 5" xfId="31343" xr:uid="{00000000-0005-0000-0000-0000507A0000}"/>
    <cellStyle name="Calculation 3 3 23 5 2" xfId="31344" xr:uid="{00000000-0005-0000-0000-0000517A0000}"/>
    <cellStyle name="Calculation 3 3 23 5 3" xfId="31345" xr:uid="{00000000-0005-0000-0000-0000527A0000}"/>
    <cellStyle name="Calculation 3 3 23 5 4" xfId="31346" xr:uid="{00000000-0005-0000-0000-0000537A0000}"/>
    <cellStyle name="Calculation 3 3 23 5 5" xfId="31347" xr:uid="{00000000-0005-0000-0000-0000547A0000}"/>
    <cellStyle name="Calculation 3 3 23 5 6" xfId="31348" xr:uid="{00000000-0005-0000-0000-0000557A0000}"/>
    <cellStyle name="Calculation 3 3 23 6" xfId="31349" xr:uid="{00000000-0005-0000-0000-0000567A0000}"/>
    <cellStyle name="Calculation 3 3 23 6 2" xfId="31350" xr:uid="{00000000-0005-0000-0000-0000577A0000}"/>
    <cellStyle name="Calculation 3 3 23 6 3" xfId="31351" xr:uid="{00000000-0005-0000-0000-0000587A0000}"/>
    <cellStyle name="Calculation 3 3 23 6 4" xfId="31352" xr:uid="{00000000-0005-0000-0000-0000597A0000}"/>
    <cellStyle name="Calculation 3 3 23 6 5" xfId="31353" xr:uid="{00000000-0005-0000-0000-00005A7A0000}"/>
    <cellStyle name="Calculation 3 3 23 6 6" xfId="31354" xr:uid="{00000000-0005-0000-0000-00005B7A0000}"/>
    <cellStyle name="Calculation 3 3 23 7" xfId="31355" xr:uid="{00000000-0005-0000-0000-00005C7A0000}"/>
    <cellStyle name="Calculation 3 3 23 7 2" xfId="31356" xr:uid="{00000000-0005-0000-0000-00005D7A0000}"/>
    <cellStyle name="Calculation 3 3 23 7 3" xfId="31357" xr:uid="{00000000-0005-0000-0000-00005E7A0000}"/>
    <cellStyle name="Calculation 3 3 23 7 4" xfId="31358" xr:uid="{00000000-0005-0000-0000-00005F7A0000}"/>
    <cellStyle name="Calculation 3 3 23 7 5" xfId="31359" xr:uid="{00000000-0005-0000-0000-0000607A0000}"/>
    <cellStyle name="Calculation 3 3 23 7 6" xfId="31360" xr:uid="{00000000-0005-0000-0000-0000617A0000}"/>
    <cellStyle name="Calculation 3 3 23 8" xfId="31361" xr:uid="{00000000-0005-0000-0000-0000627A0000}"/>
    <cellStyle name="Calculation 3 3 23 9" xfId="31362" xr:uid="{00000000-0005-0000-0000-0000637A0000}"/>
    <cellStyle name="Calculation 3 3 24" xfId="31363" xr:uid="{00000000-0005-0000-0000-0000647A0000}"/>
    <cellStyle name="Calculation 3 3 24 10" xfId="31364" xr:uid="{00000000-0005-0000-0000-0000657A0000}"/>
    <cellStyle name="Calculation 3 3 24 2" xfId="31365" xr:uid="{00000000-0005-0000-0000-0000667A0000}"/>
    <cellStyle name="Calculation 3 3 24 2 2" xfId="31366" xr:uid="{00000000-0005-0000-0000-0000677A0000}"/>
    <cellStyle name="Calculation 3 3 24 2 3" xfId="31367" xr:uid="{00000000-0005-0000-0000-0000687A0000}"/>
    <cellStyle name="Calculation 3 3 24 2 4" xfId="31368" xr:uid="{00000000-0005-0000-0000-0000697A0000}"/>
    <cellStyle name="Calculation 3 3 24 2 5" xfId="31369" xr:uid="{00000000-0005-0000-0000-00006A7A0000}"/>
    <cellStyle name="Calculation 3 3 24 2 6" xfId="31370" xr:uid="{00000000-0005-0000-0000-00006B7A0000}"/>
    <cellStyle name="Calculation 3 3 24 3" xfId="31371" xr:uid="{00000000-0005-0000-0000-00006C7A0000}"/>
    <cellStyle name="Calculation 3 3 24 3 2" xfId="31372" xr:uid="{00000000-0005-0000-0000-00006D7A0000}"/>
    <cellStyle name="Calculation 3 3 24 3 3" xfId="31373" xr:uid="{00000000-0005-0000-0000-00006E7A0000}"/>
    <cellStyle name="Calculation 3 3 24 3 4" xfId="31374" xr:uid="{00000000-0005-0000-0000-00006F7A0000}"/>
    <cellStyle name="Calculation 3 3 24 3 5" xfId="31375" xr:uid="{00000000-0005-0000-0000-0000707A0000}"/>
    <cellStyle name="Calculation 3 3 24 3 6" xfId="31376" xr:uid="{00000000-0005-0000-0000-0000717A0000}"/>
    <cellStyle name="Calculation 3 3 24 4" xfId="31377" xr:uid="{00000000-0005-0000-0000-0000727A0000}"/>
    <cellStyle name="Calculation 3 3 24 4 2" xfId="31378" xr:uid="{00000000-0005-0000-0000-0000737A0000}"/>
    <cellStyle name="Calculation 3 3 24 4 3" xfId="31379" xr:uid="{00000000-0005-0000-0000-0000747A0000}"/>
    <cellStyle name="Calculation 3 3 24 4 4" xfId="31380" xr:uid="{00000000-0005-0000-0000-0000757A0000}"/>
    <cellStyle name="Calculation 3 3 24 4 5" xfId="31381" xr:uid="{00000000-0005-0000-0000-0000767A0000}"/>
    <cellStyle name="Calculation 3 3 24 4 6" xfId="31382" xr:uid="{00000000-0005-0000-0000-0000777A0000}"/>
    <cellStyle name="Calculation 3 3 24 5" xfId="31383" xr:uid="{00000000-0005-0000-0000-0000787A0000}"/>
    <cellStyle name="Calculation 3 3 24 5 2" xfId="31384" xr:uid="{00000000-0005-0000-0000-0000797A0000}"/>
    <cellStyle name="Calculation 3 3 24 5 3" xfId="31385" xr:uid="{00000000-0005-0000-0000-00007A7A0000}"/>
    <cellStyle name="Calculation 3 3 24 5 4" xfId="31386" xr:uid="{00000000-0005-0000-0000-00007B7A0000}"/>
    <cellStyle name="Calculation 3 3 24 5 5" xfId="31387" xr:uid="{00000000-0005-0000-0000-00007C7A0000}"/>
    <cellStyle name="Calculation 3 3 24 5 6" xfId="31388" xr:uid="{00000000-0005-0000-0000-00007D7A0000}"/>
    <cellStyle name="Calculation 3 3 24 6" xfId="31389" xr:uid="{00000000-0005-0000-0000-00007E7A0000}"/>
    <cellStyle name="Calculation 3 3 24 6 2" xfId="31390" xr:uid="{00000000-0005-0000-0000-00007F7A0000}"/>
    <cellStyle name="Calculation 3 3 24 6 3" xfId="31391" xr:uid="{00000000-0005-0000-0000-0000807A0000}"/>
    <cellStyle name="Calculation 3 3 24 6 4" xfId="31392" xr:uid="{00000000-0005-0000-0000-0000817A0000}"/>
    <cellStyle name="Calculation 3 3 24 6 5" xfId="31393" xr:uid="{00000000-0005-0000-0000-0000827A0000}"/>
    <cellStyle name="Calculation 3 3 24 6 6" xfId="31394" xr:uid="{00000000-0005-0000-0000-0000837A0000}"/>
    <cellStyle name="Calculation 3 3 24 7" xfId="31395" xr:uid="{00000000-0005-0000-0000-0000847A0000}"/>
    <cellStyle name="Calculation 3 3 24 7 2" xfId="31396" xr:uid="{00000000-0005-0000-0000-0000857A0000}"/>
    <cellStyle name="Calculation 3 3 24 7 3" xfId="31397" xr:uid="{00000000-0005-0000-0000-0000867A0000}"/>
    <cellStyle name="Calculation 3 3 24 7 4" xfId="31398" xr:uid="{00000000-0005-0000-0000-0000877A0000}"/>
    <cellStyle name="Calculation 3 3 24 7 5" xfId="31399" xr:uid="{00000000-0005-0000-0000-0000887A0000}"/>
    <cellStyle name="Calculation 3 3 24 7 6" xfId="31400" xr:uid="{00000000-0005-0000-0000-0000897A0000}"/>
    <cellStyle name="Calculation 3 3 24 8" xfId="31401" xr:uid="{00000000-0005-0000-0000-00008A7A0000}"/>
    <cellStyle name="Calculation 3 3 24 9" xfId="31402" xr:uid="{00000000-0005-0000-0000-00008B7A0000}"/>
    <cellStyle name="Calculation 3 3 25" xfId="31403" xr:uid="{00000000-0005-0000-0000-00008C7A0000}"/>
    <cellStyle name="Calculation 3 3 25 10" xfId="31404" xr:uid="{00000000-0005-0000-0000-00008D7A0000}"/>
    <cellStyle name="Calculation 3 3 25 2" xfId="31405" xr:uid="{00000000-0005-0000-0000-00008E7A0000}"/>
    <cellStyle name="Calculation 3 3 25 2 2" xfId="31406" xr:uid="{00000000-0005-0000-0000-00008F7A0000}"/>
    <cellStyle name="Calculation 3 3 25 2 3" xfId="31407" xr:uid="{00000000-0005-0000-0000-0000907A0000}"/>
    <cellStyle name="Calculation 3 3 25 2 4" xfId="31408" xr:uid="{00000000-0005-0000-0000-0000917A0000}"/>
    <cellStyle name="Calculation 3 3 25 2 5" xfId="31409" xr:uid="{00000000-0005-0000-0000-0000927A0000}"/>
    <cellStyle name="Calculation 3 3 25 2 6" xfId="31410" xr:uid="{00000000-0005-0000-0000-0000937A0000}"/>
    <cellStyle name="Calculation 3 3 25 3" xfId="31411" xr:uid="{00000000-0005-0000-0000-0000947A0000}"/>
    <cellStyle name="Calculation 3 3 25 3 2" xfId="31412" xr:uid="{00000000-0005-0000-0000-0000957A0000}"/>
    <cellStyle name="Calculation 3 3 25 3 3" xfId="31413" xr:uid="{00000000-0005-0000-0000-0000967A0000}"/>
    <cellStyle name="Calculation 3 3 25 3 4" xfId="31414" xr:uid="{00000000-0005-0000-0000-0000977A0000}"/>
    <cellStyle name="Calculation 3 3 25 3 5" xfId="31415" xr:uid="{00000000-0005-0000-0000-0000987A0000}"/>
    <cellStyle name="Calculation 3 3 25 3 6" xfId="31416" xr:uid="{00000000-0005-0000-0000-0000997A0000}"/>
    <cellStyle name="Calculation 3 3 25 4" xfId="31417" xr:uid="{00000000-0005-0000-0000-00009A7A0000}"/>
    <cellStyle name="Calculation 3 3 25 4 2" xfId="31418" xr:uid="{00000000-0005-0000-0000-00009B7A0000}"/>
    <cellStyle name="Calculation 3 3 25 4 3" xfId="31419" xr:uid="{00000000-0005-0000-0000-00009C7A0000}"/>
    <cellStyle name="Calculation 3 3 25 4 4" xfId="31420" xr:uid="{00000000-0005-0000-0000-00009D7A0000}"/>
    <cellStyle name="Calculation 3 3 25 4 5" xfId="31421" xr:uid="{00000000-0005-0000-0000-00009E7A0000}"/>
    <cellStyle name="Calculation 3 3 25 4 6" xfId="31422" xr:uid="{00000000-0005-0000-0000-00009F7A0000}"/>
    <cellStyle name="Calculation 3 3 25 5" xfId="31423" xr:uid="{00000000-0005-0000-0000-0000A07A0000}"/>
    <cellStyle name="Calculation 3 3 25 5 2" xfId="31424" xr:uid="{00000000-0005-0000-0000-0000A17A0000}"/>
    <cellStyle name="Calculation 3 3 25 5 3" xfId="31425" xr:uid="{00000000-0005-0000-0000-0000A27A0000}"/>
    <cellStyle name="Calculation 3 3 25 5 4" xfId="31426" xr:uid="{00000000-0005-0000-0000-0000A37A0000}"/>
    <cellStyle name="Calculation 3 3 25 5 5" xfId="31427" xr:uid="{00000000-0005-0000-0000-0000A47A0000}"/>
    <cellStyle name="Calculation 3 3 25 5 6" xfId="31428" xr:uid="{00000000-0005-0000-0000-0000A57A0000}"/>
    <cellStyle name="Calculation 3 3 25 6" xfId="31429" xr:uid="{00000000-0005-0000-0000-0000A67A0000}"/>
    <cellStyle name="Calculation 3 3 25 6 2" xfId="31430" xr:uid="{00000000-0005-0000-0000-0000A77A0000}"/>
    <cellStyle name="Calculation 3 3 25 6 3" xfId="31431" xr:uid="{00000000-0005-0000-0000-0000A87A0000}"/>
    <cellStyle name="Calculation 3 3 25 6 4" xfId="31432" xr:uid="{00000000-0005-0000-0000-0000A97A0000}"/>
    <cellStyle name="Calculation 3 3 25 6 5" xfId="31433" xr:uid="{00000000-0005-0000-0000-0000AA7A0000}"/>
    <cellStyle name="Calculation 3 3 25 6 6" xfId="31434" xr:uid="{00000000-0005-0000-0000-0000AB7A0000}"/>
    <cellStyle name="Calculation 3 3 25 7" xfId="31435" xr:uid="{00000000-0005-0000-0000-0000AC7A0000}"/>
    <cellStyle name="Calculation 3 3 25 7 2" xfId="31436" xr:uid="{00000000-0005-0000-0000-0000AD7A0000}"/>
    <cellStyle name="Calculation 3 3 25 7 3" xfId="31437" xr:uid="{00000000-0005-0000-0000-0000AE7A0000}"/>
    <cellStyle name="Calculation 3 3 25 7 4" xfId="31438" xr:uid="{00000000-0005-0000-0000-0000AF7A0000}"/>
    <cellStyle name="Calculation 3 3 25 7 5" xfId="31439" xr:uid="{00000000-0005-0000-0000-0000B07A0000}"/>
    <cellStyle name="Calculation 3 3 25 7 6" xfId="31440" xr:uid="{00000000-0005-0000-0000-0000B17A0000}"/>
    <cellStyle name="Calculation 3 3 25 8" xfId="31441" xr:uid="{00000000-0005-0000-0000-0000B27A0000}"/>
    <cellStyle name="Calculation 3 3 25 9" xfId="31442" xr:uid="{00000000-0005-0000-0000-0000B37A0000}"/>
    <cellStyle name="Calculation 3 3 26" xfId="31443" xr:uid="{00000000-0005-0000-0000-0000B47A0000}"/>
    <cellStyle name="Calculation 3 3 26 10" xfId="31444" xr:uid="{00000000-0005-0000-0000-0000B57A0000}"/>
    <cellStyle name="Calculation 3 3 26 2" xfId="31445" xr:uid="{00000000-0005-0000-0000-0000B67A0000}"/>
    <cellStyle name="Calculation 3 3 26 2 2" xfId="31446" xr:uid="{00000000-0005-0000-0000-0000B77A0000}"/>
    <cellStyle name="Calculation 3 3 26 2 3" xfId="31447" xr:uid="{00000000-0005-0000-0000-0000B87A0000}"/>
    <cellStyle name="Calculation 3 3 26 2 4" xfId="31448" xr:uid="{00000000-0005-0000-0000-0000B97A0000}"/>
    <cellStyle name="Calculation 3 3 26 2 5" xfId="31449" xr:uid="{00000000-0005-0000-0000-0000BA7A0000}"/>
    <cellStyle name="Calculation 3 3 26 2 6" xfId="31450" xr:uid="{00000000-0005-0000-0000-0000BB7A0000}"/>
    <cellStyle name="Calculation 3 3 26 3" xfId="31451" xr:uid="{00000000-0005-0000-0000-0000BC7A0000}"/>
    <cellStyle name="Calculation 3 3 26 3 2" xfId="31452" xr:uid="{00000000-0005-0000-0000-0000BD7A0000}"/>
    <cellStyle name="Calculation 3 3 26 3 3" xfId="31453" xr:uid="{00000000-0005-0000-0000-0000BE7A0000}"/>
    <cellStyle name="Calculation 3 3 26 3 4" xfId="31454" xr:uid="{00000000-0005-0000-0000-0000BF7A0000}"/>
    <cellStyle name="Calculation 3 3 26 3 5" xfId="31455" xr:uid="{00000000-0005-0000-0000-0000C07A0000}"/>
    <cellStyle name="Calculation 3 3 26 3 6" xfId="31456" xr:uid="{00000000-0005-0000-0000-0000C17A0000}"/>
    <cellStyle name="Calculation 3 3 26 4" xfId="31457" xr:uid="{00000000-0005-0000-0000-0000C27A0000}"/>
    <cellStyle name="Calculation 3 3 26 4 2" xfId="31458" xr:uid="{00000000-0005-0000-0000-0000C37A0000}"/>
    <cellStyle name="Calculation 3 3 26 4 3" xfId="31459" xr:uid="{00000000-0005-0000-0000-0000C47A0000}"/>
    <cellStyle name="Calculation 3 3 26 4 4" xfId="31460" xr:uid="{00000000-0005-0000-0000-0000C57A0000}"/>
    <cellStyle name="Calculation 3 3 26 4 5" xfId="31461" xr:uid="{00000000-0005-0000-0000-0000C67A0000}"/>
    <cellStyle name="Calculation 3 3 26 4 6" xfId="31462" xr:uid="{00000000-0005-0000-0000-0000C77A0000}"/>
    <cellStyle name="Calculation 3 3 26 5" xfId="31463" xr:uid="{00000000-0005-0000-0000-0000C87A0000}"/>
    <cellStyle name="Calculation 3 3 26 5 2" xfId="31464" xr:uid="{00000000-0005-0000-0000-0000C97A0000}"/>
    <cellStyle name="Calculation 3 3 26 5 3" xfId="31465" xr:uid="{00000000-0005-0000-0000-0000CA7A0000}"/>
    <cellStyle name="Calculation 3 3 26 5 4" xfId="31466" xr:uid="{00000000-0005-0000-0000-0000CB7A0000}"/>
    <cellStyle name="Calculation 3 3 26 5 5" xfId="31467" xr:uid="{00000000-0005-0000-0000-0000CC7A0000}"/>
    <cellStyle name="Calculation 3 3 26 5 6" xfId="31468" xr:uid="{00000000-0005-0000-0000-0000CD7A0000}"/>
    <cellStyle name="Calculation 3 3 26 6" xfId="31469" xr:uid="{00000000-0005-0000-0000-0000CE7A0000}"/>
    <cellStyle name="Calculation 3 3 26 6 2" xfId="31470" xr:uid="{00000000-0005-0000-0000-0000CF7A0000}"/>
    <cellStyle name="Calculation 3 3 26 6 3" xfId="31471" xr:uid="{00000000-0005-0000-0000-0000D07A0000}"/>
    <cellStyle name="Calculation 3 3 26 6 4" xfId="31472" xr:uid="{00000000-0005-0000-0000-0000D17A0000}"/>
    <cellStyle name="Calculation 3 3 26 6 5" xfId="31473" xr:uid="{00000000-0005-0000-0000-0000D27A0000}"/>
    <cellStyle name="Calculation 3 3 26 6 6" xfId="31474" xr:uid="{00000000-0005-0000-0000-0000D37A0000}"/>
    <cellStyle name="Calculation 3 3 26 7" xfId="31475" xr:uid="{00000000-0005-0000-0000-0000D47A0000}"/>
    <cellStyle name="Calculation 3 3 26 7 2" xfId="31476" xr:uid="{00000000-0005-0000-0000-0000D57A0000}"/>
    <cellStyle name="Calculation 3 3 26 7 3" xfId="31477" xr:uid="{00000000-0005-0000-0000-0000D67A0000}"/>
    <cellStyle name="Calculation 3 3 26 7 4" xfId="31478" xr:uid="{00000000-0005-0000-0000-0000D77A0000}"/>
    <cellStyle name="Calculation 3 3 26 7 5" xfId="31479" xr:uid="{00000000-0005-0000-0000-0000D87A0000}"/>
    <cellStyle name="Calculation 3 3 26 7 6" xfId="31480" xr:uid="{00000000-0005-0000-0000-0000D97A0000}"/>
    <cellStyle name="Calculation 3 3 26 8" xfId="31481" xr:uid="{00000000-0005-0000-0000-0000DA7A0000}"/>
    <cellStyle name="Calculation 3 3 26 9" xfId="31482" xr:uid="{00000000-0005-0000-0000-0000DB7A0000}"/>
    <cellStyle name="Calculation 3 3 27" xfId="31483" xr:uid="{00000000-0005-0000-0000-0000DC7A0000}"/>
    <cellStyle name="Calculation 3 3 27 2" xfId="31484" xr:uid="{00000000-0005-0000-0000-0000DD7A0000}"/>
    <cellStyle name="Calculation 3 3 27 3" xfId="31485" xr:uid="{00000000-0005-0000-0000-0000DE7A0000}"/>
    <cellStyle name="Calculation 3 3 27 4" xfId="31486" xr:uid="{00000000-0005-0000-0000-0000DF7A0000}"/>
    <cellStyle name="Calculation 3 3 27 5" xfId="31487" xr:uid="{00000000-0005-0000-0000-0000E07A0000}"/>
    <cellStyle name="Calculation 3 3 27 6" xfId="31488" xr:uid="{00000000-0005-0000-0000-0000E17A0000}"/>
    <cellStyle name="Calculation 3 3 28" xfId="31489" xr:uid="{00000000-0005-0000-0000-0000E27A0000}"/>
    <cellStyle name="Calculation 3 3 28 2" xfId="31490" xr:uid="{00000000-0005-0000-0000-0000E37A0000}"/>
    <cellStyle name="Calculation 3 3 28 3" xfId="31491" xr:uid="{00000000-0005-0000-0000-0000E47A0000}"/>
    <cellStyle name="Calculation 3 3 28 4" xfId="31492" xr:uid="{00000000-0005-0000-0000-0000E57A0000}"/>
    <cellStyle name="Calculation 3 3 28 5" xfId="31493" xr:uid="{00000000-0005-0000-0000-0000E67A0000}"/>
    <cellStyle name="Calculation 3 3 28 6" xfId="31494" xr:uid="{00000000-0005-0000-0000-0000E77A0000}"/>
    <cellStyle name="Calculation 3 3 29" xfId="31495" xr:uid="{00000000-0005-0000-0000-0000E87A0000}"/>
    <cellStyle name="Calculation 3 3 29 2" xfId="31496" xr:uid="{00000000-0005-0000-0000-0000E97A0000}"/>
    <cellStyle name="Calculation 3 3 29 3" xfId="31497" xr:uid="{00000000-0005-0000-0000-0000EA7A0000}"/>
    <cellStyle name="Calculation 3 3 29 4" xfId="31498" xr:uid="{00000000-0005-0000-0000-0000EB7A0000}"/>
    <cellStyle name="Calculation 3 3 29 5" xfId="31499" xr:uid="{00000000-0005-0000-0000-0000EC7A0000}"/>
    <cellStyle name="Calculation 3 3 29 6" xfId="31500" xr:uid="{00000000-0005-0000-0000-0000ED7A0000}"/>
    <cellStyle name="Calculation 3 3 3" xfId="31501" xr:uid="{00000000-0005-0000-0000-0000EE7A0000}"/>
    <cellStyle name="Calculation 3 3 3 10" xfId="31502" xr:uid="{00000000-0005-0000-0000-0000EF7A0000}"/>
    <cellStyle name="Calculation 3 3 3 2" xfId="31503" xr:uid="{00000000-0005-0000-0000-0000F07A0000}"/>
    <cellStyle name="Calculation 3 3 3 2 2" xfId="31504" xr:uid="{00000000-0005-0000-0000-0000F17A0000}"/>
    <cellStyle name="Calculation 3 3 3 2 3" xfId="31505" xr:uid="{00000000-0005-0000-0000-0000F27A0000}"/>
    <cellStyle name="Calculation 3 3 3 2 4" xfId="31506" xr:uid="{00000000-0005-0000-0000-0000F37A0000}"/>
    <cellStyle name="Calculation 3 3 3 2 5" xfId="31507" xr:uid="{00000000-0005-0000-0000-0000F47A0000}"/>
    <cellStyle name="Calculation 3 3 3 2 6" xfId="31508" xr:uid="{00000000-0005-0000-0000-0000F57A0000}"/>
    <cellStyle name="Calculation 3 3 3 3" xfId="31509" xr:uid="{00000000-0005-0000-0000-0000F67A0000}"/>
    <cellStyle name="Calculation 3 3 3 3 2" xfId="31510" xr:uid="{00000000-0005-0000-0000-0000F77A0000}"/>
    <cellStyle name="Calculation 3 3 3 3 3" xfId="31511" xr:uid="{00000000-0005-0000-0000-0000F87A0000}"/>
    <cellStyle name="Calculation 3 3 3 3 4" xfId="31512" xr:uid="{00000000-0005-0000-0000-0000F97A0000}"/>
    <cellStyle name="Calculation 3 3 3 3 5" xfId="31513" xr:uid="{00000000-0005-0000-0000-0000FA7A0000}"/>
    <cellStyle name="Calculation 3 3 3 3 6" xfId="31514" xr:uid="{00000000-0005-0000-0000-0000FB7A0000}"/>
    <cellStyle name="Calculation 3 3 3 4" xfId="31515" xr:uid="{00000000-0005-0000-0000-0000FC7A0000}"/>
    <cellStyle name="Calculation 3 3 3 4 2" xfId="31516" xr:uid="{00000000-0005-0000-0000-0000FD7A0000}"/>
    <cellStyle name="Calculation 3 3 3 4 3" xfId="31517" xr:uid="{00000000-0005-0000-0000-0000FE7A0000}"/>
    <cellStyle name="Calculation 3 3 3 4 4" xfId="31518" xr:uid="{00000000-0005-0000-0000-0000FF7A0000}"/>
    <cellStyle name="Calculation 3 3 3 4 5" xfId="31519" xr:uid="{00000000-0005-0000-0000-0000007B0000}"/>
    <cellStyle name="Calculation 3 3 3 4 6" xfId="31520" xr:uid="{00000000-0005-0000-0000-0000017B0000}"/>
    <cellStyle name="Calculation 3 3 3 5" xfId="31521" xr:uid="{00000000-0005-0000-0000-0000027B0000}"/>
    <cellStyle name="Calculation 3 3 3 5 2" xfId="31522" xr:uid="{00000000-0005-0000-0000-0000037B0000}"/>
    <cellStyle name="Calculation 3 3 3 5 3" xfId="31523" xr:uid="{00000000-0005-0000-0000-0000047B0000}"/>
    <cellStyle name="Calculation 3 3 3 5 4" xfId="31524" xr:uid="{00000000-0005-0000-0000-0000057B0000}"/>
    <cellStyle name="Calculation 3 3 3 5 5" xfId="31525" xr:uid="{00000000-0005-0000-0000-0000067B0000}"/>
    <cellStyle name="Calculation 3 3 3 5 6" xfId="31526" xr:uid="{00000000-0005-0000-0000-0000077B0000}"/>
    <cellStyle name="Calculation 3 3 3 6" xfId="31527" xr:uid="{00000000-0005-0000-0000-0000087B0000}"/>
    <cellStyle name="Calculation 3 3 3 6 2" xfId="31528" xr:uid="{00000000-0005-0000-0000-0000097B0000}"/>
    <cellStyle name="Calculation 3 3 3 6 3" xfId="31529" xr:uid="{00000000-0005-0000-0000-00000A7B0000}"/>
    <cellStyle name="Calculation 3 3 3 6 4" xfId="31530" xr:uid="{00000000-0005-0000-0000-00000B7B0000}"/>
    <cellStyle name="Calculation 3 3 3 6 5" xfId="31531" xr:uid="{00000000-0005-0000-0000-00000C7B0000}"/>
    <cellStyle name="Calculation 3 3 3 6 6" xfId="31532" xr:uid="{00000000-0005-0000-0000-00000D7B0000}"/>
    <cellStyle name="Calculation 3 3 3 7" xfId="31533" xr:uid="{00000000-0005-0000-0000-00000E7B0000}"/>
    <cellStyle name="Calculation 3 3 3 7 2" xfId="31534" xr:uid="{00000000-0005-0000-0000-00000F7B0000}"/>
    <cellStyle name="Calculation 3 3 3 7 3" xfId="31535" xr:uid="{00000000-0005-0000-0000-0000107B0000}"/>
    <cellStyle name="Calculation 3 3 3 7 4" xfId="31536" xr:uid="{00000000-0005-0000-0000-0000117B0000}"/>
    <cellStyle name="Calculation 3 3 3 7 5" xfId="31537" xr:uid="{00000000-0005-0000-0000-0000127B0000}"/>
    <cellStyle name="Calculation 3 3 3 7 6" xfId="31538" xr:uid="{00000000-0005-0000-0000-0000137B0000}"/>
    <cellStyle name="Calculation 3 3 3 8" xfId="31539" xr:uid="{00000000-0005-0000-0000-0000147B0000}"/>
    <cellStyle name="Calculation 3 3 3 9" xfId="31540" xr:uid="{00000000-0005-0000-0000-0000157B0000}"/>
    <cellStyle name="Calculation 3 3 30" xfId="31541" xr:uid="{00000000-0005-0000-0000-0000167B0000}"/>
    <cellStyle name="Calculation 3 3 30 2" xfId="31542" xr:uid="{00000000-0005-0000-0000-0000177B0000}"/>
    <cellStyle name="Calculation 3 3 30 3" xfId="31543" xr:uid="{00000000-0005-0000-0000-0000187B0000}"/>
    <cellStyle name="Calculation 3 3 30 4" xfId="31544" xr:uid="{00000000-0005-0000-0000-0000197B0000}"/>
    <cellStyle name="Calculation 3 3 30 5" xfId="31545" xr:uid="{00000000-0005-0000-0000-00001A7B0000}"/>
    <cellStyle name="Calculation 3 3 30 6" xfId="31546" xr:uid="{00000000-0005-0000-0000-00001B7B0000}"/>
    <cellStyle name="Calculation 3 3 31" xfId="31547" xr:uid="{00000000-0005-0000-0000-00001C7B0000}"/>
    <cellStyle name="Calculation 3 3 31 2" xfId="31548" xr:uid="{00000000-0005-0000-0000-00001D7B0000}"/>
    <cellStyle name="Calculation 3 3 31 3" xfId="31549" xr:uid="{00000000-0005-0000-0000-00001E7B0000}"/>
    <cellStyle name="Calculation 3 3 31 4" xfId="31550" xr:uid="{00000000-0005-0000-0000-00001F7B0000}"/>
    <cellStyle name="Calculation 3 3 31 5" xfId="31551" xr:uid="{00000000-0005-0000-0000-0000207B0000}"/>
    <cellStyle name="Calculation 3 3 31 6" xfId="31552" xr:uid="{00000000-0005-0000-0000-0000217B0000}"/>
    <cellStyle name="Calculation 3 3 32" xfId="31553" xr:uid="{00000000-0005-0000-0000-0000227B0000}"/>
    <cellStyle name="Calculation 3 3 32 2" xfId="31554" xr:uid="{00000000-0005-0000-0000-0000237B0000}"/>
    <cellStyle name="Calculation 3 3 32 3" xfId="31555" xr:uid="{00000000-0005-0000-0000-0000247B0000}"/>
    <cellStyle name="Calculation 3 3 32 4" xfId="31556" xr:uid="{00000000-0005-0000-0000-0000257B0000}"/>
    <cellStyle name="Calculation 3 3 32 5" xfId="31557" xr:uid="{00000000-0005-0000-0000-0000267B0000}"/>
    <cellStyle name="Calculation 3 3 32 6" xfId="31558" xr:uid="{00000000-0005-0000-0000-0000277B0000}"/>
    <cellStyle name="Calculation 3 3 33" xfId="31559" xr:uid="{00000000-0005-0000-0000-0000287B0000}"/>
    <cellStyle name="Calculation 3 3 34" xfId="31560" xr:uid="{00000000-0005-0000-0000-0000297B0000}"/>
    <cellStyle name="Calculation 3 3 35" xfId="31561" xr:uid="{00000000-0005-0000-0000-00002A7B0000}"/>
    <cellStyle name="Calculation 3 3 4" xfId="31562" xr:uid="{00000000-0005-0000-0000-00002B7B0000}"/>
    <cellStyle name="Calculation 3 3 4 10" xfId="31563" xr:uid="{00000000-0005-0000-0000-00002C7B0000}"/>
    <cellStyle name="Calculation 3 3 4 2" xfId="31564" xr:uid="{00000000-0005-0000-0000-00002D7B0000}"/>
    <cellStyle name="Calculation 3 3 4 2 2" xfId="31565" xr:uid="{00000000-0005-0000-0000-00002E7B0000}"/>
    <cellStyle name="Calculation 3 3 4 2 3" xfId="31566" xr:uid="{00000000-0005-0000-0000-00002F7B0000}"/>
    <cellStyle name="Calculation 3 3 4 2 4" xfId="31567" xr:uid="{00000000-0005-0000-0000-0000307B0000}"/>
    <cellStyle name="Calculation 3 3 4 2 5" xfId="31568" xr:uid="{00000000-0005-0000-0000-0000317B0000}"/>
    <cellStyle name="Calculation 3 3 4 2 6" xfId="31569" xr:uid="{00000000-0005-0000-0000-0000327B0000}"/>
    <cellStyle name="Calculation 3 3 4 3" xfId="31570" xr:uid="{00000000-0005-0000-0000-0000337B0000}"/>
    <cellStyle name="Calculation 3 3 4 3 2" xfId="31571" xr:uid="{00000000-0005-0000-0000-0000347B0000}"/>
    <cellStyle name="Calculation 3 3 4 3 3" xfId="31572" xr:uid="{00000000-0005-0000-0000-0000357B0000}"/>
    <cellStyle name="Calculation 3 3 4 3 4" xfId="31573" xr:uid="{00000000-0005-0000-0000-0000367B0000}"/>
    <cellStyle name="Calculation 3 3 4 3 5" xfId="31574" xr:uid="{00000000-0005-0000-0000-0000377B0000}"/>
    <cellStyle name="Calculation 3 3 4 3 6" xfId="31575" xr:uid="{00000000-0005-0000-0000-0000387B0000}"/>
    <cellStyle name="Calculation 3 3 4 4" xfId="31576" xr:uid="{00000000-0005-0000-0000-0000397B0000}"/>
    <cellStyle name="Calculation 3 3 4 4 2" xfId="31577" xr:uid="{00000000-0005-0000-0000-00003A7B0000}"/>
    <cellStyle name="Calculation 3 3 4 4 3" xfId="31578" xr:uid="{00000000-0005-0000-0000-00003B7B0000}"/>
    <cellStyle name="Calculation 3 3 4 4 4" xfId="31579" xr:uid="{00000000-0005-0000-0000-00003C7B0000}"/>
    <cellStyle name="Calculation 3 3 4 4 5" xfId="31580" xr:uid="{00000000-0005-0000-0000-00003D7B0000}"/>
    <cellStyle name="Calculation 3 3 4 4 6" xfId="31581" xr:uid="{00000000-0005-0000-0000-00003E7B0000}"/>
    <cellStyle name="Calculation 3 3 4 5" xfId="31582" xr:uid="{00000000-0005-0000-0000-00003F7B0000}"/>
    <cellStyle name="Calculation 3 3 4 5 2" xfId="31583" xr:uid="{00000000-0005-0000-0000-0000407B0000}"/>
    <cellStyle name="Calculation 3 3 4 5 3" xfId="31584" xr:uid="{00000000-0005-0000-0000-0000417B0000}"/>
    <cellStyle name="Calculation 3 3 4 5 4" xfId="31585" xr:uid="{00000000-0005-0000-0000-0000427B0000}"/>
    <cellStyle name="Calculation 3 3 4 5 5" xfId="31586" xr:uid="{00000000-0005-0000-0000-0000437B0000}"/>
    <cellStyle name="Calculation 3 3 4 5 6" xfId="31587" xr:uid="{00000000-0005-0000-0000-0000447B0000}"/>
    <cellStyle name="Calculation 3 3 4 6" xfId="31588" xr:uid="{00000000-0005-0000-0000-0000457B0000}"/>
    <cellStyle name="Calculation 3 3 4 6 2" xfId="31589" xr:uid="{00000000-0005-0000-0000-0000467B0000}"/>
    <cellStyle name="Calculation 3 3 4 6 3" xfId="31590" xr:uid="{00000000-0005-0000-0000-0000477B0000}"/>
    <cellStyle name="Calculation 3 3 4 6 4" xfId="31591" xr:uid="{00000000-0005-0000-0000-0000487B0000}"/>
    <cellStyle name="Calculation 3 3 4 6 5" xfId="31592" xr:uid="{00000000-0005-0000-0000-0000497B0000}"/>
    <cellStyle name="Calculation 3 3 4 6 6" xfId="31593" xr:uid="{00000000-0005-0000-0000-00004A7B0000}"/>
    <cellStyle name="Calculation 3 3 4 7" xfId="31594" xr:uid="{00000000-0005-0000-0000-00004B7B0000}"/>
    <cellStyle name="Calculation 3 3 4 7 2" xfId="31595" xr:uid="{00000000-0005-0000-0000-00004C7B0000}"/>
    <cellStyle name="Calculation 3 3 4 7 3" xfId="31596" xr:uid="{00000000-0005-0000-0000-00004D7B0000}"/>
    <cellStyle name="Calculation 3 3 4 7 4" xfId="31597" xr:uid="{00000000-0005-0000-0000-00004E7B0000}"/>
    <cellStyle name="Calculation 3 3 4 7 5" xfId="31598" xr:uid="{00000000-0005-0000-0000-00004F7B0000}"/>
    <cellStyle name="Calculation 3 3 4 7 6" xfId="31599" xr:uid="{00000000-0005-0000-0000-0000507B0000}"/>
    <cellStyle name="Calculation 3 3 4 8" xfId="31600" xr:uid="{00000000-0005-0000-0000-0000517B0000}"/>
    <cellStyle name="Calculation 3 3 4 9" xfId="31601" xr:uid="{00000000-0005-0000-0000-0000527B0000}"/>
    <cellStyle name="Calculation 3 3 5" xfId="31602" xr:uid="{00000000-0005-0000-0000-0000537B0000}"/>
    <cellStyle name="Calculation 3 3 5 10" xfId="31603" xr:uid="{00000000-0005-0000-0000-0000547B0000}"/>
    <cellStyle name="Calculation 3 3 5 2" xfId="31604" xr:uid="{00000000-0005-0000-0000-0000557B0000}"/>
    <cellStyle name="Calculation 3 3 5 2 2" xfId="31605" xr:uid="{00000000-0005-0000-0000-0000567B0000}"/>
    <cellStyle name="Calculation 3 3 5 2 3" xfId="31606" xr:uid="{00000000-0005-0000-0000-0000577B0000}"/>
    <cellStyle name="Calculation 3 3 5 2 4" xfId="31607" xr:uid="{00000000-0005-0000-0000-0000587B0000}"/>
    <cellStyle name="Calculation 3 3 5 2 5" xfId="31608" xr:uid="{00000000-0005-0000-0000-0000597B0000}"/>
    <cellStyle name="Calculation 3 3 5 2 6" xfId="31609" xr:uid="{00000000-0005-0000-0000-00005A7B0000}"/>
    <cellStyle name="Calculation 3 3 5 3" xfId="31610" xr:uid="{00000000-0005-0000-0000-00005B7B0000}"/>
    <cellStyle name="Calculation 3 3 5 3 2" xfId="31611" xr:uid="{00000000-0005-0000-0000-00005C7B0000}"/>
    <cellStyle name="Calculation 3 3 5 3 3" xfId="31612" xr:uid="{00000000-0005-0000-0000-00005D7B0000}"/>
    <cellStyle name="Calculation 3 3 5 3 4" xfId="31613" xr:uid="{00000000-0005-0000-0000-00005E7B0000}"/>
    <cellStyle name="Calculation 3 3 5 3 5" xfId="31614" xr:uid="{00000000-0005-0000-0000-00005F7B0000}"/>
    <cellStyle name="Calculation 3 3 5 3 6" xfId="31615" xr:uid="{00000000-0005-0000-0000-0000607B0000}"/>
    <cellStyle name="Calculation 3 3 5 4" xfId="31616" xr:uid="{00000000-0005-0000-0000-0000617B0000}"/>
    <cellStyle name="Calculation 3 3 5 4 2" xfId="31617" xr:uid="{00000000-0005-0000-0000-0000627B0000}"/>
    <cellStyle name="Calculation 3 3 5 4 3" xfId="31618" xr:uid="{00000000-0005-0000-0000-0000637B0000}"/>
    <cellStyle name="Calculation 3 3 5 4 4" xfId="31619" xr:uid="{00000000-0005-0000-0000-0000647B0000}"/>
    <cellStyle name="Calculation 3 3 5 4 5" xfId="31620" xr:uid="{00000000-0005-0000-0000-0000657B0000}"/>
    <cellStyle name="Calculation 3 3 5 4 6" xfId="31621" xr:uid="{00000000-0005-0000-0000-0000667B0000}"/>
    <cellStyle name="Calculation 3 3 5 5" xfId="31622" xr:uid="{00000000-0005-0000-0000-0000677B0000}"/>
    <cellStyle name="Calculation 3 3 5 5 2" xfId="31623" xr:uid="{00000000-0005-0000-0000-0000687B0000}"/>
    <cellStyle name="Calculation 3 3 5 5 3" xfId="31624" xr:uid="{00000000-0005-0000-0000-0000697B0000}"/>
    <cellStyle name="Calculation 3 3 5 5 4" xfId="31625" xr:uid="{00000000-0005-0000-0000-00006A7B0000}"/>
    <cellStyle name="Calculation 3 3 5 5 5" xfId="31626" xr:uid="{00000000-0005-0000-0000-00006B7B0000}"/>
    <cellStyle name="Calculation 3 3 5 5 6" xfId="31627" xr:uid="{00000000-0005-0000-0000-00006C7B0000}"/>
    <cellStyle name="Calculation 3 3 5 6" xfId="31628" xr:uid="{00000000-0005-0000-0000-00006D7B0000}"/>
    <cellStyle name="Calculation 3 3 5 6 2" xfId="31629" xr:uid="{00000000-0005-0000-0000-00006E7B0000}"/>
    <cellStyle name="Calculation 3 3 5 6 3" xfId="31630" xr:uid="{00000000-0005-0000-0000-00006F7B0000}"/>
    <cellStyle name="Calculation 3 3 5 6 4" xfId="31631" xr:uid="{00000000-0005-0000-0000-0000707B0000}"/>
    <cellStyle name="Calculation 3 3 5 6 5" xfId="31632" xr:uid="{00000000-0005-0000-0000-0000717B0000}"/>
    <cellStyle name="Calculation 3 3 5 6 6" xfId="31633" xr:uid="{00000000-0005-0000-0000-0000727B0000}"/>
    <cellStyle name="Calculation 3 3 5 7" xfId="31634" xr:uid="{00000000-0005-0000-0000-0000737B0000}"/>
    <cellStyle name="Calculation 3 3 5 7 2" xfId="31635" xr:uid="{00000000-0005-0000-0000-0000747B0000}"/>
    <cellStyle name="Calculation 3 3 5 7 3" xfId="31636" xr:uid="{00000000-0005-0000-0000-0000757B0000}"/>
    <cellStyle name="Calculation 3 3 5 7 4" xfId="31637" xr:uid="{00000000-0005-0000-0000-0000767B0000}"/>
    <cellStyle name="Calculation 3 3 5 7 5" xfId="31638" xr:uid="{00000000-0005-0000-0000-0000777B0000}"/>
    <cellStyle name="Calculation 3 3 5 7 6" xfId="31639" xr:uid="{00000000-0005-0000-0000-0000787B0000}"/>
    <cellStyle name="Calculation 3 3 5 8" xfId="31640" xr:uid="{00000000-0005-0000-0000-0000797B0000}"/>
    <cellStyle name="Calculation 3 3 5 9" xfId="31641" xr:uid="{00000000-0005-0000-0000-00007A7B0000}"/>
    <cellStyle name="Calculation 3 3 6" xfId="31642" xr:uid="{00000000-0005-0000-0000-00007B7B0000}"/>
    <cellStyle name="Calculation 3 3 6 10" xfId="31643" xr:uid="{00000000-0005-0000-0000-00007C7B0000}"/>
    <cellStyle name="Calculation 3 3 6 2" xfId="31644" xr:uid="{00000000-0005-0000-0000-00007D7B0000}"/>
    <cellStyle name="Calculation 3 3 6 2 2" xfId="31645" xr:uid="{00000000-0005-0000-0000-00007E7B0000}"/>
    <cellStyle name="Calculation 3 3 6 2 3" xfId="31646" xr:uid="{00000000-0005-0000-0000-00007F7B0000}"/>
    <cellStyle name="Calculation 3 3 6 2 4" xfId="31647" xr:uid="{00000000-0005-0000-0000-0000807B0000}"/>
    <cellStyle name="Calculation 3 3 6 2 5" xfId="31648" xr:uid="{00000000-0005-0000-0000-0000817B0000}"/>
    <cellStyle name="Calculation 3 3 6 2 6" xfId="31649" xr:uid="{00000000-0005-0000-0000-0000827B0000}"/>
    <cellStyle name="Calculation 3 3 6 3" xfId="31650" xr:uid="{00000000-0005-0000-0000-0000837B0000}"/>
    <cellStyle name="Calculation 3 3 6 3 2" xfId="31651" xr:uid="{00000000-0005-0000-0000-0000847B0000}"/>
    <cellStyle name="Calculation 3 3 6 3 3" xfId="31652" xr:uid="{00000000-0005-0000-0000-0000857B0000}"/>
    <cellStyle name="Calculation 3 3 6 3 4" xfId="31653" xr:uid="{00000000-0005-0000-0000-0000867B0000}"/>
    <cellStyle name="Calculation 3 3 6 3 5" xfId="31654" xr:uid="{00000000-0005-0000-0000-0000877B0000}"/>
    <cellStyle name="Calculation 3 3 6 3 6" xfId="31655" xr:uid="{00000000-0005-0000-0000-0000887B0000}"/>
    <cellStyle name="Calculation 3 3 6 4" xfId="31656" xr:uid="{00000000-0005-0000-0000-0000897B0000}"/>
    <cellStyle name="Calculation 3 3 6 4 2" xfId="31657" xr:uid="{00000000-0005-0000-0000-00008A7B0000}"/>
    <cellStyle name="Calculation 3 3 6 4 3" xfId="31658" xr:uid="{00000000-0005-0000-0000-00008B7B0000}"/>
    <cellStyle name="Calculation 3 3 6 4 4" xfId="31659" xr:uid="{00000000-0005-0000-0000-00008C7B0000}"/>
    <cellStyle name="Calculation 3 3 6 4 5" xfId="31660" xr:uid="{00000000-0005-0000-0000-00008D7B0000}"/>
    <cellStyle name="Calculation 3 3 6 4 6" xfId="31661" xr:uid="{00000000-0005-0000-0000-00008E7B0000}"/>
    <cellStyle name="Calculation 3 3 6 5" xfId="31662" xr:uid="{00000000-0005-0000-0000-00008F7B0000}"/>
    <cellStyle name="Calculation 3 3 6 5 2" xfId="31663" xr:uid="{00000000-0005-0000-0000-0000907B0000}"/>
    <cellStyle name="Calculation 3 3 6 5 3" xfId="31664" xr:uid="{00000000-0005-0000-0000-0000917B0000}"/>
    <cellStyle name="Calculation 3 3 6 5 4" xfId="31665" xr:uid="{00000000-0005-0000-0000-0000927B0000}"/>
    <cellStyle name="Calculation 3 3 6 5 5" xfId="31666" xr:uid="{00000000-0005-0000-0000-0000937B0000}"/>
    <cellStyle name="Calculation 3 3 6 5 6" xfId="31667" xr:uid="{00000000-0005-0000-0000-0000947B0000}"/>
    <cellStyle name="Calculation 3 3 6 6" xfId="31668" xr:uid="{00000000-0005-0000-0000-0000957B0000}"/>
    <cellStyle name="Calculation 3 3 6 6 2" xfId="31669" xr:uid="{00000000-0005-0000-0000-0000967B0000}"/>
    <cellStyle name="Calculation 3 3 6 6 3" xfId="31670" xr:uid="{00000000-0005-0000-0000-0000977B0000}"/>
    <cellStyle name="Calculation 3 3 6 6 4" xfId="31671" xr:uid="{00000000-0005-0000-0000-0000987B0000}"/>
    <cellStyle name="Calculation 3 3 6 6 5" xfId="31672" xr:uid="{00000000-0005-0000-0000-0000997B0000}"/>
    <cellStyle name="Calculation 3 3 6 6 6" xfId="31673" xr:uid="{00000000-0005-0000-0000-00009A7B0000}"/>
    <cellStyle name="Calculation 3 3 6 7" xfId="31674" xr:uid="{00000000-0005-0000-0000-00009B7B0000}"/>
    <cellStyle name="Calculation 3 3 6 7 2" xfId="31675" xr:uid="{00000000-0005-0000-0000-00009C7B0000}"/>
    <cellStyle name="Calculation 3 3 6 7 3" xfId="31676" xr:uid="{00000000-0005-0000-0000-00009D7B0000}"/>
    <cellStyle name="Calculation 3 3 6 7 4" xfId="31677" xr:uid="{00000000-0005-0000-0000-00009E7B0000}"/>
    <cellStyle name="Calculation 3 3 6 7 5" xfId="31678" xr:uid="{00000000-0005-0000-0000-00009F7B0000}"/>
    <cellStyle name="Calculation 3 3 6 7 6" xfId="31679" xr:uid="{00000000-0005-0000-0000-0000A07B0000}"/>
    <cellStyle name="Calculation 3 3 6 8" xfId="31680" xr:uid="{00000000-0005-0000-0000-0000A17B0000}"/>
    <cellStyle name="Calculation 3 3 6 9" xfId="31681" xr:uid="{00000000-0005-0000-0000-0000A27B0000}"/>
    <cellStyle name="Calculation 3 3 7" xfId="31682" xr:uid="{00000000-0005-0000-0000-0000A37B0000}"/>
    <cellStyle name="Calculation 3 3 7 10" xfId="31683" xr:uid="{00000000-0005-0000-0000-0000A47B0000}"/>
    <cellStyle name="Calculation 3 3 7 2" xfId="31684" xr:uid="{00000000-0005-0000-0000-0000A57B0000}"/>
    <cellStyle name="Calculation 3 3 7 2 2" xfId="31685" xr:uid="{00000000-0005-0000-0000-0000A67B0000}"/>
    <cellStyle name="Calculation 3 3 7 2 3" xfId="31686" xr:uid="{00000000-0005-0000-0000-0000A77B0000}"/>
    <cellStyle name="Calculation 3 3 7 2 4" xfId="31687" xr:uid="{00000000-0005-0000-0000-0000A87B0000}"/>
    <cellStyle name="Calculation 3 3 7 2 5" xfId="31688" xr:uid="{00000000-0005-0000-0000-0000A97B0000}"/>
    <cellStyle name="Calculation 3 3 7 2 6" xfId="31689" xr:uid="{00000000-0005-0000-0000-0000AA7B0000}"/>
    <cellStyle name="Calculation 3 3 7 3" xfId="31690" xr:uid="{00000000-0005-0000-0000-0000AB7B0000}"/>
    <cellStyle name="Calculation 3 3 7 3 2" xfId="31691" xr:uid="{00000000-0005-0000-0000-0000AC7B0000}"/>
    <cellStyle name="Calculation 3 3 7 3 3" xfId="31692" xr:uid="{00000000-0005-0000-0000-0000AD7B0000}"/>
    <cellStyle name="Calculation 3 3 7 3 4" xfId="31693" xr:uid="{00000000-0005-0000-0000-0000AE7B0000}"/>
    <cellStyle name="Calculation 3 3 7 3 5" xfId="31694" xr:uid="{00000000-0005-0000-0000-0000AF7B0000}"/>
    <cellStyle name="Calculation 3 3 7 3 6" xfId="31695" xr:uid="{00000000-0005-0000-0000-0000B07B0000}"/>
    <cellStyle name="Calculation 3 3 7 4" xfId="31696" xr:uid="{00000000-0005-0000-0000-0000B17B0000}"/>
    <cellStyle name="Calculation 3 3 7 4 2" xfId="31697" xr:uid="{00000000-0005-0000-0000-0000B27B0000}"/>
    <cellStyle name="Calculation 3 3 7 4 3" xfId="31698" xr:uid="{00000000-0005-0000-0000-0000B37B0000}"/>
    <cellStyle name="Calculation 3 3 7 4 4" xfId="31699" xr:uid="{00000000-0005-0000-0000-0000B47B0000}"/>
    <cellStyle name="Calculation 3 3 7 4 5" xfId="31700" xr:uid="{00000000-0005-0000-0000-0000B57B0000}"/>
    <cellStyle name="Calculation 3 3 7 4 6" xfId="31701" xr:uid="{00000000-0005-0000-0000-0000B67B0000}"/>
    <cellStyle name="Calculation 3 3 7 5" xfId="31702" xr:uid="{00000000-0005-0000-0000-0000B77B0000}"/>
    <cellStyle name="Calculation 3 3 7 5 2" xfId="31703" xr:uid="{00000000-0005-0000-0000-0000B87B0000}"/>
    <cellStyle name="Calculation 3 3 7 5 3" xfId="31704" xr:uid="{00000000-0005-0000-0000-0000B97B0000}"/>
    <cellStyle name="Calculation 3 3 7 5 4" xfId="31705" xr:uid="{00000000-0005-0000-0000-0000BA7B0000}"/>
    <cellStyle name="Calculation 3 3 7 5 5" xfId="31706" xr:uid="{00000000-0005-0000-0000-0000BB7B0000}"/>
    <cellStyle name="Calculation 3 3 7 5 6" xfId="31707" xr:uid="{00000000-0005-0000-0000-0000BC7B0000}"/>
    <cellStyle name="Calculation 3 3 7 6" xfId="31708" xr:uid="{00000000-0005-0000-0000-0000BD7B0000}"/>
    <cellStyle name="Calculation 3 3 7 6 2" xfId="31709" xr:uid="{00000000-0005-0000-0000-0000BE7B0000}"/>
    <cellStyle name="Calculation 3 3 7 6 3" xfId="31710" xr:uid="{00000000-0005-0000-0000-0000BF7B0000}"/>
    <cellStyle name="Calculation 3 3 7 6 4" xfId="31711" xr:uid="{00000000-0005-0000-0000-0000C07B0000}"/>
    <cellStyle name="Calculation 3 3 7 6 5" xfId="31712" xr:uid="{00000000-0005-0000-0000-0000C17B0000}"/>
    <cellStyle name="Calculation 3 3 7 6 6" xfId="31713" xr:uid="{00000000-0005-0000-0000-0000C27B0000}"/>
    <cellStyle name="Calculation 3 3 7 7" xfId="31714" xr:uid="{00000000-0005-0000-0000-0000C37B0000}"/>
    <cellStyle name="Calculation 3 3 7 7 2" xfId="31715" xr:uid="{00000000-0005-0000-0000-0000C47B0000}"/>
    <cellStyle name="Calculation 3 3 7 7 3" xfId="31716" xr:uid="{00000000-0005-0000-0000-0000C57B0000}"/>
    <cellStyle name="Calculation 3 3 7 7 4" xfId="31717" xr:uid="{00000000-0005-0000-0000-0000C67B0000}"/>
    <cellStyle name="Calculation 3 3 7 7 5" xfId="31718" xr:uid="{00000000-0005-0000-0000-0000C77B0000}"/>
    <cellStyle name="Calculation 3 3 7 7 6" xfId="31719" xr:uid="{00000000-0005-0000-0000-0000C87B0000}"/>
    <cellStyle name="Calculation 3 3 7 8" xfId="31720" xr:uid="{00000000-0005-0000-0000-0000C97B0000}"/>
    <cellStyle name="Calculation 3 3 7 9" xfId="31721" xr:uid="{00000000-0005-0000-0000-0000CA7B0000}"/>
    <cellStyle name="Calculation 3 3 8" xfId="31722" xr:uid="{00000000-0005-0000-0000-0000CB7B0000}"/>
    <cellStyle name="Calculation 3 3 8 10" xfId="31723" xr:uid="{00000000-0005-0000-0000-0000CC7B0000}"/>
    <cellStyle name="Calculation 3 3 8 2" xfId="31724" xr:uid="{00000000-0005-0000-0000-0000CD7B0000}"/>
    <cellStyle name="Calculation 3 3 8 2 2" xfId="31725" xr:uid="{00000000-0005-0000-0000-0000CE7B0000}"/>
    <cellStyle name="Calculation 3 3 8 2 3" xfId="31726" xr:uid="{00000000-0005-0000-0000-0000CF7B0000}"/>
    <cellStyle name="Calculation 3 3 8 2 4" xfId="31727" xr:uid="{00000000-0005-0000-0000-0000D07B0000}"/>
    <cellStyle name="Calculation 3 3 8 2 5" xfId="31728" xr:uid="{00000000-0005-0000-0000-0000D17B0000}"/>
    <cellStyle name="Calculation 3 3 8 2 6" xfId="31729" xr:uid="{00000000-0005-0000-0000-0000D27B0000}"/>
    <cellStyle name="Calculation 3 3 8 3" xfId="31730" xr:uid="{00000000-0005-0000-0000-0000D37B0000}"/>
    <cellStyle name="Calculation 3 3 8 3 2" xfId="31731" xr:uid="{00000000-0005-0000-0000-0000D47B0000}"/>
    <cellStyle name="Calculation 3 3 8 3 3" xfId="31732" xr:uid="{00000000-0005-0000-0000-0000D57B0000}"/>
    <cellStyle name="Calculation 3 3 8 3 4" xfId="31733" xr:uid="{00000000-0005-0000-0000-0000D67B0000}"/>
    <cellStyle name="Calculation 3 3 8 3 5" xfId="31734" xr:uid="{00000000-0005-0000-0000-0000D77B0000}"/>
    <cellStyle name="Calculation 3 3 8 3 6" xfId="31735" xr:uid="{00000000-0005-0000-0000-0000D87B0000}"/>
    <cellStyle name="Calculation 3 3 8 4" xfId="31736" xr:uid="{00000000-0005-0000-0000-0000D97B0000}"/>
    <cellStyle name="Calculation 3 3 8 4 2" xfId="31737" xr:uid="{00000000-0005-0000-0000-0000DA7B0000}"/>
    <cellStyle name="Calculation 3 3 8 4 3" xfId="31738" xr:uid="{00000000-0005-0000-0000-0000DB7B0000}"/>
    <cellStyle name="Calculation 3 3 8 4 4" xfId="31739" xr:uid="{00000000-0005-0000-0000-0000DC7B0000}"/>
    <cellStyle name="Calculation 3 3 8 4 5" xfId="31740" xr:uid="{00000000-0005-0000-0000-0000DD7B0000}"/>
    <cellStyle name="Calculation 3 3 8 4 6" xfId="31741" xr:uid="{00000000-0005-0000-0000-0000DE7B0000}"/>
    <cellStyle name="Calculation 3 3 8 5" xfId="31742" xr:uid="{00000000-0005-0000-0000-0000DF7B0000}"/>
    <cellStyle name="Calculation 3 3 8 5 2" xfId="31743" xr:uid="{00000000-0005-0000-0000-0000E07B0000}"/>
    <cellStyle name="Calculation 3 3 8 5 3" xfId="31744" xr:uid="{00000000-0005-0000-0000-0000E17B0000}"/>
    <cellStyle name="Calculation 3 3 8 5 4" xfId="31745" xr:uid="{00000000-0005-0000-0000-0000E27B0000}"/>
    <cellStyle name="Calculation 3 3 8 5 5" xfId="31746" xr:uid="{00000000-0005-0000-0000-0000E37B0000}"/>
    <cellStyle name="Calculation 3 3 8 5 6" xfId="31747" xr:uid="{00000000-0005-0000-0000-0000E47B0000}"/>
    <cellStyle name="Calculation 3 3 8 6" xfId="31748" xr:uid="{00000000-0005-0000-0000-0000E57B0000}"/>
    <cellStyle name="Calculation 3 3 8 6 2" xfId="31749" xr:uid="{00000000-0005-0000-0000-0000E67B0000}"/>
    <cellStyle name="Calculation 3 3 8 6 3" xfId="31750" xr:uid="{00000000-0005-0000-0000-0000E77B0000}"/>
    <cellStyle name="Calculation 3 3 8 6 4" xfId="31751" xr:uid="{00000000-0005-0000-0000-0000E87B0000}"/>
    <cellStyle name="Calculation 3 3 8 6 5" xfId="31752" xr:uid="{00000000-0005-0000-0000-0000E97B0000}"/>
    <cellStyle name="Calculation 3 3 8 6 6" xfId="31753" xr:uid="{00000000-0005-0000-0000-0000EA7B0000}"/>
    <cellStyle name="Calculation 3 3 8 7" xfId="31754" xr:uid="{00000000-0005-0000-0000-0000EB7B0000}"/>
    <cellStyle name="Calculation 3 3 8 7 2" xfId="31755" xr:uid="{00000000-0005-0000-0000-0000EC7B0000}"/>
    <cellStyle name="Calculation 3 3 8 7 3" xfId="31756" xr:uid="{00000000-0005-0000-0000-0000ED7B0000}"/>
    <cellStyle name="Calculation 3 3 8 7 4" xfId="31757" xr:uid="{00000000-0005-0000-0000-0000EE7B0000}"/>
    <cellStyle name="Calculation 3 3 8 7 5" xfId="31758" xr:uid="{00000000-0005-0000-0000-0000EF7B0000}"/>
    <cellStyle name="Calculation 3 3 8 7 6" xfId="31759" xr:uid="{00000000-0005-0000-0000-0000F07B0000}"/>
    <cellStyle name="Calculation 3 3 8 8" xfId="31760" xr:uid="{00000000-0005-0000-0000-0000F17B0000}"/>
    <cellStyle name="Calculation 3 3 8 9" xfId="31761" xr:uid="{00000000-0005-0000-0000-0000F27B0000}"/>
    <cellStyle name="Calculation 3 3 9" xfId="31762" xr:uid="{00000000-0005-0000-0000-0000F37B0000}"/>
    <cellStyle name="Calculation 3 3 9 10" xfId="31763" xr:uid="{00000000-0005-0000-0000-0000F47B0000}"/>
    <cellStyle name="Calculation 3 3 9 2" xfId="31764" xr:uid="{00000000-0005-0000-0000-0000F57B0000}"/>
    <cellStyle name="Calculation 3 3 9 2 2" xfId="31765" xr:uid="{00000000-0005-0000-0000-0000F67B0000}"/>
    <cellStyle name="Calculation 3 3 9 2 3" xfId="31766" xr:uid="{00000000-0005-0000-0000-0000F77B0000}"/>
    <cellStyle name="Calculation 3 3 9 2 4" xfId="31767" xr:uid="{00000000-0005-0000-0000-0000F87B0000}"/>
    <cellStyle name="Calculation 3 3 9 2 5" xfId="31768" xr:uid="{00000000-0005-0000-0000-0000F97B0000}"/>
    <cellStyle name="Calculation 3 3 9 2 6" xfId="31769" xr:uid="{00000000-0005-0000-0000-0000FA7B0000}"/>
    <cellStyle name="Calculation 3 3 9 3" xfId="31770" xr:uid="{00000000-0005-0000-0000-0000FB7B0000}"/>
    <cellStyle name="Calculation 3 3 9 3 2" xfId="31771" xr:uid="{00000000-0005-0000-0000-0000FC7B0000}"/>
    <cellStyle name="Calculation 3 3 9 3 3" xfId="31772" xr:uid="{00000000-0005-0000-0000-0000FD7B0000}"/>
    <cellStyle name="Calculation 3 3 9 3 4" xfId="31773" xr:uid="{00000000-0005-0000-0000-0000FE7B0000}"/>
    <cellStyle name="Calculation 3 3 9 3 5" xfId="31774" xr:uid="{00000000-0005-0000-0000-0000FF7B0000}"/>
    <cellStyle name="Calculation 3 3 9 3 6" xfId="31775" xr:uid="{00000000-0005-0000-0000-0000007C0000}"/>
    <cellStyle name="Calculation 3 3 9 4" xfId="31776" xr:uid="{00000000-0005-0000-0000-0000017C0000}"/>
    <cellStyle name="Calculation 3 3 9 4 2" xfId="31777" xr:uid="{00000000-0005-0000-0000-0000027C0000}"/>
    <cellStyle name="Calculation 3 3 9 4 3" xfId="31778" xr:uid="{00000000-0005-0000-0000-0000037C0000}"/>
    <cellStyle name="Calculation 3 3 9 4 4" xfId="31779" xr:uid="{00000000-0005-0000-0000-0000047C0000}"/>
    <cellStyle name="Calculation 3 3 9 4 5" xfId="31780" xr:uid="{00000000-0005-0000-0000-0000057C0000}"/>
    <cellStyle name="Calculation 3 3 9 4 6" xfId="31781" xr:uid="{00000000-0005-0000-0000-0000067C0000}"/>
    <cellStyle name="Calculation 3 3 9 5" xfId="31782" xr:uid="{00000000-0005-0000-0000-0000077C0000}"/>
    <cellStyle name="Calculation 3 3 9 5 2" xfId="31783" xr:uid="{00000000-0005-0000-0000-0000087C0000}"/>
    <cellStyle name="Calculation 3 3 9 5 3" xfId="31784" xr:uid="{00000000-0005-0000-0000-0000097C0000}"/>
    <cellStyle name="Calculation 3 3 9 5 4" xfId="31785" xr:uid="{00000000-0005-0000-0000-00000A7C0000}"/>
    <cellStyle name="Calculation 3 3 9 5 5" xfId="31786" xr:uid="{00000000-0005-0000-0000-00000B7C0000}"/>
    <cellStyle name="Calculation 3 3 9 5 6" xfId="31787" xr:uid="{00000000-0005-0000-0000-00000C7C0000}"/>
    <cellStyle name="Calculation 3 3 9 6" xfId="31788" xr:uid="{00000000-0005-0000-0000-00000D7C0000}"/>
    <cellStyle name="Calculation 3 3 9 6 2" xfId="31789" xr:uid="{00000000-0005-0000-0000-00000E7C0000}"/>
    <cellStyle name="Calculation 3 3 9 6 3" xfId="31790" xr:uid="{00000000-0005-0000-0000-00000F7C0000}"/>
    <cellStyle name="Calculation 3 3 9 6 4" xfId="31791" xr:uid="{00000000-0005-0000-0000-0000107C0000}"/>
    <cellStyle name="Calculation 3 3 9 6 5" xfId="31792" xr:uid="{00000000-0005-0000-0000-0000117C0000}"/>
    <cellStyle name="Calculation 3 3 9 6 6" xfId="31793" xr:uid="{00000000-0005-0000-0000-0000127C0000}"/>
    <cellStyle name="Calculation 3 3 9 7" xfId="31794" xr:uid="{00000000-0005-0000-0000-0000137C0000}"/>
    <cellStyle name="Calculation 3 3 9 7 2" xfId="31795" xr:uid="{00000000-0005-0000-0000-0000147C0000}"/>
    <cellStyle name="Calculation 3 3 9 7 3" xfId="31796" xr:uid="{00000000-0005-0000-0000-0000157C0000}"/>
    <cellStyle name="Calculation 3 3 9 7 4" xfId="31797" xr:uid="{00000000-0005-0000-0000-0000167C0000}"/>
    <cellStyle name="Calculation 3 3 9 7 5" xfId="31798" xr:uid="{00000000-0005-0000-0000-0000177C0000}"/>
    <cellStyle name="Calculation 3 3 9 7 6" xfId="31799" xr:uid="{00000000-0005-0000-0000-0000187C0000}"/>
    <cellStyle name="Calculation 3 3 9 8" xfId="31800" xr:uid="{00000000-0005-0000-0000-0000197C0000}"/>
    <cellStyle name="Calculation 3 3 9 9" xfId="31801" xr:uid="{00000000-0005-0000-0000-00001A7C0000}"/>
    <cellStyle name="Calculation 3 30" xfId="31802" xr:uid="{00000000-0005-0000-0000-00001B7C0000}"/>
    <cellStyle name="Calculation 3 30 2" xfId="31803" xr:uid="{00000000-0005-0000-0000-00001C7C0000}"/>
    <cellStyle name="Calculation 3 30 3" xfId="31804" xr:uid="{00000000-0005-0000-0000-00001D7C0000}"/>
    <cellStyle name="Calculation 3 30 4" xfId="31805" xr:uid="{00000000-0005-0000-0000-00001E7C0000}"/>
    <cellStyle name="Calculation 3 30 5" xfId="31806" xr:uid="{00000000-0005-0000-0000-00001F7C0000}"/>
    <cellStyle name="Calculation 3 30 6" xfId="31807" xr:uid="{00000000-0005-0000-0000-0000207C0000}"/>
    <cellStyle name="Calculation 3 31" xfId="31808" xr:uid="{00000000-0005-0000-0000-0000217C0000}"/>
    <cellStyle name="Calculation 3 31 2" xfId="31809" xr:uid="{00000000-0005-0000-0000-0000227C0000}"/>
    <cellStyle name="Calculation 3 31 3" xfId="31810" xr:uid="{00000000-0005-0000-0000-0000237C0000}"/>
    <cellStyle name="Calculation 3 31 4" xfId="31811" xr:uid="{00000000-0005-0000-0000-0000247C0000}"/>
    <cellStyle name="Calculation 3 31 5" xfId="31812" xr:uid="{00000000-0005-0000-0000-0000257C0000}"/>
    <cellStyle name="Calculation 3 31 6" xfId="31813" xr:uid="{00000000-0005-0000-0000-0000267C0000}"/>
    <cellStyle name="Calculation 3 32" xfId="31814" xr:uid="{00000000-0005-0000-0000-0000277C0000}"/>
    <cellStyle name="Calculation 3 33" xfId="31815" xr:uid="{00000000-0005-0000-0000-0000287C0000}"/>
    <cellStyle name="Calculation 3 34" xfId="31816" xr:uid="{00000000-0005-0000-0000-0000297C0000}"/>
    <cellStyle name="Calculation 3 35" xfId="31817" xr:uid="{00000000-0005-0000-0000-00002A7C0000}"/>
    <cellStyle name="Calculation 3 4" xfId="31818" xr:uid="{00000000-0005-0000-0000-00002B7C0000}"/>
    <cellStyle name="Calculation 3 4 10" xfId="31819" xr:uid="{00000000-0005-0000-0000-00002C7C0000}"/>
    <cellStyle name="Calculation 3 4 2" xfId="31820" xr:uid="{00000000-0005-0000-0000-00002D7C0000}"/>
    <cellStyle name="Calculation 3 4 2 2" xfId="31821" xr:uid="{00000000-0005-0000-0000-00002E7C0000}"/>
    <cellStyle name="Calculation 3 4 2 3" xfId="31822" xr:uid="{00000000-0005-0000-0000-00002F7C0000}"/>
    <cellStyle name="Calculation 3 4 2 4" xfId="31823" xr:uid="{00000000-0005-0000-0000-0000307C0000}"/>
    <cellStyle name="Calculation 3 4 2 5" xfId="31824" xr:uid="{00000000-0005-0000-0000-0000317C0000}"/>
    <cellStyle name="Calculation 3 4 2 6" xfId="31825" xr:uid="{00000000-0005-0000-0000-0000327C0000}"/>
    <cellStyle name="Calculation 3 4 3" xfId="31826" xr:uid="{00000000-0005-0000-0000-0000337C0000}"/>
    <cellStyle name="Calculation 3 4 3 2" xfId="31827" xr:uid="{00000000-0005-0000-0000-0000347C0000}"/>
    <cellStyle name="Calculation 3 4 3 3" xfId="31828" xr:uid="{00000000-0005-0000-0000-0000357C0000}"/>
    <cellStyle name="Calculation 3 4 3 4" xfId="31829" xr:uid="{00000000-0005-0000-0000-0000367C0000}"/>
    <cellStyle name="Calculation 3 4 3 5" xfId="31830" xr:uid="{00000000-0005-0000-0000-0000377C0000}"/>
    <cellStyle name="Calculation 3 4 3 6" xfId="31831" xr:uid="{00000000-0005-0000-0000-0000387C0000}"/>
    <cellStyle name="Calculation 3 4 4" xfId="31832" xr:uid="{00000000-0005-0000-0000-0000397C0000}"/>
    <cellStyle name="Calculation 3 4 4 2" xfId="31833" xr:uid="{00000000-0005-0000-0000-00003A7C0000}"/>
    <cellStyle name="Calculation 3 4 4 3" xfId="31834" xr:uid="{00000000-0005-0000-0000-00003B7C0000}"/>
    <cellStyle name="Calculation 3 4 4 4" xfId="31835" xr:uid="{00000000-0005-0000-0000-00003C7C0000}"/>
    <cellStyle name="Calculation 3 4 4 5" xfId="31836" xr:uid="{00000000-0005-0000-0000-00003D7C0000}"/>
    <cellStyle name="Calculation 3 4 4 6" xfId="31837" xr:uid="{00000000-0005-0000-0000-00003E7C0000}"/>
    <cellStyle name="Calculation 3 4 5" xfId="31838" xr:uid="{00000000-0005-0000-0000-00003F7C0000}"/>
    <cellStyle name="Calculation 3 4 5 2" xfId="31839" xr:uid="{00000000-0005-0000-0000-0000407C0000}"/>
    <cellStyle name="Calculation 3 4 5 3" xfId="31840" xr:uid="{00000000-0005-0000-0000-0000417C0000}"/>
    <cellStyle name="Calculation 3 4 5 4" xfId="31841" xr:uid="{00000000-0005-0000-0000-0000427C0000}"/>
    <cellStyle name="Calculation 3 4 5 5" xfId="31842" xr:uid="{00000000-0005-0000-0000-0000437C0000}"/>
    <cellStyle name="Calculation 3 4 5 6" xfId="31843" xr:uid="{00000000-0005-0000-0000-0000447C0000}"/>
    <cellStyle name="Calculation 3 4 6" xfId="31844" xr:uid="{00000000-0005-0000-0000-0000457C0000}"/>
    <cellStyle name="Calculation 3 4 6 2" xfId="31845" xr:uid="{00000000-0005-0000-0000-0000467C0000}"/>
    <cellStyle name="Calculation 3 4 6 3" xfId="31846" xr:uid="{00000000-0005-0000-0000-0000477C0000}"/>
    <cellStyle name="Calculation 3 4 6 4" xfId="31847" xr:uid="{00000000-0005-0000-0000-0000487C0000}"/>
    <cellStyle name="Calculation 3 4 6 5" xfId="31848" xr:uid="{00000000-0005-0000-0000-0000497C0000}"/>
    <cellStyle name="Calculation 3 4 6 6" xfId="31849" xr:uid="{00000000-0005-0000-0000-00004A7C0000}"/>
    <cellStyle name="Calculation 3 4 7" xfId="31850" xr:uid="{00000000-0005-0000-0000-00004B7C0000}"/>
    <cellStyle name="Calculation 3 4 7 2" xfId="31851" xr:uid="{00000000-0005-0000-0000-00004C7C0000}"/>
    <cellStyle name="Calculation 3 4 7 3" xfId="31852" xr:uid="{00000000-0005-0000-0000-00004D7C0000}"/>
    <cellStyle name="Calculation 3 4 7 4" xfId="31853" xr:uid="{00000000-0005-0000-0000-00004E7C0000}"/>
    <cellStyle name="Calculation 3 4 7 5" xfId="31854" xr:uid="{00000000-0005-0000-0000-00004F7C0000}"/>
    <cellStyle name="Calculation 3 4 7 6" xfId="31855" xr:uid="{00000000-0005-0000-0000-0000507C0000}"/>
    <cellStyle name="Calculation 3 4 8" xfId="31856" xr:uid="{00000000-0005-0000-0000-0000517C0000}"/>
    <cellStyle name="Calculation 3 4 9" xfId="31857" xr:uid="{00000000-0005-0000-0000-0000527C0000}"/>
    <cellStyle name="Calculation 3 5" xfId="31858" xr:uid="{00000000-0005-0000-0000-0000537C0000}"/>
    <cellStyle name="Calculation 3 5 10" xfId="31859" xr:uid="{00000000-0005-0000-0000-0000547C0000}"/>
    <cellStyle name="Calculation 3 5 2" xfId="31860" xr:uid="{00000000-0005-0000-0000-0000557C0000}"/>
    <cellStyle name="Calculation 3 5 2 2" xfId="31861" xr:uid="{00000000-0005-0000-0000-0000567C0000}"/>
    <cellStyle name="Calculation 3 5 2 3" xfId="31862" xr:uid="{00000000-0005-0000-0000-0000577C0000}"/>
    <cellStyle name="Calculation 3 5 2 4" xfId="31863" xr:uid="{00000000-0005-0000-0000-0000587C0000}"/>
    <cellStyle name="Calculation 3 5 2 5" xfId="31864" xr:uid="{00000000-0005-0000-0000-0000597C0000}"/>
    <cellStyle name="Calculation 3 5 2 6" xfId="31865" xr:uid="{00000000-0005-0000-0000-00005A7C0000}"/>
    <cellStyle name="Calculation 3 5 3" xfId="31866" xr:uid="{00000000-0005-0000-0000-00005B7C0000}"/>
    <cellStyle name="Calculation 3 5 3 2" xfId="31867" xr:uid="{00000000-0005-0000-0000-00005C7C0000}"/>
    <cellStyle name="Calculation 3 5 3 3" xfId="31868" xr:uid="{00000000-0005-0000-0000-00005D7C0000}"/>
    <cellStyle name="Calculation 3 5 3 4" xfId="31869" xr:uid="{00000000-0005-0000-0000-00005E7C0000}"/>
    <cellStyle name="Calculation 3 5 3 5" xfId="31870" xr:uid="{00000000-0005-0000-0000-00005F7C0000}"/>
    <cellStyle name="Calculation 3 5 3 6" xfId="31871" xr:uid="{00000000-0005-0000-0000-0000607C0000}"/>
    <cellStyle name="Calculation 3 5 4" xfId="31872" xr:uid="{00000000-0005-0000-0000-0000617C0000}"/>
    <cellStyle name="Calculation 3 5 4 2" xfId="31873" xr:uid="{00000000-0005-0000-0000-0000627C0000}"/>
    <cellStyle name="Calculation 3 5 4 3" xfId="31874" xr:uid="{00000000-0005-0000-0000-0000637C0000}"/>
    <cellStyle name="Calculation 3 5 4 4" xfId="31875" xr:uid="{00000000-0005-0000-0000-0000647C0000}"/>
    <cellStyle name="Calculation 3 5 4 5" xfId="31876" xr:uid="{00000000-0005-0000-0000-0000657C0000}"/>
    <cellStyle name="Calculation 3 5 4 6" xfId="31877" xr:uid="{00000000-0005-0000-0000-0000667C0000}"/>
    <cellStyle name="Calculation 3 5 5" xfId="31878" xr:uid="{00000000-0005-0000-0000-0000677C0000}"/>
    <cellStyle name="Calculation 3 5 5 2" xfId="31879" xr:uid="{00000000-0005-0000-0000-0000687C0000}"/>
    <cellStyle name="Calculation 3 5 5 3" xfId="31880" xr:uid="{00000000-0005-0000-0000-0000697C0000}"/>
    <cellStyle name="Calculation 3 5 5 4" xfId="31881" xr:uid="{00000000-0005-0000-0000-00006A7C0000}"/>
    <cellStyle name="Calculation 3 5 5 5" xfId="31882" xr:uid="{00000000-0005-0000-0000-00006B7C0000}"/>
    <cellStyle name="Calculation 3 5 5 6" xfId="31883" xr:uid="{00000000-0005-0000-0000-00006C7C0000}"/>
    <cellStyle name="Calculation 3 5 6" xfId="31884" xr:uid="{00000000-0005-0000-0000-00006D7C0000}"/>
    <cellStyle name="Calculation 3 5 6 2" xfId="31885" xr:uid="{00000000-0005-0000-0000-00006E7C0000}"/>
    <cellStyle name="Calculation 3 5 6 3" xfId="31886" xr:uid="{00000000-0005-0000-0000-00006F7C0000}"/>
    <cellStyle name="Calculation 3 5 6 4" xfId="31887" xr:uid="{00000000-0005-0000-0000-0000707C0000}"/>
    <cellStyle name="Calculation 3 5 6 5" xfId="31888" xr:uid="{00000000-0005-0000-0000-0000717C0000}"/>
    <cellStyle name="Calculation 3 5 6 6" xfId="31889" xr:uid="{00000000-0005-0000-0000-0000727C0000}"/>
    <cellStyle name="Calculation 3 5 7" xfId="31890" xr:uid="{00000000-0005-0000-0000-0000737C0000}"/>
    <cellStyle name="Calculation 3 5 7 2" xfId="31891" xr:uid="{00000000-0005-0000-0000-0000747C0000}"/>
    <cellStyle name="Calculation 3 5 7 3" xfId="31892" xr:uid="{00000000-0005-0000-0000-0000757C0000}"/>
    <cellStyle name="Calculation 3 5 7 4" xfId="31893" xr:uid="{00000000-0005-0000-0000-0000767C0000}"/>
    <cellStyle name="Calculation 3 5 7 5" xfId="31894" xr:uid="{00000000-0005-0000-0000-0000777C0000}"/>
    <cellStyle name="Calculation 3 5 7 6" xfId="31895" xr:uid="{00000000-0005-0000-0000-0000787C0000}"/>
    <cellStyle name="Calculation 3 5 8" xfId="31896" xr:uid="{00000000-0005-0000-0000-0000797C0000}"/>
    <cellStyle name="Calculation 3 5 9" xfId="31897" xr:uid="{00000000-0005-0000-0000-00007A7C0000}"/>
    <cellStyle name="Calculation 3 6" xfId="31898" xr:uid="{00000000-0005-0000-0000-00007B7C0000}"/>
    <cellStyle name="Calculation 3 6 10" xfId="31899" xr:uid="{00000000-0005-0000-0000-00007C7C0000}"/>
    <cellStyle name="Calculation 3 6 2" xfId="31900" xr:uid="{00000000-0005-0000-0000-00007D7C0000}"/>
    <cellStyle name="Calculation 3 6 2 2" xfId="31901" xr:uid="{00000000-0005-0000-0000-00007E7C0000}"/>
    <cellStyle name="Calculation 3 6 2 3" xfId="31902" xr:uid="{00000000-0005-0000-0000-00007F7C0000}"/>
    <cellStyle name="Calculation 3 6 2 4" xfId="31903" xr:uid="{00000000-0005-0000-0000-0000807C0000}"/>
    <cellStyle name="Calculation 3 6 2 5" xfId="31904" xr:uid="{00000000-0005-0000-0000-0000817C0000}"/>
    <cellStyle name="Calculation 3 6 2 6" xfId="31905" xr:uid="{00000000-0005-0000-0000-0000827C0000}"/>
    <cellStyle name="Calculation 3 6 3" xfId="31906" xr:uid="{00000000-0005-0000-0000-0000837C0000}"/>
    <cellStyle name="Calculation 3 6 3 2" xfId="31907" xr:uid="{00000000-0005-0000-0000-0000847C0000}"/>
    <cellStyle name="Calculation 3 6 3 3" xfId="31908" xr:uid="{00000000-0005-0000-0000-0000857C0000}"/>
    <cellStyle name="Calculation 3 6 3 4" xfId="31909" xr:uid="{00000000-0005-0000-0000-0000867C0000}"/>
    <cellStyle name="Calculation 3 6 3 5" xfId="31910" xr:uid="{00000000-0005-0000-0000-0000877C0000}"/>
    <cellStyle name="Calculation 3 6 3 6" xfId="31911" xr:uid="{00000000-0005-0000-0000-0000887C0000}"/>
    <cellStyle name="Calculation 3 6 4" xfId="31912" xr:uid="{00000000-0005-0000-0000-0000897C0000}"/>
    <cellStyle name="Calculation 3 6 4 2" xfId="31913" xr:uid="{00000000-0005-0000-0000-00008A7C0000}"/>
    <cellStyle name="Calculation 3 6 4 3" xfId="31914" xr:uid="{00000000-0005-0000-0000-00008B7C0000}"/>
    <cellStyle name="Calculation 3 6 4 4" xfId="31915" xr:uid="{00000000-0005-0000-0000-00008C7C0000}"/>
    <cellStyle name="Calculation 3 6 4 5" xfId="31916" xr:uid="{00000000-0005-0000-0000-00008D7C0000}"/>
    <cellStyle name="Calculation 3 6 4 6" xfId="31917" xr:uid="{00000000-0005-0000-0000-00008E7C0000}"/>
    <cellStyle name="Calculation 3 6 5" xfId="31918" xr:uid="{00000000-0005-0000-0000-00008F7C0000}"/>
    <cellStyle name="Calculation 3 6 5 2" xfId="31919" xr:uid="{00000000-0005-0000-0000-0000907C0000}"/>
    <cellStyle name="Calculation 3 6 5 3" xfId="31920" xr:uid="{00000000-0005-0000-0000-0000917C0000}"/>
    <cellStyle name="Calculation 3 6 5 4" xfId="31921" xr:uid="{00000000-0005-0000-0000-0000927C0000}"/>
    <cellStyle name="Calculation 3 6 5 5" xfId="31922" xr:uid="{00000000-0005-0000-0000-0000937C0000}"/>
    <cellStyle name="Calculation 3 6 5 6" xfId="31923" xr:uid="{00000000-0005-0000-0000-0000947C0000}"/>
    <cellStyle name="Calculation 3 6 6" xfId="31924" xr:uid="{00000000-0005-0000-0000-0000957C0000}"/>
    <cellStyle name="Calculation 3 6 6 2" xfId="31925" xr:uid="{00000000-0005-0000-0000-0000967C0000}"/>
    <cellStyle name="Calculation 3 6 6 3" xfId="31926" xr:uid="{00000000-0005-0000-0000-0000977C0000}"/>
    <cellStyle name="Calculation 3 6 6 4" xfId="31927" xr:uid="{00000000-0005-0000-0000-0000987C0000}"/>
    <cellStyle name="Calculation 3 6 6 5" xfId="31928" xr:uid="{00000000-0005-0000-0000-0000997C0000}"/>
    <cellStyle name="Calculation 3 6 6 6" xfId="31929" xr:uid="{00000000-0005-0000-0000-00009A7C0000}"/>
    <cellStyle name="Calculation 3 6 7" xfId="31930" xr:uid="{00000000-0005-0000-0000-00009B7C0000}"/>
    <cellStyle name="Calculation 3 6 7 2" xfId="31931" xr:uid="{00000000-0005-0000-0000-00009C7C0000}"/>
    <cellStyle name="Calculation 3 6 7 3" xfId="31932" xr:uid="{00000000-0005-0000-0000-00009D7C0000}"/>
    <cellStyle name="Calculation 3 6 7 4" xfId="31933" xr:uid="{00000000-0005-0000-0000-00009E7C0000}"/>
    <cellStyle name="Calculation 3 6 7 5" xfId="31934" xr:uid="{00000000-0005-0000-0000-00009F7C0000}"/>
    <cellStyle name="Calculation 3 6 7 6" xfId="31935" xr:uid="{00000000-0005-0000-0000-0000A07C0000}"/>
    <cellStyle name="Calculation 3 6 8" xfId="31936" xr:uid="{00000000-0005-0000-0000-0000A17C0000}"/>
    <cellStyle name="Calculation 3 6 9" xfId="31937" xr:uid="{00000000-0005-0000-0000-0000A27C0000}"/>
    <cellStyle name="Calculation 3 7" xfId="31938" xr:uid="{00000000-0005-0000-0000-0000A37C0000}"/>
    <cellStyle name="Calculation 3 7 10" xfId="31939" xr:uid="{00000000-0005-0000-0000-0000A47C0000}"/>
    <cellStyle name="Calculation 3 7 2" xfId="31940" xr:uid="{00000000-0005-0000-0000-0000A57C0000}"/>
    <cellStyle name="Calculation 3 7 2 2" xfId="31941" xr:uid="{00000000-0005-0000-0000-0000A67C0000}"/>
    <cellStyle name="Calculation 3 7 2 3" xfId="31942" xr:uid="{00000000-0005-0000-0000-0000A77C0000}"/>
    <cellStyle name="Calculation 3 7 2 4" xfId="31943" xr:uid="{00000000-0005-0000-0000-0000A87C0000}"/>
    <cellStyle name="Calculation 3 7 2 5" xfId="31944" xr:uid="{00000000-0005-0000-0000-0000A97C0000}"/>
    <cellStyle name="Calculation 3 7 2 6" xfId="31945" xr:uid="{00000000-0005-0000-0000-0000AA7C0000}"/>
    <cellStyle name="Calculation 3 7 3" xfId="31946" xr:uid="{00000000-0005-0000-0000-0000AB7C0000}"/>
    <cellStyle name="Calculation 3 7 3 2" xfId="31947" xr:uid="{00000000-0005-0000-0000-0000AC7C0000}"/>
    <cellStyle name="Calculation 3 7 3 3" xfId="31948" xr:uid="{00000000-0005-0000-0000-0000AD7C0000}"/>
    <cellStyle name="Calculation 3 7 3 4" xfId="31949" xr:uid="{00000000-0005-0000-0000-0000AE7C0000}"/>
    <cellStyle name="Calculation 3 7 3 5" xfId="31950" xr:uid="{00000000-0005-0000-0000-0000AF7C0000}"/>
    <cellStyle name="Calculation 3 7 3 6" xfId="31951" xr:uid="{00000000-0005-0000-0000-0000B07C0000}"/>
    <cellStyle name="Calculation 3 7 4" xfId="31952" xr:uid="{00000000-0005-0000-0000-0000B17C0000}"/>
    <cellStyle name="Calculation 3 7 4 2" xfId="31953" xr:uid="{00000000-0005-0000-0000-0000B27C0000}"/>
    <cellStyle name="Calculation 3 7 4 3" xfId="31954" xr:uid="{00000000-0005-0000-0000-0000B37C0000}"/>
    <cellStyle name="Calculation 3 7 4 4" xfId="31955" xr:uid="{00000000-0005-0000-0000-0000B47C0000}"/>
    <cellStyle name="Calculation 3 7 4 5" xfId="31956" xr:uid="{00000000-0005-0000-0000-0000B57C0000}"/>
    <cellStyle name="Calculation 3 7 4 6" xfId="31957" xr:uid="{00000000-0005-0000-0000-0000B67C0000}"/>
    <cellStyle name="Calculation 3 7 5" xfId="31958" xr:uid="{00000000-0005-0000-0000-0000B77C0000}"/>
    <cellStyle name="Calculation 3 7 5 2" xfId="31959" xr:uid="{00000000-0005-0000-0000-0000B87C0000}"/>
    <cellStyle name="Calculation 3 7 5 3" xfId="31960" xr:uid="{00000000-0005-0000-0000-0000B97C0000}"/>
    <cellStyle name="Calculation 3 7 5 4" xfId="31961" xr:uid="{00000000-0005-0000-0000-0000BA7C0000}"/>
    <cellStyle name="Calculation 3 7 5 5" xfId="31962" xr:uid="{00000000-0005-0000-0000-0000BB7C0000}"/>
    <cellStyle name="Calculation 3 7 5 6" xfId="31963" xr:uid="{00000000-0005-0000-0000-0000BC7C0000}"/>
    <cellStyle name="Calculation 3 7 6" xfId="31964" xr:uid="{00000000-0005-0000-0000-0000BD7C0000}"/>
    <cellStyle name="Calculation 3 7 6 2" xfId="31965" xr:uid="{00000000-0005-0000-0000-0000BE7C0000}"/>
    <cellStyle name="Calculation 3 7 6 3" xfId="31966" xr:uid="{00000000-0005-0000-0000-0000BF7C0000}"/>
    <cellStyle name="Calculation 3 7 6 4" xfId="31967" xr:uid="{00000000-0005-0000-0000-0000C07C0000}"/>
    <cellStyle name="Calculation 3 7 6 5" xfId="31968" xr:uid="{00000000-0005-0000-0000-0000C17C0000}"/>
    <cellStyle name="Calculation 3 7 6 6" xfId="31969" xr:uid="{00000000-0005-0000-0000-0000C27C0000}"/>
    <cellStyle name="Calculation 3 7 7" xfId="31970" xr:uid="{00000000-0005-0000-0000-0000C37C0000}"/>
    <cellStyle name="Calculation 3 7 7 2" xfId="31971" xr:uid="{00000000-0005-0000-0000-0000C47C0000}"/>
    <cellStyle name="Calculation 3 7 7 3" xfId="31972" xr:uid="{00000000-0005-0000-0000-0000C57C0000}"/>
    <cellStyle name="Calculation 3 7 7 4" xfId="31973" xr:uid="{00000000-0005-0000-0000-0000C67C0000}"/>
    <cellStyle name="Calculation 3 7 7 5" xfId="31974" xr:uid="{00000000-0005-0000-0000-0000C77C0000}"/>
    <cellStyle name="Calculation 3 7 7 6" xfId="31975" xr:uid="{00000000-0005-0000-0000-0000C87C0000}"/>
    <cellStyle name="Calculation 3 7 8" xfId="31976" xr:uid="{00000000-0005-0000-0000-0000C97C0000}"/>
    <cellStyle name="Calculation 3 7 9" xfId="31977" xr:uid="{00000000-0005-0000-0000-0000CA7C0000}"/>
    <cellStyle name="Calculation 3 8" xfId="31978" xr:uid="{00000000-0005-0000-0000-0000CB7C0000}"/>
    <cellStyle name="Calculation 3 8 10" xfId="31979" xr:uid="{00000000-0005-0000-0000-0000CC7C0000}"/>
    <cellStyle name="Calculation 3 8 2" xfId="31980" xr:uid="{00000000-0005-0000-0000-0000CD7C0000}"/>
    <cellStyle name="Calculation 3 8 2 2" xfId="31981" xr:uid="{00000000-0005-0000-0000-0000CE7C0000}"/>
    <cellStyle name="Calculation 3 8 2 3" xfId="31982" xr:uid="{00000000-0005-0000-0000-0000CF7C0000}"/>
    <cellStyle name="Calculation 3 8 2 4" xfId="31983" xr:uid="{00000000-0005-0000-0000-0000D07C0000}"/>
    <cellStyle name="Calculation 3 8 2 5" xfId="31984" xr:uid="{00000000-0005-0000-0000-0000D17C0000}"/>
    <cellStyle name="Calculation 3 8 2 6" xfId="31985" xr:uid="{00000000-0005-0000-0000-0000D27C0000}"/>
    <cellStyle name="Calculation 3 8 3" xfId="31986" xr:uid="{00000000-0005-0000-0000-0000D37C0000}"/>
    <cellStyle name="Calculation 3 8 3 2" xfId="31987" xr:uid="{00000000-0005-0000-0000-0000D47C0000}"/>
    <cellStyle name="Calculation 3 8 3 3" xfId="31988" xr:uid="{00000000-0005-0000-0000-0000D57C0000}"/>
    <cellStyle name="Calculation 3 8 3 4" xfId="31989" xr:uid="{00000000-0005-0000-0000-0000D67C0000}"/>
    <cellStyle name="Calculation 3 8 3 5" xfId="31990" xr:uid="{00000000-0005-0000-0000-0000D77C0000}"/>
    <cellStyle name="Calculation 3 8 3 6" xfId="31991" xr:uid="{00000000-0005-0000-0000-0000D87C0000}"/>
    <cellStyle name="Calculation 3 8 4" xfId="31992" xr:uid="{00000000-0005-0000-0000-0000D97C0000}"/>
    <cellStyle name="Calculation 3 8 4 2" xfId="31993" xr:uid="{00000000-0005-0000-0000-0000DA7C0000}"/>
    <cellStyle name="Calculation 3 8 4 3" xfId="31994" xr:uid="{00000000-0005-0000-0000-0000DB7C0000}"/>
    <cellStyle name="Calculation 3 8 4 4" xfId="31995" xr:uid="{00000000-0005-0000-0000-0000DC7C0000}"/>
    <cellStyle name="Calculation 3 8 4 5" xfId="31996" xr:uid="{00000000-0005-0000-0000-0000DD7C0000}"/>
    <cellStyle name="Calculation 3 8 4 6" xfId="31997" xr:uid="{00000000-0005-0000-0000-0000DE7C0000}"/>
    <cellStyle name="Calculation 3 8 5" xfId="31998" xr:uid="{00000000-0005-0000-0000-0000DF7C0000}"/>
    <cellStyle name="Calculation 3 8 5 2" xfId="31999" xr:uid="{00000000-0005-0000-0000-0000E07C0000}"/>
    <cellStyle name="Calculation 3 8 5 3" xfId="32000" xr:uid="{00000000-0005-0000-0000-0000E17C0000}"/>
    <cellStyle name="Calculation 3 8 5 4" xfId="32001" xr:uid="{00000000-0005-0000-0000-0000E27C0000}"/>
    <cellStyle name="Calculation 3 8 5 5" xfId="32002" xr:uid="{00000000-0005-0000-0000-0000E37C0000}"/>
    <cellStyle name="Calculation 3 8 5 6" xfId="32003" xr:uid="{00000000-0005-0000-0000-0000E47C0000}"/>
    <cellStyle name="Calculation 3 8 6" xfId="32004" xr:uid="{00000000-0005-0000-0000-0000E57C0000}"/>
    <cellStyle name="Calculation 3 8 6 2" xfId="32005" xr:uid="{00000000-0005-0000-0000-0000E67C0000}"/>
    <cellStyle name="Calculation 3 8 6 3" xfId="32006" xr:uid="{00000000-0005-0000-0000-0000E77C0000}"/>
    <cellStyle name="Calculation 3 8 6 4" xfId="32007" xr:uid="{00000000-0005-0000-0000-0000E87C0000}"/>
    <cellStyle name="Calculation 3 8 6 5" xfId="32008" xr:uid="{00000000-0005-0000-0000-0000E97C0000}"/>
    <cellStyle name="Calculation 3 8 6 6" xfId="32009" xr:uid="{00000000-0005-0000-0000-0000EA7C0000}"/>
    <cellStyle name="Calculation 3 8 7" xfId="32010" xr:uid="{00000000-0005-0000-0000-0000EB7C0000}"/>
    <cellStyle name="Calculation 3 8 7 2" xfId="32011" xr:uid="{00000000-0005-0000-0000-0000EC7C0000}"/>
    <cellStyle name="Calculation 3 8 7 3" xfId="32012" xr:uid="{00000000-0005-0000-0000-0000ED7C0000}"/>
    <cellStyle name="Calculation 3 8 7 4" xfId="32013" xr:uid="{00000000-0005-0000-0000-0000EE7C0000}"/>
    <cellStyle name="Calculation 3 8 7 5" xfId="32014" xr:uid="{00000000-0005-0000-0000-0000EF7C0000}"/>
    <cellStyle name="Calculation 3 8 7 6" xfId="32015" xr:uid="{00000000-0005-0000-0000-0000F07C0000}"/>
    <cellStyle name="Calculation 3 8 8" xfId="32016" xr:uid="{00000000-0005-0000-0000-0000F17C0000}"/>
    <cellStyle name="Calculation 3 8 9" xfId="32017" xr:uid="{00000000-0005-0000-0000-0000F27C0000}"/>
    <cellStyle name="Calculation 3 9" xfId="32018" xr:uid="{00000000-0005-0000-0000-0000F37C0000}"/>
    <cellStyle name="Calculation 3 9 10" xfId="32019" xr:uid="{00000000-0005-0000-0000-0000F47C0000}"/>
    <cellStyle name="Calculation 3 9 2" xfId="32020" xr:uid="{00000000-0005-0000-0000-0000F57C0000}"/>
    <cellStyle name="Calculation 3 9 2 2" xfId="32021" xr:uid="{00000000-0005-0000-0000-0000F67C0000}"/>
    <cellStyle name="Calculation 3 9 2 3" xfId="32022" xr:uid="{00000000-0005-0000-0000-0000F77C0000}"/>
    <cellStyle name="Calculation 3 9 2 4" xfId="32023" xr:uid="{00000000-0005-0000-0000-0000F87C0000}"/>
    <cellStyle name="Calculation 3 9 2 5" xfId="32024" xr:uid="{00000000-0005-0000-0000-0000F97C0000}"/>
    <cellStyle name="Calculation 3 9 2 6" xfId="32025" xr:uid="{00000000-0005-0000-0000-0000FA7C0000}"/>
    <cellStyle name="Calculation 3 9 3" xfId="32026" xr:uid="{00000000-0005-0000-0000-0000FB7C0000}"/>
    <cellStyle name="Calculation 3 9 3 2" xfId="32027" xr:uid="{00000000-0005-0000-0000-0000FC7C0000}"/>
    <cellStyle name="Calculation 3 9 3 3" xfId="32028" xr:uid="{00000000-0005-0000-0000-0000FD7C0000}"/>
    <cellStyle name="Calculation 3 9 3 4" xfId="32029" xr:uid="{00000000-0005-0000-0000-0000FE7C0000}"/>
    <cellStyle name="Calculation 3 9 3 5" xfId="32030" xr:uid="{00000000-0005-0000-0000-0000FF7C0000}"/>
    <cellStyle name="Calculation 3 9 3 6" xfId="32031" xr:uid="{00000000-0005-0000-0000-0000007D0000}"/>
    <cellStyle name="Calculation 3 9 4" xfId="32032" xr:uid="{00000000-0005-0000-0000-0000017D0000}"/>
    <cellStyle name="Calculation 3 9 4 2" xfId="32033" xr:uid="{00000000-0005-0000-0000-0000027D0000}"/>
    <cellStyle name="Calculation 3 9 4 3" xfId="32034" xr:uid="{00000000-0005-0000-0000-0000037D0000}"/>
    <cellStyle name="Calculation 3 9 4 4" xfId="32035" xr:uid="{00000000-0005-0000-0000-0000047D0000}"/>
    <cellStyle name="Calculation 3 9 4 5" xfId="32036" xr:uid="{00000000-0005-0000-0000-0000057D0000}"/>
    <cellStyle name="Calculation 3 9 4 6" xfId="32037" xr:uid="{00000000-0005-0000-0000-0000067D0000}"/>
    <cellStyle name="Calculation 3 9 5" xfId="32038" xr:uid="{00000000-0005-0000-0000-0000077D0000}"/>
    <cellStyle name="Calculation 3 9 5 2" xfId="32039" xr:uid="{00000000-0005-0000-0000-0000087D0000}"/>
    <cellStyle name="Calculation 3 9 5 3" xfId="32040" xr:uid="{00000000-0005-0000-0000-0000097D0000}"/>
    <cellStyle name="Calculation 3 9 5 4" xfId="32041" xr:uid="{00000000-0005-0000-0000-00000A7D0000}"/>
    <cellStyle name="Calculation 3 9 5 5" xfId="32042" xr:uid="{00000000-0005-0000-0000-00000B7D0000}"/>
    <cellStyle name="Calculation 3 9 5 6" xfId="32043" xr:uid="{00000000-0005-0000-0000-00000C7D0000}"/>
    <cellStyle name="Calculation 3 9 6" xfId="32044" xr:uid="{00000000-0005-0000-0000-00000D7D0000}"/>
    <cellStyle name="Calculation 3 9 6 2" xfId="32045" xr:uid="{00000000-0005-0000-0000-00000E7D0000}"/>
    <cellStyle name="Calculation 3 9 6 3" xfId="32046" xr:uid="{00000000-0005-0000-0000-00000F7D0000}"/>
    <cellStyle name="Calculation 3 9 6 4" xfId="32047" xr:uid="{00000000-0005-0000-0000-0000107D0000}"/>
    <cellStyle name="Calculation 3 9 6 5" xfId="32048" xr:uid="{00000000-0005-0000-0000-0000117D0000}"/>
    <cellStyle name="Calculation 3 9 6 6" xfId="32049" xr:uid="{00000000-0005-0000-0000-0000127D0000}"/>
    <cellStyle name="Calculation 3 9 7" xfId="32050" xr:uid="{00000000-0005-0000-0000-0000137D0000}"/>
    <cellStyle name="Calculation 3 9 7 2" xfId="32051" xr:uid="{00000000-0005-0000-0000-0000147D0000}"/>
    <cellStyle name="Calculation 3 9 7 3" xfId="32052" xr:uid="{00000000-0005-0000-0000-0000157D0000}"/>
    <cellStyle name="Calculation 3 9 7 4" xfId="32053" xr:uid="{00000000-0005-0000-0000-0000167D0000}"/>
    <cellStyle name="Calculation 3 9 7 5" xfId="32054" xr:uid="{00000000-0005-0000-0000-0000177D0000}"/>
    <cellStyle name="Calculation 3 9 7 6" xfId="32055" xr:uid="{00000000-0005-0000-0000-0000187D0000}"/>
    <cellStyle name="Calculation 3 9 8" xfId="32056" xr:uid="{00000000-0005-0000-0000-0000197D0000}"/>
    <cellStyle name="Calculation 3 9 9" xfId="32057" xr:uid="{00000000-0005-0000-0000-00001A7D0000}"/>
    <cellStyle name="Calculation 4" xfId="32058" xr:uid="{00000000-0005-0000-0000-00001B7D0000}"/>
    <cellStyle name="Calculation 4 10" xfId="32059" xr:uid="{00000000-0005-0000-0000-00001C7D0000}"/>
    <cellStyle name="Calculation 4 10 10" xfId="32060" xr:uid="{00000000-0005-0000-0000-00001D7D0000}"/>
    <cellStyle name="Calculation 4 10 2" xfId="32061" xr:uid="{00000000-0005-0000-0000-00001E7D0000}"/>
    <cellStyle name="Calculation 4 10 2 2" xfId="32062" xr:uid="{00000000-0005-0000-0000-00001F7D0000}"/>
    <cellStyle name="Calculation 4 10 2 3" xfId="32063" xr:uid="{00000000-0005-0000-0000-0000207D0000}"/>
    <cellStyle name="Calculation 4 10 2 4" xfId="32064" xr:uid="{00000000-0005-0000-0000-0000217D0000}"/>
    <cellStyle name="Calculation 4 10 2 5" xfId="32065" xr:uid="{00000000-0005-0000-0000-0000227D0000}"/>
    <cellStyle name="Calculation 4 10 2 6" xfId="32066" xr:uid="{00000000-0005-0000-0000-0000237D0000}"/>
    <cellStyle name="Calculation 4 10 3" xfId="32067" xr:uid="{00000000-0005-0000-0000-0000247D0000}"/>
    <cellStyle name="Calculation 4 10 3 2" xfId="32068" xr:uid="{00000000-0005-0000-0000-0000257D0000}"/>
    <cellStyle name="Calculation 4 10 3 3" xfId="32069" xr:uid="{00000000-0005-0000-0000-0000267D0000}"/>
    <cellStyle name="Calculation 4 10 3 4" xfId="32070" xr:uid="{00000000-0005-0000-0000-0000277D0000}"/>
    <cellStyle name="Calculation 4 10 3 5" xfId="32071" xr:uid="{00000000-0005-0000-0000-0000287D0000}"/>
    <cellStyle name="Calculation 4 10 3 6" xfId="32072" xr:uid="{00000000-0005-0000-0000-0000297D0000}"/>
    <cellStyle name="Calculation 4 10 4" xfId="32073" xr:uid="{00000000-0005-0000-0000-00002A7D0000}"/>
    <cellStyle name="Calculation 4 10 4 2" xfId="32074" xr:uid="{00000000-0005-0000-0000-00002B7D0000}"/>
    <cellStyle name="Calculation 4 10 4 3" xfId="32075" xr:uid="{00000000-0005-0000-0000-00002C7D0000}"/>
    <cellStyle name="Calculation 4 10 4 4" xfId="32076" xr:uid="{00000000-0005-0000-0000-00002D7D0000}"/>
    <cellStyle name="Calculation 4 10 4 5" xfId="32077" xr:uid="{00000000-0005-0000-0000-00002E7D0000}"/>
    <cellStyle name="Calculation 4 10 4 6" xfId="32078" xr:uid="{00000000-0005-0000-0000-00002F7D0000}"/>
    <cellStyle name="Calculation 4 10 5" xfId="32079" xr:uid="{00000000-0005-0000-0000-0000307D0000}"/>
    <cellStyle name="Calculation 4 10 5 2" xfId="32080" xr:uid="{00000000-0005-0000-0000-0000317D0000}"/>
    <cellStyle name="Calculation 4 10 5 3" xfId="32081" xr:uid="{00000000-0005-0000-0000-0000327D0000}"/>
    <cellStyle name="Calculation 4 10 5 4" xfId="32082" xr:uid="{00000000-0005-0000-0000-0000337D0000}"/>
    <cellStyle name="Calculation 4 10 5 5" xfId="32083" xr:uid="{00000000-0005-0000-0000-0000347D0000}"/>
    <cellStyle name="Calculation 4 10 5 6" xfId="32084" xr:uid="{00000000-0005-0000-0000-0000357D0000}"/>
    <cellStyle name="Calculation 4 10 6" xfId="32085" xr:uid="{00000000-0005-0000-0000-0000367D0000}"/>
    <cellStyle name="Calculation 4 10 6 2" xfId="32086" xr:uid="{00000000-0005-0000-0000-0000377D0000}"/>
    <cellStyle name="Calculation 4 10 6 3" xfId="32087" xr:uid="{00000000-0005-0000-0000-0000387D0000}"/>
    <cellStyle name="Calculation 4 10 6 4" xfId="32088" xr:uid="{00000000-0005-0000-0000-0000397D0000}"/>
    <cellStyle name="Calculation 4 10 6 5" xfId="32089" xr:uid="{00000000-0005-0000-0000-00003A7D0000}"/>
    <cellStyle name="Calculation 4 10 6 6" xfId="32090" xr:uid="{00000000-0005-0000-0000-00003B7D0000}"/>
    <cellStyle name="Calculation 4 10 7" xfId="32091" xr:uid="{00000000-0005-0000-0000-00003C7D0000}"/>
    <cellStyle name="Calculation 4 10 7 2" xfId="32092" xr:uid="{00000000-0005-0000-0000-00003D7D0000}"/>
    <cellStyle name="Calculation 4 10 7 3" xfId="32093" xr:uid="{00000000-0005-0000-0000-00003E7D0000}"/>
    <cellStyle name="Calculation 4 10 7 4" xfId="32094" xr:uid="{00000000-0005-0000-0000-00003F7D0000}"/>
    <cellStyle name="Calculation 4 10 7 5" xfId="32095" xr:uid="{00000000-0005-0000-0000-0000407D0000}"/>
    <cellStyle name="Calculation 4 10 7 6" xfId="32096" xr:uid="{00000000-0005-0000-0000-0000417D0000}"/>
    <cellStyle name="Calculation 4 10 8" xfId="32097" xr:uid="{00000000-0005-0000-0000-0000427D0000}"/>
    <cellStyle name="Calculation 4 10 9" xfId="32098" xr:uid="{00000000-0005-0000-0000-0000437D0000}"/>
    <cellStyle name="Calculation 4 11" xfId="32099" xr:uid="{00000000-0005-0000-0000-0000447D0000}"/>
    <cellStyle name="Calculation 4 11 10" xfId="32100" xr:uid="{00000000-0005-0000-0000-0000457D0000}"/>
    <cellStyle name="Calculation 4 11 2" xfId="32101" xr:uid="{00000000-0005-0000-0000-0000467D0000}"/>
    <cellStyle name="Calculation 4 11 2 2" xfId="32102" xr:uid="{00000000-0005-0000-0000-0000477D0000}"/>
    <cellStyle name="Calculation 4 11 2 3" xfId="32103" xr:uid="{00000000-0005-0000-0000-0000487D0000}"/>
    <cellStyle name="Calculation 4 11 2 4" xfId="32104" xr:uid="{00000000-0005-0000-0000-0000497D0000}"/>
    <cellStyle name="Calculation 4 11 2 5" xfId="32105" xr:uid="{00000000-0005-0000-0000-00004A7D0000}"/>
    <cellStyle name="Calculation 4 11 2 6" xfId="32106" xr:uid="{00000000-0005-0000-0000-00004B7D0000}"/>
    <cellStyle name="Calculation 4 11 3" xfId="32107" xr:uid="{00000000-0005-0000-0000-00004C7D0000}"/>
    <cellStyle name="Calculation 4 11 3 2" xfId="32108" xr:uid="{00000000-0005-0000-0000-00004D7D0000}"/>
    <cellStyle name="Calculation 4 11 3 3" xfId="32109" xr:uid="{00000000-0005-0000-0000-00004E7D0000}"/>
    <cellStyle name="Calculation 4 11 3 4" xfId="32110" xr:uid="{00000000-0005-0000-0000-00004F7D0000}"/>
    <cellStyle name="Calculation 4 11 3 5" xfId="32111" xr:uid="{00000000-0005-0000-0000-0000507D0000}"/>
    <cellStyle name="Calculation 4 11 3 6" xfId="32112" xr:uid="{00000000-0005-0000-0000-0000517D0000}"/>
    <cellStyle name="Calculation 4 11 4" xfId="32113" xr:uid="{00000000-0005-0000-0000-0000527D0000}"/>
    <cellStyle name="Calculation 4 11 4 2" xfId="32114" xr:uid="{00000000-0005-0000-0000-0000537D0000}"/>
    <cellStyle name="Calculation 4 11 4 3" xfId="32115" xr:uid="{00000000-0005-0000-0000-0000547D0000}"/>
    <cellStyle name="Calculation 4 11 4 4" xfId="32116" xr:uid="{00000000-0005-0000-0000-0000557D0000}"/>
    <cellStyle name="Calculation 4 11 4 5" xfId="32117" xr:uid="{00000000-0005-0000-0000-0000567D0000}"/>
    <cellStyle name="Calculation 4 11 4 6" xfId="32118" xr:uid="{00000000-0005-0000-0000-0000577D0000}"/>
    <cellStyle name="Calculation 4 11 5" xfId="32119" xr:uid="{00000000-0005-0000-0000-0000587D0000}"/>
    <cellStyle name="Calculation 4 11 5 2" xfId="32120" xr:uid="{00000000-0005-0000-0000-0000597D0000}"/>
    <cellStyle name="Calculation 4 11 5 3" xfId="32121" xr:uid="{00000000-0005-0000-0000-00005A7D0000}"/>
    <cellStyle name="Calculation 4 11 5 4" xfId="32122" xr:uid="{00000000-0005-0000-0000-00005B7D0000}"/>
    <cellStyle name="Calculation 4 11 5 5" xfId="32123" xr:uid="{00000000-0005-0000-0000-00005C7D0000}"/>
    <cellStyle name="Calculation 4 11 5 6" xfId="32124" xr:uid="{00000000-0005-0000-0000-00005D7D0000}"/>
    <cellStyle name="Calculation 4 11 6" xfId="32125" xr:uid="{00000000-0005-0000-0000-00005E7D0000}"/>
    <cellStyle name="Calculation 4 11 6 2" xfId="32126" xr:uid="{00000000-0005-0000-0000-00005F7D0000}"/>
    <cellStyle name="Calculation 4 11 6 3" xfId="32127" xr:uid="{00000000-0005-0000-0000-0000607D0000}"/>
    <cellStyle name="Calculation 4 11 6 4" xfId="32128" xr:uid="{00000000-0005-0000-0000-0000617D0000}"/>
    <cellStyle name="Calculation 4 11 6 5" xfId="32129" xr:uid="{00000000-0005-0000-0000-0000627D0000}"/>
    <cellStyle name="Calculation 4 11 6 6" xfId="32130" xr:uid="{00000000-0005-0000-0000-0000637D0000}"/>
    <cellStyle name="Calculation 4 11 7" xfId="32131" xr:uid="{00000000-0005-0000-0000-0000647D0000}"/>
    <cellStyle name="Calculation 4 11 7 2" xfId="32132" xr:uid="{00000000-0005-0000-0000-0000657D0000}"/>
    <cellStyle name="Calculation 4 11 7 3" xfId="32133" xr:uid="{00000000-0005-0000-0000-0000667D0000}"/>
    <cellStyle name="Calculation 4 11 7 4" xfId="32134" xr:uid="{00000000-0005-0000-0000-0000677D0000}"/>
    <cellStyle name="Calculation 4 11 7 5" xfId="32135" xr:uid="{00000000-0005-0000-0000-0000687D0000}"/>
    <cellStyle name="Calculation 4 11 7 6" xfId="32136" xr:uid="{00000000-0005-0000-0000-0000697D0000}"/>
    <cellStyle name="Calculation 4 11 8" xfId="32137" xr:uid="{00000000-0005-0000-0000-00006A7D0000}"/>
    <cellStyle name="Calculation 4 11 9" xfId="32138" xr:uid="{00000000-0005-0000-0000-00006B7D0000}"/>
    <cellStyle name="Calculation 4 12" xfId="32139" xr:uid="{00000000-0005-0000-0000-00006C7D0000}"/>
    <cellStyle name="Calculation 4 12 10" xfId="32140" xr:uid="{00000000-0005-0000-0000-00006D7D0000}"/>
    <cellStyle name="Calculation 4 12 2" xfId="32141" xr:uid="{00000000-0005-0000-0000-00006E7D0000}"/>
    <cellStyle name="Calculation 4 12 2 2" xfId="32142" xr:uid="{00000000-0005-0000-0000-00006F7D0000}"/>
    <cellStyle name="Calculation 4 12 2 3" xfId="32143" xr:uid="{00000000-0005-0000-0000-0000707D0000}"/>
    <cellStyle name="Calculation 4 12 2 4" xfId="32144" xr:uid="{00000000-0005-0000-0000-0000717D0000}"/>
    <cellStyle name="Calculation 4 12 2 5" xfId="32145" xr:uid="{00000000-0005-0000-0000-0000727D0000}"/>
    <cellStyle name="Calculation 4 12 2 6" xfId="32146" xr:uid="{00000000-0005-0000-0000-0000737D0000}"/>
    <cellStyle name="Calculation 4 12 3" xfId="32147" xr:uid="{00000000-0005-0000-0000-0000747D0000}"/>
    <cellStyle name="Calculation 4 12 3 2" xfId="32148" xr:uid="{00000000-0005-0000-0000-0000757D0000}"/>
    <cellStyle name="Calculation 4 12 3 3" xfId="32149" xr:uid="{00000000-0005-0000-0000-0000767D0000}"/>
    <cellStyle name="Calculation 4 12 3 4" xfId="32150" xr:uid="{00000000-0005-0000-0000-0000777D0000}"/>
    <cellStyle name="Calculation 4 12 3 5" xfId="32151" xr:uid="{00000000-0005-0000-0000-0000787D0000}"/>
    <cellStyle name="Calculation 4 12 3 6" xfId="32152" xr:uid="{00000000-0005-0000-0000-0000797D0000}"/>
    <cellStyle name="Calculation 4 12 4" xfId="32153" xr:uid="{00000000-0005-0000-0000-00007A7D0000}"/>
    <cellStyle name="Calculation 4 12 4 2" xfId="32154" xr:uid="{00000000-0005-0000-0000-00007B7D0000}"/>
    <cellStyle name="Calculation 4 12 4 3" xfId="32155" xr:uid="{00000000-0005-0000-0000-00007C7D0000}"/>
    <cellStyle name="Calculation 4 12 4 4" xfId="32156" xr:uid="{00000000-0005-0000-0000-00007D7D0000}"/>
    <cellStyle name="Calculation 4 12 4 5" xfId="32157" xr:uid="{00000000-0005-0000-0000-00007E7D0000}"/>
    <cellStyle name="Calculation 4 12 4 6" xfId="32158" xr:uid="{00000000-0005-0000-0000-00007F7D0000}"/>
    <cellStyle name="Calculation 4 12 5" xfId="32159" xr:uid="{00000000-0005-0000-0000-0000807D0000}"/>
    <cellStyle name="Calculation 4 12 5 2" xfId="32160" xr:uid="{00000000-0005-0000-0000-0000817D0000}"/>
    <cellStyle name="Calculation 4 12 5 3" xfId="32161" xr:uid="{00000000-0005-0000-0000-0000827D0000}"/>
    <cellStyle name="Calculation 4 12 5 4" xfId="32162" xr:uid="{00000000-0005-0000-0000-0000837D0000}"/>
    <cellStyle name="Calculation 4 12 5 5" xfId="32163" xr:uid="{00000000-0005-0000-0000-0000847D0000}"/>
    <cellStyle name="Calculation 4 12 5 6" xfId="32164" xr:uid="{00000000-0005-0000-0000-0000857D0000}"/>
    <cellStyle name="Calculation 4 12 6" xfId="32165" xr:uid="{00000000-0005-0000-0000-0000867D0000}"/>
    <cellStyle name="Calculation 4 12 6 2" xfId="32166" xr:uid="{00000000-0005-0000-0000-0000877D0000}"/>
    <cellStyle name="Calculation 4 12 6 3" xfId="32167" xr:uid="{00000000-0005-0000-0000-0000887D0000}"/>
    <cellStyle name="Calculation 4 12 6 4" xfId="32168" xr:uid="{00000000-0005-0000-0000-0000897D0000}"/>
    <cellStyle name="Calculation 4 12 6 5" xfId="32169" xr:uid="{00000000-0005-0000-0000-00008A7D0000}"/>
    <cellStyle name="Calculation 4 12 6 6" xfId="32170" xr:uid="{00000000-0005-0000-0000-00008B7D0000}"/>
    <cellStyle name="Calculation 4 12 7" xfId="32171" xr:uid="{00000000-0005-0000-0000-00008C7D0000}"/>
    <cellStyle name="Calculation 4 12 7 2" xfId="32172" xr:uid="{00000000-0005-0000-0000-00008D7D0000}"/>
    <cellStyle name="Calculation 4 12 7 3" xfId="32173" xr:uid="{00000000-0005-0000-0000-00008E7D0000}"/>
    <cellStyle name="Calculation 4 12 7 4" xfId="32174" xr:uid="{00000000-0005-0000-0000-00008F7D0000}"/>
    <cellStyle name="Calculation 4 12 7 5" xfId="32175" xr:uid="{00000000-0005-0000-0000-0000907D0000}"/>
    <cellStyle name="Calculation 4 12 7 6" xfId="32176" xr:uid="{00000000-0005-0000-0000-0000917D0000}"/>
    <cellStyle name="Calculation 4 12 8" xfId="32177" xr:uid="{00000000-0005-0000-0000-0000927D0000}"/>
    <cellStyle name="Calculation 4 12 9" xfId="32178" xr:uid="{00000000-0005-0000-0000-0000937D0000}"/>
    <cellStyle name="Calculation 4 13" xfId="32179" xr:uid="{00000000-0005-0000-0000-0000947D0000}"/>
    <cellStyle name="Calculation 4 13 10" xfId="32180" xr:uid="{00000000-0005-0000-0000-0000957D0000}"/>
    <cellStyle name="Calculation 4 13 2" xfId="32181" xr:uid="{00000000-0005-0000-0000-0000967D0000}"/>
    <cellStyle name="Calculation 4 13 2 2" xfId="32182" xr:uid="{00000000-0005-0000-0000-0000977D0000}"/>
    <cellStyle name="Calculation 4 13 2 3" xfId="32183" xr:uid="{00000000-0005-0000-0000-0000987D0000}"/>
    <cellStyle name="Calculation 4 13 2 4" xfId="32184" xr:uid="{00000000-0005-0000-0000-0000997D0000}"/>
    <cellStyle name="Calculation 4 13 2 5" xfId="32185" xr:uid="{00000000-0005-0000-0000-00009A7D0000}"/>
    <cellStyle name="Calculation 4 13 2 6" xfId="32186" xr:uid="{00000000-0005-0000-0000-00009B7D0000}"/>
    <cellStyle name="Calculation 4 13 3" xfId="32187" xr:uid="{00000000-0005-0000-0000-00009C7D0000}"/>
    <cellStyle name="Calculation 4 13 3 2" xfId="32188" xr:uid="{00000000-0005-0000-0000-00009D7D0000}"/>
    <cellStyle name="Calculation 4 13 3 3" xfId="32189" xr:uid="{00000000-0005-0000-0000-00009E7D0000}"/>
    <cellStyle name="Calculation 4 13 3 4" xfId="32190" xr:uid="{00000000-0005-0000-0000-00009F7D0000}"/>
    <cellStyle name="Calculation 4 13 3 5" xfId="32191" xr:uid="{00000000-0005-0000-0000-0000A07D0000}"/>
    <cellStyle name="Calculation 4 13 3 6" xfId="32192" xr:uid="{00000000-0005-0000-0000-0000A17D0000}"/>
    <cellStyle name="Calculation 4 13 4" xfId="32193" xr:uid="{00000000-0005-0000-0000-0000A27D0000}"/>
    <cellStyle name="Calculation 4 13 4 2" xfId="32194" xr:uid="{00000000-0005-0000-0000-0000A37D0000}"/>
    <cellStyle name="Calculation 4 13 4 3" xfId="32195" xr:uid="{00000000-0005-0000-0000-0000A47D0000}"/>
    <cellStyle name="Calculation 4 13 4 4" xfId="32196" xr:uid="{00000000-0005-0000-0000-0000A57D0000}"/>
    <cellStyle name="Calculation 4 13 4 5" xfId="32197" xr:uid="{00000000-0005-0000-0000-0000A67D0000}"/>
    <cellStyle name="Calculation 4 13 4 6" xfId="32198" xr:uid="{00000000-0005-0000-0000-0000A77D0000}"/>
    <cellStyle name="Calculation 4 13 5" xfId="32199" xr:uid="{00000000-0005-0000-0000-0000A87D0000}"/>
    <cellStyle name="Calculation 4 13 5 2" xfId="32200" xr:uid="{00000000-0005-0000-0000-0000A97D0000}"/>
    <cellStyle name="Calculation 4 13 5 3" xfId="32201" xr:uid="{00000000-0005-0000-0000-0000AA7D0000}"/>
    <cellStyle name="Calculation 4 13 5 4" xfId="32202" xr:uid="{00000000-0005-0000-0000-0000AB7D0000}"/>
    <cellStyle name="Calculation 4 13 5 5" xfId="32203" xr:uid="{00000000-0005-0000-0000-0000AC7D0000}"/>
    <cellStyle name="Calculation 4 13 5 6" xfId="32204" xr:uid="{00000000-0005-0000-0000-0000AD7D0000}"/>
    <cellStyle name="Calculation 4 13 6" xfId="32205" xr:uid="{00000000-0005-0000-0000-0000AE7D0000}"/>
    <cellStyle name="Calculation 4 13 6 2" xfId="32206" xr:uid="{00000000-0005-0000-0000-0000AF7D0000}"/>
    <cellStyle name="Calculation 4 13 6 3" xfId="32207" xr:uid="{00000000-0005-0000-0000-0000B07D0000}"/>
    <cellStyle name="Calculation 4 13 6 4" xfId="32208" xr:uid="{00000000-0005-0000-0000-0000B17D0000}"/>
    <cellStyle name="Calculation 4 13 6 5" xfId="32209" xr:uid="{00000000-0005-0000-0000-0000B27D0000}"/>
    <cellStyle name="Calculation 4 13 6 6" xfId="32210" xr:uid="{00000000-0005-0000-0000-0000B37D0000}"/>
    <cellStyle name="Calculation 4 13 7" xfId="32211" xr:uid="{00000000-0005-0000-0000-0000B47D0000}"/>
    <cellStyle name="Calculation 4 13 7 2" xfId="32212" xr:uid="{00000000-0005-0000-0000-0000B57D0000}"/>
    <cellStyle name="Calculation 4 13 7 3" xfId="32213" xr:uid="{00000000-0005-0000-0000-0000B67D0000}"/>
    <cellStyle name="Calculation 4 13 7 4" xfId="32214" xr:uid="{00000000-0005-0000-0000-0000B77D0000}"/>
    <cellStyle name="Calculation 4 13 7 5" xfId="32215" xr:uid="{00000000-0005-0000-0000-0000B87D0000}"/>
    <cellStyle name="Calculation 4 13 7 6" xfId="32216" xr:uid="{00000000-0005-0000-0000-0000B97D0000}"/>
    <cellStyle name="Calculation 4 13 8" xfId="32217" xr:uid="{00000000-0005-0000-0000-0000BA7D0000}"/>
    <cellStyle name="Calculation 4 13 9" xfId="32218" xr:uid="{00000000-0005-0000-0000-0000BB7D0000}"/>
    <cellStyle name="Calculation 4 14" xfId="32219" xr:uid="{00000000-0005-0000-0000-0000BC7D0000}"/>
    <cellStyle name="Calculation 4 14 10" xfId="32220" xr:uid="{00000000-0005-0000-0000-0000BD7D0000}"/>
    <cellStyle name="Calculation 4 14 2" xfId="32221" xr:uid="{00000000-0005-0000-0000-0000BE7D0000}"/>
    <cellStyle name="Calculation 4 14 2 2" xfId="32222" xr:uid="{00000000-0005-0000-0000-0000BF7D0000}"/>
    <cellStyle name="Calculation 4 14 2 3" xfId="32223" xr:uid="{00000000-0005-0000-0000-0000C07D0000}"/>
    <cellStyle name="Calculation 4 14 2 4" xfId="32224" xr:uid="{00000000-0005-0000-0000-0000C17D0000}"/>
    <cellStyle name="Calculation 4 14 2 5" xfId="32225" xr:uid="{00000000-0005-0000-0000-0000C27D0000}"/>
    <cellStyle name="Calculation 4 14 2 6" xfId="32226" xr:uid="{00000000-0005-0000-0000-0000C37D0000}"/>
    <cellStyle name="Calculation 4 14 3" xfId="32227" xr:uid="{00000000-0005-0000-0000-0000C47D0000}"/>
    <cellStyle name="Calculation 4 14 3 2" xfId="32228" xr:uid="{00000000-0005-0000-0000-0000C57D0000}"/>
    <cellStyle name="Calculation 4 14 3 3" xfId="32229" xr:uid="{00000000-0005-0000-0000-0000C67D0000}"/>
    <cellStyle name="Calculation 4 14 3 4" xfId="32230" xr:uid="{00000000-0005-0000-0000-0000C77D0000}"/>
    <cellStyle name="Calculation 4 14 3 5" xfId="32231" xr:uid="{00000000-0005-0000-0000-0000C87D0000}"/>
    <cellStyle name="Calculation 4 14 3 6" xfId="32232" xr:uid="{00000000-0005-0000-0000-0000C97D0000}"/>
    <cellStyle name="Calculation 4 14 4" xfId="32233" xr:uid="{00000000-0005-0000-0000-0000CA7D0000}"/>
    <cellStyle name="Calculation 4 14 4 2" xfId="32234" xr:uid="{00000000-0005-0000-0000-0000CB7D0000}"/>
    <cellStyle name="Calculation 4 14 4 3" xfId="32235" xr:uid="{00000000-0005-0000-0000-0000CC7D0000}"/>
    <cellStyle name="Calculation 4 14 4 4" xfId="32236" xr:uid="{00000000-0005-0000-0000-0000CD7D0000}"/>
    <cellStyle name="Calculation 4 14 4 5" xfId="32237" xr:uid="{00000000-0005-0000-0000-0000CE7D0000}"/>
    <cellStyle name="Calculation 4 14 4 6" xfId="32238" xr:uid="{00000000-0005-0000-0000-0000CF7D0000}"/>
    <cellStyle name="Calculation 4 14 5" xfId="32239" xr:uid="{00000000-0005-0000-0000-0000D07D0000}"/>
    <cellStyle name="Calculation 4 14 5 2" xfId="32240" xr:uid="{00000000-0005-0000-0000-0000D17D0000}"/>
    <cellStyle name="Calculation 4 14 5 3" xfId="32241" xr:uid="{00000000-0005-0000-0000-0000D27D0000}"/>
    <cellStyle name="Calculation 4 14 5 4" xfId="32242" xr:uid="{00000000-0005-0000-0000-0000D37D0000}"/>
    <cellStyle name="Calculation 4 14 5 5" xfId="32243" xr:uid="{00000000-0005-0000-0000-0000D47D0000}"/>
    <cellStyle name="Calculation 4 14 5 6" xfId="32244" xr:uid="{00000000-0005-0000-0000-0000D57D0000}"/>
    <cellStyle name="Calculation 4 14 6" xfId="32245" xr:uid="{00000000-0005-0000-0000-0000D67D0000}"/>
    <cellStyle name="Calculation 4 14 6 2" xfId="32246" xr:uid="{00000000-0005-0000-0000-0000D77D0000}"/>
    <cellStyle name="Calculation 4 14 6 3" xfId="32247" xr:uid="{00000000-0005-0000-0000-0000D87D0000}"/>
    <cellStyle name="Calculation 4 14 6 4" xfId="32248" xr:uid="{00000000-0005-0000-0000-0000D97D0000}"/>
    <cellStyle name="Calculation 4 14 6 5" xfId="32249" xr:uid="{00000000-0005-0000-0000-0000DA7D0000}"/>
    <cellStyle name="Calculation 4 14 6 6" xfId="32250" xr:uid="{00000000-0005-0000-0000-0000DB7D0000}"/>
    <cellStyle name="Calculation 4 14 7" xfId="32251" xr:uid="{00000000-0005-0000-0000-0000DC7D0000}"/>
    <cellStyle name="Calculation 4 14 7 2" xfId="32252" xr:uid="{00000000-0005-0000-0000-0000DD7D0000}"/>
    <cellStyle name="Calculation 4 14 7 3" xfId="32253" xr:uid="{00000000-0005-0000-0000-0000DE7D0000}"/>
    <cellStyle name="Calculation 4 14 7 4" xfId="32254" xr:uid="{00000000-0005-0000-0000-0000DF7D0000}"/>
    <cellStyle name="Calculation 4 14 7 5" xfId="32255" xr:uid="{00000000-0005-0000-0000-0000E07D0000}"/>
    <cellStyle name="Calculation 4 14 7 6" xfId="32256" xr:uid="{00000000-0005-0000-0000-0000E17D0000}"/>
    <cellStyle name="Calculation 4 14 8" xfId="32257" xr:uid="{00000000-0005-0000-0000-0000E27D0000}"/>
    <cellStyle name="Calculation 4 14 9" xfId="32258" xr:uid="{00000000-0005-0000-0000-0000E37D0000}"/>
    <cellStyle name="Calculation 4 15" xfId="32259" xr:uid="{00000000-0005-0000-0000-0000E47D0000}"/>
    <cellStyle name="Calculation 4 15 10" xfId="32260" xr:uid="{00000000-0005-0000-0000-0000E57D0000}"/>
    <cellStyle name="Calculation 4 15 2" xfId="32261" xr:uid="{00000000-0005-0000-0000-0000E67D0000}"/>
    <cellStyle name="Calculation 4 15 2 2" xfId="32262" xr:uid="{00000000-0005-0000-0000-0000E77D0000}"/>
    <cellStyle name="Calculation 4 15 2 3" xfId="32263" xr:uid="{00000000-0005-0000-0000-0000E87D0000}"/>
    <cellStyle name="Calculation 4 15 2 4" xfId="32264" xr:uid="{00000000-0005-0000-0000-0000E97D0000}"/>
    <cellStyle name="Calculation 4 15 2 5" xfId="32265" xr:uid="{00000000-0005-0000-0000-0000EA7D0000}"/>
    <cellStyle name="Calculation 4 15 2 6" xfId="32266" xr:uid="{00000000-0005-0000-0000-0000EB7D0000}"/>
    <cellStyle name="Calculation 4 15 3" xfId="32267" xr:uid="{00000000-0005-0000-0000-0000EC7D0000}"/>
    <cellStyle name="Calculation 4 15 3 2" xfId="32268" xr:uid="{00000000-0005-0000-0000-0000ED7D0000}"/>
    <cellStyle name="Calculation 4 15 3 3" xfId="32269" xr:uid="{00000000-0005-0000-0000-0000EE7D0000}"/>
    <cellStyle name="Calculation 4 15 3 4" xfId="32270" xr:uid="{00000000-0005-0000-0000-0000EF7D0000}"/>
    <cellStyle name="Calculation 4 15 3 5" xfId="32271" xr:uid="{00000000-0005-0000-0000-0000F07D0000}"/>
    <cellStyle name="Calculation 4 15 3 6" xfId="32272" xr:uid="{00000000-0005-0000-0000-0000F17D0000}"/>
    <cellStyle name="Calculation 4 15 4" xfId="32273" xr:uid="{00000000-0005-0000-0000-0000F27D0000}"/>
    <cellStyle name="Calculation 4 15 4 2" xfId="32274" xr:uid="{00000000-0005-0000-0000-0000F37D0000}"/>
    <cellStyle name="Calculation 4 15 4 3" xfId="32275" xr:uid="{00000000-0005-0000-0000-0000F47D0000}"/>
    <cellStyle name="Calculation 4 15 4 4" xfId="32276" xr:uid="{00000000-0005-0000-0000-0000F57D0000}"/>
    <cellStyle name="Calculation 4 15 4 5" xfId="32277" xr:uid="{00000000-0005-0000-0000-0000F67D0000}"/>
    <cellStyle name="Calculation 4 15 4 6" xfId="32278" xr:uid="{00000000-0005-0000-0000-0000F77D0000}"/>
    <cellStyle name="Calculation 4 15 5" xfId="32279" xr:uid="{00000000-0005-0000-0000-0000F87D0000}"/>
    <cellStyle name="Calculation 4 15 5 2" xfId="32280" xr:uid="{00000000-0005-0000-0000-0000F97D0000}"/>
    <cellStyle name="Calculation 4 15 5 3" xfId="32281" xr:uid="{00000000-0005-0000-0000-0000FA7D0000}"/>
    <cellStyle name="Calculation 4 15 5 4" xfId="32282" xr:uid="{00000000-0005-0000-0000-0000FB7D0000}"/>
    <cellStyle name="Calculation 4 15 5 5" xfId="32283" xr:uid="{00000000-0005-0000-0000-0000FC7D0000}"/>
    <cellStyle name="Calculation 4 15 5 6" xfId="32284" xr:uid="{00000000-0005-0000-0000-0000FD7D0000}"/>
    <cellStyle name="Calculation 4 15 6" xfId="32285" xr:uid="{00000000-0005-0000-0000-0000FE7D0000}"/>
    <cellStyle name="Calculation 4 15 6 2" xfId="32286" xr:uid="{00000000-0005-0000-0000-0000FF7D0000}"/>
    <cellStyle name="Calculation 4 15 6 3" xfId="32287" xr:uid="{00000000-0005-0000-0000-0000007E0000}"/>
    <cellStyle name="Calculation 4 15 6 4" xfId="32288" xr:uid="{00000000-0005-0000-0000-0000017E0000}"/>
    <cellStyle name="Calculation 4 15 6 5" xfId="32289" xr:uid="{00000000-0005-0000-0000-0000027E0000}"/>
    <cellStyle name="Calculation 4 15 6 6" xfId="32290" xr:uid="{00000000-0005-0000-0000-0000037E0000}"/>
    <cellStyle name="Calculation 4 15 7" xfId="32291" xr:uid="{00000000-0005-0000-0000-0000047E0000}"/>
    <cellStyle name="Calculation 4 15 7 2" xfId="32292" xr:uid="{00000000-0005-0000-0000-0000057E0000}"/>
    <cellStyle name="Calculation 4 15 7 3" xfId="32293" xr:uid="{00000000-0005-0000-0000-0000067E0000}"/>
    <cellStyle name="Calculation 4 15 7 4" xfId="32294" xr:uid="{00000000-0005-0000-0000-0000077E0000}"/>
    <cellStyle name="Calculation 4 15 7 5" xfId="32295" xr:uid="{00000000-0005-0000-0000-0000087E0000}"/>
    <cellStyle name="Calculation 4 15 7 6" xfId="32296" xr:uid="{00000000-0005-0000-0000-0000097E0000}"/>
    <cellStyle name="Calculation 4 15 8" xfId="32297" xr:uid="{00000000-0005-0000-0000-00000A7E0000}"/>
    <cellStyle name="Calculation 4 15 9" xfId="32298" xr:uid="{00000000-0005-0000-0000-00000B7E0000}"/>
    <cellStyle name="Calculation 4 16" xfId="32299" xr:uid="{00000000-0005-0000-0000-00000C7E0000}"/>
    <cellStyle name="Calculation 4 16 10" xfId="32300" xr:uid="{00000000-0005-0000-0000-00000D7E0000}"/>
    <cellStyle name="Calculation 4 16 2" xfId="32301" xr:uid="{00000000-0005-0000-0000-00000E7E0000}"/>
    <cellStyle name="Calculation 4 16 2 2" xfId="32302" xr:uid="{00000000-0005-0000-0000-00000F7E0000}"/>
    <cellStyle name="Calculation 4 16 2 3" xfId="32303" xr:uid="{00000000-0005-0000-0000-0000107E0000}"/>
    <cellStyle name="Calculation 4 16 2 4" xfId="32304" xr:uid="{00000000-0005-0000-0000-0000117E0000}"/>
    <cellStyle name="Calculation 4 16 2 5" xfId="32305" xr:uid="{00000000-0005-0000-0000-0000127E0000}"/>
    <cellStyle name="Calculation 4 16 2 6" xfId="32306" xr:uid="{00000000-0005-0000-0000-0000137E0000}"/>
    <cellStyle name="Calculation 4 16 3" xfId="32307" xr:uid="{00000000-0005-0000-0000-0000147E0000}"/>
    <cellStyle name="Calculation 4 16 3 2" xfId="32308" xr:uid="{00000000-0005-0000-0000-0000157E0000}"/>
    <cellStyle name="Calculation 4 16 3 3" xfId="32309" xr:uid="{00000000-0005-0000-0000-0000167E0000}"/>
    <cellStyle name="Calculation 4 16 3 4" xfId="32310" xr:uid="{00000000-0005-0000-0000-0000177E0000}"/>
    <cellStyle name="Calculation 4 16 3 5" xfId="32311" xr:uid="{00000000-0005-0000-0000-0000187E0000}"/>
    <cellStyle name="Calculation 4 16 3 6" xfId="32312" xr:uid="{00000000-0005-0000-0000-0000197E0000}"/>
    <cellStyle name="Calculation 4 16 4" xfId="32313" xr:uid="{00000000-0005-0000-0000-00001A7E0000}"/>
    <cellStyle name="Calculation 4 16 4 2" xfId="32314" xr:uid="{00000000-0005-0000-0000-00001B7E0000}"/>
    <cellStyle name="Calculation 4 16 4 3" xfId="32315" xr:uid="{00000000-0005-0000-0000-00001C7E0000}"/>
    <cellStyle name="Calculation 4 16 4 4" xfId="32316" xr:uid="{00000000-0005-0000-0000-00001D7E0000}"/>
    <cellStyle name="Calculation 4 16 4 5" xfId="32317" xr:uid="{00000000-0005-0000-0000-00001E7E0000}"/>
    <cellStyle name="Calculation 4 16 4 6" xfId="32318" xr:uid="{00000000-0005-0000-0000-00001F7E0000}"/>
    <cellStyle name="Calculation 4 16 5" xfId="32319" xr:uid="{00000000-0005-0000-0000-0000207E0000}"/>
    <cellStyle name="Calculation 4 16 5 2" xfId="32320" xr:uid="{00000000-0005-0000-0000-0000217E0000}"/>
    <cellStyle name="Calculation 4 16 5 3" xfId="32321" xr:uid="{00000000-0005-0000-0000-0000227E0000}"/>
    <cellStyle name="Calculation 4 16 5 4" xfId="32322" xr:uid="{00000000-0005-0000-0000-0000237E0000}"/>
    <cellStyle name="Calculation 4 16 5 5" xfId="32323" xr:uid="{00000000-0005-0000-0000-0000247E0000}"/>
    <cellStyle name="Calculation 4 16 5 6" xfId="32324" xr:uid="{00000000-0005-0000-0000-0000257E0000}"/>
    <cellStyle name="Calculation 4 16 6" xfId="32325" xr:uid="{00000000-0005-0000-0000-0000267E0000}"/>
    <cellStyle name="Calculation 4 16 6 2" xfId="32326" xr:uid="{00000000-0005-0000-0000-0000277E0000}"/>
    <cellStyle name="Calculation 4 16 6 3" xfId="32327" xr:uid="{00000000-0005-0000-0000-0000287E0000}"/>
    <cellStyle name="Calculation 4 16 6 4" xfId="32328" xr:uid="{00000000-0005-0000-0000-0000297E0000}"/>
    <cellStyle name="Calculation 4 16 6 5" xfId="32329" xr:uid="{00000000-0005-0000-0000-00002A7E0000}"/>
    <cellStyle name="Calculation 4 16 6 6" xfId="32330" xr:uid="{00000000-0005-0000-0000-00002B7E0000}"/>
    <cellStyle name="Calculation 4 16 7" xfId="32331" xr:uid="{00000000-0005-0000-0000-00002C7E0000}"/>
    <cellStyle name="Calculation 4 16 7 2" xfId="32332" xr:uid="{00000000-0005-0000-0000-00002D7E0000}"/>
    <cellStyle name="Calculation 4 16 7 3" xfId="32333" xr:uid="{00000000-0005-0000-0000-00002E7E0000}"/>
    <cellStyle name="Calculation 4 16 7 4" xfId="32334" xr:uid="{00000000-0005-0000-0000-00002F7E0000}"/>
    <cellStyle name="Calculation 4 16 7 5" xfId="32335" xr:uid="{00000000-0005-0000-0000-0000307E0000}"/>
    <cellStyle name="Calculation 4 16 7 6" xfId="32336" xr:uid="{00000000-0005-0000-0000-0000317E0000}"/>
    <cellStyle name="Calculation 4 16 8" xfId="32337" xr:uid="{00000000-0005-0000-0000-0000327E0000}"/>
    <cellStyle name="Calculation 4 16 9" xfId="32338" xr:uid="{00000000-0005-0000-0000-0000337E0000}"/>
    <cellStyle name="Calculation 4 17" xfId="32339" xr:uid="{00000000-0005-0000-0000-0000347E0000}"/>
    <cellStyle name="Calculation 4 17 10" xfId="32340" xr:uid="{00000000-0005-0000-0000-0000357E0000}"/>
    <cellStyle name="Calculation 4 17 2" xfId="32341" xr:uid="{00000000-0005-0000-0000-0000367E0000}"/>
    <cellStyle name="Calculation 4 17 2 2" xfId="32342" xr:uid="{00000000-0005-0000-0000-0000377E0000}"/>
    <cellStyle name="Calculation 4 17 2 3" xfId="32343" xr:uid="{00000000-0005-0000-0000-0000387E0000}"/>
    <cellStyle name="Calculation 4 17 2 4" xfId="32344" xr:uid="{00000000-0005-0000-0000-0000397E0000}"/>
    <cellStyle name="Calculation 4 17 2 5" xfId="32345" xr:uid="{00000000-0005-0000-0000-00003A7E0000}"/>
    <cellStyle name="Calculation 4 17 2 6" xfId="32346" xr:uid="{00000000-0005-0000-0000-00003B7E0000}"/>
    <cellStyle name="Calculation 4 17 3" xfId="32347" xr:uid="{00000000-0005-0000-0000-00003C7E0000}"/>
    <cellStyle name="Calculation 4 17 3 2" xfId="32348" xr:uid="{00000000-0005-0000-0000-00003D7E0000}"/>
    <cellStyle name="Calculation 4 17 3 3" xfId="32349" xr:uid="{00000000-0005-0000-0000-00003E7E0000}"/>
    <cellStyle name="Calculation 4 17 3 4" xfId="32350" xr:uid="{00000000-0005-0000-0000-00003F7E0000}"/>
    <cellStyle name="Calculation 4 17 3 5" xfId="32351" xr:uid="{00000000-0005-0000-0000-0000407E0000}"/>
    <cellStyle name="Calculation 4 17 3 6" xfId="32352" xr:uid="{00000000-0005-0000-0000-0000417E0000}"/>
    <cellStyle name="Calculation 4 17 4" xfId="32353" xr:uid="{00000000-0005-0000-0000-0000427E0000}"/>
    <cellStyle name="Calculation 4 17 4 2" xfId="32354" xr:uid="{00000000-0005-0000-0000-0000437E0000}"/>
    <cellStyle name="Calculation 4 17 4 3" xfId="32355" xr:uid="{00000000-0005-0000-0000-0000447E0000}"/>
    <cellStyle name="Calculation 4 17 4 4" xfId="32356" xr:uid="{00000000-0005-0000-0000-0000457E0000}"/>
    <cellStyle name="Calculation 4 17 4 5" xfId="32357" xr:uid="{00000000-0005-0000-0000-0000467E0000}"/>
    <cellStyle name="Calculation 4 17 4 6" xfId="32358" xr:uid="{00000000-0005-0000-0000-0000477E0000}"/>
    <cellStyle name="Calculation 4 17 5" xfId="32359" xr:uid="{00000000-0005-0000-0000-0000487E0000}"/>
    <cellStyle name="Calculation 4 17 5 2" xfId="32360" xr:uid="{00000000-0005-0000-0000-0000497E0000}"/>
    <cellStyle name="Calculation 4 17 5 3" xfId="32361" xr:uid="{00000000-0005-0000-0000-00004A7E0000}"/>
    <cellStyle name="Calculation 4 17 5 4" xfId="32362" xr:uid="{00000000-0005-0000-0000-00004B7E0000}"/>
    <cellStyle name="Calculation 4 17 5 5" xfId="32363" xr:uid="{00000000-0005-0000-0000-00004C7E0000}"/>
    <cellStyle name="Calculation 4 17 5 6" xfId="32364" xr:uid="{00000000-0005-0000-0000-00004D7E0000}"/>
    <cellStyle name="Calculation 4 17 6" xfId="32365" xr:uid="{00000000-0005-0000-0000-00004E7E0000}"/>
    <cellStyle name="Calculation 4 17 6 2" xfId="32366" xr:uid="{00000000-0005-0000-0000-00004F7E0000}"/>
    <cellStyle name="Calculation 4 17 6 3" xfId="32367" xr:uid="{00000000-0005-0000-0000-0000507E0000}"/>
    <cellStyle name="Calculation 4 17 6 4" xfId="32368" xr:uid="{00000000-0005-0000-0000-0000517E0000}"/>
    <cellStyle name="Calculation 4 17 6 5" xfId="32369" xr:uid="{00000000-0005-0000-0000-0000527E0000}"/>
    <cellStyle name="Calculation 4 17 6 6" xfId="32370" xr:uid="{00000000-0005-0000-0000-0000537E0000}"/>
    <cellStyle name="Calculation 4 17 7" xfId="32371" xr:uid="{00000000-0005-0000-0000-0000547E0000}"/>
    <cellStyle name="Calculation 4 17 7 2" xfId="32372" xr:uid="{00000000-0005-0000-0000-0000557E0000}"/>
    <cellStyle name="Calculation 4 17 7 3" xfId="32373" xr:uid="{00000000-0005-0000-0000-0000567E0000}"/>
    <cellStyle name="Calculation 4 17 7 4" xfId="32374" xr:uid="{00000000-0005-0000-0000-0000577E0000}"/>
    <cellStyle name="Calculation 4 17 7 5" xfId="32375" xr:uid="{00000000-0005-0000-0000-0000587E0000}"/>
    <cellStyle name="Calculation 4 17 7 6" xfId="32376" xr:uid="{00000000-0005-0000-0000-0000597E0000}"/>
    <cellStyle name="Calculation 4 17 8" xfId="32377" xr:uid="{00000000-0005-0000-0000-00005A7E0000}"/>
    <cellStyle name="Calculation 4 17 9" xfId="32378" xr:uid="{00000000-0005-0000-0000-00005B7E0000}"/>
    <cellStyle name="Calculation 4 18" xfId="32379" xr:uid="{00000000-0005-0000-0000-00005C7E0000}"/>
    <cellStyle name="Calculation 4 18 10" xfId="32380" xr:uid="{00000000-0005-0000-0000-00005D7E0000}"/>
    <cellStyle name="Calculation 4 18 2" xfId="32381" xr:uid="{00000000-0005-0000-0000-00005E7E0000}"/>
    <cellStyle name="Calculation 4 18 2 2" xfId="32382" xr:uid="{00000000-0005-0000-0000-00005F7E0000}"/>
    <cellStyle name="Calculation 4 18 2 3" xfId="32383" xr:uid="{00000000-0005-0000-0000-0000607E0000}"/>
    <cellStyle name="Calculation 4 18 2 4" xfId="32384" xr:uid="{00000000-0005-0000-0000-0000617E0000}"/>
    <cellStyle name="Calculation 4 18 2 5" xfId="32385" xr:uid="{00000000-0005-0000-0000-0000627E0000}"/>
    <cellStyle name="Calculation 4 18 2 6" xfId="32386" xr:uid="{00000000-0005-0000-0000-0000637E0000}"/>
    <cellStyle name="Calculation 4 18 3" xfId="32387" xr:uid="{00000000-0005-0000-0000-0000647E0000}"/>
    <cellStyle name="Calculation 4 18 3 2" xfId="32388" xr:uid="{00000000-0005-0000-0000-0000657E0000}"/>
    <cellStyle name="Calculation 4 18 3 3" xfId="32389" xr:uid="{00000000-0005-0000-0000-0000667E0000}"/>
    <cellStyle name="Calculation 4 18 3 4" xfId="32390" xr:uid="{00000000-0005-0000-0000-0000677E0000}"/>
    <cellStyle name="Calculation 4 18 3 5" xfId="32391" xr:uid="{00000000-0005-0000-0000-0000687E0000}"/>
    <cellStyle name="Calculation 4 18 3 6" xfId="32392" xr:uid="{00000000-0005-0000-0000-0000697E0000}"/>
    <cellStyle name="Calculation 4 18 4" xfId="32393" xr:uid="{00000000-0005-0000-0000-00006A7E0000}"/>
    <cellStyle name="Calculation 4 18 4 2" xfId="32394" xr:uid="{00000000-0005-0000-0000-00006B7E0000}"/>
    <cellStyle name="Calculation 4 18 4 3" xfId="32395" xr:uid="{00000000-0005-0000-0000-00006C7E0000}"/>
    <cellStyle name="Calculation 4 18 4 4" xfId="32396" xr:uid="{00000000-0005-0000-0000-00006D7E0000}"/>
    <cellStyle name="Calculation 4 18 4 5" xfId="32397" xr:uid="{00000000-0005-0000-0000-00006E7E0000}"/>
    <cellStyle name="Calculation 4 18 4 6" xfId="32398" xr:uid="{00000000-0005-0000-0000-00006F7E0000}"/>
    <cellStyle name="Calculation 4 18 5" xfId="32399" xr:uid="{00000000-0005-0000-0000-0000707E0000}"/>
    <cellStyle name="Calculation 4 18 5 2" xfId="32400" xr:uid="{00000000-0005-0000-0000-0000717E0000}"/>
    <cellStyle name="Calculation 4 18 5 3" xfId="32401" xr:uid="{00000000-0005-0000-0000-0000727E0000}"/>
    <cellStyle name="Calculation 4 18 5 4" xfId="32402" xr:uid="{00000000-0005-0000-0000-0000737E0000}"/>
    <cellStyle name="Calculation 4 18 5 5" xfId="32403" xr:uid="{00000000-0005-0000-0000-0000747E0000}"/>
    <cellStyle name="Calculation 4 18 5 6" xfId="32404" xr:uid="{00000000-0005-0000-0000-0000757E0000}"/>
    <cellStyle name="Calculation 4 18 6" xfId="32405" xr:uid="{00000000-0005-0000-0000-0000767E0000}"/>
    <cellStyle name="Calculation 4 18 6 2" xfId="32406" xr:uid="{00000000-0005-0000-0000-0000777E0000}"/>
    <cellStyle name="Calculation 4 18 6 3" xfId="32407" xr:uid="{00000000-0005-0000-0000-0000787E0000}"/>
    <cellStyle name="Calculation 4 18 6 4" xfId="32408" xr:uid="{00000000-0005-0000-0000-0000797E0000}"/>
    <cellStyle name="Calculation 4 18 6 5" xfId="32409" xr:uid="{00000000-0005-0000-0000-00007A7E0000}"/>
    <cellStyle name="Calculation 4 18 6 6" xfId="32410" xr:uid="{00000000-0005-0000-0000-00007B7E0000}"/>
    <cellStyle name="Calculation 4 18 7" xfId="32411" xr:uid="{00000000-0005-0000-0000-00007C7E0000}"/>
    <cellStyle name="Calculation 4 18 7 2" xfId="32412" xr:uid="{00000000-0005-0000-0000-00007D7E0000}"/>
    <cellStyle name="Calculation 4 18 7 3" xfId="32413" xr:uid="{00000000-0005-0000-0000-00007E7E0000}"/>
    <cellStyle name="Calculation 4 18 7 4" xfId="32414" xr:uid="{00000000-0005-0000-0000-00007F7E0000}"/>
    <cellStyle name="Calculation 4 18 7 5" xfId="32415" xr:uid="{00000000-0005-0000-0000-0000807E0000}"/>
    <cellStyle name="Calculation 4 18 7 6" xfId="32416" xr:uid="{00000000-0005-0000-0000-0000817E0000}"/>
    <cellStyle name="Calculation 4 18 8" xfId="32417" xr:uid="{00000000-0005-0000-0000-0000827E0000}"/>
    <cellStyle name="Calculation 4 18 9" xfId="32418" xr:uid="{00000000-0005-0000-0000-0000837E0000}"/>
    <cellStyle name="Calculation 4 19" xfId="32419" xr:uid="{00000000-0005-0000-0000-0000847E0000}"/>
    <cellStyle name="Calculation 4 19 10" xfId="32420" xr:uid="{00000000-0005-0000-0000-0000857E0000}"/>
    <cellStyle name="Calculation 4 19 2" xfId="32421" xr:uid="{00000000-0005-0000-0000-0000867E0000}"/>
    <cellStyle name="Calculation 4 19 2 2" xfId="32422" xr:uid="{00000000-0005-0000-0000-0000877E0000}"/>
    <cellStyle name="Calculation 4 19 2 3" xfId="32423" xr:uid="{00000000-0005-0000-0000-0000887E0000}"/>
    <cellStyle name="Calculation 4 19 2 4" xfId="32424" xr:uid="{00000000-0005-0000-0000-0000897E0000}"/>
    <cellStyle name="Calculation 4 19 2 5" xfId="32425" xr:uid="{00000000-0005-0000-0000-00008A7E0000}"/>
    <cellStyle name="Calculation 4 19 2 6" xfId="32426" xr:uid="{00000000-0005-0000-0000-00008B7E0000}"/>
    <cellStyle name="Calculation 4 19 3" xfId="32427" xr:uid="{00000000-0005-0000-0000-00008C7E0000}"/>
    <cellStyle name="Calculation 4 19 3 2" xfId="32428" xr:uid="{00000000-0005-0000-0000-00008D7E0000}"/>
    <cellStyle name="Calculation 4 19 3 3" xfId="32429" xr:uid="{00000000-0005-0000-0000-00008E7E0000}"/>
    <cellStyle name="Calculation 4 19 3 4" xfId="32430" xr:uid="{00000000-0005-0000-0000-00008F7E0000}"/>
    <cellStyle name="Calculation 4 19 3 5" xfId="32431" xr:uid="{00000000-0005-0000-0000-0000907E0000}"/>
    <cellStyle name="Calculation 4 19 3 6" xfId="32432" xr:uid="{00000000-0005-0000-0000-0000917E0000}"/>
    <cellStyle name="Calculation 4 19 4" xfId="32433" xr:uid="{00000000-0005-0000-0000-0000927E0000}"/>
    <cellStyle name="Calculation 4 19 4 2" xfId="32434" xr:uid="{00000000-0005-0000-0000-0000937E0000}"/>
    <cellStyle name="Calculation 4 19 4 3" xfId="32435" xr:uid="{00000000-0005-0000-0000-0000947E0000}"/>
    <cellStyle name="Calculation 4 19 4 4" xfId="32436" xr:uid="{00000000-0005-0000-0000-0000957E0000}"/>
    <cellStyle name="Calculation 4 19 4 5" xfId="32437" xr:uid="{00000000-0005-0000-0000-0000967E0000}"/>
    <cellStyle name="Calculation 4 19 4 6" xfId="32438" xr:uid="{00000000-0005-0000-0000-0000977E0000}"/>
    <cellStyle name="Calculation 4 19 5" xfId="32439" xr:uid="{00000000-0005-0000-0000-0000987E0000}"/>
    <cellStyle name="Calculation 4 19 5 2" xfId="32440" xr:uid="{00000000-0005-0000-0000-0000997E0000}"/>
    <cellStyle name="Calculation 4 19 5 3" xfId="32441" xr:uid="{00000000-0005-0000-0000-00009A7E0000}"/>
    <cellStyle name="Calculation 4 19 5 4" xfId="32442" xr:uid="{00000000-0005-0000-0000-00009B7E0000}"/>
    <cellStyle name="Calculation 4 19 5 5" xfId="32443" xr:uid="{00000000-0005-0000-0000-00009C7E0000}"/>
    <cellStyle name="Calculation 4 19 5 6" xfId="32444" xr:uid="{00000000-0005-0000-0000-00009D7E0000}"/>
    <cellStyle name="Calculation 4 19 6" xfId="32445" xr:uid="{00000000-0005-0000-0000-00009E7E0000}"/>
    <cellStyle name="Calculation 4 19 6 2" xfId="32446" xr:uid="{00000000-0005-0000-0000-00009F7E0000}"/>
    <cellStyle name="Calculation 4 19 6 3" xfId="32447" xr:uid="{00000000-0005-0000-0000-0000A07E0000}"/>
    <cellStyle name="Calculation 4 19 6 4" xfId="32448" xr:uid="{00000000-0005-0000-0000-0000A17E0000}"/>
    <cellStyle name="Calculation 4 19 6 5" xfId="32449" xr:uid="{00000000-0005-0000-0000-0000A27E0000}"/>
    <cellStyle name="Calculation 4 19 6 6" xfId="32450" xr:uid="{00000000-0005-0000-0000-0000A37E0000}"/>
    <cellStyle name="Calculation 4 19 7" xfId="32451" xr:uid="{00000000-0005-0000-0000-0000A47E0000}"/>
    <cellStyle name="Calculation 4 19 7 2" xfId="32452" xr:uid="{00000000-0005-0000-0000-0000A57E0000}"/>
    <cellStyle name="Calculation 4 19 7 3" xfId="32453" xr:uid="{00000000-0005-0000-0000-0000A67E0000}"/>
    <cellStyle name="Calculation 4 19 7 4" xfId="32454" xr:uid="{00000000-0005-0000-0000-0000A77E0000}"/>
    <cellStyle name="Calculation 4 19 7 5" xfId="32455" xr:uid="{00000000-0005-0000-0000-0000A87E0000}"/>
    <cellStyle name="Calculation 4 19 7 6" xfId="32456" xr:uid="{00000000-0005-0000-0000-0000A97E0000}"/>
    <cellStyle name="Calculation 4 19 8" xfId="32457" xr:uid="{00000000-0005-0000-0000-0000AA7E0000}"/>
    <cellStyle name="Calculation 4 19 9" xfId="32458" xr:uid="{00000000-0005-0000-0000-0000AB7E0000}"/>
    <cellStyle name="Calculation 4 2" xfId="32459" xr:uid="{00000000-0005-0000-0000-0000AC7E0000}"/>
    <cellStyle name="Calculation 4 2 10" xfId="32460" xr:uid="{00000000-0005-0000-0000-0000AD7E0000}"/>
    <cellStyle name="Calculation 4 2 10 10" xfId="32461" xr:uid="{00000000-0005-0000-0000-0000AE7E0000}"/>
    <cellStyle name="Calculation 4 2 10 2" xfId="32462" xr:uid="{00000000-0005-0000-0000-0000AF7E0000}"/>
    <cellStyle name="Calculation 4 2 10 2 2" xfId="32463" xr:uid="{00000000-0005-0000-0000-0000B07E0000}"/>
    <cellStyle name="Calculation 4 2 10 2 3" xfId="32464" xr:uid="{00000000-0005-0000-0000-0000B17E0000}"/>
    <cellStyle name="Calculation 4 2 10 2 4" xfId="32465" xr:uid="{00000000-0005-0000-0000-0000B27E0000}"/>
    <cellStyle name="Calculation 4 2 10 2 5" xfId="32466" xr:uid="{00000000-0005-0000-0000-0000B37E0000}"/>
    <cellStyle name="Calculation 4 2 10 2 6" xfId="32467" xr:uid="{00000000-0005-0000-0000-0000B47E0000}"/>
    <cellStyle name="Calculation 4 2 10 3" xfId="32468" xr:uid="{00000000-0005-0000-0000-0000B57E0000}"/>
    <cellStyle name="Calculation 4 2 10 3 2" xfId="32469" xr:uid="{00000000-0005-0000-0000-0000B67E0000}"/>
    <cellStyle name="Calculation 4 2 10 3 3" xfId="32470" xr:uid="{00000000-0005-0000-0000-0000B77E0000}"/>
    <cellStyle name="Calculation 4 2 10 3 4" xfId="32471" xr:uid="{00000000-0005-0000-0000-0000B87E0000}"/>
    <cellStyle name="Calculation 4 2 10 3 5" xfId="32472" xr:uid="{00000000-0005-0000-0000-0000B97E0000}"/>
    <cellStyle name="Calculation 4 2 10 3 6" xfId="32473" xr:uid="{00000000-0005-0000-0000-0000BA7E0000}"/>
    <cellStyle name="Calculation 4 2 10 4" xfId="32474" xr:uid="{00000000-0005-0000-0000-0000BB7E0000}"/>
    <cellStyle name="Calculation 4 2 10 4 2" xfId="32475" xr:uid="{00000000-0005-0000-0000-0000BC7E0000}"/>
    <cellStyle name="Calculation 4 2 10 4 3" xfId="32476" xr:uid="{00000000-0005-0000-0000-0000BD7E0000}"/>
    <cellStyle name="Calculation 4 2 10 4 4" xfId="32477" xr:uid="{00000000-0005-0000-0000-0000BE7E0000}"/>
    <cellStyle name="Calculation 4 2 10 4 5" xfId="32478" xr:uid="{00000000-0005-0000-0000-0000BF7E0000}"/>
    <cellStyle name="Calculation 4 2 10 4 6" xfId="32479" xr:uid="{00000000-0005-0000-0000-0000C07E0000}"/>
    <cellStyle name="Calculation 4 2 10 5" xfId="32480" xr:uid="{00000000-0005-0000-0000-0000C17E0000}"/>
    <cellStyle name="Calculation 4 2 10 5 2" xfId="32481" xr:uid="{00000000-0005-0000-0000-0000C27E0000}"/>
    <cellStyle name="Calculation 4 2 10 5 3" xfId="32482" xr:uid="{00000000-0005-0000-0000-0000C37E0000}"/>
    <cellStyle name="Calculation 4 2 10 5 4" xfId="32483" xr:uid="{00000000-0005-0000-0000-0000C47E0000}"/>
    <cellStyle name="Calculation 4 2 10 5 5" xfId="32484" xr:uid="{00000000-0005-0000-0000-0000C57E0000}"/>
    <cellStyle name="Calculation 4 2 10 5 6" xfId="32485" xr:uid="{00000000-0005-0000-0000-0000C67E0000}"/>
    <cellStyle name="Calculation 4 2 10 6" xfId="32486" xr:uid="{00000000-0005-0000-0000-0000C77E0000}"/>
    <cellStyle name="Calculation 4 2 10 6 2" xfId="32487" xr:uid="{00000000-0005-0000-0000-0000C87E0000}"/>
    <cellStyle name="Calculation 4 2 10 6 3" xfId="32488" xr:uid="{00000000-0005-0000-0000-0000C97E0000}"/>
    <cellStyle name="Calculation 4 2 10 6 4" xfId="32489" xr:uid="{00000000-0005-0000-0000-0000CA7E0000}"/>
    <cellStyle name="Calculation 4 2 10 6 5" xfId="32490" xr:uid="{00000000-0005-0000-0000-0000CB7E0000}"/>
    <cellStyle name="Calculation 4 2 10 6 6" xfId="32491" xr:uid="{00000000-0005-0000-0000-0000CC7E0000}"/>
    <cellStyle name="Calculation 4 2 10 7" xfId="32492" xr:uid="{00000000-0005-0000-0000-0000CD7E0000}"/>
    <cellStyle name="Calculation 4 2 10 7 2" xfId="32493" xr:uid="{00000000-0005-0000-0000-0000CE7E0000}"/>
    <cellStyle name="Calculation 4 2 10 7 3" xfId="32494" xr:uid="{00000000-0005-0000-0000-0000CF7E0000}"/>
    <cellStyle name="Calculation 4 2 10 7 4" xfId="32495" xr:uid="{00000000-0005-0000-0000-0000D07E0000}"/>
    <cellStyle name="Calculation 4 2 10 7 5" xfId="32496" xr:uid="{00000000-0005-0000-0000-0000D17E0000}"/>
    <cellStyle name="Calculation 4 2 10 7 6" xfId="32497" xr:uid="{00000000-0005-0000-0000-0000D27E0000}"/>
    <cellStyle name="Calculation 4 2 10 8" xfId="32498" xr:uid="{00000000-0005-0000-0000-0000D37E0000}"/>
    <cellStyle name="Calculation 4 2 10 9" xfId="32499" xr:uid="{00000000-0005-0000-0000-0000D47E0000}"/>
    <cellStyle name="Calculation 4 2 11" xfId="32500" xr:uid="{00000000-0005-0000-0000-0000D57E0000}"/>
    <cellStyle name="Calculation 4 2 11 10" xfId="32501" xr:uid="{00000000-0005-0000-0000-0000D67E0000}"/>
    <cellStyle name="Calculation 4 2 11 2" xfId="32502" xr:uid="{00000000-0005-0000-0000-0000D77E0000}"/>
    <cellStyle name="Calculation 4 2 11 2 2" xfId="32503" xr:uid="{00000000-0005-0000-0000-0000D87E0000}"/>
    <cellStyle name="Calculation 4 2 11 2 3" xfId="32504" xr:uid="{00000000-0005-0000-0000-0000D97E0000}"/>
    <cellStyle name="Calculation 4 2 11 2 4" xfId="32505" xr:uid="{00000000-0005-0000-0000-0000DA7E0000}"/>
    <cellStyle name="Calculation 4 2 11 2 5" xfId="32506" xr:uid="{00000000-0005-0000-0000-0000DB7E0000}"/>
    <cellStyle name="Calculation 4 2 11 2 6" xfId="32507" xr:uid="{00000000-0005-0000-0000-0000DC7E0000}"/>
    <cellStyle name="Calculation 4 2 11 3" xfId="32508" xr:uid="{00000000-0005-0000-0000-0000DD7E0000}"/>
    <cellStyle name="Calculation 4 2 11 3 2" xfId="32509" xr:uid="{00000000-0005-0000-0000-0000DE7E0000}"/>
    <cellStyle name="Calculation 4 2 11 3 3" xfId="32510" xr:uid="{00000000-0005-0000-0000-0000DF7E0000}"/>
    <cellStyle name="Calculation 4 2 11 3 4" xfId="32511" xr:uid="{00000000-0005-0000-0000-0000E07E0000}"/>
    <cellStyle name="Calculation 4 2 11 3 5" xfId="32512" xr:uid="{00000000-0005-0000-0000-0000E17E0000}"/>
    <cellStyle name="Calculation 4 2 11 3 6" xfId="32513" xr:uid="{00000000-0005-0000-0000-0000E27E0000}"/>
    <cellStyle name="Calculation 4 2 11 4" xfId="32514" xr:uid="{00000000-0005-0000-0000-0000E37E0000}"/>
    <cellStyle name="Calculation 4 2 11 4 2" xfId="32515" xr:uid="{00000000-0005-0000-0000-0000E47E0000}"/>
    <cellStyle name="Calculation 4 2 11 4 3" xfId="32516" xr:uid="{00000000-0005-0000-0000-0000E57E0000}"/>
    <cellStyle name="Calculation 4 2 11 4 4" xfId="32517" xr:uid="{00000000-0005-0000-0000-0000E67E0000}"/>
    <cellStyle name="Calculation 4 2 11 4 5" xfId="32518" xr:uid="{00000000-0005-0000-0000-0000E77E0000}"/>
    <cellStyle name="Calculation 4 2 11 4 6" xfId="32519" xr:uid="{00000000-0005-0000-0000-0000E87E0000}"/>
    <cellStyle name="Calculation 4 2 11 5" xfId="32520" xr:uid="{00000000-0005-0000-0000-0000E97E0000}"/>
    <cellStyle name="Calculation 4 2 11 5 2" xfId="32521" xr:uid="{00000000-0005-0000-0000-0000EA7E0000}"/>
    <cellStyle name="Calculation 4 2 11 5 3" xfId="32522" xr:uid="{00000000-0005-0000-0000-0000EB7E0000}"/>
    <cellStyle name="Calculation 4 2 11 5 4" xfId="32523" xr:uid="{00000000-0005-0000-0000-0000EC7E0000}"/>
    <cellStyle name="Calculation 4 2 11 5 5" xfId="32524" xr:uid="{00000000-0005-0000-0000-0000ED7E0000}"/>
    <cellStyle name="Calculation 4 2 11 5 6" xfId="32525" xr:uid="{00000000-0005-0000-0000-0000EE7E0000}"/>
    <cellStyle name="Calculation 4 2 11 6" xfId="32526" xr:uid="{00000000-0005-0000-0000-0000EF7E0000}"/>
    <cellStyle name="Calculation 4 2 11 6 2" xfId="32527" xr:uid="{00000000-0005-0000-0000-0000F07E0000}"/>
    <cellStyle name="Calculation 4 2 11 6 3" xfId="32528" xr:uid="{00000000-0005-0000-0000-0000F17E0000}"/>
    <cellStyle name="Calculation 4 2 11 6 4" xfId="32529" xr:uid="{00000000-0005-0000-0000-0000F27E0000}"/>
    <cellStyle name="Calculation 4 2 11 6 5" xfId="32530" xr:uid="{00000000-0005-0000-0000-0000F37E0000}"/>
    <cellStyle name="Calculation 4 2 11 6 6" xfId="32531" xr:uid="{00000000-0005-0000-0000-0000F47E0000}"/>
    <cellStyle name="Calculation 4 2 11 7" xfId="32532" xr:uid="{00000000-0005-0000-0000-0000F57E0000}"/>
    <cellStyle name="Calculation 4 2 11 7 2" xfId="32533" xr:uid="{00000000-0005-0000-0000-0000F67E0000}"/>
    <cellStyle name="Calculation 4 2 11 7 3" xfId="32534" xr:uid="{00000000-0005-0000-0000-0000F77E0000}"/>
    <cellStyle name="Calculation 4 2 11 7 4" xfId="32535" xr:uid="{00000000-0005-0000-0000-0000F87E0000}"/>
    <cellStyle name="Calculation 4 2 11 7 5" xfId="32536" xr:uid="{00000000-0005-0000-0000-0000F97E0000}"/>
    <cellStyle name="Calculation 4 2 11 7 6" xfId="32537" xr:uid="{00000000-0005-0000-0000-0000FA7E0000}"/>
    <cellStyle name="Calculation 4 2 11 8" xfId="32538" xr:uid="{00000000-0005-0000-0000-0000FB7E0000}"/>
    <cellStyle name="Calculation 4 2 11 9" xfId="32539" xr:uid="{00000000-0005-0000-0000-0000FC7E0000}"/>
    <cellStyle name="Calculation 4 2 12" xfId="32540" xr:uid="{00000000-0005-0000-0000-0000FD7E0000}"/>
    <cellStyle name="Calculation 4 2 12 10" xfId="32541" xr:uid="{00000000-0005-0000-0000-0000FE7E0000}"/>
    <cellStyle name="Calculation 4 2 12 2" xfId="32542" xr:uid="{00000000-0005-0000-0000-0000FF7E0000}"/>
    <cellStyle name="Calculation 4 2 12 2 2" xfId="32543" xr:uid="{00000000-0005-0000-0000-0000007F0000}"/>
    <cellStyle name="Calculation 4 2 12 2 3" xfId="32544" xr:uid="{00000000-0005-0000-0000-0000017F0000}"/>
    <cellStyle name="Calculation 4 2 12 2 4" xfId="32545" xr:uid="{00000000-0005-0000-0000-0000027F0000}"/>
    <cellStyle name="Calculation 4 2 12 2 5" xfId="32546" xr:uid="{00000000-0005-0000-0000-0000037F0000}"/>
    <cellStyle name="Calculation 4 2 12 2 6" xfId="32547" xr:uid="{00000000-0005-0000-0000-0000047F0000}"/>
    <cellStyle name="Calculation 4 2 12 3" xfId="32548" xr:uid="{00000000-0005-0000-0000-0000057F0000}"/>
    <cellStyle name="Calculation 4 2 12 3 2" xfId="32549" xr:uid="{00000000-0005-0000-0000-0000067F0000}"/>
    <cellStyle name="Calculation 4 2 12 3 3" xfId="32550" xr:uid="{00000000-0005-0000-0000-0000077F0000}"/>
    <cellStyle name="Calculation 4 2 12 3 4" xfId="32551" xr:uid="{00000000-0005-0000-0000-0000087F0000}"/>
    <cellStyle name="Calculation 4 2 12 3 5" xfId="32552" xr:uid="{00000000-0005-0000-0000-0000097F0000}"/>
    <cellStyle name="Calculation 4 2 12 3 6" xfId="32553" xr:uid="{00000000-0005-0000-0000-00000A7F0000}"/>
    <cellStyle name="Calculation 4 2 12 4" xfId="32554" xr:uid="{00000000-0005-0000-0000-00000B7F0000}"/>
    <cellStyle name="Calculation 4 2 12 4 2" xfId="32555" xr:uid="{00000000-0005-0000-0000-00000C7F0000}"/>
    <cellStyle name="Calculation 4 2 12 4 3" xfId="32556" xr:uid="{00000000-0005-0000-0000-00000D7F0000}"/>
    <cellStyle name="Calculation 4 2 12 4 4" xfId="32557" xr:uid="{00000000-0005-0000-0000-00000E7F0000}"/>
    <cellStyle name="Calculation 4 2 12 4 5" xfId="32558" xr:uid="{00000000-0005-0000-0000-00000F7F0000}"/>
    <cellStyle name="Calculation 4 2 12 4 6" xfId="32559" xr:uid="{00000000-0005-0000-0000-0000107F0000}"/>
    <cellStyle name="Calculation 4 2 12 5" xfId="32560" xr:uid="{00000000-0005-0000-0000-0000117F0000}"/>
    <cellStyle name="Calculation 4 2 12 5 2" xfId="32561" xr:uid="{00000000-0005-0000-0000-0000127F0000}"/>
    <cellStyle name="Calculation 4 2 12 5 3" xfId="32562" xr:uid="{00000000-0005-0000-0000-0000137F0000}"/>
    <cellStyle name="Calculation 4 2 12 5 4" xfId="32563" xr:uid="{00000000-0005-0000-0000-0000147F0000}"/>
    <cellStyle name="Calculation 4 2 12 5 5" xfId="32564" xr:uid="{00000000-0005-0000-0000-0000157F0000}"/>
    <cellStyle name="Calculation 4 2 12 5 6" xfId="32565" xr:uid="{00000000-0005-0000-0000-0000167F0000}"/>
    <cellStyle name="Calculation 4 2 12 6" xfId="32566" xr:uid="{00000000-0005-0000-0000-0000177F0000}"/>
    <cellStyle name="Calculation 4 2 12 6 2" xfId="32567" xr:uid="{00000000-0005-0000-0000-0000187F0000}"/>
    <cellStyle name="Calculation 4 2 12 6 3" xfId="32568" xr:uid="{00000000-0005-0000-0000-0000197F0000}"/>
    <cellStyle name="Calculation 4 2 12 6 4" xfId="32569" xr:uid="{00000000-0005-0000-0000-00001A7F0000}"/>
    <cellStyle name="Calculation 4 2 12 6 5" xfId="32570" xr:uid="{00000000-0005-0000-0000-00001B7F0000}"/>
    <cellStyle name="Calculation 4 2 12 6 6" xfId="32571" xr:uid="{00000000-0005-0000-0000-00001C7F0000}"/>
    <cellStyle name="Calculation 4 2 12 7" xfId="32572" xr:uid="{00000000-0005-0000-0000-00001D7F0000}"/>
    <cellStyle name="Calculation 4 2 12 7 2" xfId="32573" xr:uid="{00000000-0005-0000-0000-00001E7F0000}"/>
    <cellStyle name="Calculation 4 2 12 7 3" xfId="32574" xr:uid="{00000000-0005-0000-0000-00001F7F0000}"/>
    <cellStyle name="Calculation 4 2 12 7 4" xfId="32575" xr:uid="{00000000-0005-0000-0000-0000207F0000}"/>
    <cellStyle name="Calculation 4 2 12 7 5" xfId="32576" xr:uid="{00000000-0005-0000-0000-0000217F0000}"/>
    <cellStyle name="Calculation 4 2 12 7 6" xfId="32577" xr:uid="{00000000-0005-0000-0000-0000227F0000}"/>
    <cellStyle name="Calculation 4 2 12 8" xfId="32578" xr:uid="{00000000-0005-0000-0000-0000237F0000}"/>
    <cellStyle name="Calculation 4 2 12 9" xfId="32579" xr:uid="{00000000-0005-0000-0000-0000247F0000}"/>
    <cellStyle name="Calculation 4 2 13" xfId="32580" xr:uid="{00000000-0005-0000-0000-0000257F0000}"/>
    <cellStyle name="Calculation 4 2 13 10" xfId="32581" xr:uid="{00000000-0005-0000-0000-0000267F0000}"/>
    <cellStyle name="Calculation 4 2 13 2" xfId="32582" xr:uid="{00000000-0005-0000-0000-0000277F0000}"/>
    <cellStyle name="Calculation 4 2 13 2 2" xfId="32583" xr:uid="{00000000-0005-0000-0000-0000287F0000}"/>
    <cellStyle name="Calculation 4 2 13 2 3" xfId="32584" xr:uid="{00000000-0005-0000-0000-0000297F0000}"/>
    <cellStyle name="Calculation 4 2 13 2 4" xfId="32585" xr:uid="{00000000-0005-0000-0000-00002A7F0000}"/>
    <cellStyle name="Calculation 4 2 13 2 5" xfId="32586" xr:uid="{00000000-0005-0000-0000-00002B7F0000}"/>
    <cellStyle name="Calculation 4 2 13 2 6" xfId="32587" xr:uid="{00000000-0005-0000-0000-00002C7F0000}"/>
    <cellStyle name="Calculation 4 2 13 3" xfId="32588" xr:uid="{00000000-0005-0000-0000-00002D7F0000}"/>
    <cellStyle name="Calculation 4 2 13 3 2" xfId="32589" xr:uid="{00000000-0005-0000-0000-00002E7F0000}"/>
    <cellStyle name="Calculation 4 2 13 3 3" xfId="32590" xr:uid="{00000000-0005-0000-0000-00002F7F0000}"/>
    <cellStyle name="Calculation 4 2 13 3 4" xfId="32591" xr:uid="{00000000-0005-0000-0000-0000307F0000}"/>
    <cellStyle name="Calculation 4 2 13 3 5" xfId="32592" xr:uid="{00000000-0005-0000-0000-0000317F0000}"/>
    <cellStyle name="Calculation 4 2 13 3 6" xfId="32593" xr:uid="{00000000-0005-0000-0000-0000327F0000}"/>
    <cellStyle name="Calculation 4 2 13 4" xfId="32594" xr:uid="{00000000-0005-0000-0000-0000337F0000}"/>
    <cellStyle name="Calculation 4 2 13 4 2" xfId="32595" xr:uid="{00000000-0005-0000-0000-0000347F0000}"/>
    <cellStyle name="Calculation 4 2 13 4 3" xfId="32596" xr:uid="{00000000-0005-0000-0000-0000357F0000}"/>
    <cellStyle name="Calculation 4 2 13 4 4" xfId="32597" xr:uid="{00000000-0005-0000-0000-0000367F0000}"/>
    <cellStyle name="Calculation 4 2 13 4 5" xfId="32598" xr:uid="{00000000-0005-0000-0000-0000377F0000}"/>
    <cellStyle name="Calculation 4 2 13 4 6" xfId="32599" xr:uid="{00000000-0005-0000-0000-0000387F0000}"/>
    <cellStyle name="Calculation 4 2 13 5" xfId="32600" xr:uid="{00000000-0005-0000-0000-0000397F0000}"/>
    <cellStyle name="Calculation 4 2 13 5 2" xfId="32601" xr:uid="{00000000-0005-0000-0000-00003A7F0000}"/>
    <cellStyle name="Calculation 4 2 13 5 3" xfId="32602" xr:uid="{00000000-0005-0000-0000-00003B7F0000}"/>
    <cellStyle name="Calculation 4 2 13 5 4" xfId="32603" xr:uid="{00000000-0005-0000-0000-00003C7F0000}"/>
    <cellStyle name="Calculation 4 2 13 5 5" xfId="32604" xr:uid="{00000000-0005-0000-0000-00003D7F0000}"/>
    <cellStyle name="Calculation 4 2 13 5 6" xfId="32605" xr:uid="{00000000-0005-0000-0000-00003E7F0000}"/>
    <cellStyle name="Calculation 4 2 13 6" xfId="32606" xr:uid="{00000000-0005-0000-0000-00003F7F0000}"/>
    <cellStyle name="Calculation 4 2 13 6 2" xfId="32607" xr:uid="{00000000-0005-0000-0000-0000407F0000}"/>
    <cellStyle name="Calculation 4 2 13 6 3" xfId="32608" xr:uid="{00000000-0005-0000-0000-0000417F0000}"/>
    <cellStyle name="Calculation 4 2 13 6 4" xfId="32609" xr:uid="{00000000-0005-0000-0000-0000427F0000}"/>
    <cellStyle name="Calculation 4 2 13 6 5" xfId="32610" xr:uid="{00000000-0005-0000-0000-0000437F0000}"/>
    <cellStyle name="Calculation 4 2 13 6 6" xfId="32611" xr:uid="{00000000-0005-0000-0000-0000447F0000}"/>
    <cellStyle name="Calculation 4 2 13 7" xfId="32612" xr:uid="{00000000-0005-0000-0000-0000457F0000}"/>
    <cellStyle name="Calculation 4 2 13 7 2" xfId="32613" xr:uid="{00000000-0005-0000-0000-0000467F0000}"/>
    <cellStyle name="Calculation 4 2 13 7 3" xfId="32614" xr:uid="{00000000-0005-0000-0000-0000477F0000}"/>
    <cellStyle name="Calculation 4 2 13 7 4" xfId="32615" xr:uid="{00000000-0005-0000-0000-0000487F0000}"/>
    <cellStyle name="Calculation 4 2 13 7 5" xfId="32616" xr:uid="{00000000-0005-0000-0000-0000497F0000}"/>
    <cellStyle name="Calculation 4 2 13 7 6" xfId="32617" xr:uid="{00000000-0005-0000-0000-00004A7F0000}"/>
    <cellStyle name="Calculation 4 2 13 8" xfId="32618" xr:uid="{00000000-0005-0000-0000-00004B7F0000}"/>
    <cellStyle name="Calculation 4 2 13 9" xfId="32619" xr:uid="{00000000-0005-0000-0000-00004C7F0000}"/>
    <cellStyle name="Calculation 4 2 14" xfId="32620" xr:uid="{00000000-0005-0000-0000-00004D7F0000}"/>
    <cellStyle name="Calculation 4 2 14 10" xfId="32621" xr:uid="{00000000-0005-0000-0000-00004E7F0000}"/>
    <cellStyle name="Calculation 4 2 14 2" xfId="32622" xr:uid="{00000000-0005-0000-0000-00004F7F0000}"/>
    <cellStyle name="Calculation 4 2 14 2 2" xfId="32623" xr:uid="{00000000-0005-0000-0000-0000507F0000}"/>
    <cellStyle name="Calculation 4 2 14 2 3" xfId="32624" xr:uid="{00000000-0005-0000-0000-0000517F0000}"/>
    <cellStyle name="Calculation 4 2 14 2 4" xfId="32625" xr:uid="{00000000-0005-0000-0000-0000527F0000}"/>
    <cellStyle name="Calculation 4 2 14 2 5" xfId="32626" xr:uid="{00000000-0005-0000-0000-0000537F0000}"/>
    <cellStyle name="Calculation 4 2 14 2 6" xfId="32627" xr:uid="{00000000-0005-0000-0000-0000547F0000}"/>
    <cellStyle name="Calculation 4 2 14 3" xfId="32628" xr:uid="{00000000-0005-0000-0000-0000557F0000}"/>
    <cellStyle name="Calculation 4 2 14 3 2" xfId="32629" xr:uid="{00000000-0005-0000-0000-0000567F0000}"/>
    <cellStyle name="Calculation 4 2 14 3 3" xfId="32630" xr:uid="{00000000-0005-0000-0000-0000577F0000}"/>
    <cellStyle name="Calculation 4 2 14 3 4" xfId="32631" xr:uid="{00000000-0005-0000-0000-0000587F0000}"/>
    <cellStyle name="Calculation 4 2 14 3 5" xfId="32632" xr:uid="{00000000-0005-0000-0000-0000597F0000}"/>
    <cellStyle name="Calculation 4 2 14 3 6" xfId="32633" xr:uid="{00000000-0005-0000-0000-00005A7F0000}"/>
    <cellStyle name="Calculation 4 2 14 4" xfId="32634" xr:uid="{00000000-0005-0000-0000-00005B7F0000}"/>
    <cellStyle name="Calculation 4 2 14 4 2" xfId="32635" xr:uid="{00000000-0005-0000-0000-00005C7F0000}"/>
    <cellStyle name="Calculation 4 2 14 4 3" xfId="32636" xr:uid="{00000000-0005-0000-0000-00005D7F0000}"/>
    <cellStyle name="Calculation 4 2 14 4 4" xfId="32637" xr:uid="{00000000-0005-0000-0000-00005E7F0000}"/>
    <cellStyle name="Calculation 4 2 14 4 5" xfId="32638" xr:uid="{00000000-0005-0000-0000-00005F7F0000}"/>
    <cellStyle name="Calculation 4 2 14 4 6" xfId="32639" xr:uid="{00000000-0005-0000-0000-0000607F0000}"/>
    <cellStyle name="Calculation 4 2 14 5" xfId="32640" xr:uid="{00000000-0005-0000-0000-0000617F0000}"/>
    <cellStyle name="Calculation 4 2 14 5 2" xfId="32641" xr:uid="{00000000-0005-0000-0000-0000627F0000}"/>
    <cellStyle name="Calculation 4 2 14 5 3" xfId="32642" xr:uid="{00000000-0005-0000-0000-0000637F0000}"/>
    <cellStyle name="Calculation 4 2 14 5 4" xfId="32643" xr:uid="{00000000-0005-0000-0000-0000647F0000}"/>
    <cellStyle name="Calculation 4 2 14 5 5" xfId="32644" xr:uid="{00000000-0005-0000-0000-0000657F0000}"/>
    <cellStyle name="Calculation 4 2 14 5 6" xfId="32645" xr:uid="{00000000-0005-0000-0000-0000667F0000}"/>
    <cellStyle name="Calculation 4 2 14 6" xfId="32646" xr:uid="{00000000-0005-0000-0000-0000677F0000}"/>
    <cellStyle name="Calculation 4 2 14 6 2" xfId="32647" xr:uid="{00000000-0005-0000-0000-0000687F0000}"/>
    <cellStyle name="Calculation 4 2 14 6 3" xfId="32648" xr:uid="{00000000-0005-0000-0000-0000697F0000}"/>
    <cellStyle name="Calculation 4 2 14 6 4" xfId="32649" xr:uid="{00000000-0005-0000-0000-00006A7F0000}"/>
    <cellStyle name="Calculation 4 2 14 6 5" xfId="32650" xr:uid="{00000000-0005-0000-0000-00006B7F0000}"/>
    <cellStyle name="Calculation 4 2 14 6 6" xfId="32651" xr:uid="{00000000-0005-0000-0000-00006C7F0000}"/>
    <cellStyle name="Calculation 4 2 14 7" xfId="32652" xr:uid="{00000000-0005-0000-0000-00006D7F0000}"/>
    <cellStyle name="Calculation 4 2 14 7 2" xfId="32653" xr:uid="{00000000-0005-0000-0000-00006E7F0000}"/>
    <cellStyle name="Calculation 4 2 14 7 3" xfId="32654" xr:uid="{00000000-0005-0000-0000-00006F7F0000}"/>
    <cellStyle name="Calculation 4 2 14 7 4" xfId="32655" xr:uid="{00000000-0005-0000-0000-0000707F0000}"/>
    <cellStyle name="Calculation 4 2 14 7 5" xfId="32656" xr:uid="{00000000-0005-0000-0000-0000717F0000}"/>
    <cellStyle name="Calculation 4 2 14 7 6" xfId="32657" xr:uid="{00000000-0005-0000-0000-0000727F0000}"/>
    <cellStyle name="Calculation 4 2 14 8" xfId="32658" xr:uid="{00000000-0005-0000-0000-0000737F0000}"/>
    <cellStyle name="Calculation 4 2 14 9" xfId="32659" xr:uid="{00000000-0005-0000-0000-0000747F0000}"/>
    <cellStyle name="Calculation 4 2 15" xfId="32660" xr:uid="{00000000-0005-0000-0000-0000757F0000}"/>
    <cellStyle name="Calculation 4 2 15 10" xfId="32661" xr:uid="{00000000-0005-0000-0000-0000767F0000}"/>
    <cellStyle name="Calculation 4 2 15 2" xfId="32662" xr:uid="{00000000-0005-0000-0000-0000777F0000}"/>
    <cellStyle name="Calculation 4 2 15 2 2" xfId="32663" xr:uid="{00000000-0005-0000-0000-0000787F0000}"/>
    <cellStyle name="Calculation 4 2 15 2 3" xfId="32664" xr:uid="{00000000-0005-0000-0000-0000797F0000}"/>
    <cellStyle name="Calculation 4 2 15 2 4" xfId="32665" xr:uid="{00000000-0005-0000-0000-00007A7F0000}"/>
    <cellStyle name="Calculation 4 2 15 2 5" xfId="32666" xr:uid="{00000000-0005-0000-0000-00007B7F0000}"/>
    <cellStyle name="Calculation 4 2 15 2 6" xfId="32667" xr:uid="{00000000-0005-0000-0000-00007C7F0000}"/>
    <cellStyle name="Calculation 4 2 15 3" xfId="32668" xr:uid="{00000000-0005-0000-0000-00007D7F0000}"/>
    <cellStyle name="Calculation 4 2 15 3 2" xfId="32669" xr:uid="{00000000-0005-0000-0000-00007E7F0000}"/>
    <cellStyle name="Calculation 4 2 15 3 3" xfId="32670" xr:uid="{00000000-0005-0000-0000-00007F7F0000}"/>
    <cellStyle name="Calculation 4 2 15 3 4" xfId="32671" xr:uid="{00000000-0005-0000-0000-0000807F0000}"/>
    <cellStyle name="Calculation 4 2 15 3 5" xfId="32672" xr:uid="{00000000-0005-0000-0000-0000817F0000}"/>
    <cellStyle name="Calculation 4 2 15 3 6" xfId="32673" xr:uid="{00000000-0005-0000-0000-0000827F0000}"/>
    <cellStyle name="Calculation 4 2 15 4" xfId="32674" xr:uid="{00000000-0005-0000-0000-0000837F0000}"/>
    <cellStyle name="Calculation 4 2 15 4 2" xfId="32675" xr:uid="{00000000-0005-0000-0000-0000847F0000}"/>
    <cellStyle name="Calculation 4 2 15 4 3" xfId="32676" xr:uid="{00000000-0005-0000-0000-0000857F0000}"/>
    <cellStyle name="Calculation 4 2 15 4 4" xfId="32677" xr:uid="{00000000-0005-0000-0000-0000867F0000}"/>
    <cellStyle name="Calculation 4 2 15 4 5" xfId="32678" xr:uid="{00000000-0005-0000-0000-0000877F0000}"/>
    <cellStyle name="Calculation 4 2 15 4 6" xfId="32679" xr:uid="{00000000-0005-0000-0000-0000887F0000}"/>
    <cellStyle name="Calculation 4 2 15 5" xfId="32680" xr:uid="{00000000-0005-0000-0000-0000897F0000}"/>
    <cellStyle name="Calculation 4 2 15 5 2" xfId="32681" xr:uid="{00000000-0005-0000-0000-00008A7F0000}"/>
    <cellStyle name="Calculation 4 2 15 5 3" xfId="32682" xr:uid="{00000000-0005-0000-0000-00008B7F0000}"/>
    <cellStyle name="Calculation 4 2 15 5 4" xfId="32683" xr:uid="{00000000-0005-0000-0000-00008C7F0000}"/>
    <cellStyle name="Calculation 4 2 15 5 5" xfId="32684" xr:uid="{00000000-0005-0000-0000-00008D7F0000}"/>
    <cellStyle name="Calculation 4 2 15 5 6" xfId="32685" xr:uid="{00000000-0005-0000-0000-00008E7F0000}"/>
    <cellStyle name="Calculation 4 2 15 6" xfId="32686" xr:uid="{00000000-0005-0000-0000-00008F7F0000}"/>
    <cellStyle name="Calculation 4 2 15 6 2" xfId="32687" xr:uid="{00000000-0005-0000-0000-0000907F0000}"/>
    <cellStyle name="Calculation 4 2 15 6 3" xfId="32688" xr:uid="{00000000-0005-0000-0000-0000917F0000}"/>
    <cellStyle name="Calculation 4 2 15 6 4" xfId="32689" xr:uid="{00000000-0005-0000-0000-0000927F0000}"/>
    <cellStyle name="Calculation 4 2 15 6 5" xfId="32690" xr:uid="{00000000-0005-0000-0000-0000937F0000}"/>
    <cellStyle name="Calculation 4 2 15 6 6" xfId="32691" xr:uid="{00000000-0005-0000-0000-0000947F0000}"/>
    <cellStyle name="Calculation 4 2 15 7" xfId="32692" xr:uid="{00000000-0005-0000-0000-0000957F0000}"/>
    <cellStyle name="Calculation 4 2 15 7 2" xfId="32693" xr:uid="{00000000-0005-0000-0000-0000967F0000}"/>
    <cellStyle name="Calculation 4 2 15 7 3" xfId="32694" xr:uid="{00000000-0005-0000-0000-0000977F0000}"/>
    <cellStyle name="Calculation 4 2 15 7 4" xfId="32695" xr:uid="{00000000-0005-0000-0000-0000987F0000}"/>
    <cellStyle name="Calculation 4 2 15 7 5" xfId="32696" xr:uid="{00000000-0005-0000-0000-0000997F0000}"/>
    <cellStyle name="Calculation 4 2 15 7 6" xfId="32697" xr:uid="{00000000-0005-0000-0000-00009A7F0000}"/>
    <cellStyle name="Calculation 4 2 15 8" xfId="32698" xr:uid="{00000000-0005-0000-0000-00009B7F0000}"/>
    <cellStyle name="Calculation 4 2 15 9" xfId="32699" xr:uid="{00000000-0005-0000-0000-00009C7F0000}"/>
    <cellStyle name="Calculation 4 2 16" xfId="32700" xr:uid="{00000000-0005-0000-0000-00009D7F0000}"/>
    <cellStyle name="Calculation 4 2 16 10" xfId="32701" xr:uid="{00000000-0005-0000-0000-00009E7F0000}"/>
    <cellStyle name="Calculation 4 2 16 2" xfId="32702" xr:uid="{00000000-0005-0000-0000-00009F7F0000}"/>
    <cellStyle name="Calculation 4 2 16 2 2" xfId="32703" xr:uid="{00000000-0005-0000-0000-0000A07F0000}"/>
    <cellStyle name="Calculation 4 2 16 2 3" xfId="32704" xr:uid="{00000000-0005-0000-0000-0000A17F0000}"/>
    <cellStyle name="Calculation 4 2 16 2 4" xfId="32705" xr:uid="{00000000-0005-0000-0000-0000A27F0000}"/>
    <cellStyle name="Calculation 4 2 16 2 5" xfId="32706" xr:uid="{00000000-0005-0000-0000-0000A37F0000}"/>
    <cellStyle name="Calculation 4 2 16 2 6" xfId="32707" xr:uid="{00000000-0005-0000-0000-0000A47F0000}"/>
    <cellStyle name="Calculation 4 2 16 3" xfId="32708" xr:uid="{00000000-0005-0000-0000-0000A57F0000}"/>
    <cellStyle name="Calculation 4 2 16 3 2" xfId="32709" xr:uid="{00000000-0005-0000-0000-0000A67F0000}"/>
    <cellStyle name="Calculation 4 2 16 3 3" xfId="32710" xr:uid="{00000000-0005-0000-0000-0000A77F0000}"/>
    <cellStyle name="Calculation 4 2 16 3 4" xfId="32711" xr:uid="{00000000-0005-0000-0000-0000A87F0000}"/>
    <cellStyle name="Calculation 4 2 16 3 5" xfId="32712" xr:uid="{00000000-0005-0000-0000-0000A97F0000}"/>
    <cellStyle name="Calculation 4 2 16 3 6" xfId="32713" xr:uid="{00000000-0005-0000-0000-0000AA7F0000}"/>
    <cellStyle name="Calculation 4 2 16 4" xfId="32714" xr:uid="{00000000-0005-0000-0000-0000AB7F0000}"/>
    <cellStyle name="Calculation 4 2 16 4 2" xfId="32715" xr:uid="{00000000-0005-0000-0000-0000AC7F0000}"/>
    <cellStyle name="Calculation 4 2 16 4 3" xfId="32716" xr:uid="{00000000-0005-0000-0000-0000AD7F0000}"/>
    <cellStyle name="Calculation 4 2 16 4 4" xfId="32717" xr:uid="{00000000-0005-0000-0000-0000AE7F0000}"/>
    <cellStyle name="Calculation 4 2 16 4 5" xfId="32718" xr:uid="{00000000-0005-0000-0000-0000AF7F0000}"/>
    <cellStyle name="Calculation 4 2 16 4 6" xfId="32719" xr:uid="{00000000-0005-0000-0000-0000B07F0000}"/>
    <cellStyle name="Calculation 4 2 16 5" xfId="32720" xr:uid="{00000000-0005-0000-0000-0000B17F0000}"/>
    <cellStyle name="Calculation 4 2 16 5 2" xfId="32721" xr:uid="{00000000-0005-0000-0000-0000B27F0000}"/>
    <cellStyle name="Calculation 4 2 16 5 3" xfId="32722" xr:uid="{00000000-0005-0000-0000-0000B37F0000}"/>
    <cellStyle name="Calculation 4 2 16 5 4" xfId="32723" xr:uid="{00000000-0005-0000-0000-0000B47F0000}"/>
    <cellStyle name="Calculation 4 2 16 5 5" xfId="32724" xr:uid="{00000000-0005-0000-0000-0000B57F0000}"/>
    <cellStyle name="Calculation 4 2 16 5 6" xfId="32725" xr:uid="{00000000-0005-0000-0000-0000B67F0000}"/>
    <cellStyle name="Calculation 4 2 16 6" xfId="32726" xr:uid="{00000000-0005-0000-0000-0000B77F0000}"/>
    <cellStyle name="Calculation 4 2 16 6 2" xfId="32727" xr:uid="{00000000-0005-0000-0000-0000B87F0000}"/>
    <cellStyle name="Calculation 4 2 16 6 3" xfId="32728" xr:uid="{00000000-0005-0000-0000-0000B97F0000}"/>
    <cellStyle name="Calculation 4 2 16 6 4" xfId="32729" xr:uid="{00000000-0005-0000-0000-0000BA7F0000}"/>
    <cellStyle name="Calculation 4 2 16 6 5" xfId="32730" xr:uid="{00000000-0005-0000-0000-0000BB7F0000}"/>
    <cellStyle name="Calculation 4 2 16 6 6" xfId="32731" xr:uid="{00000000-0005-0000-0000-0000BC7F0000}"/>
    <cellStyle name="Calculation 4 2 16 7" xfId="32732" xr:uid="{00000000-0005-0000-0000-0000BD7F0000}"/>
    <cellStyle name="Calculation 4 2 16 7 2" xfId="32733" xr:uid="{00000000-0005-0000-0000-0000BE7F0000}"/>
    <cellStyle name="Calculation 4 2 16 7 3" xfId="32734" xr:uid="{00000000-0005-0000-0000-0000BF7F0000}"/>
    <cellStyle name="Calculation 4 2 16 7 4" xfId="32735" xr:uid="{00000000-0005-0000-0000-0000C07F0000}"/>
    <cellStyle name="Calculation 4 2 16 7 5" xfId="32736" xr:uid="{00000000-0005-0000-0000-0000C17F0000}"/>
    <cellStyle name="Calculation 4 2 16 7 6" xfId="32737" xr:uid="{00000000-0005-0000-0000-0000C27F0000}"/>
    <cellStyle name="Calculation 4 2 16 8" xfId="32738" xr:uid="{00000000-0005-0000-0000-0000C37F0000}"/>
    <cellStyle name="Calculation 4 2 16 9" xfId="32739" xr:uid="{00000000-0005-0000-0000-0000C47F0000}"/>
    <cellStyle name="Calculation 4 2 17" xfId="32740" xr:uid="{00000000-0005-0000-0000-0000C57F0000}"/>
    <cellStyle name="Calculation 4 2 17 10" xfId="32741" xr:uid="{00000000-0005-0000-0000-0000C67F0000}"/>
    <cellStyle name="Calculation 4 2 17 2" xfId="32742" xr:uid="{00000000-0005-0000-0000-0000C77F0000}"/>
    <cellStyle name="Calculation 4 2 17 2 2" xfId="32743" xr:uid="{00000000-0005-0000-0000-0000C87F0000}"/>
    <cellStyle name="Calculation 4 2 17 2 3" xfId="32744" xr:uid="{00000000-0005-0000-0000-0000C97F0000}"/>
    <cellStyle name="Calculation 4 2 17 2 4" xfId="32745" xr:uid="{00000000-0005-0000-0000-0000CA7F0000}"/>
    <cellStyle name="Calculation 4 2 17 2 5" xfId="32746" xr:uid="{00000000-0005-0000-0000-0000CB7F0000}"/>
    <cellStyle name="Calculation 4 2 17 2 6" xfId="32747" xr:uid="{00000000-0005-0000-0000-0000CC7F0000}"/>
    <cellStyle name="Calculation 4 2 17 3" xfId="32748" xr:uid="{00000000-0005-0000-0000-0000CD7F0000}"/>
    <cellStyle name="Calculation 4 2 17 3 2" xfId="32749" xr:uid="{00000000-0005-0000-0000-0000CE7F0000}"/>
    <cellStyle name="Calculation 4 2 17 3 3" xfId="32750" xr:uid="{00000000-0005-0000-0000-0000CF7F0000}"/>
    <cellStyle name="Calculation 4 2 17 3 4" xfId="32751" xr:uid="{00000000-0005-0000-0000-0000D07F0000}"/>
    <cellStyle name="Calculation 4 2 17 3 5" xfId="32752" xr:uid="{00000000-0005-0000-0000-0000D17F0000}"/>
    <cellStyle name="Calculation 4 2 17 3 6" xfId="32753" xr:uid="{00000000-0005-0000-0000-0000D27F0000}"/>
    <cellStyle name="Calculation 4 2 17 4" xfId="32754" xr:uid="{00000000-0005-0000-0000-0000D37F0000}"/>
    <cellStyle name="Calculation 4 2 17 4 2" xfId="32755" xr:uid="{00000000-0005-0000-0000-0000D47F0000}"/>
    <cellStyle name="Calculation 4 2 17 4 3" xfId="32756" xr:uid="{00000000-0005-0000-0000-0000D57F0000}"/>
    <cellStyle name="Calculation 4 2 17 4 4" xfId="32757" xr:uid="{00000000-0005-0000-0000-0000D67F0000}"/>
    <cellStyle name="Calculation 4 2 17 4 5" xfId="32758" xr:uid="{00000000-0005-0000-0000-0000D77F0000}"/>
    <cellStyle name="Calculation 4 2 17 4 6" xfId="32759" xr:uid="{00000000-0005-0000-0000-0000D87F0000}"/>
    <cellStyle name="Calculation 4 2 17 5" xfId="32760" xr:uid="{00000000-0005-0000-0000-0000D97F0000}"/>
    <cellStyle name="Calculation 4 2 17 5 2" xfId="32761" xr:uid="{00000000-0005-0000-0000-0000DA7F0000}"/>
    <cellStyle name="Calculation 4 2 17 5 3" xfId="32762" xr:uid="{00000000-0005-0000-0000-0000DB7F0000}"/>
    <cellStyle name="Calculation 4 2 17 5 4" xfId="32763" xr:uid="{00000000-0005-0000-0000-0000DC7F0000}"/>
    <cellStyle name="Calculation 4 2 17 5 5" xfId="32764" xr:uid="{00000000-0005-0000-0000-0000DD7F0000}"/>
    <cellStyle name="Calculation 4 2 17 5 6" xfId="32765" xr:uid="{00000000-0005-0000-0000-0000DE7F0000}"/>
    <cellStyle name="Calculation 4 2 17 6" xfId="32766" xr:uid="{00000000-0005-0000-0000-0000DF7F0000}"/>
    <cellStyle name="Calculation 4 2 17 6 2" xfId="32767" xr:uid="{00000000-0005-0000-0000-0000E07F0000}"/>
    <cellStyle name="Calculation 4 2 17 6 3" xfId="32768" xr:uid="{00000000-0005-0000-0000-0000E17F0000}"/>
    <cellStyle name="Calculation 4 2 17 6 4" xfId="32769" xr:uid="{00000000-0005-0000-0000-0000E27F0000}"/>
    <cellStyle name="Calculation 4 2 17 6 5" xfId="32770" xr:uid="{00000000-0005-0000-0000-0000E37F0000}"/>
    <cellStyle name="Calculation 4 2 17 6 6" xfId="32771" xr:uid="{00000000-0005-0000-0000-0000E47F0000}"/>
    <cellStyle name="Calculation 4 2 17 7" xfId="32772" xr:uid="{00000000-0005-0000-0000-0000E57F0000}"/>
    <cellStyle name="Calculation 4 2 17 7 2" xfId="32773" xr:uid="{00000000-0005-0000-0000-0000E67F0000}"/>
    <cellStyle name="Calculation 4 2 17 7 3" xfId="32774" xr:uid="{00000000-0005-0000-0000-0000E77F0000}"/>
    <cellStyle name="Calculation 4 2 17 7 4" xfId="32775" xr:uid="{00000000-0005-0000-0000-0000E87F0000}"/>
    <cellStyle name="Calculation 4 2 17 7 5" xfId="32776" xr:uid="{00000000-0005-0000-0000-0000E97F0000}"/>
    <cellStyle name="Calculation 4 2 17 7 6" xfId="32777" xr:uid="{00000000-0005-0000-0000-0000EA7F0000}"/>
    <cellStyle name="Calculation 4 2 17 8" xfId="32778" xr:uid="{00000000-0005-0000-0000-0000EB7F0000}"/>
    <cellStyle name="Calculation 4 2 17 9" xfId="32779" xr:uid="{00000000-0005-0000-0000-0000EC7F0000}"/>
    <cellStyle name="Calculation 4 2 18" xfId="32780" xr:uid="{00000000-0005-0000-0000-0000ED7F0000}"/>
    <cellStyle name="Calculation 4 2 18 10" xfId="32781" xr:uid="{00000000-0005-0000-0000-0000EE7F0000}"/>
    <cellStyle name="Calculation 4 2 18 2" xfId="32782" xr:uid="{00000000-0005-0000-0000-0000EF7F0000}"/>
    <cellStyle name="Calculation 4 2 18 2 2" xfId="32783" xr:uid="{00000000-0005-0000-0000-0000F07F0000}"/>
    <cellStyle name="Calculation 4 2 18 2 3" xfId="32784" xr:uid="{00000000-0005-0000-0000-0000F17F0000}"/>
    <cellStyle name="Calculation 4 2 18 2 4" xfId="32785" xr:uid="{00000000-0005-0000-0000-0000F27F0000}"/>
    <cellStyle name="Calculation 4 2 18 2 5" xfId="32786" xr:uid="{00000000-0005-0000-0000-0000F37F0000}"/>
    <cellStyle name="Calculation 4 2 18 2 6" xfId="32787" xr:uid="{00000000-0005-0000-0000-0000F47F0000}"/>
    <cellStyle name="Calculation 4 2 18 3" xfId="32788" xr:uid="{00000000-0005-0000-0000-0000F57F0000}"/>
    <cellStyle name="Calculation 4 2 18 3 2" xfId="32789" xr:uid="{00000000-0005-0000-0000-0000F67F0000}"/>
    <cellStyle name="Calculation 4 2 18 3 3" xfId="32790" xr:uid="{00000000-0005-0000-0000-0000F77F0000}"/>
    <cellStyle name="Calculation 4 2 18 3 4" xfId="32791" xr:uid="{00000000-0005-0000-0000-0000F87F0000}"/>
    <cellStyle name="Calculation 4 2 18 3 5" xfId="32792" xr:uid="{00000000-0005-0000-0000-0000F97F0000}"/>
    <cellStyle name="Calculation 4 2 18 3 6" xfId="32793" xr:uid="{00000000-0005-0000-0000-0000FA7F0000}"/>
    <cellStyle name="Calculation 4 2 18 4" xfId="32794" xr:uid="{00000000-0005-0000-0000-0000FB7F0000}"/>
    <cellStyle name="Calculation 4 2 18 4 2" xfId="32795" xr:uid="{00000000-0005-0000-0000-0000FC7F0000}"/>
    <cellStyle name="Calculation 4 2 18 4 3" xfId="32796" xr:uid="{00000000-0005-0000-0000-0000FD7F0000}"/>
    <cellStyle name="Calculation 4 2 18 4 4" xfId="32797" xr:uid="{00000000-0005-0000-0000-0000FE7F0000}"/>
    <cellStyle name="Calculation 4 2 18 4 5" xfId="32798" xr:uid="{00000000-0005-0000-0000-0000FF7F0000}"/>
    <cellStyle name="Calculation 4 2 18 4 6" xfId="32799" xr:uid="{00000000-0005-0000-0000-000000800000}"/>
    <cellStyle name="Calculation 4 2 18 5" xfId="32800" xr:uid="{00000000-0005-0000-0000-000001800000}"/>
    <cellStyle name="Calculation 4 2 18 5 2" xfId="32801" xr:uid="{00000000-0005-0000-0000-000002800000}"/>
    <cellStyle name="Calculation 4 2 18 5 3" xfId="32802" xr:uid="{00000000-0005-0000-0000-000003800000}"/>
    <cellStyle name="Calculation 4 2 18 5 4" xfId="32803" xr:uid="{00000000-0005-0000-0000-000004800000}"/>
    <cellStyle name="Calculation 4 2 18 5 5" xfId="32804" xr:uid="{00000000-0005-0000-0000-000005800000}"/>
    <cellStyle name="Calculation 4 2 18 5 6" xfId="32805" xr:uid="{00000000-0005-0000-0000-000006800000}"/>
    <cellStyle name="Calculation 4 2 18 6" xfId="32806" xr:uid="{00000000-0005-0000-0000-000007800000}"/>
    <cellStyle name="Calculation 4 2 18 6 2" xfId="32807" xr:uid="{00000000-0005-0000-0000-000008800000}"/>
    <cellStyle name="Calculation 4 2 18 6 3" xfId="32808" xr:uid="{00000000-0005-0000-0000-000009800000}"/>
    <cellStyle name="Calculation 4 2 18 6 4" xfId="32809" xr:uid="{00000000-0005-0000-0000-00000A800000}"/>
    <cellStyle name="Calculation 4 2 18 6 5" xfId="32810" xr:uid="{00000000-0005-0000-0000-00000B800000}"/>
    <cellStyle name="Calculation 4 2 18 6 6" xfId="32811" xr:uid="{00000000-0005-0000-0000-00000C800000}"/>
    <cellStyle name="Calculation 4 2 18 7" xfId="32812" xr:uid="{00000000-0005-0000-0000-00000D800000}"/>
    <cellStyle name="Calculation 4 2 18 7 2" xfId="32813" xr:uid="{00000000-0005-0000-0000-00000E800000}"/>
    <cellStyle name="Calculation 4 2 18 7 3" xfId="32814" xr:uid="{00000000-0005-0000-0000-00000F800000}"/>
    <cellStyle name="Calculation 4 2 18 7 4" xfId="32815" xr:uid="{00000000-0005-0000-0000-000010800000}"/>
    <cellStyle name="Calculation 4 2 18 7 5" xfId="32816" xr:uid="{00000000-0005-0000-0000-000011800000}"/>
    <cellStyle name="Calculation 4 2 18 7 6" xfId="32817" xr:uid="{00000000-0005-0000-0000-000012800000}"/>
    <cellStyle name="Calculation 4 2 18 8" xfId="32818" xr:uid="{00000000-0005-0000-0000-000013800000}"/>
    <cellStyle name="Calculation 4 2 18 9" xfId="32819" xr:uid="{00000000-0005-0000-0000-000014800000}"/>
    <cellStyle name="Calculation 4 2 19" xfId="32820" xr:uid="{00000000-0005-0000-0000-000015800000}"/>
    <cellStyle name="Calculation 4 2 19 10" xfId="32821" xr:uid="{00000000-0005-0000-0000-000016800000}"/>
    <cellStyle name="Calculation 4 2 19 2" xfId="32822" xr:uid="{00000000-0005-0000-0000-000017800000}"/>
    <cellStyle name="Calculation 4 2 19 2 2" xfId="32823" xr:uid="{00000000-0005-0000-0000-000018800000}"/>
    <cellStyle name="Calculation 4 2 19 2 3" xfId="32824" xr:uid="{00000000-0005-0000-0000-000019800000}"/>
    <cellStyle name="Calculation 4 2 19 2 4" xfId="32825" xr:uid="{00000000-0005-0000-0000-00001A800000}"/>
    <cellStyle name="Calculation 4 2 19 2 5" xfId="32826" xr:uid="{00000000-0005-0000-0000-00001B800000}"/>
    <cellStyle name="Calculation 4 2 19 2 6" xfId="32827" xr:uid="{00000000-0005-0000-0000-00001C800000}"/>
    <cellStyle name="Calculation 4 2 19 3" xfId="32828" xr:uid="{00000000-0005-0000-0000-00001D800000}"/>
    <cellStyle name="Calculation 4 2 19 3 2" xfId="32829" xr:uid="{00000000-0005-0000-0000-00001E800000}"/>
    <cellStyle name="Calculation 4 2 19 3 3" xfId="32830" xr:uid="{00000000-0005-0000-0000-00001F800000}"/>
    <cellStyle name="Calculation 4 2 19 3 4" xfId="32831" xr:uid="{00000000-0005-0000-0000-000020800000}"/>
    <cellStyle name="Calculation 4 2 19 3 5" xfId="32832" xr:uid="{00000000-0005-0000-0000-000021800000}"/>
    <cellStyle name="Calculation 4 2 19 3 6" xfId="32833" xr:uid="{00000000-0005-0000-0000-000022800000}"/>
    <cellStyle name="Calculation 4 2 19 4" xfId="32834" xr:uid="{00000000-0005-0000-0000-000023800000}"/>
    <cellStyle name="Calculation 4 2 19 4 2" xfId="32835" xr:uid="{00000000-0005-0000-0000-000024800000}"/>
    <cellStyle name="Calculation 4 2 19 4 3" xfId="32836" xr:uid="{00000000-0005-0000-0000-000025800000}"/>
    <cellStyle name="Calculation 4 2 19 4 4" xfId="32837" xr:uid="{00000000-0005-0000-0000-000026800000}"/>
    <cellStyle name="Calculation 4 2 19 4 5" xfId="32838" xr:uid="{00000000-0005-0000-0000-000027800000}"/>
    <cellStyle name="Calculation 4 2 19 4 6" xfId="32839" xr:uid="{00000000-0005-0000-0000-000028800000}"/>
    <cellStyle name="Calculation 4 2 19 5" xfId="32840" xr:uid="{00000000-0005-0000-0000-000029800000}"/>
    <cellStyle name="Calculation 4 2 19 5 2" xfId="32841" xr:uid="{00000000-0005-0000-0000-00002A800000}"/>
    <cellStyle name="Calculation 4 2 19 5 3" xfId="32842" xr:uid="{00000000-0005-0000-0000-00002B800000}"/>
    <cellStyle name="Calculation 4 2 19 5 4" xfId="32843" xr:uid="{00000000-0005-0000-0000-00002C800000}"/>
    <cellStyle name="Calculation 4 2 19 5 5" xfId="32844" xr:uid="{00000000-0005-0000-0000-00002D800000}"/>
    <cellStyle name="Calculation 4 2 19 5 6" xfId="32845" xr:uid="{00000000-0005-0000-0000-00002E800000}"/>
    <cellStyle name="Calculation 4 2 19 6" xfId="32846" xr:uid="{00000000-0005-0000-0000-00002F800000}"/>
    <cellStyle name="Calculation 4 2 19 6 2" xfId="32847" xr:uid="{00000000-0005-0000-0000-000030800000}"/>
    <cellStyle name="Calculation 4 2 19 6 3" xfId="32848" xr:uid="{00000000-0005-0000-0000-000031800000}"/>
    <cellStyle name="Calculation 4 2 19 6 4" xfId="32849" xr:uid="{00000000-0005-0000-0000-000032800000}"/>
    <cellStyle name="Calculation 4 2 19 6 5" xfId="32850" xr:uid="{00000000-0005-0000-0000-000033800000}"/>
    <cellStyle name="Calculation 4 2 19 6 6" xfId="32851" xr:uid="{00000000-0005-0000-0000-000034800000}"/>
    <cellStyle name="Calculation 4 2 19 7" xfId="32852" xr:uid="{00000000-0005-0000-0000-000035800000}"/>
    <cellStyle name="Calculation 4 2 19 7 2" xfId="32853" xr:uid="{00000000-0005-0000-0000-000036800000}"/>
    <cellStyle name="Calculation 4 2 19 7 3" xfId="32854" xr:uid="{00000000-0005-0000-0000-000037800000}"/>
    <cellStyle name="Calculation 4 2 19 7 4" xfId="32855" xr:uid="{00000000-0005-0000-0000-000038800000}"/>
    <cellStyle name="Calculation 4 2 19 7 5" xfId="32856" xr:uid="{00000000-0005-0000-0000-000039800000}"/>
    <cellStyle name="Calculation 4 2 19 7 6" xfId="32857" xr:uid="{00000000-0005-0000-0000-00003A800000}"/>
    <cellStyle name="Calculation 4 2 19 8" xfId="32858" xr:uid="{00000000-0005-0000-0000-00003B800000}"/>
    <cellStyle name="Calculation 4 2 19 9" xfId="32859" xr:uid="{00000000-0005-0000-0000-00003C800000}"/>
    <cellStyle name="Calculation 4 2 2" xfId="32860" xr:uid="{00000000-0005-0000-0000-00003D800000}"/>
    <cellStyle name="Calculation 4 2 2 10" xfId="32861" xr:uid="{00000000-0005-0000-0000-00003E800000}"/>
    <cellStyle name="Calculation 4 2 2 2" xfId="32862" xr:uid="{00000000-0005-0000-0000-00003F800000}"/>
    <cellStyle name="Calculation 4 2 2 2 2" xfId="32863" xr:uid="{00000000-0005-0000-0000-000040800000}"/>
    <cellStyle name="Calculation 4 2 2 2 3" xfId="32864" xr:uid="{00000000-0005-0000-0000-000041800000}"/>
    <cellStyle name="Calculation 4 2 2 2 4" xfId="32865" xr:uid="{00000000-0005-0000-0000-000042800000}"/>
    <cellStyle name="Calculation 4 2 2 2 5" xfId="32866" xr:uid="{00000000-0005-0000-0000-000043800000}"/>
    <cellStyle name="Calculation 4 2 2 2 6" xfId="32867" xr:uid="{00000000-0005-0000-0000-000044800000}"/>
    <cellStyle name="Calculation 4 2 2 3" xfId="32868" xr:uid="{00000000-0005-0000-0000-000045800000}"/>
    <cellStyle name="Calculation 4 2 2 3 2" xfId="32869" xr:uid="{00000000-0005-0000-0000-000046800000}"/>
    <cellStyle name="Calculation 4 2 2 3 3" xfId="32870" xr:uid="{00000000-0005-0000-0000-000047800000}"/>
    <cellStyle name="Calculation 4 2 2 3 4" xfId="32871" xr:uid="{00000000-0005-0000-0000-000048800000}"/>
    <cellStyle name="Calculation 4 2 2 3 5" xfId="32872" xr:uid="{00000000-0005-0000-0000-000049800000}"/>
    <cellStyle name="Calculation 4 2 2 3 6" xfId="32873" xr:uid="{00000000-0005-0000-0000-00004A800000}"/>
    <cellStyle name="Calculation 4 2 2 4" xfId="32874" xr:uid="{00000000-0005-0000-0000-00004B800000}"/>
    <cellStyle name="Calculation 4 2 2 4 2" xfId="32875" xr:uid="{00000000-0005-0000-0000-00004C800000}"/>
    <cellStyle name="Calculation 4 2 2 4 3" xfId="32876" xr:uid="{00000000-0005-0000-0000-00004D800000}"/>
    <cellStyle name="Calculation 4 2 2 4 4" xfId="32877" xr:uid="{00000000-0005-0000-0000-00004E800000}"/>
    <cellStyle name="Calculation 4 2 2 4 5" xfId="32878" xr:uid="{00000000-0005-0000-0000-00004F800000}"/>
    <cellStyle name="Calculation 4 2 2 4 6" xfId="32879" xr:uid="{00000000-0005-0000-0000-000050800000}"/>
    <cellStyle name="Calculation 4 2 2 5" xfId="32880" xr:uid="{00000000-0005-0000-0000-000051800000}"/>
    <cellStyle name="Calculation 4 2 2 5 2" xfId="32881" xr:uid="{00000000-0005-0000-0000-000052800000}"/>
    <cellStyle name="Calculation 4 2 2 5 3" xfId="32882" xr:uid="{00000000-0005-0000-0000-000053800000}"/>
    <cellStyle name="Calculation 4 2 2 5 4" xfId="32883" xr:uid="{00000000-0005-0000-0000-000054800000}"/>
    <cellStyle name="Calculation 4 2 2 5 5" xfId="32884" xr:uid="{00000000-0005-0000-0000-000055800000}"/>
    <cellStyle name="Calculation 4 2 2 5 6" xfId="32885" xr:uid="{00000000-0005-0000-0000-000056800000}"/>
    <cellStyle name="Calculation 4 2 2 6" xfId="32886" xr:uid="{00000000-0005-0000-0000-000057800000}"/>
    <cellStyle name="Calculation 4 2 2 6 2" xfId="32887" xr:uid="{00000000-0005-0000-0000-000058800000}"/>
    <cellStyle name="Calculation 4 2 2 6 3" xfId="32888" xr:uid="{00000000-0005-0000-0000-000059800000}"/>
    <cellStyle name="Calculation 4 2 2 6 4" xfId="32889" xr:uid="{00000000-0005-0000-0000-00005A800000}"/>
    <cellStyle name="Calculation 4 2 2 6 5" xfId="32890" xr:uid="{00000000-0005-0000-0000-00005B800000}"/>
    <cellStyle name="Calculation 4 2 2 6 6" xfId="32891" xr:uid="{00000000-0005-0000-0000-00005C800000}"/>
    <cellStyle name="Calculation 4 2 2 7" xfId="32892" xr:uid="{00000000-0005-0000-0000-00005D800000}"/>
    <cellStyle name="Calculation 4 2 2 7 2" xfId="32893" xr:uid="{00000000-0005-0000-0000-00005E800000}"/>
    <cellStyle name="Calculation 4 2 2 7 3" xfId="32894" xr:uid="{00000000-0005-0000-0000-00005F800000}"/>
    <cellStyle name="Calculation 4 2 2 7 4" xfId="32895" xr:uid="{00000000-0005-0000-0000-000060800000}"/>
    <cellStyle name="Calculation 4 2 2 7 5" xfId="32896" xr:uid="{00000000-0005-0000-0000-000061800000}"/>
    <cellStyle name="Calculation 4 2 2 7 6" xfId="32897" xr:uid="{00000000-0005-0000-0000-000062800000}"/>
    <cellStyle name="Calculation 4 2 2 8" xfId="32898" xr:uid="{00000000-0005-0000-0000-000063800000}"/>
    <cellStyle name="Calculation 4 2 2 9" xfId="32899" xr:uid="{00000000-0005-0000-0000-000064800000}"/>
    <cellStyle name="Calculation 4 2 20" xfId="32900" xr:uid="{00000000-0005-0000-0000-000065800000}"/>
    <cellStyle name="Calculation 4 2 20 10" xfId="32901" xr:uid="{00000000-0005-0000-0000-000066800000}"/>
    <cellStyle name="Calculation 4 2 20 2" xfId="32902" xr:uid="{00000000-0005-0000-0000-000067800000}"/>
    <cellStyle name="Calculation 4 2 20 2 2" xfId="32903" xr:uid="{00000000-0005-0000-0000-000068800000}"/>
    <cellStyle name="Calculation 4 2 20 2 3" xfId="32904" xr:uid="{00000000-0005-0000-0000-000069800000}"/>
    <cellStyle name="Calculation 4 2 20 2 4" xfId="32905" xr:uid="{00000000-0005-0000-0000-00006A800000}"/>
    <cellStyle name="Calculation 4 2 20 2 5" xfId="32906" xr:uid="{00000000-0005-0000-0000-00006B800000}"/>
    <cellStyle name="Calculation 4 2 20 2 6" xfId="32907" xr:uid="{00000000-0005-0000-0000-00006C800000}"/>
    <cellStyle name="Calculation 4 2 20 3" xfId="32908" xr:uid="{00000000-0005-0000-0000-00006D800000}"/>
    <cellStyle name="Calculation 4 2 20 3 2" xfId="32909" xr:uid="{00000000-0005-0000-0000-00006E800000}"/>
    <cellStyle name="Calculation 4 2 20 3 3" xfId="32910" xr:uid="{00000000-0005-0000-0000-00006F800000}"/>
    <cellStyle name="Calculation 4 2 20 3 4" xfId="32911" xr:uid="{00000000-0005-0000-0000-000070800000}"/>
    <cellStyle name="Calculation 4 2 20 3 5" xfId="32912" xr:uid="{00000000-0005-0000-0000-000071800000}"/>
    <cellStyle name="Calculation 4 2 20 3 6" xfId="32913" xr:uid="{00000000-0005-0000-0000-000072800000}"/>
    <cellStyle name="Calculation 4 2 20 4" xfId="32914" xr:uid="{00000000-0005-0000-0000-000073800000}"/>
    <cellStyle name="Calculation 4 2 20 4 2" xfId="32915" xr:uid="{00000000-0005-0000-0000-000074800000}"/>
    <cellStyle name="Calculation 4 2 20 4 3" xfId="32916" xr:uid="{00000000-0005-0000-0000-000075800000}"/>
    <cellStyle name="Calculation 4 2 20 4 4" xfId="32917" xr:uid="{00000000-0005-0000-0000-000076800000}"/>
    <cellStyle name="Calculation 4 2 20 4 5" xfId="32918" xr:uid="{00000000-0005-0000-0000-000077800000}"/>
    <cellStyle name="Calculation 4 2 20 4 6" xfId="32919" xr:uid="{00000000-0005-0000-0000-000078800000}"/>
    <cellStyle name="Calculation 4 2 20 5" xfId="32920" xr:uid="{00000000-0005-0000-0000-000079800000}"/>
    <cellStyle name="Calculation 4 2 20 5 2" xfId="32921" xr:uid="{00000000-0005-0000-0000-00007A800000}"/>
    <cellStyle name="Calculation 4 2 20 5 3" xfId="32922" xr:uid="{00000000-0005-0000-0000-00007B800000}"/>
    <cellStyle name="Calculation 4 2 20 5 4" xfId="32923" xr:uid="{00000000-0005-0000-0000-00007C800000}"/>
    <cellStyle name="Calculation 4 2 20 5 5" xfId="32924" xr:uid="{00000000-0005-0000-0000-00007D800000}"/>
    <cellStyle name="Calculation 4 2 20 5 6" xfId="32925" xr:uid="{00000000-0005-0000-0000-00007E800000}"/>
    <cellStyle name="Calculation 4 2 20 6" xfId="32926" xr:uid="{00000000-0005-0000-0000-00007F800000}"/>
    <cellStyle name="Calculation 4 2 20 6 2" xfId="32927" xr:uid="{00000000-0005-0000-0000-000080800000}"/>
    <cellStyle name="Calculation 4 2 20 6 3" xfId="32928" xr:uid="{00000000-0005-0000-0000-000081800000}"/>
    <cellStyle name="Calculation 4 2 20 6 4" xfId="32929" xr:uid="{00000000-0005-0000-0000-000082800000}"/>
    <cellStyle name="Calculation 4 2 20 6 5" xfId="32930" xr:uid="{00000000-0005-0000-0000-000083800000}"/>
    <cellStyle name="Calculation 4 2 20 6 6" xfId="32931" xr:uid="{00000000-0005-0000-0000-000084800000}"/>
    <cellStyle name="Calculation 4 2 20 7" xfId="32932" xr:uid="{00000000-0005-0000-0000-000085800000}"/>
    <cellStyle name="Calculation 4 2 20 7 2" xfId="32933" xr:uid="{00000000-0005-0000-0000-000086800000}"/>
    <cellStyle name="Calculation 4 2 20 7 3" xfId="32934" xr:uid="{00000000-0005-0000-0000-000087800000}"/>
    <cellStyle name="Calculation 4 2 20 7 4" xfId="32935" xr:uid="{00000000-0005-0000-0000-000088800000}"/>
    <cellStyle name="Calculation 4 2 20 7 5" xfId="32936" xr:uid="{00000000-0005-0000-0000-000089800000}"/>
    <cellStyle name="Calculation 4 2 20 7 6" xfId="32937" xr:uid="{00000000-0005-0000-0000-00008A800000}"/>
    <cellStyle name="Calculation 4 2 20 8" xfId="32938" xr:uid="{00000000-0005-0000-0000-00008B800000}"/>
    <cellStyle name="Calculation 4 2 20 9" xfId="32939" xr:uid="{00000000-0005-0000-0000-00008C800000}"/>
    <cellStyle name="Calculation 4 2 21" xfId="32940" xr:uid="{00000000-0005-0000-0000-00008D800000}"/>
    <cellStyle name="Calculation 4 2 21 10" xfId="32941" xr:uid="{00000000-0005-0000-0000-00008E800000}"/>
    <cellStyle name="Calculation 4 2 21 2" xfId="32942" xr:uid="{00000000-0005-0000-0000-00008F800000}"/>
    <cellStyle name="Calculation 4 2 21 2 2" xfId="32943" xr:uid="{00000000-0005-0000-0000-000090800000}"/>
    <cellStyle name="Calculation 4 2 21 2 3" xfId="32944" xr:uid="{00000000-0005-0000-0000-000091800000}"/>
    <cellStyle name="Calculation 4 2 21 2 4" xfId="32945" xr:uid="{00000000-0005-0000-0000-000092800000}"/>
    <cellStyle name="Calculation 4 2 21 2 5" xfId="32946" xr:uid="{00000000-0005-0000-0000-000093800000}"/>
    <cellStyle name="Calculation 4 2 21 2 6" xfId="32947" xr:uid="{00000000-0005-0000-0000-000094800000}"/>
    <cellStyle name="Calculation 4 2 21 3" xfId="32948" xr:uid="{00000000-0005-0000-0000-000095800000}"/>
    <cellStyle name="Calculation 4 2 21 3 2" xfId="32949" xr:uid="{00000000-0005-0000-0000-000096800000}"/>
    <cellStyle name="Calculation 4 2 21 3 3" xfId="32950" xr:uid="{00000000-0005-0000-0000-000097800000}"/>
    <cellStyle name="Calculation 4 2 21 3 4" xfId="32951" xr:uid="{00000000-0005-0000-0000-000098800000}"/>
    <cellStyle name="Calculation 4 2 21 3 5" xfId="32952" xr:uid="{00000000-0005-0000-0000-000099800000}"/>
    <cellStyle name="Calculation 4 2 21 3 6" xfId="32953" xr:uid="{00000000-0005-0000-0000-00009A800000}"/>
    <cellStyle name="Calculation 4 2 21 4" xfId="32954" xr:uid="{00000000-0005-0000-0000-00009B800000}"/>
    <cellStyle name="Calculation 4 2 21 4 2" xfId="32955" xr:uid="{00000000-0005-0000-0000-00009C800000}"/>
    <cellStyle name="Calculation 4 2 21 4 3" xfId="32956" xr:uid="{00000000-0005-0000-0000-00009D800000}"/>
    <cellStyle name="Calculation 4 2 21 4 4" xfId="32957" xr:uid="{00000000-0005-0000-0000-00009E800000}"/>
    <cellStyle name="Calculation 4 2 21 4 5" xfId="32958" xr:uid="{00000000-0005-0000-0000-00009F800000}"/>
    <cellStyle name="Calculation 4 2 21 4 6" xfId="32959" xr:uid="{00000000-0005-0000-0000-0000A0800000}"/>
    <cellStyle name="Calculation 4 2 21 5" xfId="32960" xr:uid="{00000000-0005-0000-0000-0000A1800000}"/>
    <cellStyle name="Calculation 4 2 21 5 2" xfId="32961" xr:uid="{00000000-0005-0000-0000-0000A2800000}"/>
    <cellStyle name="Calculation 4 2 21 5 3" xfId="32962" xr:uid="{00000000-0005-0000-0000-0000A3800000}"/>
    <cellStyle name="Calculation 4 2 21 5 4" xfId="32963" xr:uid="{00000000-0005-0000-0000-0000A4800000}"/>
    <cellStyle name="Calculation 4 2 21 5 5" xfId="32964" xr:uid="{00000000-0005-0000-0000-0000A5800000}"/>
    <cellStyle name="Calculation 4 2 21 5 6" xfId="32965" xr:uid="{00000000-0005-0000-0000-0000A6800000}"/>
    <cellStyle name="Calculation 4 2 21 6" xfId="32966" xr:uid="{00000000-0005-0000-0000-0000A7800000}"/>
    <cellStyle name="Calculation 4 2 21 6 2" xfId="32967" xr:uid="{00000000-0005-0000-0000-0000A8800000}"/>
    <cellStyle name="Calculation 4 2 21 6 3" xfId="32968" xr:uid="{00000000-0005-0000-0000-0000A9800000}"/>
    <cellStyle name="Calculation 4 2 21 6 4" xfId="32969" xr:uid="{00000000-0005-0000-0000-0000AA800000}"/>
    <cellStyle name="Calculation 4 2 21 6 5" xfId="32970" xr:uid="{00000000-0005-0000-0000-0000AB800000}"/>
    <cellStyle name="Calculation 4 2 21 6 6" xfId="32971" xr:uid="{00000000-0005-0000-0000-0000AC800000}"/>
    <cellStyle name="Calculation 4 2 21 7" xfId="32972" xr:uid="{00000000-0005-0000-0000-0000AD800000}"/>
    <cellStyle name="Calculation 4 2 21 7 2" xfId="32973" xr:uid="{00000000-0005-0000-0000-0000AE800000}"/>
    <cellStyle name="Calculation 4 2 21 7 3" xfId="32974" xr:uid="{00000000-0005-0000-0000-0000AF800000}"/>
    <cellStyle name="Calculation 4 2 21 7 4" xfId="32975" xr:uid="{00000000-0005-0000-0000-0000B0800000}"/>
    <cellStyle name="Calculation 4 2 21 7 5" xfId="32976" xr:uid="{00000000-0005-0000-0000-0000B1800000}"/>
    <cellStyle name="Calculation 4 2 21 7 6" xfId="32977" xr:uid="{00000000-0005-0000-0000-0000B2800000}"/>
    <cellStyle name="Calculation 4 2 21 8" xfId="32978" xr:uid="{00000000-0005-0000-0000-0000B3800000}"/>
    <cellStyle name="Calculation 4 2 21 9" xfId="32979" xr:uid="{00000000-0005-0000-0000-0000B4800000}"/>
    <cellStyle name="Calculation 4 2 22" xfId="32980" xr:uid="{00000000-0005-0000-0000-0000B5800000}"/>
    <cellStyle name="Calculation 4 2 22 10" xfId="32981" xr:uid="{00000000-0005-0000-0000-0000B6800000}"/>
    <cellStyle name="Calculation 4 2 22 2" xfId="32982" xr:uid="{00000000-0005-0000-0000-0000B7800000}"/>
    <cellStyle name="Calculation 4 2 22 2 2" xfId="32983" xr:uid="{00000000-0005-0000-0000-0000B8800000}"/>
    <cellStyle name="Calculation 4 2 22 2 3" xfId="32984" xr:uid="{00000000-0005-0000-0000-0000B9800000}"/>
    <cellStyle name="Calculation 4 2 22 2 4" xfId="32985" xr:uid="{00000000-0005-0000-0000-0000BA800000}"/>
    <cellStyle name="Calculation 4 2 22 2 5" xfId="32986" xr:uid="{00000000-0005-0000-0000-0000BB800000}"/>
    <cellStyle name="Calculation 4 2 22 2 6" xfId="32987" xr:uid="{00000000-0005-0000-0000-0000BC800000}"/>
    <cellStyle name="Calculation 4 2 22 3" xfId="32988" xr:uid="{00000000-0005-0000-0000-0000BD800000}"/>
    <cellStyle name="Calculation 4 2 22 3 2" xfId="32989" xr:uid="{00000000-0005-0000-0000-0000BE800000}"/>
    <cellStyle name="Calculation 4 2 22 3 3" xfId="32990" xr:uid="{00000000-0005-0000-0000-0000BF800000}"/>
    <cellStyle name="Calculation 4 2 22 3 4" xfId="32991" xr:uid="{00000000-0005-0000-0000-0000C0800000}"/>
    <cellStyle name="Calculation 4 2 22 3 5" xfId="32992" xr:uid="{00000000-0005-0000-0000-0000C1800000}"/>
    <cellStyle name="Calculation 4 2 22 3 6" xfId="32993" xr:uid="{00000000-0005-0000-0000-0000C2800000}"/>
    <cellStyle name="Calculation 4 2 22 4" xfId="32994" xr:uid="{00000000-0005-0000-0000-0000C3800000}"/>
    <cellStyle name="Calculation 4 2 22 4 2" xfId="32995" xr:uid="{00000000-0005-0000-0000-0000C4800000}"/>
    <cellStyle name="Calculation 4 2 22 4 3" xfId="32996" xr:uid="{00000000-0005-0000-0000-0000C5800000}"/>
    <cellStyle name="Calculation 4 2 22 4 4" xfId="32997" xr:uid="{00000000-0005-0000-0000-0000C6800000}"/>
    <cellStyle name="Calculation 4 2 22 4 5" xfId="32998" xr:uid="{00000000-0005-0000-0000-0000C7800000}"/>
    <cellStyle name="Calculation 4 2 22 4 6" xfId="32999" xr:uid="{00000000-0005-0000-0000-0000C8800000}"/>
    <cellStyle name="Calculation 4 2 22 5" xfId="33000" xr:uid="{00000000-0005-0000-0000-0000C9800000}"/>
    <cellStyle name="Calculation 4 2 22 5 2" xfId="33001" xr:uid="{00000000-0005-0000-0000-0000CA800000}"/>
    <cellStyle name="Calculation 4 2 22 5 3" xfId="33002" xr:uid="{00000000-0005-0000-0000-0000CB800000}"/>
    <cellStyle name="Calculation 4 2 22 5 4" xfId="33003" xr:uid="{00000000-0005-0000-0000-0000CC800000}"/>
    <cellStyle name="Calculation 4 2 22 5 5" xfId="33004" xr:uid="{00000000-0005-0000-0000-0000CD800000}"/>
    <cellStyle name="Calculation 4 2 22 5 6" xfId="33005" xr:uid="{00000000-0005-0000-0000-0000CE800000}"/>
    <cellStyle name="Calculation 4 2 22 6" xfId="33006" xr:uid="{00000000-0005-0000-0000-0000CF800000}"/>
    <cellStyle name="Calculation 4 2 22 6 2" xfId="33007" xr:uid="{00000000-0005-0000-0000-0000D0800000}"/>
    <cellStyle name="Calculation 4 2 22 6 3" xfId="33008" xr:uid="{00000000-0005-0000-0000-0000D1800000}"/>
    <cellStyle name="Calculation 4 2 22 6 4" xfId="33009" xr:uid="{00000000-0005-0000-0000-0000D2800000}"/>
    <cellStyle name="Calculation 4 2 22 6 5" xfId="33010" xr:uid="{00000000-0005-0000-0000-0000D3800000}"/>
    <cellStyle name="Calculation 4 2 22 6 6" xfId="33011" xr:uid="{00000000-0005-0000-0000-0000D4800000}"/>
    <cellStyle name="Calculation 4 2 22 7" xfId="33012" xr:uid="{00000000-0005-0000-0000-0000D5800000}"/>
    <cellStyle name="Calculation 4 2 22 7 2" xfId="33013" xr:uid="{00000000-0005-0000-0000-0000D6800000}"/>
    <cellStyle name="Calculation 4 2 22 7 3" xfId="33014" xr:uid="{00000000-0005-0000-0000-0000D7800000}"/>
    <cellStyle name="Calculation 4 2 22 7 4" xfId="33015" xr:uid="{00000000-0005-0000-0000-0000D8800000}"/>
    <cellStyle name="Calculation 4 2 22 7 5" xfId="33016" xr:uid="{00000000-0005-0000-0000-0000D9800000}"/>
    <cellStyle name="Calculation 4 2 22 7 6" xfId="33017" xr:uid="{00000000-0005-0000-0000-0000DA800000}"/>
    <cellStyle name="Calculation 4 2 22 8" xfId="33018" xr:uid="{00000000-0005-0000-0000-0000DB800000}"/>
    <cellStyle name="Calculation 4 2 22 9" xfId="33019" xr:uid="{00000000-0005-0000-0000-0000DC800000}"/>
    <cellStyle name="Calculation 4 2 23" xfId="33020" xr:uid="{00000000-0005-0000-0000-0000DD800000}"/>
    <cellStyle name="Calculation 4 2 23 10" xfId="33021" xr:uid="{00000000-0005-0000-0000-0000DE800000}"/>
    <cellStyle name="Calculation 4 2 23 2" xfId="33022" xr:uid="{00000000-0005-0000-0000-0000DF800000}"/>
    <cellStyle name="Calculation 4 2 23 2 2" xfId="33023" xr:uid="{00000000-0005-0000-0000-0000E0800000}"/>
    <cellStyle name="Calculation 4 2 23 2 3" xfId="33024" xr:uid="{00000000-0005-0000-0000-0000E1800000}"/>
    <cellStyle name="Calculation 4 2 23 2 4" xfId="33025" xr:uid="{00000000-0005-0000-0000-0000E2800000}"/>
    <cellStyle name="Calculation 4 2 23 2 5" xfId="33026" xr:uid="{00000000-0005-0000-0000-0000E3800000}"/>
    <cellStyle name="Calculation 4 2 23 2 6" xfId="33027" xr:uid="{00000000-0005-0000-0000-0000E4800000}"/>
    <cellStyle name="Calculation 4 2 23 3" xfId="33028" xr:uid="{00000000-0005-0000-0000-0000E5800000}"/>
    <cellStyle name="Calculation 4 2 23 3 2" xfId="33029" xr:uid="{00000000-0005-0000-0000-0000E6800000}"/>
    <cellStyle name="Calculation 4 2 23 3 3" xfId="33030" xr:uid="{00000000-0005-0000-0000-0000E7800000}"/>
    <cellStyle name="Calculation 4 2 23 3 4" xfId="33031" xr:uid="{00000000-0005-0000-0000-0000E8800000}"/>
    <cellStyle name="Calculation 4 2 23 3 5" xfId="33032" xr:uid="{00000000-0005-0000-0000-0000E9800000}"/>
    <cellStyle name="Calculation 4 2 23 3 6" xfId="33033" xr:uid="{00000000-0005-0000-0000-0000EA800000}"/>
    <cellStyle name="Calculation 4 2 23 4" xfId="33034" xr:uid="{00000000-0005-0000-0000-0000EB800000}"/>
    <cellStyle name="Calculation 4 2 23 4 2" xfId="33035" xr:uid="{00000000-0005-0000-0000-0000EC800000}"/>
    <cellStyle name="Calculation 4 2 23 4 3" xfId="33036" xr:uid="{00000000-0005-0000-0000-0000ED800000}"/>
    <cellStyle name="Calculation 4 2 23 4 4" xfId="33037" xr:uid="{00000000-0005-0000-0000-0000EE800000}"/>
    <cellStyle name="Calculation 4 2 23 4 5" xfId="33038" xr:uid="{00000000-0005-0000-0000-0000EF800000}"/>
    <cellStyle name="Calculation 4 2 23 4 6" xfId="33039" xr:uid="{00000000-0005-0000-0000-0000F0800000}"/>
    <cellStyle name="Calculation 4 2 23 5" xfId="33040" xr:uid="{00000000-0005-0000-0000-0000F1800000}"/>
    <cellStyle name="Calculation 4 2 23 5 2" xfId="33041" xr:uid="{00000000-0005-0000-0000-0000F2800000}"/>
    <cellStyle name="Calculation 4 2 23 5 3" xfId="33042" xr:uid="{00000000-0005-0000-0000-0000F3800000}"/>
    <cellStyle name="Calculation 4 2 23 5 4" xfId="33043" xr:uid="{00000000-0005-0000-0000-0000F4800000}"/>
    <cellStyle name="Calculation 4 2 23 5 5" xfId="33044" xr:uid="{00000000-0005-0000-0000-0000F5800000}"/>
    <cellStyle name="Calculation 4 2 23 5 6" xfId="33045" xr:uid="{00000000-0005-0000-0000-0000F6800000}"/>
    <cellStyle name="Calculation 4 2 23 6" xfId="33046" xr:uid="{00000000-0005-0000-0000-0000F7800000}"/>
    <cellStyle name="Calculation 4 2 23 6 2" xfId="33047" xr:uid="{00000000-0005-0000-0000-0000F8800000}"/>
    <cellStyle name="Calculation 4 2 23 6 3" xfId="33048" xr:uid="{00000000-0005-0000-0000-0000F9800000}"/>
    <cellStyle name="Calculation 4 2 23 6 4" xfId="33049" xr:uid="{00000000-0005-0000-0000-0000FA800000}"/>
    <cellStyle name="Calculation 4 2 23 6 5" xfId="33050" xr:uid="{00000000-0005-0000-0000-0000FB800000}"/>
    <cellStyle name="Calculation 4 2 23 6 6" xfId="33051" xr:uid="{00000000-0005-0000-0000-0000FC800000}"/>
    <cellStyle name="Calculation 4 2 23 7" xfId="33052" xr:uid="{00000000-0005-0000-0000-0000FD800000}"/>
    <cellStyle name="Calculation 4 2 23 7 2" xfId="33053" xr:uid="{00000000-0005-0000-0000-0000FE800000}"/>
    <cellStyle name="Calculation 4 2 23 7 3" xfId="33054" xr:uid="{00000000-0005-0000-0000-0000FF800000}"/>
    <cellStyle name="Calculation 4 2 23 7 4" xfId="33055" xr:uid="{00000000-0005-0000-0000-000000810000}"/>
    <cellStyle name="Calculation 4 2 23 7 5" xfId="33056" xr:uid="{00000000-0005-0000-0000-000001810000}"/>
    <cellStyle name="Calculation 4 2 23 7 6" xfId="33057" xr:uid="{00000000-0005-0000-0000-000002810000}"/>
    <cellStyle name="Calculation 4 2 23 8" xfId="33058" xr:uid="{00000000-0005-0000-0000-000003810000}"/>
    <cellStyle name="Calculation 4 2 23 9" xfId="33059" xr:uid="{00000000-0005-0000-0000-000004810000}"/>
    <cellStyle name="Calculation 4 2 24" xfId="33060" xr:uid="{00000000-0005-0000-0000-000005810000}"/>
    <cellStyle name="Calculation 4 2 24 10" xfId="33061" xr:uid="{00000000-0005-0000-0000-000006810000}"/>
    <cellStyle name="Calculation 4 2 24 2" xfId="33062" xr:uid="{00000000-0005-0000-0000-000007810000}"/>
    <cellStyle name="Calculation 4 2 24 2 2" xfId="33063" xr:uid="{00000000-0005-0000-0000-000008810000}"/>
    <cellStyle name="Calculation 4 2 24 2 3" xfId="33064" xr:uid="{00000000-0005-0000-0000-000009810000}"/>
    <cellStyle name="Calculation 4 2 24 2 4" xfId="33065" xr:uid="{00000000-0005-0000-0000-00000A810000}"/>
    <cellStyle name="Calculation 4 2 24 2 5" xfId="33066" xr:uid="{00000000-0005-0000-0000-00000B810000}"/>
    <cellStyle name="Calculation 4 2 24 2 6" xfId="33067" xr:uid="{00000000-0005-0000-0000-00000C810000}"/>
    <cellStyle name="Calculation 4 2 24 3" xfId="33068" xr:uid="{00000000-0005-0000-0000-00000D810000}"/>
    <cellStyle name="Calculation 4 2 24 3 2" xfId="33069" xr:uid="{00000000-0005-0000-0000-00000E810000}"/>
    <cellStyle name="Calculation 4 2 24 3 3" xfId="33070" xr:uid="{00000000-0005-0000-0000-00000F810000}"/>
    <cellStyle name="Calculation 4 2 24 3 4" xfId="33071" xr:uid="{00000000-0005-0000-0000-000010810000}"/>
    <cellStyle name="Calculation 4 2 24 3 5" xfId="33072" xr:uid="{00000000-0005-0000-0000-000011810000}"/>
    <cellStyle name="Calculation 4 2 24 3 6" xfId="33073" xr:uid="{00000000-0005-0000-0000-000012810000}"/>
    <cellStyle name="Calculation 4 2 24 4" xfId="33074" xr:uid="{00000000-0005-0000-0000-000013810000}"/>
    <cellStyle name="Calculation 4 2 24 4 2" xfId="33075" xr:uid="{00000000-0005-0000-0000-000014810000}"/>
    <cellStyle name="Calculation 4 2 24 4 3" xfId="33076" xr:uid="{00000000-0005-0000-0000-000015810000}"/>
    <cellStyle name="Calculation 4 2 24 4 4" xfId="33077" xr:uid="{00000000-0005-0000-0000-000016810000}"/>
    <cellStyle name="Calculation 4 2 24 4 5" xfId="33078" xr:uid="{00000000-0005-0000-0000-000017810000}"/>
    <cellStyle name="Calculation 4 2 24 4 6" xfId="33079" xr:uid="{00000000-0005-0000-0000-000018810000}"/>
    <cellStyle name="Calculation 4 2 24 5" xfId="33080" xr:uid="{00000000-0005-0000-0000-000019810000}"/>
    <cellStyle name="Calculation 4 2 24 5 2" xfId="33081" xr:uid="{00000000-0005-0000-0000-00001A810000}"/>
    <cellStyle name="Calculation 4 2 24 5 3" xfId="33082" xr:uid="{00000000-0005-0000-0000-00001B810000}"/>
    <cellStyle name="Calculation 4 2 24 5 4" xfId="33083" xr:uid="{00000000-0005-0000-0000-00001C810000}"/>
    <cellStyle name="Calculation 4 2 24 5 5" xfId="33084" xr:uid="{00000000-0005-0000-0000-00001D810000}"/>
    <cellStyle name="Calculation 4 2 24 5 6" xfId="33085" xr:uid="{00000000-0005-0000-0000-00001E810000}"/>
    <cellStyle name="Calculation 4 2 24 6" xfId="33086" xr:uid="{00000000-0005-0000-0000-00001F810000}"/>
    <cellStyle name="Calculation 4 2 24 6 2" xfId="33087" xr:uid="{00000000-0005-0000-0000-000020810000}"/>
    <cellStyle name="Calculation 4 2 24 6 3" xfId="33088" xr:uid="{00000000-0005-0000-0000-000021810000}"/>
    <cellStyle name="Calculation 4 2 24 6 4" xfId="33089" xr:uid="{00000000-0005-0000-0000-000022810000}"/>
    <cellStyle name="Calculation 4 2 24 6 5" xfId="33090" xr:uid="{00000000-0005-0000-0000-000023810000}"/>
    <cellStyle name="Calculation 4 2 24 6 6" xfId="33091" xr:uid="{00000000-0005-0000-0000-000024810000}"/>
    <cellStyle name="Calculation 4 2 24 7" xfId="33092" xr:uid="{00000000-0005-0000-0000-000025810000}"/>
    <cellStyle name="Calculation 4 2 24 7 2" xfId="33093" xr:uid="{00000000-0005-0000-0000-000026810000}"/>
    <cellStyle name="Calculation 4 2 24 7 3" xfId="33094" xr:uid="{00000000-0005-0000-0000-000027810000}"/>
    <cellStyle name="Calculation 4 2 24 7 4" xfId="33095" xr:uid="{00000000-0005-0000-0000-000028810000}"/>
    <cellStyle name="Calculation 4 2 24 7 5" xfId="33096" xr:uid="{00000000-0005-0000-0000-000029810000}"/>
    <cellStyle name="Calculation 4 2 24 7 6" xfId="33097" xr:uid="{00000000-0005-0000-0000-00002A810000}"/>
    <cellStyle name="Calculation 4 2 24 8" xfId="33098" xr:uid="{00000000-0005-0000-0000-00002B810000}"/>
    <cellStyle name="Calculation 4 2 24 9" xfId="33099" xr:uid="{00000000-0005-0000-0000-00002C810000}"/>
    <cellStyle name="Calculation 4 2 25" xfId="33100" xr:uid="{00000000-0005-0000-0000-00002D810000}"/>
    <cellStyle name="Calculation 4 2 25 10" xfId="33101" xr:uid="{00000000-0005-0000-0000-00002E810000}"/>
    <cellStyle name="Calculation 4 2 25 2" xfId="33102" xr:uid="{00000000-0005-0000-0000-00002F810000}"/>
    <cellStyle name="Calculation 4 2 25 2 2" xfId="33103" xr:uid="{00000000-0005-0000-0000-000030810000}"/>
    <cellStyle name="Calculation 4 2 25 2 3" xfId="33104" xr:uid="{00000000-0005-0000-0000-000031810000}"/>
    <cellStyle name="Calculation 4 2 25 2 4" xfId="33105" xr:uid="{00000000-0005-0000-0000-000032810000}"/>
    <cellStyle name="Calculation 4 2 25 2 5" xfId="33106" xr:uid="{00000000-0005-0000-0000-000033810000}"/>
    <cellStyle name="Calculation 4 2 25 2 6" xfId="33107" xr:uid="{00000000-0005-0000-0000-000034810000}"/>
    <cellStyle name="Calculation 4 2 25 3" xfId="33108" xr:uid="{00000000-0005-0000-0000-000035810000}"/>
    <cellStyle name="Calculation 4 2 25 3 2" xfId="33109" xr:uid="{00000000-0005-0000-0000-000036810000}"/>
    <cellStyle name="Calculation 4 2 25 3 3" xfId="33110" xr:uid="{00000000-0005-0000-0000-000037810000}"/>
    <cellStyle name="Calculation 4 2 25 3 4" xfId="33111" xr:uid="{00000000-0005-0000-0000-000038810000}"/>
    <cellStyle name="Calculation 4 2 25 3 5" xfId="33112" xr:uid="{00000000-0005-0000-0000-000039810000}"/>
    <cellStyle name="Calculation 4 2 25 3 6" xfId="33113" xr:uid="{00000000-0005-0000-0000-00003A810000}"/>
    <cellStyle name="Calculation 4 2 25 4" xfId="33114" xr:uid="{00000000-0005-0000-0000-00003B810000}"/>
    <cellStyle name="Calculation 4 2 25 4 2" xfId="33115" xr:uid="{00000000-0005-0000-0000-00003C810000}"/>
    <cellStyle name="Calculation 4 2 25 4 3" xfId="33116" xr:uid="{00000000-0005-0000-0000-00003D810000}"/>
    <cellStyle name="Calculation 4 2 25 4 4" xfId="33117" xr:uid="{00000000-0005-0000-0000-00003E810000}"/>
    <cellStyle name="Calculation 4 2 25 4 5" xfId="33118" xr:uid="{00000000-0005-0000-0000-00003F810000}"/>
    <cellStyle name="Calculation 4 2 25 4 6" xfId="33119" xr:uid="{00000000-0005-0000-0000-000040810000}"/>
    <cellStyle name="Calculation 4 2 25 5" xfId="33120" xr:uid="{00000000-0005-0000-0000-000041810000}"/>
    <cellStyle name="Calculation 4 2 25 5 2" xfId="33121" xr:uid="{00000000-0005-0000-0000-000042810000}"/>
    <cellStyle name="Calculation 4 2 25 5 3" xfId="33122" xr:uid="{00000000-0005-0000-0000-000043810000}"/>
    <cellStyle name="Calculation 4 2 25 5 4" xfId="33123" xr:uid="{00000000-0005-0000-0000-000044810000}"/>
    <cellStyle name="Calculation 4 2 25 5 5" xfId="33124" xr:uid="{00000000-0005-0000-0000-000045810000}"/>
    <cellStyle name="Calculation 4 2 25 5 6" xfId="33125" xr:uid="{00000000-0005-0000-0000-000046810000}"/>
    <cellStyle name="Calculation 4 2 25 6" xfId="33126" xr:uid="{00000000-0005-0000-0000-000047810000}"/>
    <cellStyle name="Calculation 4 2 25 6 2" xfId="33127" xr:uid="{00000000-0005-0000-0000-000048810000}"/>
    <cellStyle name="Calculation 4 2 25 6 3" xfId="33128" xr:uid="{00000000-0005-0000-0000-000049810000}"/>
    <cellStyle name="Calculation 4 2 25 6 4" xfId="33129" xr:uid="{00000000-0005-0000-0000-00004A810000}"/>
    <cellStyle name="Calculation 4 2 25 6 5" xfId="33130" xr:uid="{00000000-0005-0000-0000-00004B810000}"/>
    <cellStyle name="Calculation 4 2 25 6 6" xfId="33131" xr:uid="{00000000-0005-0000-0000-00004C810000}"/>
    <cellStyle name="Calculation 4 2 25 7" xfId="33132" xr:uid="{00000000-0005-0000-0000-00004D810000}"/>
    <cellStyle name="Calculation 4 2 25 7 2" xfId="33133" xr:uid="{00000000-0005-0000-0000-00004E810000}"/>
    <cellStyle name="Calculation 4 2 25 7 3" xfId="33134" xr:uid="{00000000-0005-0000-0000-00004F810000}"/>
    <cellStyle name="Calculation 4 2 25 7 4" xfId="33135" xr:uid="{00000000-0005-0000-0000-000050810000}"/>
    <cellStyle name="Calculation 4 2 25 7 5" xfId="33136" xr:uid="{00000000-0005-0000-0000-000051810000}"/>
    <cellStyle name="Calculation 4 2 25 7 6" xfId="33137" xr:uid="{00000000-0005-0000-0000-000052810000}"/>
    <cellStyle name="Calculation 4 2 25 8" xfId="33138" xr:uid="{00000000-0005-0000-0000-000053810000}"/>
    <cellStyle name="Calculation 4 2 25 9" xfId="33139" xr:uid="{00000000-0005-0000-0000-000054810000}"/>
    <cellStyle name="Calculation 4 2 26" xfId="33140" xr:uid="{00000000-0005-0000-0000-000055810000}"/>
    <cellStyle name="Calculation 4 2 26 10" xfId="33141" xr:uid="{00000000-0005-0000-0000-000056810000}"/>
    <cellStyle name="Calculation 4 2 26 2" xfId="33142" xr:uid="{00000000-0005-0000-0000-000057810000}"/>
    <cellStyle name="Calculation 4 2 26 2 2" xfId="33143" xr:uid="{00000000-0005-0000-0000-000058810000}"/>
    <cellStyle name="Calculation 4 2 26 2 3" xfId="33144" xr:uid="{00000000-0005-0000-0000-000059810000}"/>
    <cellStyle name="Calculation 4 2 26 2 4" xfId="33145" xr:uid="{00000000-0005-0000-0000-00005A810000}"/>
    <cellStyle name="Calculation 4 2 26 2 5" xfId="33146" xr:uid="{00000000-0005-0000-0000-00005B810000}"/>
    <cellStyle name="Calculation 4 2 26 2 6" xfId="33147" xr:uid="{00000000-0005-0000-0000-00005C810000}"/>
    <cellStyle name="Calculation 4 2 26 3" xfId="33148" xr:uid="{00000000-0005-0000-0000-00005D810000}"/>
    <cellStyle name="Calculation 4 2 26 3 2" xfId="33149" xr:uid="{00000000-0005-0000-0000-00005E810000}"/>
    <cellStyle name="Calculation 4 2 26 3 3" xfId="33150" xr:uid="{00000000-0005-0000-0000-00005F810000}"/>
    <cellStyle name="Calculation 4 2 26 3 4" xfId="33151" xr:uid="{00000000-0005-0000-0000-000060810000}"/>
    <cellStyle name="Calculation 4 2 26 3 5" xfId="33152" xr:uid="{00000000-0005-0000-0000-000061810000}"/>
    <cellStyle name="Calculation 4 2 26 3 6" xfId="33153" xr:uid="{00000000-0005-0000-0000-000062810000}"/>
    <cellStyle name="Calculation 4 2 26 4" xfId="33154" xr:uid="{00000000-0005-0000-0000-000063810000}"/>
    <cellStyle name="Calculation 4 2 26 4 2" xfId="33155" xr:uid="{00000000-0005-0000-0000-000064810000}"/>
    <cellStyle name="Calculation 4 2 26 4 3" xfId="33156" xr:uid="{00000000-0005-0000-0000-000065810000}"/>
    <cellStyle name="Calculation 4 2 26 4 4" xfId="33157" xr:uid="{00000000-0005-0000-0000-000066810000}"/>
    <cellStyle name="Calculation 4 2 26 4 5" xfId="33158" xr:uid="{00000000-0005-0000-0000-000067810000}"/>
    <cellStyle name="Calculation 4 2 26 4 6" xfId="33159" xr:uid="{00000000-0005-0000-0000-000068810000}"/>
    <cellStyle name="Calculation 4 2 26 5" xfId="33160" xr:uid="{00000000-0005-0000-0000-000069810000}"/>
    <cellStyle name="Calculation 4 2 26 5 2" xfId="33161" xr:uid="{00000000-0005-0000-0000-00006A810000}"/>
    <cellStyle name="Calculation 4 2 26 5 3" xfId="33162" xr:uid="{00000000-0005-0000-0000-00006B810000}"/>
    <cellStyle name="Calculation 4 2 26 5 4" xfId="33163" xr:uid="{00000000-0005-0000-0000-00006C810000}"/>
    <cellStyle name="Calculation 4 2 26 5 5" xfId="33164" xr:uid="{00000000-0005-0000-0000-00006D810000}"/>
    <cellStyle name="Calculation 4 2 26 5 6" xfId="33165" xr:uid="{00000000-0005-0000-0000-00006E810000}"/>
    <cellStyle name="Calculation 4 2 26 6" xfId="33166" xr:uid="{00000000-0005-0000-0000-00006F810000}"/>
    <cellStyle name="Calculation 4 2 26 6 2" xfId="33167" xr:uid="{00000000-0005-0000-0000-000070810000}"/>
    <cellStyle name="Calculation 4 2 26 6 3" xfId="33168" xr:uid="{00000000-0005-0000-0000-000071810000}"/>
    <cellStyle name="Calculation 4 2 26 6 4" xfId="33169" xr:uid="{00000000-0005-0000-0000-000072810000}"/>
    <cellStyle name="Calculation 4 2 26 6 5" xfId="33170" xr:uid="{00000000-0005-0000-0000-000073810000}"/>
    <cellStyle name="Calculation 4 2 26 6 6" xfId="33171" xr:uid="{00000000-0005-0000-0000-000074810000}"/>
    <cellStyle name="Calculation 4 2 26 7" xfId="33172" xr:uid="{00000000-0005-0000-0000-000075810000}"/>
    <cellStyle name="Calculation 4 2 26 7 2" xfId="33173" xr:uid="{00000000-0005-0000-0000-000076810000}"/>
    <cellStyle name="Calculation 4 2 26 7 3" xfId="33174" xr:uid="{00000000-0005-0000-0000-000077810000}"/>
    <cellStyle name="Calculation 4 2 26 7 4" xfId="33175" xr:uid="{00000000-0005-0000-0000-000078810000}"/>
    <cellStyle name="Calculation 4 2 26 7 5" xfId="33176" xr:uid="{00000000-0005-0000-0000-000079810000}"/>
    <cellStyle name="Calculation 4 2 26 7 6" xfId="33177" xr:uid="{00000000-0005-0000-0000-00007A810000}"/>
    <cellStyle name="Calculation 4 2 26 8" xfId="33178" xr:uid="{00000000-0005-0000-0000-00007B810000}"/>
    <cellStyle name="Calculation 4 2 26 9" xfId="33179" xr:uid="{00000000-0005-0000-0000-00007C810000}"/>
    <cellStyle name="Calculation 4 2 27" xfId="33180" xr:uid="{00000000-0005-0000-0000-00007D810000}"/>
    <cellStyle name="Calculation 4 2 27 2" xfId="33181" xr:uid="{00000000-0005-0000-0000-00007E810000}"/>
    <cellStyle name="Calculation 4 2 27 3" xfId="33182" xr:uid="{00000000-0005-0000-0000-00007F810000}"/>
    <cellStyle name="Calculation 4 2 27 4" xfId="33183" xr:uid="{00000000-0005-0000-0000-000080810000}"/>
    <cellStyle name="Calculation 4 2 27 5" xfId="33184" xr:uid="{00000000-0005-0000-0000-000081810000}"/>
    <cellStyle name="Calculation 4 2 27 6" xfId="33185" xr:uid="{00000000-0005-0000-0000-000082810000}"/>
    <cellStyle name="Calculation 4 2 28" xfId="33186" xr:uid="{00000000-0005-0000-0000-000083810000}"/>
    <cellStyle name="Calculation 4 2 28 2" xfId="33187" xr:uid="{00000000-0005-0000-0000-000084810000}"/>
    <cellStyle name="Calculation 4 2 28 3" xfId="33188" xr:uid="{00000000-0005-0000-0000-000085810000}"/>
    <cellStyle name="Calculation 4 2 28 4" xfId="33189" xr:uid="{00000000-0005-0000-0000-000086810000}"/>
    <cellStyle name="Calculation 4 2 28 5" xfId="33190" xr:uid="{00000000-0005-0000-0000-000087810000}"/>
    <cellStyle name="Calculation 4 2 28 6" xfId="33191" xr:uid="{00000000-0005-0000-0000-000088810000}"/>
    <cellStyle name="Calculation 4 2 29" xfId="33192" xr:uid="{00000000-0005-0000-0000-000089810000}"/>
    <cellStyle name="Calculation 4 2 29 2" xfId="33193" xr:uid="{00000000-0005-0000-0000-00008A810000}"/>
    <cellStyle name="Calculation 4 2 29 3" xfId="33194" xr:uid="{00000000-0005-0000-0000-00008B810000}"/>
    <cellStyle name="Calculation 4 2 29 4" xfId="33195" xr:uid="{00000000-0005-0000-0000-00008C810000}"/>
    <cellStyle name="Calculation 4 2 29 5" xfId="33196" xr:uid="{00000000-0005-0000-0000-00008D810000}"/>
    <cellStyle name="Calculation 4 2 29 6" xfId="33197" xr:uid="{00000000-0005-0000-0000-00008E810000}"/>
    <cellStyle name="Calculation 4 2 3" xfId="33198" xr:uid="{00000000-0005-0000-0000-00008F810000}"/>
    <cellStyle name="Calculation 4 2 3 10" xfId="33199" xr:uid="{00000000-0005-0000-0000-000090810000}"/>
    <cellStyle name="Calculation 4 2 3 2" xfId="33200" xr:uid="{00000000-0005-0000-0000-000091810000}"/>
    <cellStyle name="Calculation 4 2 3 2 2" xfId="33201" xr:uid="{00000000-0005-0000-0000-000092810000}"/>
    <cellStyle name="Calculation 4 2 3 2 3" xfId="33202" xr:uid="{00000000-0005-0000-0000-000093810000}"/>
    <cellStyle name="Calculation 4 2 3 2 4" xfId="33203" xr:uid="{00000000-0005-0000-0000-000094810000}"/>
    <cellStyle name="Calculation 4 2 3 2 5" xfId="33204" xr:uid="{00000000-0005-0000-0000-000095810000}"/>
    <cellStyle name="Calculation 4 2 3 2 6" xfId="33205" xr:uid="{00000000-0005-0000-0000-000096810000}"/>
    <cellStyle name="Calculation 4 2 3 3" xfId="33206" xr:uid="{00000000-0005-0000-0000-000097810000}"/>
    <cellStyle name="Calculation 4 2 3 3 2" xfId="33207" xr:uid="{00000000-0005-0000-0000-000098810000}"/>
    <cellStyle name="Calculation 4 2 3 3 3" xfId="33208" xr:uid="{00000000-0005-0000-0000-000099810000}"/>
    <cellStyle name="Calculation 4 2 3 3 4" xfId="33209" xr:uid="{00000000-0005-0000-0000-00009A810000}"/>
    <cellStyle name="Calculation 4 2 3 3 5" xfId="33210" xr:uid="{00000000-0005-0000-0000-00009B810000}"/>
    <cellStyle name="Calculation 4 2 3 3 6" xfId="33211" xr:uid="{00000000-0005-0000-0000-00009C810000}"/>
    <cellStyle name="Calculation 4 2 3 4" xfId="33212" xr:uid="{00000000-0005-0000-0000-00009D810000}"/>
    <cellStyle name="Calculation 4 2 3 4 2" xfId="33213" xr:uid="{00000000-0005-0000-0000-00009E810000}"/>
    <cellStyle name="Calculation 4 2 3 4 3" xfId="33214" xr:uid="{00000000-0005-0000-0000-00009F810000}"/>
    <cellStyle name="Calculation 4 2 3 4 4" xfId="33215" xr:uid="{00000000-0005-0000-0000-0000A0810000}"/>
    <cellStyle name="Calculation 4 2 3 4 5" xfId="33216" xr:uid="{00000000-0005-0000-0000-0000A1810000}"/>
    <cellStyle name="Calculation 4 2 3 4 6" xfId="33217" xr:uid="{00000000-0005-0000-0000-0000A2810000}"/>
    <cellStyle name="Calculation 4 2 3 5" xfId="33218" xr:uid="{00000000-0005-0000-0000-0000A3810000}"/>
    <cellStyle name="Calculation 4 2 3 5 2" xfId="33219" xr:uid="{00000000-0005-0000-0000-0000A4810000}"/>
    <cellStyle name="Calculation 4 2 3 5 3" xfId="33220" xr:uid="{00000000-0005-0000-0000-0000A5810000}"/>
    <cellStyle name="Calculation 4 2 3 5 4" xfId="33221" xr:uid="{00000000-0005-0000-0000-0000A6810000}"/>
    <cellStyle name="Calculation 4 2 3 5 5" xfId="33222" xr:uid="{00000000-0005-0000-0000-0000A7810000}"/>
    <cellStyle name="Calculation 4 2 3 5 6" xfId="33223" xr:uid="{00000000-0005-0000-0000-0000A8810000}"/>
    <cellStyle name="Calculation 4 2 3 6" xfId="33224" xr:uid="{00000000-0005-0000-0000-0000A9810000}"/>
    <cellStyle name="Calculation 4 2 3 6 2" xfId="33225" xr:uid="{00000000-0005-0000-0000-0000AA810000}"/>
    <cellStyle name="Calculation 4 2 3 6 3" xfId="33226" xr:uid="{00000000-0005-0000-0000-0000AB810000}"/>
    <cellStyle name="Calculation 4 2 3 6 4" xfId="33227" xr:uid="{00000000-0005-0000-0000-0000AC810000}"/>
    <cellStyle name="Calculation 4 2 3 6 5" xfId="33228" xr:uid="{00000000-0005-0000-0000-0000AD810000}"/>
    <cellStyle name="Calculation 4 2 3 6 6" xfId="33229" xr:uid="{00000000-0005-0000-0000-0000AE810000}"/>
    <cellStyle name="Calculation 4 2 3 7" xfId="33230" xr:uid="{00000000-0005-0000-0000-0000AF810000}"/>
    <cellStyle name="Calculation 4 2 3 7 2" xfId="33231" xr:uid="{00000000-0005-0000-0000-0000B0810000}"/>
    <cellStyle name="Calculation 4 2 3 7 3" xfId="33232" xr:uid="{00000000-0005-0000-0000-0000B1810000}"/>
    <cellStyle name="Calculation 4 2 3 7 4" xfId="33233" xr:uid="{00000000-0005-0000-0000-0000B2810000}"/>
    <cellStyle name="Calculation 4 2 3 7 5" xfId="33234" xr:uid="{00000000-0005-0000-0000-0000B3810000}"/>
    <cellStyle name="Calculation 4 2 3 7 6" xfId="33235" xr:uid="{00000000-0005-0000-0000-0000B4810000}"/>
    <cellStyle name="Calculation 4 2 3 8" xfId="33236" xr:uid="{00000000-0005-0000-0000-0000B5810000}"/>
    <cellStyle name="Calculation 4 2 3 9" xfId="33237" xr:uid="{00000000-0005-0000-0000-0000B6810000}"/>
    <cellStyle name="Calculation 4 2 30" xfId="33238" xr:uid="{00000000-0005-0000-0000-0000B7810000}"/>
    <cellStyle name="Calculation 4 2 30 2" xfId="33239" xr:uid="{00000000-0005-0000-0000-0000B8810000}"/>
    <cellStyle name="Calculation 4 2 30 3" xfId="33240" xr:uid="{00000000-0005-0000-0000-0000B9810000}"/>
    <cellStyle name="Calculation 4 2 30 4" xfId="33241" xr:uid="{00000000-0005-0000-0000-0000BA810000}"/>
    <cellStyle name="Calculation 4 2 30 5" xfId="33242" xr:uid="{00000000-0005-0000-0000-0000BB810000}"/>
    <cellStyle name="Calculation 4 2 30 6" xfId="33243" xr:uid="{00000000-0005-0000-0000-0000BC810000}"/>
    <cellStyle name="Calculation 4 2 31" xfId="33244" xr:uid="{00000000-0005-0000-0000-0000BD810000}"/>
    <cellStyle name="Calculation 4 2 31 2" xfId="33245" xr:uid="{00000000-0005-0000-0000-0000BE810000}"/>
    <cellStyle name="Calculation 4 2 31 3" xfId="33246" xr:uid="{00000000-0005-0000-0000-0000BF810000}"/>
    <cellStyle name="Calculation 4 2 31 4" xfId="33247" xr:uid="{00000000-0005-0000-0000-0000C0810000}"/>
    <cellStyle name="Calculation 4 2 31 5" xfId="33248" xr:uid="{00000000-0005-0000-0000-0000C1810000}"/>
    <cellStyle name="Calculation 4 2 31 6" xfId="33249" xr:uid="{00000000-0005-0000-0000-0000C2810000}"/>
    <cellStyle name="Calculation 4 2 32" xfId="33250" xr:uid="{00000000-0005-0000-0000-0000C3810000}"/>
    <cellStyle name="Calculation 4 2 32 2" xfId="33251" xr:uid="{00000000-0005-0000-0000-0000C4810000}"/>
    <cellStyle name="Calculation 4 2 32 3" xfId="33252" xr:uid="{00000000-0005-0000-0000-0000C5810000}"/>
    <cellStyle name="Calculation 4 2 32 4" xfId="33253" xr:uid="{00000000-0005-0000-0000-0000C6810000}"/>
    <cellStyle name="Calculation 4 2 32 5" xfId="33254" xr:uid="{00000000-0005-0000-0000-0000C7810000}"/>
    <cellStyle name="Calculation 4 2 32 6" xfId="33255" xr:uid="{00000000-0005-0000-0000-0000C8810000}"/>
    <cellStyle name="Calculation 4 2 33" xfId="33256" xr:uid="{00000000-0005-0000-0000-0000C9810000}"/>
    <cellStyle name="Calculation 4 2 34" xfId="33257" xr:uid="{00000000-0005-0000-0000-0000CA810000}"/>
    <cellStyle name="Calculation 4 2 35" xfId="33258" xr:uid="{00000000-0005-0000-0000-0000CB810000}"/>
    <cellStyle name="Calculation 4 2 4" xfId="33259" xr:uid="{00000000-0005-0000-0000-0000CC810000}"/>
    <cellStyle name="Calculation 4 2 4 10" xfId="33260" xr:uid="{00000000-0005-0000-0000-0000CD810000}"/>
    <cellStyle name="Calculation 4 2 4 2" xfId="33261" xr:uid="{00000000-0005-0000-0000-0000CE810000}"/>
    <cellStyle name="Calculation 4 2 4 2 2" xfId="33262" xr:uid="{00000000-0005-0000-0000-0000CF810000}"/>
    <cellStyle name="Calculation 4 2 4 2 3" xfId="33263" xr:uid="{00000000-0005-0000-0000-0000D0810000}"/>
    <cellStyle name="Calculation 4 2 4 2 4" xfId="33264" xr:uid="{00000000-0005-0000-0000-0000D1810000}"/>
    <cellStyle name="Calculation 4 2 4 2 5" xfId="33265" xr:uid="{00000000-0005-0000-0000-0000D2810000}"/>
    <cellStyle name="Calculation 4 2 4 2 6" xfId="33266" xr:uid="{00000000-0005-0000-0000-0000D3810000}"/>
    <cellStyle name="Calculation 4 2 4 3" xfId="33267" xr:uid="{00000000-0005-0000-0000-0000D4810000}"/>
    <cellStyle name="Calculation 4 2 4 3 2" xfId="33268" xr:uid="{00000000-0005-0000-0000-0000D5810000}"/>
    <cellStyle name="Calculation 4 2 4 3 3" xfId="33269" xr:uid="{00000000-0005-0000-0000-0000D6810000}"/>
    <cellStyle name="Calculation 4 2 4 3 4" xfId="33270" xr:uid="{00000000-0005-0000-0000-0000D7810000}"/>
    <cellStyle name="Calculation 4 2 4 3 5" xfId="33271" xr:uid="{00000000-0005-0000-0000-0000D8810000}"/>
    <cellStyle name="Calculation 4 2 4 3 6" xfId="33272" xr:uid="{00000000-0005-0000-0000-0000D9810000}"/>
    <cellStyle name="Calculation 4 2 4 4" xfId="33273" xr:uid="{00000000-0005-0000-0000-0000DA810000}"/>
    <cellStyle name="Calculation 4 2 4 4 2" xfId="33274" xr:uid="{00000000-0005-0000-0000-0000DB810000}"/>
    <cellStyle name="Calculation 4 2 4 4 3" xfId="33275" xr:uid="{00000000-0005-0000-0000-0000DC810000}"/>
    <cellStyle name="Calculation 4 2 4 4 4" xfId="33276" xr:uid="{00000000-0005-0000-0000-0000DD810000}"/>
    <cellStyle name="Calculation 4 2 4 4 5" xfId="33277" xr:uid="{00000000-0005-0000-0000-0000DE810000}"/>
    <cellStyle name="Calculation 4 2 4 4 6" xfId="33278" xr:uid="{00000000-0005-0000-0000-0000DF810000}"/>
    <cellStyle name="Calculation 4 2 4 5" xfId="33279" xr:uid="{00000000-0005-0000-0000-0000E0810000}"/>
    <cellStyle name="Calculation 4 2 4 5 2" xfId="33280" xr:uid="{00000000-0005-0000-0000-0000E1810000}"/>
    <cellStyle name="Calculation 4 2 4 5 3" xfId="33281" xr:uid="{00000000-0005-0000-0000-0000E2810000}"/>
    <cellStyle name="Calculation 4 2 4 5 4" xfId="33282" xr:uid="{00000000-0005-0000-0000-0000E3810000}"/>
    <cellStyle name="Calculation 4 2 4 5 5" xfId="33283" xr:uid="{00000000-0005-0000-0000-0000E4810000}"/>
    <cellStyle name="Calculation 4 2 4 5 6" xfId="33284" xr:uid="{00000000-0005-0000-0000-0000E5810000}"/>
    <cellStyle name="Calculation 4 2 4 6" xfId="33285" xr:uid="{00000000-0005-0000-0000-0000E6810000}"/>
    <cellStyle name="Calculation 4 2 4 6 2" xfId="33286" xr:uid="{00000000-0005-0000-0000-0000E7810000}"/>
    <cellStyle name="Calculation 4 2 4 6 3" xfId="33287" xr:uid="{00000000-0005-0000-0000-0000E8810000}"/>
    <cellStyle name="Calculation 4 2 4 6 4" xfId="33288" xr:uid="{00000000-0005-0000-0000-0000E9810000}"/>
    <cellStyle name="Calculation 4 2 4 6 5" xfId="33289" xr:uid="{00000000-0005-0000-0000-0000EA810000}"/>
    <cellStyle name="Calculation 4 2 4 6 6" xfId="33290" xr:uid="{00000000-0005-0000-0000-0000EB810000}"/>
    <cellStyle name="Calculation 4 2 4 7" xfId="33291" xr:uid="{00000000-0005-0000-0000-0000EC810000}"/>
    <cellStyle name="Calculation 4 2 4 7 2" xfId="33292" xr:uid="{00000000-0005-0000-0000-0000ED810000}"/>
    <cellStyle name="Calculation 4 2 4 7 3" xfId="33293" xr:uid="{00000000-0005-0000-0000-0000EE810000}"/>
    <cellStyle name="Calculation 4 2 4 7 4" xfId="33294" xr:uid="{00000000-0005-0000-0000-0000EF810000}"/>
    <cellStyle name="Calculation 4 2 4 7 5" xfId="33295" xr:uid="{00000000-0005-0000-0000-0000F0810000}"/>
    <cellStyle name="Calculation 4 2 4 7 6" xfId="33296" xr:uid="{00000000-0005-0000-0000-0000F1810000}"/>
    <cellStyle name="Calculation 4 2 4 8" xfId="33297" xr:uid="{00000000-0005-0000-0000-0000F2810000}"/>
    <cellStyle name="Calculation 4 2 4 9" xfId="33298" xr:uid="{00000000-0005-0000-0000-0000F3810000}"/>
    <cellStyle name="Calculation 4 2 5" xfId="33299" xr:uid="{00000000-0005-0000-0000-0000F4810000}"/>
    <cellStyle name="Calculation 4 2 5 10" xfId="33300" xr:uid="{00000000-0005-0000-0000-0000F5810000}"/>
    <cellStyle name="Calculation 4 2 5 2" xfId="33301" xr:uid="{00000000-0005-0000-0000-0000F6810000}"/>
    <cellStyle name="Calculation 4 2 5 2 2" xfId="33302" xr:uid="{00000000-0005-0000-0000-0000F7810000}"/>
    <cellStyle name="Calculation 4 2 5 2 3" xfId="33303" xr:uid="{00000000-0005-0000-0000-0000F8810000}"/>
    <cellStyle name="Calculation 4 2 5 2 4" xfId="33304" xr:uid="{00000000-0005-0000-0000-0000F9810000}"/>
    <cellStyle name="Calculation 4 2 5 2 5" xfId="33305" xr:uid="{00000000-0005-0000-0000-0000FA810000}"/>
    <cellStyle name="Calculation 4 2 5 2 6" xfId="33306" xr:uid="{00000000-0005-0000-0000-0000FB810000}"/>
    <cellStyle name="Calculation 4 2 5 3" xfId="33307" xr:uid="{00000000-0005-0000-0000-0000FC810000}"/>
    <cellStyle name="Calculation 4 2 5 3 2" xfId="33308" xr:uid="{00000000-0005-0000-0000-0000FD810000}"/>
    <cellStyle name="Calculation 4 2 5 3 3" xfId="33309" xr:uid="{00000000-0005-0000-0000-0000FE810000}"/>
    <cellStyle name="Calculation 4 2 5 3 4" xfId="33310" xr:uid="{00000000-0005-0000-0000-0000FF810000}"/>
    <cellStyle name="Calculation 4 2 5 3 5" xfId="33311" xr:uid="{00000000-0005-0000-0000-000000820000}"/>
    <cellStyle name="Calculation 4 2 5 3 6" xfId="33312" xr:uid="{00000000-0005-0000-0000-000001820000}"/>
    <cellStyle name="Calculation 4 2 5 4" xfId="33313" xr:uid="{00000000-0005-0000-0000-000002820000}"/>
    <cellStyle name="Calculation 4 2 5 4 2" xfId="33314" xr:uid="{00000000-0005-0000-0000-000003820000}"/>
    <cellStyle name="Calculation 4 2 5 4 3" xfId="33315" xr:uid="{00000000-0005-0000-0000-000004820000}"/>
    <cellStyle name="Calculation 4 2 5 4 4" xfId="33316" xr:uid="{00000000-0005-0000-0000-000005820000}"/>
    <cellStyle name="Calculation 4 2 5 4 5" xfId="33317" xr:uid="{00000000-0005-0000-0000-000006820000}"/>
    <cellStyle name="Calculation 4 2 5 4 6" xfId="33318" xr:uid="{00000000-0005-0000-0000-000007820000}"/>
    <cellStyle name="Calculation 4 2 5 5" xfId="33319" xr:uid="{00000000-0005-0000-0000-000008820000}"/>
    <cellStyle name="Calculation 4 2 5 5 2" xfId="33320" xr:uid="{00000000-0005-0000-0000-000009820000}"/>
    <cellStyle name="Calculation 4 2 5 5 3" xfId="33321" xr:uid="{00000000-0005-0000-0000-00000A820000}"/>
    <cellStyle name="Calculation 4 2 5 5 4" xfId="33322" xr:uid="{00000000-0005-0000-0000-00000B820000}"/>
    <cellStyle name="Calculation 4 2 5 5 5" xfId="33323" xr:uid="{00000000-0005-0000-0000-00000C820000}"/>
    <cellStyle name="Calculation 4 2 5 5 6" xfId="33324" xr:uid="{00000000-0005-0000-0000-00000D820000}"/>
    <cellStyle name="Calculation 4 2 5 6" xfId="33325" xr:uid="{00000000-0005-0000-0000-00000E820000}"/>
    <cellStyle name="Calculation 4 2 5 6 2" xfId="33326" xr:uid="{00000000-0005-0000-0000-00000F820000}"/>
    <cellStyle name="Calculation 4 2 5 6 3" xfId="33327" xr:uid="{00000000-0005-0000-0000-000010820000}"/>
    <cellStyle name="Calculation 4 2 5 6 4" xfId="33328" xr:uid="{00000000-0005-0000-0000-000011820000}"/>
    <cellStyle name="Calculation 4 2 5 6 5" xfId="33329" xr:uid="{00000000-0005-0000-0000-000012820000}"/>
    <cellStyle name="Calculation 4 2 5 6 6" xfId="33330" xr:uid="{00000000-0005-0000-0000-000013820000}"/>
    <cellStyle name="Calculation 4 2 5 7" xfId="33331" xr:uid="{00000000-0005-0000-0000-000014820000}"/>
    <cellStyle name="Calculation 4 2 5 7 2" xfId="33332" xr:uid="{00000000-0005-0000-0000-000015820000}"/>
    <cellStyle name="Calculation 4 2 5 7 3" xfId="33333" xr:uid="{00000000-0005-0000-0000-000016820000}"/>
    <cellStyle name="Calculation 4 2 5 7 4" xfId="33334" xr:uid="{00000000-0005-0000-0000-000017820000}"/>
    <cellStyle name="Calculation 4 2 5 7 5" xfId="33335" xr:uid="{00000000-0005-0000-0000-000018820000}"/>
    <cellStyle name="Calculation 4 2 5 7 6" xfId="33336" xr:uid="{00000000-0005-0000-0000-000019820000}"/>
    <cellStyle name="Calculation 4 2 5 8" xfId="33337" xr:uid="{00000000-0005-0000-0000-00001A820000}"/>
    <cellStyle name="Calculation 4 2 5 9" xfId="33338" xr:uid="{00000000-0005-0000-0000-00001B820000}"/>
    <cellStyle name="Calculation 4 2 6" xfId="33339" xr:uid="{00000000-0005-0000-0000-00001C820000}"/>
    <cellStyle name="Calculation 4 2 6 10" xfId="33340" xr:uid="{00000000-0005-0000-0000-00001D820000}"/>
    <cellStyle name="Calculation 4 2 6 2" xfId="33341" xr:uid="{00000000-0005-0000-0000-00001E820000}"/>
    <cellStyle name="Calculation 4 2 6 2 2" xfId="33342" xr:uid="{00000000-0005-0000-0000-00001F820000}"/>
    <cellStyle name="Calculation 4 2 6 2 3" xfId="33343" xr:uid="{00000000-0005-0000-0000-000020820000}"/>
    <cellStyle name="Calculation 4 2 6 2 4" xfId="33344" xr:uid="{00000000-0005-0000-0000-000021820000}"/>
    <cellStyle name="Calculation 4 2 6 2 5" xfId="33345" xr:uid="{00000000-0005-0000-0000-000022820000}"/>
    <cellStyle name="Calculation 4 2 6 2 6" xfId="33346" xr:uid="{00000000-0005-0000-0000-000023820000}"/>
    <cellStyle name="Calculation 4 2 6 3" xfId="33347" xr:uid="{00000000-0005-0000-0000-000024820000}"/>
    <cellStyle name="Calculation 4 2 6 3 2" xfId="33348" xr:uid="{00000000-0005-0000-0000-000025820000}"/>
    <cellStyle name="Calculation 4 2 6 3 3" xfId="33349" xr:uid="{00000000-0005-0000-0000-000026820000}"/>
    <cellStyle name="Calculation 4 2 6 3 4" xfId="33350" xr:uid="{00000000-0005-0000-0000-000027820000}"/>
    <cellStyle name="Calculation 4 2 6 3 5" xfId="33351" xr:uid="{00000000-0005-0000-0000-000028820000}"/>
    <cellStyle name="Calculation 4 2 6 3 6" xfId="33352" xr:uid="{00000000-0005-0000-0000-000029820000}"/>
    <cellStyle name="Calculation 4 2 6 4" xfId="33353" xr:uid="{00000000-0005-0000-0000-00002A820000}"/>
    <cellStyle name="Calculation 4 2 6 4 2" xfId="33354" xr:uid="{00000000-0005-0000-0000-00002B820000}"/>
    <cellStyle name="Calculation 4 2 6 4 3" xfId="33355" xr:uid="{00000000-0005-0000-0000-00002C820000}"/>
    <cellStyle name="Calculation 4 2 6 4 4" xfId="33356" xr:uid="{00000000-0005-0000-0000-00002D820000}"/>
    <cellStyle name="Calculation 4 2 6 4 5" xfId="33357" xr:uid="{00000000-0005-0000-0000-00002E820000}"/>
    <cellStyle name="Calculation 4 2 6 4 6" xfId="33358" xr:uid="{00000000-0005-0000-0000-00002F820000}"/>
    <cellStyle name="Calculation 4 2 6 5" xfId="33359" xr:uid="{00000000-0005-0000-0000-000030820000}"/>
    <cellStyle name="Calculation 4 2 6 5 2" xfId="33360" xr:uid="{00000000-0005-0000-0000-000031820000}"/>
    <cellStyle name="Calculation 4 2 6 5 3" xfId="33361" xr:uid="{00000000-0005-0000-0000-000032820000}"/>
    <cellStyle name="Calculation 4 2 6 5 4" xfId="33362" xr:uid="{00000000-0005-0000-0000-000033820000}"/>
    <cellStyle name="Calculation 4 2 6 5 5" xfId="33363" xr:uid="{00000000-0005-0000-0000-000034820000}"/>
    <cellStyle name="Calculation 4 2 6 5 6" xfId="33364" xr:uid="{00000000-0005-0000-0000-000035820000}"/>
    <cellStyle name="Calculation 4 2 6 6" xfId="33365" xr:uid="{00000000-0005-0000-0000-000036820000}"/>
    <cellStyle name="Calculation 4 2 6 6 2" xfId="33366" xr:uid="{00000000-0005-0000-0000-000037820000}"/>
    <cellStyle name="Calculation 4 2 6 6 3" xfId="33367" xr:uid="{00000000-0005-0000-0000-000038820000}"/>
    <cellStyle name="Calculation 4 2 6 6 4" xfId="33368" xr:uid="{00000000-0005-0000-0000-000039820000}"/>
    <cellStyle name="Calculation 4 2 6 6 5" xfId="33369" xr:uid="{00000000-0005-0000-0000-00003A820000}"/>
    <cellStyle name="Calculation 4 2 6 6 6" xfId="33370" xr:uid="{00000000-0005-0000-0000-00003B820000}"/>
    <cellStyle name="Calculation 4 2 6 7" xfId="33371" xr:uid="{00000000-0005-0000-0000-00003C820000}"/>
    <cellStyle name="Calculation 4 2 6 7 2" xfId="33372" xr:uid="{00000000-0005-0000-0000-00003D820000}"/>
    <cellStyle name="Calculation 4 2 6 7 3" xfId="33373" xr:uid="{00000000-0005-0000-0000-00003E820000}"/>
    <cellStyle name="Calculation 4 2 6 7 4" xfId="33374" xr:uid="{00000000-0005-0000-0000-00003F820000}"/>
    <cellStyle name="Calculation 4 2 6 7 5" xfId="33375" xr:uid="{00000000-0005-0000-0000-000040820000}"/>
    <cellStyle name="Calculation 4 2 6 7 6" xfId="33376" xr:uid="{00000000-0005-0000-0000-000041820000}"/>
    <cellStyle name="Calculation 4 2 6 8" xfId="33377" xr:uid="{00000000-0005-0000-0000-000042820000}"/>
    <cellStyle name="Calculation 4 2 6 9" xfId="33378" xr:uid="{00000000-0005-0000-0000-000043820000}"/>
    <cellStyle name="Calculation 4 2 7" xfId="33379" xr:uid="{00000000-0005-0000-0000-000044820000}"/>
    <cellStyle name="Calculation 4 2 7 10" xfId="33380" xr:uid="{00000000-0005-0000-0000-000045820000}"/>
    <cellStyle name="Calculation 4 2 7 2" xfId="33381" xr:uid="{00000000-0005-0000-0000-000046820000}"/>
    <cellStyle name="Calculation 4 2 7 2 2" xfId="33382" xr:uid="{00000000-0005-0000-0000-000047820000}"/>
    <cellStyle name="Calculation 4 2 7 2 3" xfId="33383" xr:uid="{00000000-0005-0000-0000-000048820000}"/>
    <cellStyle name="Calculation 4 2 7 2 4" xfId="33384" xr:uid="{00000000-0005-0000-0000-000049820000}"/>
    <cellStyle name="Calculation 4 2 7 2 5" xfId="33385" xr:uid="{00000000-0005-0000-0000-00004A820000}"/>
    <cellStyle name="Calculation 4 2 7 2 6" xfId="33386" xr:uid="{00000000-0005-0000-0000-00004B820000}"/>
    <cellStyle name="Calculation 4 2 7 3" xfId="33387" xr:uid="{00000000-0005-0000-0000-00004C820000}"/>
    <cellStyle name="Calculation 4 2 7 3 2" xfId="33388" xr:uid="{00000000-0005-0000-0000-00004D820000}"/>
    <cellStyle name="Calculation 4 2 7 3 3" xfId="33389" xr:uid="{00000000-0005-0000-0000-00004E820000}"/>
    <cellStyle name="Calculation 4 2 7 3 4" xfId="33390" xr:uid="{00000000-0005-0000-0000-00004F820000}"/>
    <cellStyle name="Calculation 4 2 7 3 5" xfId="33391" xr:uid="{00000000-0005-0000-0000-000050820000}"/>
    <cellStyle name="Calculation 4 2 7 3 6" xfId="33392" xr:uid="{00000000-0005-0000-0000-000051820000}"/>
    <cellStyle name="Calculation 4 2 7 4" xfId="33393" xr:uid="{00000000-0005-0000-0000-000052820000}"/>
    <cellStyle name="Calculation 4 2 7 4 2" xfId="33394" xr:uid="{00000000-0005-0000-0000-000053820000}"/>
    <cellStyle name="Calculation 4 2 7 4 3" xfId="33395" xr:uid="{00000000-0005-0000-0000-000054820000}"/>
    <cellStyle name="Calculation 4 2 7 4 4" xfId="33396" xr:uid="{00000000-0005-0000-0000-000055820000}"/>
    <cellStyle name="Calculation 4 2 7 4 5" xfId="33397" xr:uid="{00000000-0005-0000-0000-000056820000}"/>
    <cellStyle name="Calculation 4 2 7 4 6" xfId="33398" xr:uid="{00000000-0005-0000-0000-000057820000}"/>
    <cellStyle name="Calculation 4 2 7 5" xfId="33399" xr:uid="{00000000-0005-0000-0000-000058820000}"/>
    <cellStyle name="Calculation 4 2 7 5 2" xfId="33400" xr:uid="{00000000-0005-0000-0000-000059820000}"/>
    <cellStyle name="Calculation 4 2 7 5 3" xfId="33401" xr:uid="{00000000-0005-0000-0000-00005A820000}"/>
    <cellStyle name="Calculation 4 2 7 5 4" xfId="33402" xr:uid="{00000000-0005-0000-0000-00005B820000}"/>
    <cellStyle name="Calculation 4 2 7 5 5" xfId="33403" xr:uid="{00000000-0005-0000-0000-00005C820000}"/>
    <cellStyle name="Calculation 4 2 7 5 6" xfId="33404" xr:uid="{00000000-0005-0000-0000-00005D820000}"/>
    <cellStyle name="Calculation 4 2 7 6" xfId="33405" xr:uid="{00000000-0005-0000-0000-00005E820000}"/>
    <cellStyle name="Calculation 4 2 7 6 2" xfId="33406" xr:uid="{00000000-0005-0000-0000-00005F820000}"/>
    <cellStyle name="Calculation 4 2 7 6 3" xfId="33407" xr:uid="{00000000-0005-0000-0000-000060820000}"/>
    <cellStyle name="Calculation 4 2 7 6 4" xfId="33408" xr:uid="{00000000-0005-0000-0000-000061820000}"/>
    <cellStyle name="Calculation 4 2 7 6 5" xfId="33409" xr:uid="{00000000-0005-0000-0000-000062820000}"/>
    <cellStyle name="Calculation 4 2 7 6 6" xfId="33410" xr:uid="{00000000-0005-0000-0000-000063820000}"/>
    <cellStyle name="Calculation 4 2 7 7" xfId="33411" xr:uid="{00000000-0005-0000-0000-000064820000}"/>
    <cellStyle name="Calculation 4 2 7 7 2" xfId="33412" xr:uid="{00000000-0005-0000-0000-000065820000}"/>
    <cellStyle name="Calculation 4 2 7 7 3" xfId="33413" xr:uid="{00000000-0005-0000-0000-000066820000}"/>
    <cellStyle name="Calculation 4 2 7 7 4" xfId="33414" xr:uid="{00000000-0005-0000-0000-000067820000}"/>
    <cellStyle name="Calculation 4 2 7 7 5" xfId="33415" xr:uid="{00000000-0005-0000-0000-000068820000}"/>
    <cellStyle name="Calculation 4 2 7 7 6" xfId="33416" xr:uid="{00000000-0005-0000-0000-000069820000}"/>
    <cellStyle name="Calculation 4 2 7 8" xfId="33417" xr:uid="{00000000-0005-0000-0000-00006A820000}"/>
    <cellStyle name="Calculation 4 2 7 9" xfId="33418" xr:uid="{00000000-0005-0000-0000-00006B820000}"/>
    <cellStyle name="Calculation 4 2 8" xfId="33419" xr:uid="{00000000-0005-0000-0000-00006C820000}"/>
    <cellStyle name="Calculation 4 2 8 10" xfId="33420" xr:uid="{00000000-0005-0000-0000-00006D820000}"/>
    <cellStyle name="Calculation 4 2 8 2" xfId="33421" xr:uid="{00000000-0005-0000-0000-00006E820000}"/>
    <cellStyle name="Calculation 4 2 8 2 2" xfId="33422" xr:uid="{00000000-0005-0000-0000-00006F820000}"/>
    <cellStyle name="Calculation 4 2 8 2 3" xfId="33423" xr:uid="{00000000-0005-0000-0000-000070820000}"/>
    <cellStyle name="Calculation 4 2 8 2 4" xfId="33424" xr:uid="{00000000-0005-0000-0000-000071820000}"/>
    <cellStyle name="Calculation 4 2 8 2 5" xfId="33425" xr:uid="{00000000-0005-0000-0000-000072820000}"/>
    <cellStyle name="Calculation 4 2 8 2 6" xfId="33426" xr:uid="{00000000-0005-0000-0000-000073820000}"/>
    <cellStyle name="Calculation 4 2 8 3" xfId="33427" xr:uid="{00000000-0005-0000-0000-000074820000}"/>
    <cellStyle name="Calculation 4 2 8 3 2" xfId="33428" xr:uid="{00000000-0005-0000-0000-000075820000}"/>
    <cellStyle name="Calculation 4 2 8 3 3" xfId="33429" xr:uid="{00000000-0005-0000-0000-000076820000}"/>
    <cellStyle name="Calculation 4 2 8 3 4" xfId="33430" xr:uid="{00000000-0005-0000-0000-000077820000}"/>
    <cellStyle name="Calculation 4 2 8 3 5" xfId="33431" xr:uid="{00000000-0005-0000-0000-000078820000}"/>
    <cellStyle name="Calculation 4 2 8 3 6" xfId="33432" xr:uid="{00000000-0005-0000-0000-000079820000}"/>
    <cellStyle name="Calculation 4 2 8 4" xfId="33433" xr:uid="{00000000-0005-0000-0000-00007A820000}"/>
    <cellStyle name="Calculation 4 2 8 4 2" xfId="33434" xr:uid="{00000000-0005-0000-0000-00007B820000}"/>
    <cellStyle name="Calculation 4 2 8 4 3" xfId="33435" xr:uid="{00000000-0005-0000-0000-00007C820000}"/>
    <cellStyle name="Calculation 4 2 8 4 4" xfId="33436" xr:uid="{00000000-0005-0000-0000-00007D820000}"/>
    <cellStyle name="Calculation 4 2 8 4 5" xfId="33437" xr:uid="{00000000-0005-0000-0000-00007E820000}"/>
    <cellStyle name="Calculation 4 2 8 4 6" xfId="33438" xr:uid="{00000000-0005-0000-0000-00007F820000}"/>
    <cellStyle name="Calculation 4 2 8 5" xfId="33439" xr:uid="{00000000-0005-0000-0000-000080820000}"/>
    <cellStyle name="Calculation 4 2 8 5 2" xfId="33440" xr:uid="{00000000-0005-0000-0000-000081820000}"/>
    <cellStyle name="Calculation 4 2 8 5 3" xfId="33441" xr:uid="{00000000-0005-0000-0000-000082820000}"/>
    <cellStyle name="Calculation 4 2 8 5 4" xfId="33442" xr:uid="{00000000-0005-0000-0000-000083820000}"/>
    <cellStyle name="Calculation 4 2 8 5 5" xfId="33443" xr:uid="{00000000-0005-0000-0000-000084820000}"/>
    <cellStyle name="Calculation 4 2 8 5 6" xfId="33444" xr:uid="{00000000-0005-0000-0000-000085820000}"/>
    <cellStyle name="Calculation 4 2 8 6" xfId="33445" xr:uid="{00000000-0005-0000-0000-000086820000}"/>
    <cellStyle name="Calculation 4 2 8 6 2" xfId="33446" xr:uid="{00000000-0005-0000-0000-000087820000}"/>
    <cellStyle name="Calculation 4 2 8 6 3" xfId="33447" xr:uid="{00000000-0005-0000-0000-000088820000}"/>
    <cellStyle name="Calculation 4 2 8 6 4" xfId="33448" xr:uid="{00000000-0005-0000-0000-000089820000}"/>
    <cellStyle name="Calculation 4 2 8 6 5" xfId="33449" xr:uid="{00000000-0005-0000-0000-00008A820000}"/>
    <cellStyle name="Calculation 4 2 8 6 6" xfId="33450" xr:uid="{00000000-0005-0000-0000-00008B820000}"/>
    <cellStyle name="Calculation 4 2 8 7" xfId="33451" xr:uid="{00000000-0005-0000-0000-00008C820000}"/>
    <cellStyle name="Calculation 4 2 8 7 2" xfId="33452" xr:uid="{00000000-0005-0000-0000-00008D820000}"/>
    <cellStyle name="Calculation 4 2 8 7 3" xfId="33453" xr:uid="{00000000-0005-0000-0000-00008E820000}"/>
    <cellStyle name="Calculation 4 2 8 7 4" xfId="33454" xr:uid="{00000000-0005-0000-0000-00008F820000}"/>
    <cellStyle name="Calculation 4 2 8 7 5" xfId="33455" xr:uid="{00000000-0005-0000-0000-000090820000}"/>
    <cellStyle name="Calculation 4 2 8 7 6" xfId="33456" xr:uid="{00000000-0005-0000-0000-000091820000}"/>
    <cellStyle name="Calculation 4 2 8 8" xfId="33457" xr:uid="{00000000-0005-0000-0000-000092820000}"/>
    <cellStyle name="Calculation 4 2 8 9" xfId="33458" xr:uid="{00000000-0005-0000-0000-000093820000}"/>
    <cellStyle name="Calculation 4 2 9" xfId="33459" xr:uid="{00000000-0005-0000-0000-000094820000}"/>
    <cellStyle name="Calculation 4 2 9 10" xfId="33460" xr:uid="{00000000-0005-0000-0000-000095820000}"/>
    <cellStyle name="Calculation 4 2 9 2" xfId="33461" xr:uid="{00000000-0005-0000-0000-000096820000}"/>
    <cellStyle name="Calculation 4 2 9 2 2" xfId="33462" xr:uid="{00000000-0005-0000-0000-000097820000}"/>
    <cellStyle name="Calculation 4 2 9 2 3" xfId="33463" xr:uid="{00000000-0005-0000-0000-000098820000}"/>
    <cellStyle name="Calculation 4 2 9 2 4" xfId="33464" xr:uid="{00000000-0005-0000-0000-000099820000}"/>
    <cellStyle name="Calculation 4 2 9 2 5" xfId="33465" xr:uid="{00000000-0005-0000-0000-00009A820000}"/>
    <cellStyle name="Calculation 4 2 9 2 6" xfId="33466" xr:uid="{00000000-0005-0000-0000-00009B820000}"/>
    <cellStyle name="Calculation 4 2 9 3" xfId="33467" xr:uid="{00000000-0005-0000-0000-00009C820000}"/>
    <cellStyle name="Calculation 4 2 9 3 2" xfId="33468" xr:uid="{00000000-0005-0000-0000-00009D820000}"/>
    <cellStyle name="Calculation 4 2 9 3 3" xfId="33469" xr:uid="{00000000-0005-0000-0000-00009E820000}"/>
    <cellStyle name="Calculation 4 2 9 3 4" xfId="33470" xr:uid="{00000000-0005-0000-0000-00009F820000}"/>
    <cellStyle name="Calculation 4 2 9 3 5" xfId="33471" xr:uid="{00000000-0005-0000-0000-0000A0820000}"/>
    <cellStyle name="Calculation 4 2 9 3 6" xfId="33472" xr:uid="{00000000-0005-0000-0000-0000A1820000}"/>
    <cellStyle name="Calculation 4 2 9 4" xfId="33473" xr:uid="{00000000-0005-0000-0000-0000A2820000}"/>
    <cellStyle name="Calculation 4 2 9 4 2" xfId="33474" xr:uid="{00000000-0005-0000-0000-0000A3820000}"/>
    <cellStyle name="Calculation 4 2 9 4 3" xfId="33475" xr:uid="{00000000-0005-0000-0000-0000A4820000}"/>
    <cellStyle name="Calculation 4 2 9 4 4" xfId="33476" xr:uid="{00000000-0005-0000-0000-0000A5820000}"/>
    <cellStyle name="Calculation 4 2 9 4 5" xfId="33477" xr:uid="{00000000-0005-0000-0000-0000A6820000}"/>
    <cellStyle name="Calculation 4 2 9 4 6" xfId="33478" xr:uid="{00000000-0005-0000-0000-0000A7820000}"/>
    <cellStyle name="Calculation 4 2 9 5" xfId="33479" xr:uid="{00000000-0005-0000-0000-0000A8820000}"/>
    <cellStyle name="Calculation 4 2 9 5 2" xfId="33480" xr:uid="{00000000-0005-0000-0000-0000A9820000}"/>
    <cellStyle name="Calculation 4 2 9 5 3" xfId="33481" xr:uid="{00000000-0005-0000-0000-0000AA820000}"/>
    <cellStyle name="Calculation 4 2 9 5 4" xfId="33482" xr:uid="{00000000-0005-0000-0000-0000AB820000}"/>
    <cellStyle name="Calculation 4 2 9 5 5" xfId="33483" xr:uid="{00000000-0005-0000-0000-0000AC820000}"/>
    <cellStyle name="Calculation 4 2 9 5 6" xfId="33484" xr:uid="{00000000-0005-0000-0000-0000AD820000}"/>
    <cellStyle name="Calculation 4 2 9 6" xfId="33485" xr:uid="{00000000-0005-0000-0000-0000AE820000}"/>
    <cellStyle name="Calculation 4 2 9 6 2" xfId="33486" xr:uid="{00000000-0005-0000-0000-0000AF820000}"/>
    <cellStyle name="Calculation 4 2 9 6 3" xfId="33487" xr:uid="{00000000-0005-0000-0000-0000B0820000}"/>
    <cellStyle name="Calculation 4 2 9 6 4" xfId="33488" xr:uid="{00000000-0005-0000-0000-0000B1820000}"/>
    <cellStyle name="Calculation 4 2 9 6 5" xfId="33489" xr:uid="{00000000-0005-0000-0000-0000B2820000}"/>
    <cellStyle name="Calculation 4 2 9 6 6" xfId="33490" xr:uid="{00000000-0005-0000-0000-0000B3820000}"/>
    <cellStyle name="Calculation 4 2 9 7" xfId="33491" xr:uid="{00000000-0005-0000-0000-0000B4820000}"/>
    <cellStyle name="Calculation 4 2 9 7 2" xfId="33492" xr:uid="{00000000-0005-0000-0000-0000B5820000}"/>
    <cellStyle name="Calculation 4 2 9 7 3" xfId="33493" xr:uid="{00000000-0005-0000-0000-0000B6820000}"/>
    <cellStyle name="Calculation 4 2 9 7 4" xfId="33494" xr:uid="{00000000-0005-0000-0000-0000B7820000}"/>
    <cellStyle name="Calculation 4 2 9 7 5" xfId="33495" xr:uid="{00000000-0005-0000-0000-0000B8820000}"/>
    <cellStyle name="Calculation 4 2 9 7 6" xfId="33496" xr:uid="{00000000-0005-0000-0000-0000B9820000}"/>
    <cellStyle name="Calculation 4 2 9 8" xfId="33497" xr:uid="{00000000-0005-0000-0000-0000BA820000}"/>
    <cellStyle name="Calculation 4 2 9 9" xfId="33498" xr:uid="{00000000-0005-0000-0000-0000BB820000}"/>
    <cellStyle name="Calculation 4 20" xfId="33499" xr:uid="{00000000-0005-0000-0000-0000BC820000}"/>
    <cellStyle name="Calculation 4 20 10" xfId="33500" xr:uid="{00000000-0005-0000-0000-0000BD820000}"/>
    <cellStyle name="Calculation 4 20 2" xfId="33501" xr:uid="{00000000-0005-0000-0000-0000BE820000}"/>
    <cellStyle name="Calculation 4 20 2 2" xfId="33502" xr:uid="{00000000-0005-0000-0000-0000BF820000}"/>
    <cellStyle name="Calculation 4 20 2 3" xfId="33503" xr:uid="{00000000-0005-0000-0000-0000C0820000}"/>
    <cellStyle name="Calculation 4 20 2 4" xfId="33504" xr:uid="{00000000-0005-0000-0000-0000C1820000}"/>
    <cellStyle name="Calculation 4 20 2 5" xfId="33505" xr:uid="{00000000-0005-0000-0000-0000C2820000}"/>
    <cellStyle name="Calculation 4 20 2 6" xfId="33506" xr:uid="{00000000-0005-0000-0000-0000C3820000}"/>
    <cellStyle name="Calculation 4 20 3" xfId="33507" xr:uid="{00000000-0005-0000-0000-0000C4820000}"/>
    <cellStyle name="Calculation 4 20 3 2" xfId="33508" xr:uid="{00000000-0005-0000-0000-0000C5820000}"/>
    <cellStyle name="Calculation 4 20 3 3" xfId="33509" xr:uid="{00000000-0005-0000-0000-0000C6820000}"/>
    <cellStyle name="Calculation 4 20 3 4" xfId="33510" xr:uid="{00000000-0005-0000-0000-0000C7820000}"/>
    <cellStyle name="Calculation 4 20 3 5" xfId="33511" xr:uid="{00000000-0005-0000-0000-0000C8820000}"/>
    <cellStyle name="Calculation 4 20 3 6" xfId="33512" xr:uid="{00000000-0005-0000-0000-0000C9820000}"/>
    <cellStyle name="Calculation 4 20 4" xfId="33513" xr:uid="{00000000-0005-0000-0000-0000CA820000}"/>
    <cellStyle name="Calculation 4 20 4 2" xfId="33514" xr:uid="{00000000-0005-0000-0000-0000CB820000}"/>
    <cellStyle name="Calculation 4 20 4 3" xfId="33515" xr:uid="{00000000-0005-0000-0000-0000CC820000}"/>
    <cellStyle name="Calculation 4 20 4 4" xfId="33516" xr:uid="{00000000-0005-0000-0000-0000CD820000}"/>
    <cellStyle name="Calculation 4 20 4 5" xfId="33517" xr:uid="{00000000-0005-0000-0000-0000CE820000}"/>
    <cellStyle name="Calculation 4 20 4 6" xfId="33518" xr:uid="{00000000-0005-0000-0000-0000CF820000}"/>
    <cellStyle name="Calculation 4 20 5" xfId="33519" xr:uid="{00000000-0005-0000-0000-0000D0820000}"/>
    <cellStyle name="Calculation 4 20 5 2" xfId="33520" xr:uid="{00000000-0005-0000-0000-0000D1820000}"/>
    <cellStyle name="Calculation 4 20 5 3" xfId="33521" xr:uid="{00000000-0005-0000-0000-0000D2820000}"/>
    <cellStyle name="Calculation 4 20 5 4" xfId="33522" xr:uid="{00000000-0005-0000-0000-0000D3820000}"/>
    <cellStyle name="Calculation 4 20 5 5" xfId="33523" xr:uid="{00000000-0005-0000-0000-0000D4820000}"/>
    <cellStyle name="Calculation 4 20 5 6" xfId="33524" xr:uid="{00000000-0005-0000-0000-0000D5820000}"/>
    <cellStyle name="Calculation 4 20 6" xfId="33525" xr:uid="{00000000-0005-0000-0000-0000D6820000}"/>
    <cellStyle name="Calculation 4 20 6 2" xfId="33526" xr:uid="{00000000-0005-0000-0000-0000D7820000}"/>
    <cellStyle name="Calculation 4 20 6 3" xfId="33527" xr:uid="{00000000-0005-0000-0000-0000D8820000}"/>
    <cellStyle name="Calculation 4 20 6 4" xfId="33528" xr:uid="{00000000-0005-0000-0000-0000D9820000}"/>
    <cellStyle name="Calculation 4 20 6 5" xfId="33529" xr:uid="{00000000-0005-0000-0000-0000DA820000}"/>
    <cellStyle name="Calculation 4 20 6 6" xfId="33530" xr:uid="{00000000-0005-0000-0000-0000DB820000}"/>
    <cellStyle name="Calculation 4 20 7" xfId="33531" xr:uid="{00000000-0005-0000-0000-0000DC820000}"/>
    <cellStyle name="Calculation 4 20 7 2" xfId="33532" xr:uid="{00000000-0005-0000-0000-0000DD820000}"/>
    <cellStyle name="Calculation 4 20 7 3" xfId="33533" xr:uid="{00000000-0005-0000-0000-0000DE820000}"/>
    <cellStyle name="Calculation 4 20 7 4" xfId="33534" xr:uid="{00000000-0005-0000-0000-0000DF820000}"/>
    <cellStyle name="Calculation 4 20 7 5" xfId="33535" xr:uid="{00000000-0005-0000-0000-0000E0820000}"/>
    <cellStyle name="Calculation 4 20 7 6" xfId="33536" xr:uid="{00000000-0005-0000-0000-0000E1820000}"/>
    <cellStyle name="Calculation 4 20 8" xfId="33537" xr:uid="{00000000-0005-0000-0000-0000E2820000}"/>
    <cellStyle name="Calculation 4 20 9" xfId="33538" xr:uid="{00000000-0005-0000-0000-0000E3820000}"/>
    <cellStyle name="Calculation 4 21" xfId="33539" xr:uid="{00000000-0005-0000-0000-0000E4820000}"/>
    <cellStyle name="Calculation 4 21 10" xfId="33540" xr:uid="{00000000-0005-0000-0000-0000E5820000}"/>
    <cellStyle name="Calculation 4 21 2" xfId="33541" xr:uid="{00000000-0005-0000-0000-0000E6820000}"/>
    <cellStyle name="Calculation 4 21 2 2" xfId="33542" xr:uid="{00000000-0005-0000-0000-0000E7820000}"/>
    <cellStyle name="Calculation 4 21 2 3" xfId="33543" xr:uid="{00000000-0005-0000-0000-0000E8820000}"/>
    <cellStyle name="Calculation 4 21 2 4" xfId="33544" xr:uid="{00000000-0005-0000-0000-0000E9820000}"/>
    <cellStyle name="Calculation 4 21 2 5" xfId="33545" xr:uid="{00000000-0005-0000-0000-0000EA820000}"/>
    <cellStyle name="Calculation 4 21 2 6" xfId="33546" xr:uid="{00000000-0005-0000-0000-0000EB820000}"/>
    <cellStyle name="Calculation 4 21 3" xfId="33547" xr:uid="{00000000-0005-0000-0000-0000EC820000}"/>
    <cellStyle name="Calculation 4 21 3 2" xfId="33548" xr:uid="{00000000-0005-0000-0000-0000ED820000}"/>
    <cellStyle name="Calculation 4 21 3 3" xfId="33549" xr:uid="{00000000-0005-0000-0000-0000EE820000}"/>
    <cellStyle name="Calculation 4 21 3 4" xfId="33550" xr:uid="{00000000-0005-0000-0000-0000EF820000}"/>
    <cellStyle name="Calculation 4 21 3 5" xfId="33551" xr:uid="{00000000-0005-0000-0000-0000F0820000}"/>
    <cellStyle name="Calculation 4 21 3 6" xfId="33552" xr:uid="{00000000-0005-0000-0000-0000F1820000}"/>
    <cellStyle name="Calculation 4 21 4" xfId="33553" xr:uid="{00000000-0005-0000-0000-0000F2820000}"/>
    <cellStyle name="Calculation 4 21 4 2" xfId="33554" xr:uid="{00000000-0005-0000-0000-0000F3820000}"/>
    <cellStyle name="Calculation 4 21 4 3" xfId="33555" xr:uid="{00000000-0005-0000-0000-0000F4820000}"/>
    <cellStyle name="Calculation 4 21 4 4" xfId="33556" xr:uid="{00000000-0005-0000-0000-0000F5820000}"/>
    <cellStyle name="Calculation 4 21 4 5" xfId="33557" xr:uid="{00000000-0005-0000-0000-0000F6820000}"/>
    <cellStyle name="Calculation 4 21 4 6" xfId="33558" xr:uid="{00000000-0005-0000-0000-0000F7820000}"/>
    <cellStyle name="Calculation 4 21 5" xfId="33559" xr:uid="{00000000-0005-0000-0000-0000F8820000}"/>
    <cellStyle name="Calculation 4 21 5 2" xfId="33560" xr:uid="{00000000-0005-0000-0000-0000F9820000}"/>
    <cellStyle name="Calculation 4 21 5 3" xfId="33561" xr:uid="{00000000-0005-0000-0000-0000FA820000}"/>
    <cellStyle name="Calculation 4 21 5 4" xfId="33562" xr:uid="{00000000-0005-0000-0000-0000FB820000}"/>
    <cellStyle name="Calculation 4 21 5 5" xfId="33563" xr:uid="{00000000-0005-0000-0000-0000FC820000}"/>
    <cellStyle name="Calculation 4 21 5 6" xfId="33564" xr:uid="{00000000-0005-0000-0000-0000FD820000}"/>
    <cellStyle name="Calculation 4 21 6" xfId="33565" xr:uid="{00000000-0005-0000-0000-0000FE820000}"/>
    <cellStyle name="Calculation 4 21 6 2" xfId="33566" xr:uid="{00000000-0005-0000-0000-0000FF820000}"/>
    <cellStyle name="Calculation 4 21 6 3" xfId="33567" xr:uid="{00000000-0005-0000-0000-000000830000}"/>
    <cellStyle name="Calculation 4 21 6 4" xfId="33568" xr:uid="{00000000-0005-0000-0000-000001830000}"/>
    <cellStyle name="Calculation 4 21 6 5" xfId="33569" xr:uid="{00000000-0005-0000-0000-000002830000}"/>
    <cellStyle name="Calculation 4 21 6 6" xfId="33570" xr:uid="{00000000-0005-0000-0000-000003830000}"/>
    <cellStyle name="Calculation 4 21 7" xfId="33571" xr:uid="{00000000-0005-0000-0000-000004830000}"/>
    <cellStyle name="Calculation 4 21 7 2" xfId="33572" xr:uid="{00000000-0005-0000-0000-000005830000}"/>
    <cellStyle name="Calculation 4 21 7 3" xfId="33573" xr:uid="{00000000-0005-0000-0000-000006830000}"/>
    <cellStyle name="Calculation 4 21 7 4" xfId="33574" xr:uid="{00000000-0005-0000-0000-000007830000}"/>
    <cellStyle name="Calculation 4 21 7 5" xfId="33575" xr:uid="{00000000-0005-0000-0000-000008830000}"/>
    <cellStyle name="Calculation 4 21 7 6" xfId="33576" xr:uid="{00000000-0005-0000-0000-000009830000}"/>
    <cellStyle name="Calculation 4 21 8" xfId="33577" xr:uid="{00000000-0005-0000-0000-00000A830000}"/>
    <cellStyle name="Calculation 4 21 9" xfId="33578" xr:uid="{00000000-0005-0000-0000-00000B830000}"/>
    <cellStyle name="Calculation 4 22" xfId="33579" xr:uid="{00000000-0005-0000-0000-00000C830000}"/>
    <cellStyle name="Calculation 4 22 10" xfId="33580" xr:uid="{00000000-0005-0000-0000-00000D830000}"/>
    <cellStyle name="Calculation 4 22 2" xfId="33581" xr:uid="{00000000-0005-0000-0000-00000E830000}"/>
    <cellStyle name="Calculation 4 22 2 2" xfId="33582" xr:uid="{00000000-0005-0000-0000-00000F830000}"/>
    <cellStyle name="Calculation 4 22 2 3" xfId="33583" xr:uid="{00000000-0005-0000-0000-000010830000}"/>
    <cellStyle name="Calculation 4 22 2 4" xfId="33584" xr:uid="{00000000-0005-0000-0000-000011830000}"/>
    <cellStyle name="Calculation 4 22 2 5" xfId="33585" xr:uid="{00000000-0005-0000-0000-000012830000}"/>
    <cellStyle name="Calculation 4 22 2 6" xfId="33586" xr:uid="{00000000-0005-0000-0000-000013830000}"/>
    <cellStyle name="Calculation 4 22 3" xfId="33587" xr:uid="{00000000-0005-0000-0000-000014830000}"/>
    <cellStyle name="Calculation 4 22 3 2" xfId="33588" xr:uid="{00000000-0005-0000-0000-000015830000}"/>
    <cellStyle name="Calculation 4 22 3 3" xfId="33589" xr:uid="{00000000-0005-0000-0000-000016830000}"/>
    <cellStyle name="Calculation 4 22 3 4" xfId="33590" xr:uid="{00000000-0005-0000-0000-000017830000}"/>
    <cellStyle name="Calculation 4 22 3 5" xfId="33591" xr:uid="{00000000-0005-0000-0000-000018830000}"/>
    <cellStyle name="Calculation 4 22 3 6" xfId="33592" xr:uid="{00000000-0005-0000-0000-000019830000}"/>
    <cellStyle name="Calculation 4 22 4" xfId="33593" xr:uid="{00000000-0005-0000-0000-00001A830000}"/>
    <cellStyle name="Calculation 4 22 4 2" xfId="33594" xr:uid="{00000000-0005-0000-0000-00001B830000}"/>
    <cellStyle name="Calculation 4 22 4 3" xfId="33595" xr:uid="{00000000-0005-0000-0000-00001C830000}"/>
    <cellStyle name="Calculation 4 22 4 4" xfId="33596" xr:uid="{00000000-0005-0000-0000-00001D830000}"/>
    <cellStyle name="Calculation 4 22 4 5" xfId="33597" xr:uid="{00000000-0005-0000-0000-00001E830000}"/>
    <cellStyle name="Calculation 4 22 4 6" xfId="33598" xr:uid="{00000000-0005-0000-0000-00001F830000}"/>
    <cellStyle name="Calculation 4 22 5" xfId="33599" xr:uid="{00000000-0005-0000-0000-000020830000}"/>
    <cellStyle name="Calculation 4 22 5 2" xfId="33600" xr:uid="{00000000-0005-0000-0000-000021830000}"/>
    <cellStyle name="Calculation 4 22 5 3" xfId="33601" xr:uid="{00000000-0005-0000-0000-000022830000}"/>
    <cellStyle name="Calculation 4 22 5 4" xfId="33602" xr:uid="{00000000-0005-0000-0000-000023830000}"/>
    <cellStyle name="Calculation 4 22 5 5" xfId="33603" xr:uid="{00000000-0005-0000-0000-000024830000}"/>
    <cellStyle name="Calculation 4 22 5 6" xfId="33604" xr:uid="{00000000-0005-0000-0000-000025830000}"/>
    <cellStyle name="Calculation 4 22 6" xfId="33605" xr:uid="{00000000-0005-0000-0000-000026830000}"/>
    <cellStyle name="Calculation 4 22 6 2" xfId="33606" xr:uid="{00000000-0005-0000-0000-000027830000}"/>
    <cellStyle name="Calculation 4 22 6 3" xfId="33607" xr:uid="{00000000-0005-0000-0000-000028830000}"/>
    <cellStyle name="Calculation 4 22 6 4" xfId="33608" xr:uid="{00000000-0005-0000-0000-000029830000}"/>
    <cellStyle name="Calculation 4 22 6 5" xfId="33609" xr:uid="{00000000-0005-0000-0000-00002A830000}"/>
    <cellStyle name="Calculation 4 22 6 6" xfId="33610" xr:uid="{00000000-0005-0000-0000-00002B830000}"/>
    <cellStyle name="Calculation 4 22 7" xfId="33611" xr:uid="{00000000-0005-0000-0000-00002C830000}"/>
    <cellStyle name="Calculation 4 22 7 2" xfId="33612" xr:uid="{00000000-0005-0000-0000-00002D830000}"/>
    <cellStyle name="Calculation 4 22 7 3" xfId="33613" xr:uid="{00000000-0005-0000-0000-00002E830000}"/>
    <cellStyle name="Calculation 4 22 7 4" xfId="33614" xr:uid="{00000000-0005-0000-0000-00002F830000}"/>
    <cellStyle name="Calculation 4 22 7 5" xfId="33615" xr:uid="{00000000-0005-0000-0000-000030830000}"/>
    <cellStyle name="Calculation 4 22 7 6" xfId="33616" xr:uid="{00000000-0005-0000-0000-000031830000}"/>
    <cellStyle name="Calculation 4 22 8" xfId="33617" xr:uid="{00000000-0005-0000-0000-000032830000}"/>
    <cellStyle name="Calculation 4 22 9" xfId="33618" xr:uid="{00000000-0005-0000-0000-000033830000}"/>
    <cellStyle name="Calculation 4 23" xfId="33619" xr:uid="{00000000-0005-0000-0000-000034830000}"/>
    <cellStyle name="Calculation 4 23 10" xfId="33620" xr:uid="{00000000-0005-0000-0000-000035830000}"/>
    <cellStyle name="Calculation 4 23 2" xfId="33621" xr:uid="{00000000-0005-0000-0000-000036830000}"/>
    <cellStyle name="Calculation 4 23 2 2" xfId="33622" xr:uid="{00000000-0005-0000-0000-000037830000}"/>
    <cellStyle name="Calculation 4 23 2 3" xfId="33623" xr:uid="{00000000-0005-0000-0000-000038830000}"/>
    <cellStyle name="Calculation 4 23 2 4" xfId="33624" xr:uid="{00000000-0005-0000-0000-000039830000}"/>
    <cellStyle name="Calculation 4 23 2 5" xfId="33625" xr:uid="{00000000-0005-0000-0000-00003A830000}"/>
    <cellStyle name="Calculation 4 23 2 6" xfId="33626" xr:uid="{00000000-0005-0000-0000-00003B830000}"/>
    <cellStyle name="Calculation 4 23 3" xfId="33627" xr:uid="{00000000-0005-0000-0000-00003C830000}"/>
    <cellStyle name="Calculation 4 23 3 2" xfId="33628" xr:uid="{00000000-0005-0000-0000-00003D830000}"/>
    <cellStyle name="Calculation 4 23 3 3" xfId="33629" xr:uid="{00000000-0005-0000-0000-00003E830000}"/>
    <cellStyle name="Calculation 4 23 3 4" xfId="33630" xr:uid="{00000000-0005-0000-0000-00003F830000}"/>
    <cellStyle name="Calculation 4 23 3 5" xfId="33631" xr:uid="{00000000-0005-0000-0000-000040830000}"/>
    <cellStyle name="Calculation 4 23 3 6" xfId="33632" xr:uid="{00000000-0005-0000-0000-000041830000}"/>
    <cellStyle name="Calculation 4 23 4" xfId="33633" xr:uid="{00000000-0005-0000-0000-000042830000}"/>
    <cellStyle name="Calculation 4 23 4 2" xfId="33634" xr:uid="{00000000-0005-0000-0000-000043830000}"/>
    <cellStyle name="Calculation 4 23 4 3" xfId="33635" xr:uid="{00000000-0005-0000-0000-000044830000}"/>
    <cellStyle name="Calculation 4 23 4 4" xfId="33636" xr:uid="{00000000-0005-0000-0000-000045830000}"/>
    <cellStyle name="Calculation 4 23 4 5" xfId="33637" xr:uid="{00000000-0005-0000-0000-000046830000}"/>
    <cellStyle name="Calculation 4 23 4 6" xfId="33638" xr:uid="{00000000-0005-0000-0000-000047830000}"/>
    <cellStyle name="Calculation 4 23 5" xfId="33639" xr:uid="{00000000-0005-0000-0000-000048830000}"/>
    <cellStyle name="Calculation 4 23 5 2" xfId="33640" xr:uid="{00000000-0005-0000-0000-000049830000}"/>
    <cellStyle name="Calculation 4 23 5 3" xfId="33641" xr:uid="{00000000-0005-0000-0000-00004A830000}"/>
    <cellStyle name="Calculation 4 23 5 4" xfId="33642" xr:uid="{00000000-0005-0000-0000-00004B830000}"/>
    <cellStyle name="Calculation 4 23 5 5" xfId="33643" xr:uid="{00000000-0005-0000-0000-00004C830000}"/>
    <cellStyle name="Calculation 4 23 5 6" xfId="33644" xr:uid="{00000000-0005-0000-0000-00004D830000}"/>
    <cellStyle name="Calculation 4 23 6" xfId="33645" xr:uid="{00000000-0005-0000-0000-00004E830000}"/>
    <cellStyle name="Calculation 4 23 6 2" xfId="33646" xr:uid="{00000000-0005-0000-0000-00004F830000}"/>
    <cellStyle name="Calculation 4 23 6 3" xfId="33647" xr:uid="{00000000-0005-0000-0000-000050830000}"/>
    <cellStyle name="Calculation 4 23 6 4" xfId="33648" xr:uid="{00000000-0005-0000-0000-000051830000}"/>
    <cellStyle name="Calculation 4 23 6 5" xfId="33649" xr:uid="{00000000-0005-0000-0000-000052830000}"/>
    <cellStyle name="Calculation 4 23 6 6" xfId="33650" xr:uid="{00000000-0005-0000-0000-000053830000}"/>
    <cellStyle name="Calculation 4 23 7" xfId="33651" xr:uid="{00000000-0005-0000-0000-000054830000}"/>
    <cellStyle name="Calculation 4 23 7 2" xfId="33652" xr:uid="{00000000-0005-0000-0000-000055830000}"/>
    <cellStyle name="Calculation 4 23 7 3" xfId="33653" xr:uid="{00000000-0005-0000-0000-000056830000}"/>
    <cellStyle name="Calculation 4 23 7 4" xfId="33654" xr:uid="{00000000-0005-0000-0000-000057830000}"/>
    <cellStyle name="Calculation 4 23 7 5" xfId="33655" xr:uid="{00000000-0005-0000-0000-000058830000}"/>
    <cellStyle name="Calculation 4 23 7 6" xfId="33656" xr:uid="{00000000-0005-0000-0000-000059830000}"/>
    <cellStyle name="Calculation 4 23 8" xfId="33657" xr:uid="{00000000-0005-0000-0000-00005A830000}"/>
    <cellStyle name="Calculation 4 23 9" xfId="33658" xr:uid="{00000000-0005-0000-0000-00005B830000}"/>
    <cellStyle name="Calculation 4 24" xfId="33659" xr:uid="{00000000-0005-0000-0000-00005C830000}"/>
    <cellStyle name="Calculation 4 24 10" xfId="33660" xr:uid="{00000000-0005-0000-0000-00005D830000}"/>
    <cellStyle name="Calculation 4 24 2" xfId="33661" xr:uid="{00000000-0005-0000-0000-00005E830000}"/>
    <cellStyle name="Calculation 4 24 2 2" xfId="33662" xr:uid="{00000000-0005-0000-0000-00005F830000}"/>
    <cellStyle name="Calculation 4 24 2 3" xfId="33663" xr:uid="{00000000-0005-0000-0000-000060830000}"/>
    <cellStyle name="Calculation 4 24 2 4" xfId="33664" xr:uid="{00000000-0005-0000-0000-000061830000}"/>
    <cellStyle name="Calculation 4 24 2 5" xfId="33665" xr:uid="{00000000-0005-0000-0000-000062830000}"/>
    <cellStyle name="Calculation 4 24 2 6" xfId="33666" xr:uid="{00000000-0005-0000-0000-000063830000}"/>
    <cellStyle name="Calculation 4 24 3" xfId="33667" xr:uid="{00000000-0005-0000-0000-000064830000}"/>
    <cellStyle name="Calculation 4 24 3 2" xfId="33668" xr:uid="{00000000-0005-0000-0000-000065830000}"/>
    <cellStyle name="Calculation 4 24 3 3" xfId="33669" xr:uid="{00000000-0005-0000-0000-000066830000}"/>
    <cellStyle name="Calculation 4 24 3 4" xfId="33670" xr:uid="{00000000-0005-0000-0000-000067830000}"/>
    <cellStyle name="Calculation 4 24 3 5" xfId="33671" xr:uid="{00000000-0005-0000-0000-000068830000}"/>
    <cellStyle name="Calculation 4 24 3 6" xfId="33672" xr:uid="{00000000-0005-0000-0000-000069830000}"/>
    <cellStyle name="Calculation 4 24 4" xfId="33673" xr:uid="{00000000-0005-0000-0000-00006A830000}"/>
    <cellStyle name="Calculation 4 24 4 2" xfId="33674" xr:uid="{00000000-0005-0000-0000-00006B830000}"/>
    <cellStyle name="Calculation 4 24 4 3" xfId="33675" xr:uid="{00000000-0005-0000-0000-00006C830000}"/>
    <cellStyle name="Calculation 4 24 4 4" xfId="33676" xr:uid="{00000000-0005-0000-0000-00006D830000}"/>
    <cellStyle name="Calculation 4 24 4 5" xfId="33677" xr:uid="{00000000-0005-0000-0000-00006E830000}"/>
    <cellStyle name="Calculation 4 24 4 6" xfId="33678" xr:uid="{00000000-0005-0000-0000-00006F830000}"/>
    <cellStyle name="Calculation 4 24 5" xfId="33679" xr:uid="{00000000-0005-0000-0000-000070830000}"/>
    <cellStyle name="Calculation 4 24 5 2" xfId="33680" xr:uid="{00000000-0005-0000-0000-000071830000}"/>
    <cellStyle name="Calculation 4 24 5 3" xfId="33681" xr:uid="{00000000-0005-0000-0000-000072830000}"/>
    <cellStyle name="Calculation 4 24 5 4" xfId="33682" xr:uid="{00000000-0005-0000-0000-000073830000}"/>
    <cellStyle name="Calculation 4 24 5 5" xfId="33683" xr:uid="{00000000-0005-0000-0000-000074830000}"/>
    <cellStyle name="Calculation 4 24 5 6" xfId="33684" xr:uid="{00000000-0005-0000-0000-000075830000}"/>
    <cellStyle name="Calculation 4 24 6" xfId="33685" xr:uid="{00000000-0005-0000-0000-000076830000}"/>
    <cellStyle name="Calculation 4 24 6 2" xfId="33686" xr:uid="{00000000-0005-0000-0000-000077830000}"/>
    <cellStyle name="Calculation 4 24 6 3" xfId="33687" xr:uid="{00000000-0005-0000-0000-000078830000}"/>
    <cellStyle name="Calculation 4 24 6 4" xfId="33688" xr:uid="{00000000-0005-0000-0000-000079830000}"/>
    <cellStyle name="Calculation 4 24 6 5" xfId="33689" xr:uid="{00000000-0005-0000-0000-00007A830000}"/>
    <cellStyle name="Calculation 4 24 6 6" xfId="33690" xr:uid="{00000000-0005-0000-0000-00007B830000}"/>
    <cellStyle name="Calculation 4 24 7" xfId="33691" xr:uid="{00000000-0005-0000-0000-00007C830000}"/>
    <cellStyle name="Calculation 4 24 7 2" xfId="33692" xr:uid="{00000000-0005-0000-0000-00007D830000}"/>
    <cellStyle name="Calculation 4 24 7 3" xfId="33693" xr:uid="{00000000-0005-0000-0000-00007E830000}"/>
    <cellStyle name="Calculation 4 24 7 4" xfId="33694" xr:uid="{00000000-0005-0000-0000-00007F830000}"/>
    <cellStyle name="Calculation 4 24 7 5" xfId="33695" xr:uid="{00000000-0005-0000-0000-000080830000}"/>
    <cellStyle name="Calculation 4 24 7 6" xfId="33696" xr:uid="{00000000-0005-0000-0000-000081830000}"/>
    <cellStyle name="Calculation 4 24 8" xfId="33697" xr:uid="{00000000-0005-0000-0000-000082830000}"/>
    <cellStyle name="Calculation 4 24 9" xfId="33698" xr:uid="{00000000-0005-0000-0000-000083830000}"/>
    <cellStyle name="Calculation 4 25" xfId="33699" xr:uid="{00000000-0005-0000-0000-000084830000}"/>
    <cellStyle name="Calculation 4 25 10" xfId="33700" xr:uid="{00000000-0005-0000-0000-000085830000}"/>
    <cellStyle name="Calculation 4 25 2" xfId="33701" xr:uid="{00000000-0005-0000-0000-000086830000}"/>
    <cellStyle name="Calculation 4 25 2 2" xfId="33702" xr:uid="{00000000-0005-0000-0000-000087830000}"/>
    <cellStyle name="Calculation 4 25 2 3" xfId="33703" xr:uid="{00000000-0005-0000-0000-000088830000}"/>
    <cellStyle name="Calculation 4 25 2 4" xfId="33704" xr:uid="{00000000-0005-0000-0000-000089830000}"/>
    <cellStyle name="Calculation 4 25 2 5" xfId="33705" xr:uid="{00000000-0005-0000-0000-00008A830000}"/>
    <cellStyle name="Calculation 4 25 2 6" xfId="33706" xr:uid="{00000000-0005-0000-0000-00008B830000}"/>
    <cellStyle name="Calculation 4 25 3" xfId="33707" xr:uid="{00000000-0005-0000-0000-00008C830000}"/>
    <cellStyle name="Calculation 4 25 3 2" xfId="33708" xr:uid="{00000000-0005-0000-0000-00008D830000}"/>
    <cellStyle name="Calculation 4 25 3 3" xfId="33709" xr:uid="{00000000-0005-0000-0000-00008E830000}"/>
    <cellStyle name="Calculation 4 25 3 4" xfId="33710" xr:uid="{00000000-0005-0000-0000-00008F830000}"/>
    <cellStyle name="Calculation 4 25 3 5" xfId="33711" xr:uid="{00000000-0005-0000-0000-000090830000}"/>
    <cellStyle name="Calculation 4 25 3 6" xfId="33712" xr:uid="{00000000-0005-0000-0000-000091830000}"/>
    <cellStyle name="Calculation 4 25 4" xfId="33713" xr:uid="{00000000-0005-0000-0000-000092830000}"/>
    <cellStyle name="Calculation 4 25 4 2" xfId="33714" xr:uid="{00000000-0005-0000-0000-000093830000}"/>
    <cellStyle name="Calculation 4 25 4 3" xfId="33715" xr:uid="{00000000-0005-0000-0000-000094830000}"/>
    <cellStyle name="Calculation 4 25 4 4" xfId="33716" xr:uid="{00000000-0005-0000-0000-000095830000}"/>
    <cellStyle name="Calculation 4 25 4 5" xfId="33717" xr:uid="{00000000-0005-0000-0000-000096830000}"/>
    <cellStyle name="Calculation 4 25 4 6" xfId="33718" xr:uid="{00000000-0005-0000-0000-000097830000}"/>
    <cellStyle name="Calculation 4 25 5" xfId="33719" xr:uid="{00000000-0005-0000-0000-000098830000}"/>
    <cellStyle name="Calculation 4 25 5 2" xfId="33720" xr:uid="{00000000-0005-0000-0000-000099830000}"/>
    <cellStyle name="Calculation 4 25 5 3" xfId="33721" xr:uid="{00000000-0005-0000-0000-00009A830000}"/>
    <cellStyle name="Calculation 4 25 5 4" xfId="33722" xr:uid="{00000000-0005-0000-0000-00009B830000}"/>
    <cellStyle name="Calculation 4 25 5 5" xfId="33723" xr:uid="{00000000-0005-0000-0000-00009C830000}"/>
    <cellStyle name="Calculation 4 25 5 6" xfId="33724" xr:uid="{00000000-0005-0000-0000-00009D830000}"/>
    <cellStyle name="Calculation 4 25 6" xfId="33725" xr:uid="{00000000-0005-0000-0000-00009E830000}"/>
    <cellStyle name="Calculation 4 25 6 2" xfId="33726" xr:uid="{00000000-0005-0000-0000-00009F830000}"/>
    <cellStyle name="Calculation 4 25 6 3" xfId="33727" xr:uid="{00000000-0005-0000-0000-0000A0830000}"/>
    <cellStyle name="Calculation 4 25 6 4" xfId="33728" xr:uid="{00000000-0005-0000-0000-0000A1830000}"/>
    <cellStyle name="Calculation 4 25 6 5" xfId="33729" xr:uid="{00000000-0005-0000-0000-0000A2830000}"/>
    <cellStyle name="Calculation 4 25 6 6" xfId="33730" xr:uid="{00000000-0005-0000-0000-0000A3830000}"/>
    <cellStyle name="Calculation 4 25 7" xfId="33731" xr:uid="{00000000-0005-0000-0000-0000A4830000}"/>
    <cellStyle name="Calculation 4 25 7 2" xfId="33732" xr:uid="{00000000-0005-0000-0000-0000A5830000}"/>
    <cellStyle name="Calculation 4 25 7 3" xfId="33733" xr:uid="{00000000-0005-0000-0000-0000A6830000}"/>
    <cellStyle name="Calculation 4 25 7 4" xfId="33734" xr:uid="{00000000-0005-0000-0000-0000A7830000}"/>
    <cellStyle name="Calculation 4 25 7 5" xfId="33735" xr:uid="{00000000-0005-0000-0000-0000A8830000}"/>
    <cellStyle name="Calculation 4 25 7 6" xfId="33736" xr:uid="{00000000-0005-0000-0000-0000A9830000}"/>
    <cellStyle name="Calculation 4 25 8" xfId="33737" xr:uid="{00000000-0005-0000-0000-0000AA830000}"/>
    <cellStyle name="Calculation 4 25 9" xfId="33738" xr:uid="{00000000-0005-0000-0000-0000AB830000}"/>
    <cellStyle name="Calculation 4 26" xfId="33739" xr:uid="{00000000-0005-0000-0000-0000AC830000}"/>
    <cellStyle name="Calculation 4 26 2" xfId="33740" xr:uid="{00000000-0005-0000-0000-0000AD830000}"/>
    <cellStyle name="Calculation 4 26 3" xfId="33741" xr:uid="{00000000-0005-0000-0000-0000AE830000}"/>
    <cellStyle name="Calculation 4 26 4" xfId="33742" xr:uid="{00000000-0005-0000-0000-0000AF830000}"/>
    <cellStyle name="Calculation 4 26 5" xfId="33743" xr:uid="{00000000-0005-0000-0000-0000B0830000}"/>
    <cellStyle name="Calculation 4 26 6" xfId="33744" xr:uid="{00000000-0005-0000-0000-0000B1830000}"/>
    <cellStyle name="Calculation 4 27" xfId="33745" xr:uid="{00000000-0005-0000-0000-0000B2830000}"/>
    <cellStyle name="Calculation 4 27 2" xfId="33746" xr:uid="{00000000-0005-0000-0000-0000B3830000}"/>
    <cellStyle name="Calculation 4 27 3" xfId="33747" xr:uid="{00000000-0005-0000-0000-0000B4830000}"/>
    <cellStyle name="Calculation 4 27 4" xfId="33748" xr:uid="{00000000-0005-0000-0000-0000B5830000}"/>
    <cellStyle name="Calculation 4 27 5" xfId="33749" xr:uid="{00000000-0005-0000-0000-0000B6830000}"/>
    <cellStyle name="Calculation 4 27 6" xfId="33750" xr:uid="{00000000-0005-0000-0000-0000B7830000}"/>
    <cellStyle name="Calculation 4 28" xfId="33751" xr:uid="{00000000-0005-0000-0000-0000B8830000}"/>
    <cellStyle name="Calculation 4 28 2" xfId="33752" xr:uid="{00000000-0005-0000-0000-0000B9830000}"/>
    <cellStyle name="Calculation 4 28 3" xfId="33753" xr:uid="{00000000-0005-0000-0000-0000BA830000}"/>
    <cellStyle name="Calculation 4 28 4" xfId="33754" xr:uid="{00000000-0005-0000-0000-0000BB830000}"/>
    <cellStyle name="Calculation 4 28 5" xfId="33755" xr:uid="{00000000-0005-0000-0000-0000BC830000}"/>
    <cellStyle name="Calculation 4 28 6" xfId="33756" xr:uid="{00000000-0005-0000-0000-0000BD830000}"/>
    <cellStyle name="Calculation 4 29" xfId="33757" xr:uid="{00000000-0005-0000-0000-0000BE830000}"/>
    <cellStyle name="Calculation 4 29 2" xfId="33758" xr:uid="{00000000-0005-0000-0000-0000BF830000}"/>
    <cellStyle name="Calculation 4 29 3" xfId="33759" xr:uid="{00000000-0005-0000-0000-0000C0830000}"/>
    <cellStyle name="Calculation 4 29 4" xfId="33760" xr:uid="{00000000-0005-0000-0000-0000C1830000}"/>
    <cellStyle name="Calculation 4 29 5" xfId="33761" xr:uid="{00000000-0005-0000-0000-0000C2830000}"/>
    <cellStyle name="Calculation 4 29 6" xfId="33762" xr:uid="{00000000-0005-0000-0000-0000C3830000}"/>
    <cellStyle name="Calculation 4 3" xfId="33763" xr:uid="{00000000-0005-0000-0000-0000C4830000}"/>
    <cellStyle name="Calculation 4 3 10" xfId="33764" xr:uid="{00000000-0005-0000-0000-0000C5830000}"/>
    <cellStyle name="Calculation 4 3 10 10" xfId="33765" xr:uid="{00000000-0005-0000-0000-0000C6830000}"/>
    <cellStyle name="Calculation 4 3 10 2" xfId="33766" xr:uid="{00000000-0005-0000-0000-0000C7830000}"/>
    <cellStyle name="Calculation 4 3 10 2 2" xfId="33767" xr:uid="{00000000-0005-0000-0000-0000C8830000}"/>
    <cellStyle name="Calculation 4 3 10 2 3" xfId="33768" xr:uid="{00000000-0005-0000-0000-0000C9830000}"/>
    <cellStyle name="Calculation 4 3 10 2 4" xfId="33769" xr:uid="{00000000-0005-0000-0000-0000CA830000}"/>
    <cellStyle name="Calculation 4 3 10 2 5" xfId="33770" xr:uid="{00000000-0005-0000-0000-0000CB830000}"/>
    <cellStyle name="Calculation 4 3 10 2 6" xfId="33771" xr:uid="{00000000-0005-0000-0000-0000CC830000}"/>
    <cellStyle name="Calculation 4 3 10 3" xfId="33772" xr:uid="{00000000-0005-0000-0000-0000CD830000}"/>
    <cellStyle name="Calculation 4 3 10 3 2" xfId="33773" xr:uid="{00000000-0005-0000-0000-0000CE830000}"/>
    <cellStyle name="Calculation 4 3 10 3 3" xfId="33774" xr:uid="{00000000-0005-0000-0000-0000CF830000}"/>
    <cellStyle name="Calculation 4 3 10 3 4" xfId="33775" xr:uid="{00000000-0005-0000-0000-0000D0830000}"/>
    <cellStyle name="Calculation 4 3 10 3 5" xfId="33776" xr:uid="{00000000-0005-0000-0000-0000D1830000}"/>
    <cellStyle name="Calculation 4 3 10 3 6" xfId="33777" xr:uid="{00000000-0005-0000-0000-0000D2830000}"/>
    <cellStyle name="Calculation 4 3 10 4" xfId="33778" xr:uid="{00000000-0005-0000-0000-0000D3830000}"/>
    <cellStyle name="Calculation 4 3 10 4 2" xfId="33779" xr:uid="{00000000-0005-0000-0000-0000D4830000}"/>
    <cellStyle name="Calculation 4 3 10 4 3" xfId="33780" xr:uid="{00000000-0005-0000-0000-0000D5830000}"/>
    <cellStyle name="Calculation 4 3 10 4 4" xfId="33781" xr:uid="{00000000-0005-0000-0000-0000D6830000}"/>
    <cellStyle name="Calculation 4 3 10 4 5" xfId="33782" xr:uid="{00000000-0005-0000-0000-0000D7830000}"/>
    <cellStyle name="Calculation 4 3 10 4 6" xfId="33783" xr:uid="{00000000-0005-0000-0000-0000D8830000}"/>
    <cellStyle name="Calculation 4 3 10 5" xfId="33784" xr:uid="{00000000-0005-0000-0000-0000D9830000}"/>
    <cellStyle name="Calculation 4 3 10 5 2" xfId="33785" xr:uid="{00000000-0005-0000-0000-0000DA830000}"/>
    <cellStyle name="Calculation 4 3 10 5 3" xfId="33786" xr:uid="{00000000-0005-0000-0000-0000DB830000}"/>
    <cellStyle name="Calculation 4 3 10 5 4" xfId="33787" xr:uid="{00000000-0005-0000-0000-0000DC830000}"/>
    <cellStyle name="Calculation 4 3 10 5 5" xfId="33788" xr:uid="{00000000-0005-0000-0000-0000DD830000}"/>
    <cellStyle name="Calculation 4 3 10 5 6" xfId="33789" xr:uid="{00000000-0005-0000-0000-0000DE830000}"/>
    <cellStyle name="Calculation 4 3 10 6" xfId="33790" xr:uid="{00000000-0005-0000-0000-0000DF830000}"/>
    <cellStyle name="Calculation 4 3 10 6 2" xfId="33791" xr:uid="{00000000-0005-0000-0000-0000E0830000}"/>
    <cellStyle name="Calculation 4 3 10 6 3" xfId="33792" xr:uid="{00000000-0005-0000-0000-0000E1830000}"/>
    <cellStyle name="Calculation 4 3 10 6 4" xfId="33793" xr:uid="{00000000-0005-0000-0000-0000E2830000}"/>
    <cellStyle name="Calculation 4 3 10 6 5" xfId="33794" xr:uid="{00000000-0005-0000-0000-0000E3830000}"/>
    <cellStyle name="Calculation 4 3 10 6 6" xfId="33795" xr:uid="{00000000-0005-0000-0000-0000E4830000}"/>
    <cellStyle name="Calculation 4 3 10 7" xfId="33796" xr:uid="{00000000-0005-0000-0000-0000E5830000}"/>
    <cellStyle name="Calculation 4 3 10 7 2" xfId="33797" xr:uid="{00000000-0005-0000-0000-0000E6830000}"/>
    <cellStyle name="Calculation 4 3 10 7 3" xfId="33798" xr:uid="{00000000-0005-0000-0000-0000E7830000}"/>
    <cellStyle name="Calculation 4 3 10 7 4" xfId="33799" xr:uid="{00000000-0005-0000-0000-0000E8830000}"/>
    <cellStyle name="Calculation 4 3 10 7 5" xfId="33800" xr:uid="{00000000-0005-0000-0000-0000E9830000}"/>
    <cellStyle name="Calculation 4 3 10 7 6" xfId="33801" xr:uid="{00000000-0005-0000-0000-0000EA830000}"/>
    <cellStyle name="Calculation 4 3 10 8" xfId="33802" xr:uid="{00000000-0005-0000-0000-0000EB830000}"/>
    <cellStyle name="Calculation 4 3 10 9" xfId="33803" xr:uid="{00000000-0005-0000-0000-0000EC830000}"/>
    <cellStyle name="Calculation 4 3 11" xfId="33804" xr:uid="{00000000-0005-0000-0000-0000ED830000}"/>
    <cellStyle name="Calculation 4 3 11 10" xfId="33805" xr:uid="{00000000-0005-0000-0000-0000EE830000}"/>
    <cellStyle name="Calculation 4 3 11 2" xfId="33806" xr:uid="{00000000-0005-0000-0000-0000EF830000}"/>
    <cellStyle name="Calculation 4 3 11 2 2" xfId="33807" xr:uid="{00000000-0005-0000-0000-0000F0830000}"/>
    <cellStyle name="Calculation 4 3 11 2 3" xfId="33808" xr:uid="{00000000-0005-0000-0000-0000F1830000}"/>
    <cellStyle name="Calculation 4 3 11 2 4" xfId="33809" xr:uid="{00000000-0005-0000-0000-0000F2830000}"/>
    <cellStyle name="Calculation 4 3 11 2 5" xfId="33810" xr:uid="{00000000-0005-0000-0000-0000F3830000}"/>
    <cellStyle name="Calculation 4 3 11 2 6" xfId="33811" xr:uid="{00000000-0005-0000-0000-0000F4830000}"/>
    <cellStyle name="Calculation 4 3 11 3" xfId="33812" xr:uid="{00000000-0005-0000-0000-0000F5830000}"/>
    <cellStyle name="Calculation 4 3 11 3 2" xfId="33813" xr:uid="{00000000-0005-0000-0000-0000F6830000}"/>
    <cellStyle name="Calculation 4 3 11 3 3" xfId="33814" xr:uid="{00000000-0005-0000-0000-0000F7830000}"/>
    <cellStyle name="Calculation 4 3 11 3 4" xfId="33815" xr:uid="{00000000-0005-0000-0000-0000F8830000}"/>
    <cellStyle name="Calculation 4 3 11 3 5" xfId="33816" xr:uid="{00000000-0005-0000-0000-0000F9830000}"/>
    <cellStyle name="Calculation 4 3 11 3 6" xfId="33817" xr:uid="{00000000-0005-0000-0000-0000FA830000}"/>
    <cellStyle name="Calculation 4 3 11 4" xfId="33818" xr:uid="{00000000-0005-0000-0000-0000FB830000}"/>
    <cellStyle name="Calculation 4 3 11 4 2" xfId="33819" xr:uid="{00000000-0005-0000-0000-0000FC830000}"/>
    <cellStyle name="Calculation 4 3 11 4 3" xfId="33820" xr:uid="{00000000-0005-0000-0000-0000FD830000}"/>
    <cellStyle name="Calculation 4 3 11 4 4" xfId="33821" xr:uid="{00000000-0005-0000-0000-0000FE830000}"/>
    <cellStyle name="Calculation 4 3 11 4 5" xfId="33822" xr:uid="{00000000-0005-0000-0000-0000FF830000}"/>
    <cellStyle name="Calculation 4 3 11 4 6" xfId="33823" xr:uid="{00000000-0005-0000-0000-000000840000}"/>
    <cellStyle name="Calculation 4 3 11 5" xfId="33824" xr:uid="{00000000-0005-0000-0000-000001840000}"/>
    <cellStyle name="Calculation 4 3 11 5 2" xfId="33825" xr:uid="{00000000-0005-0000-0000-000002840000}"/>
    <cellStyle name="Calculation 4 3 11 5 3" xfId="33826" xr:uid="{00000000-0005-0000-0000-000003840000}"/>
    <cellStyle name="Calculation 4 3 11 5 4" xfId="33827" xr:uid="{00000000-0005-0000-0000-000004840000}"/>
    <cellStyle name="Calculation 4 3 11 5 5" xfId="33828" xr:uid="{00000000-0005-0000-0000-000005840000}"/>
    <cellStyle name="Calculation 4 3 11 5 6" xfId="33829" xr:uid="{00000000-0005-0000-0000-000006840000}"/>
    <cellStyle name="Calculation 4 3 11 6" xfId="33830" xr:uid="{00000000-0005-0000-0000-000007840000}"/>
    <cellStyle name="Calculation 4 3 11 6 2" xfId="33831" xr:uid="{00000000-0005-0000-0000-000008840000}"/>
    <cellStyle name="Calculation 4 3 11 6 3" xfId="33832" xr:uid="{00000000-0005-0000-0000-000009840000}"/>
    <cellStyle name="Calculation 4 3 11 6 4" xfId="33833" xr:uid="{00000000-0005-0000-0000-00000A840000}"/>
    <cellStyle name="Calculation 4 3 11 6 5" xfId="33834" xr:uid="{00000000-0005-0000-0000-00000B840000}"/>
    <cellStyle name="Calculation 4 3 11 6 6" xfId="33835" xr:uid="{00000000-0005-0000-0000-00000C840000}"/>
    <cellStyle name="Calculation 4 3 11 7" xfId="33836" xr:uid="{00000000-0005-0000-0000-00000D840000}"/>
    <cellStyle name="Calculation 4 3 11 7 2" xfId="33837" xr:uid="{00000000-0005-0000-0000-00000E840000}"/>
    <cellStyle name="Calculation 4 3 11 7 3" xfId="33838" xr:uid="{00000000-0005-0000-0000-00000F840000}"/>
    <cellStyle name="Calculation 4 3 11 7 4" xfId="33839" xr:uid="{00000000-0005-0000-0000-000010840000}"/>
    <cellStyle name="Calculation 4 3 11 7 5" xfId="33840" xr:uid="{00000000-0005-0000-0000-000011840000}"/>
    <cellStyle name="Calculation 4 3 11 7 6" xfId="33841" xr:uid="{00000000-0005-0000-0000-000012840000}"/>
    <cellStyle name="Calculation 4 3 11 8" xfId="33842" xr:uid="{00000000-0005-0000-0000-000013840000}"/>
    <cellStyle name="Calculation 4 3 11 9" xfId="33843" xr:uid="{00000000-0005-0000-0000-000014840000}"/>
    <cellStyle name="Calculation 4 3 12" xfId="33844" xr:uid="{00000000-0005-0000-0000-000015840000}"/>
    <cellStyle name="Calculation 4 3 12 10" xfId="33845" xr:uid="{00000000-0005-0000-0000-000016840000}"/>
    <cellStyle name="Calculation 4 3 12 2" xfId="33846" xr:uid="{00000000-0005-0000-0000-000017840000}"/>
    <cellStyle name="Calculation 4 3 12 2 2" xfId="33847" xr:uid="{00000000-0005-0000-0000-000018840000}"/>
    <cellStyle name="Calculation 4 3 12 2 3" xfId="33848" xr:uid="{00000000-0005-0000-0000-000019840000}"/>
    <cellStyle name="Calculation 4 3 12 2 4" xfId="33849" xr:uid="{00000000-0005-0000-0000-00001A840000}"/>
    <cellStyle name="Calculation 4 3 12 2 5" xfId="33850" xr:uid="{00000000-0005-0000-0000-00001B840000}"/>
    <cellStyle name="Calculation 4 3 12 2 6" xfId="33851" xr:uid="{00000000-0005-0000-0000-00001C840000}"/>
    <cellStyle name="Calculation 4 3 12 3" xfId="33852" xr:uid="{00000000-0005-0000-0000-00001D840000}"/>
    <cellStyle name="Calculation 4 3 12 3 2" xfId="33853" xr:uid="{00000000-0005-0000-0000-00001E840000}"/>
    <cellStyle name="Calculation 4 3 12 3 3" xfId="33854" xr:uid="{00000000-0005-0000-0000-00001F840000}"/>
    <cellStyle name="Calculation 4 3 12 3 4" xfId="33855" xr:uid="{00000000-0005-0000-0000-000020840000}"/>
    <cellStyle name="Calculation 4 3 12 3 5" xfId="33856" xr:uid="{00000000-0005-0000-0000-000021840000}"/>
    <cellStyle name="Calculation 4 3 12 3 6" xfId="33857" xr:uid="{00000000-0005-0000-0000-000022840000}"/>
    <cellStyle name="Calculation 4 3 12 4" xfId="33858" xr:uid="{00000000-0005-0000-0000-000023840000}"/>
    <cellStyle name="Calculation 4 3 12 4 2" xfId="33859" xr:uid="{00000000-0005-0000-0000-000024840000}"/>
    <cellStyle name="Calculation 4 3 12 4 3" xfId="33860" xr:uid="{00000000-0005-0000-0000-000025840000}"/>
    <cellStyle name="Calculation 4 3 12 4 4" xfId="33861" xr:uid="{00000000-0005-0000-0000-000026840000}"/>
    <cellStyle name="Calculation 4 3 12 4 5" xfId="33862" xr:uid="{00000000-0005-0000-0000-000027840000}"/>
    <cellStyle name="Calculation 4 3 12 4 6" xfId="33863" xr:uid="{00000000-0005-0000-0000-000028840000}"/>
    <cellStyle name="Calculation 4 3 12 5" xfId="33864" xr:uid="{00000000-0005-0000-0000-000029840000}"/>
    <cellStyle name="Calculation 4 3 12 5 2" xfId="33865" xr:uid="{00000000-0005-0000-0000-00002A840000}"/>
    <cellStyle name="Calculation 4 3 12 5 3" xfId="33866" xr:uid="{00000000-0005-0000-0000-00002B840000}"/>
    <cellStyle name="Calculation 4 3 12 5 4" xfId="33867" xr:uid="{00000000-0005-0000-0000-00002C840000}"/>
    <cellStyle name="Calculation 4 3 12 5 5" xfId="33868" xr:uid="{00000000-0005-0000-0000-00002D840000}"/>
    <cellStyle name="Calculation 4 3 12 5 6" xfId="33869" xr:uid="{00000000-0005-0000-0000-00002E840000}"/>
    <cellStyle name="Calculation 4 3 12 6" xfId="33870" xr:uid="{00000000-0005-0000-0000-00002F840000}"/>
    <cellStyle name="Calculation 4 3 12 6 2" xfId="33871" xr:uid="{00000000-0005-0000-0000-000030840000}"/>
    <cellStyle name="Calculation 4 3 12 6 3" xfId="33872" xr:uid="{00000000-0005-0000-0000-000031840000}"/>
    <cellStyle name="Calculation 4 3 12 6 4" xfId="33873" xr:uid="{00000000-0005-0000-0000-000032840000}"/>
    <cellStyle name="Calculation 4 3 12 6 5" xfId="33874" xr:uid="{00000000-0005-0000-0000-000033840000}"/>
    <cellStyle name="Calculation 4 3 12 6 6" xfId="33875" xr:uid="{00000000-0005-0000-0000-000034840000}"/>
    <cellStyle name="Calculation 4 3 12 7" xfId="33876" xr:uid="{00000000-0005-0000-0000-000035840000}"/>
    <cellStyle name="Calculation 4 3 12 7 2" xfId="33877" xr:uid="{00000000-0005-0000-0000-000036840000}"/>
    <cellStyle name="Calculation 4 3 12 7 3" xfId="33878" xr:uid="{00000000-0005-0000-0000-000037840000}"/>
    <cellStyle name="Calculation 4 3 12 7 4" xfId="33879" xr:uid="{00000000-0005-0000-0000-000038840000}"/>
    <cellStyle name="Calculation 4 3 12 7 5" xfId="33880" xr:uid="{00000000-0005-0000-0000-000039840000}"/>
    <cellStyle name="Calculation 4 3 12 7 6" xfId="33881" xr:uid="{00000000-0005-0000-0000-00003A840000}"/>
    <cellStyle name="Calculation 4 3 12 8" xfId="33882" xr:uid="{00000000-0005-0000-0000-00003B840000}"/>
    <cellStyle name="Calculation 4 3 12 9" xfId="33883" xr:uid="{00000000-0005-0000-0000-00003C840000}"/>
    <cellStyle name="Calculation 4 3 13" xfId="33884" xr:uid="{00000000-0005-0000-0000-00003D840000}"/>
    <cellStyle name="Calculation 4 3 13 10" xfId="33885" xr:uid="{00000000-0005-0000-0000-00003E840000}"/>
    <cellStyle name="Calculation 4 3 13 2" xfId="33886" xr:uid="{00000000-0005-0000-0000-00003F840000}"/>
    <cellStyle name="Calculation 4 3 13 2 2" xfId="33887" xr:uid="{00000000-0005-0000-0000-000040840000}"/>
    <cellStyle name="Calculation 4 3 13 2 3" xfId="33888" xr:uid="{00000000-0005-0000-0000-000041840000}"/>
    <cellStyle name="Calculation 4 3 13 2 4" xfId="33889" xr:uid="{00000000-0005-0000-0000-000042840000}"/>
    <cellStyle name="Calculation 4 3 13 2 5" xfId="33890" xr:uid="{00000000-0005-0000-0000-000043840000}"/>
    <cellStyle name="Calculation 4 3 13 2 6" xfId="33891" xr:uid="{00000000-0005-0000-0000-000044840000}"/>
    <cellStyle name="Calculation 4 3 13 3" xfId="33892" xr:uid="{00000000-0005-0000-0000-000045840000}"/>
    <cellStyle name="Calculation 4 3 13 3 2" xfId="33893" xr:uid="{00000000-0005-0000-0000-000046840000}"/>
    <cellStyle name="Calculation 4 3 13 3 3" xfId="33894" xr:uid="{00000000-0005-0000-0000-000047840000}"/>
    <cellStyle name="Calculation 4 3 13 3 4" xfId="33895" xr:uid="{00000000-0005-0000-0000-000048840000}"/>
    <cellStyle name="Calculation 4 3 13 3 5" xfId="33896" xr:uid="{00000000-0005-0000-0000-000049840000}"/>
    <cellStyle name="Calculation 4 3 13 3 6" xfId="33897" xr:uid="{00000000-0005-0000-0000-00004A840000}"/>
    <cellStyle name="Calculation 4 3 13 4" xfId="33898" xr:uid="{00000000-0005-0000-0000-00004B840000}"/>
    <cellStyle name="Calculation 4 3 13 4 2" xfId="33899" xr:uid="{00000000-0005-0000-0000-00004C840000}"/>
    <cellStyle name="Calculation 4 3 13 4 3" xfId="33900" xr:uid="{00000000-0005-0000-0000-00004D840000}"/>
    <cellStyle name="Calculation 4 3 13 4 4" xfId="33901" xr:uid="{00000000-0005-0000-0000-00004E840000}"/>
    <cellStyle name="Calculation 4 3 13 4 5" xfId="33902" xr:uid="{00000000-0005-0000-0000-00004F840000}"/>
    <cellStyle name="Calculation 4 3 13 4 6" xfId="33903" xr:uid="{00000000-0005-0000-0000-000050840000}"/>
    <cellStyle name="Calculation 4 3 13 5" xfId="33904" xr:uid="{00000000-0005-0000-0000-000051840000}"/>
    <cellStyle name="Calculation 4 3 13 5 2" xfId="33905" xr:uid="{00000000-0005-0000-0000-000052840000}"/>
    <cellStyle name="Calculation 4 3 13 5 3" xfId="33906" xr:uid="{00000000-0005-0000-0000-000053840000}"/>
    <cellStyle name="Calculation 4 3 13 5 4" xfId="33907" xr:uid="{00000000-0005-0000-0000-000054840000}"/>
    <cellStyle name="Calculation 4 3 13 5 5" xfId="33908" xr:uid="{00000000-0005-0000-0000-000055840000}"/>
    <cellStyle name="Calculation 4 3 13 5 6" xfId="33909" xr:uid="{00000000-0005-0000-0000-000056840000}"/>
    <cellStyle name="Calculation 4 3 13 6" xfId="33910" xr:uid="{00000000-0005-0000-0000-000057840000}"/>
    <cellStyle name="Calculation 4 3 13 6 2" xfId="33911" xr:uid="{00000000-0005-0000-0000-000058840000}"/>
    <cellStyle name="Calculation 4 3 13 6 3" xfId="33912" xr:uid="{00000000-0005-0000-0000-000059840000}"/>
    <cellStyle name="Calculation 4 3 13 6 4" xfId="33913" xr:uid="{00000000-0005-0000-0000-00005A840000}"/>
    <cellStyle name="Calculation 4 3 13 6 5" xfId="33914" xr:uid="{00000000-0005-0000-0000-00005B840000}"/>
    <cellStyle name="Calculation 4 3 13 6 6" xfId="33915" xr:uid="{00000000-0005-0000-0000-00005C840000}"/>
    <cellStyle name="Calculation 4 3 13 7" xfId="33916" xr:uid="{00000000-0005-0000-0000-00005D840000}"/>
    <cellStyle name="Calculation 4 3 13 7 2" xfId="33917" xr:uid="{00000000-0005-0000-0000-00005E840000}"/>
    <cellStyle name="Calculation 4 3 13 7 3" xfId="33918" xr:uid="{00000000-0005-0000-0000-00005F840000}"/>
    <cellStyle name="Calculation 4 3 13 7 4" xfId="33919" xr:uid="{00000000-0005-0000-0000-000060840000}"/>
    <cellStyle name="Calculation 4 3 13 7 5" xfId="33920" xr:uid="{00000000-0005-0000-0000-000061840000}"/>
    <cellStyle name="Calculation 4 3 13 7 6" xfId="33921" xr:uid="{00000000-0005-0000-0000-000062840000}"/>
    <cellStyle name="Calculation 4 3 13 8" xfId="33922" xr:uid="{00000000-0005-0000-0000-000063840000}"/>
    <cellStyle name="Calculation 4 3 13 9" xfId="33923" xr:uid="{00000000-0005-0000-0000-000064840000}"/>
    <cellStyle name="Calculation 4 3 14" xfId="33924" xr:uid="{00000000-0005-0000-0000-000065840000}"/>
    <cellStyle name="Calculation 4 3 14 10" xfId="33925" xr:uid="{00000000-0005-0000-0000-000066840000}"/>
    <cellStyle name="Calculation 4 3 14 2" xfId="33926" xr:uid="{00000000-0005-0000-0000-000067840000}"/>
    <cellStyle name="Calculation 4 3 14 2 2" xfId="33927" xr:uid="{00000000-0005-0000-0000-000068840000}"/>
    <cellStyle name="Calculation 4 3 14 2 3" xfId="33928" xr:uid="{00000000-0005-0000-0000-000069840000}"/>
    <cellStyle name="Calculation 4 3 14 2 4" xfId="33929" xr:uid="{00000000-0005-0000-0000-00006A840000}"/>
    <cellStyle name="Calculation 4 3 14 2 5" xfId="33930" xr:uid="{00000000-0005-0000-0000-00006B840000}"/>
    <cellStyle name="Calculation 4 3 14 2 6" xfId="33931" xr:uid="{00000000-0005-0000-0000-00006C840000}"/>
    <cellStyle name="Calculation 4 3 14 3" xfId="33932" xr:uid="{00000000-0005-0000-0000-00006D840000}"/>
    <cellStyle name="Calculation 4 3 14 3 2" xfId="33933" xr:uid="{00000000-0005-0000-0000-00006E840000}"/>
    <cellStyle name="Calculation 4 3 14 3 3" xfId="33934" xr:uid="{00000000-0005-0000-0000-00006F840000}"/>
    <cellStyle name="Calculation 4 3 14 3 4" xfId="33935" xr:uid="{00000000-0005-0000-0000-000070840000}"/>
    <cellStyle name="Calculation 4 3 14 3 5" xfId="33936" xr:uid="{00000000-0005-0000-0000-000071840000}"/>
    <cellStyle name="Calculation 4 3 14 3 6" xfId="33937" xr:uid="{00000000-0005-0000-0000-000072840000}"/>
    <cellStyle name="Calculation 4 3 14 4" xfId="33938" xr:uid="{00000000-0005-0000-0000-000073840000}"/>
    <cellStyle name="Calculation 4 3 14 4 2" xfId="33939" xr:uid="{00000000-0005-0000-0000-000074840000}"/>
    <cellStyle name="Calculation 4 3 14 4 3" xfId="33940" xr:uid="{00000000-0005-0000-0000-000075840000}"/>
    <cellStyle name="Calculation 4 3 14 4 4" xfId="33941" xr:uid="{00000000-0005-0000-0000-000076840000}"/>
    <cellStyle name="Calculation 4 3 14 4 5" xfId="33942" xr:uid="{00000000-0005-0000-0000-000077840000}"/>
    <cellStyle name="Calculation 4 3 14 4 6" xfId="33943" xr:uid="{00000000-0005-0000-0000-000078840000}"/>
    <cellStyle name="Calculation 4 3 14 5" xfId="33944" xr:uid="{00000000-0005-0000-0000-000079840000}"/>
    <cellStyle name="Calculation 4 3 14 5 2" xfId="33945" xr:uid="{00000000-0005-0000-0000-00007A840000}"/>
    <cellStyle name="Calculation 4 3 14 5 3" xfId="33946" xr:uid="{00000000-0005-0000-0000-00007B840000}"/>
    <cellStyle name="Calculation 4 3 14 5 4" xfId="33947" xr:uid="{00000000-0005-0000-0000-00007C840000}"/>
    <cellStyle name="Calculation 4 3 14 5 5" xfId="33948" xr:uid="{00000000-0005-0000-0000-00007D840000}"/>
    <cellStyle name="Calculation 4 3 14 5 6" xfId="33949" xr:uid="{00000000-0005-0000-0000-00007E840000}"/>
    <cellStyle name="Calculation 4 3 14 6" xfId="33950" xr:uid="{00000000-0005-0000-0000-00007F840000}"/>
    <cellStyle name="Calculation 4 3 14 6 2" xfId="33951" xr:uid="{00000000-0005-0000-0000-000080840000}"/>
    <cellStyle name="Calculation 4 3 14 6 3" xfId="33952" xr:uid="{00000000-0005-0000-0000-000081840000}"/>
    <cellStyle name="Calculation 4 3 14 6 4" xfId="33953" xr:uid="{00000000-0005-0000-0000-000082840000}"/>
    <cellStyle name="Calculation 4 3 14 6 5" xfId="33954" xr:uid="{00000000-0005-0000-0000-000083840000}"/>
    <cellStyle name="Calculation 4 3 14 6 6" xfId="33955" xr:uid="{00000000-0005-0000-0000-000084840000}"/>
    <cellStyle name="Calculation 4 3 14 7" xfId="33956" xr:uid="{00000000-0005-0000-0000-000085840000}"/>
    <cellStyle name="Calculation 4 3 14 7 2" xfId="33957" xr:uid="{00000000-0005-0000-0000-000086840000}"/>
    <cellStyle name="Calculation 4 3 14 7 3" xfId="33958" xr:uid="{00000000-0005-0000-0000-000087840000}"/>
    <cellStyle name="Calculation 4 3 14 7 4" xfId="33959" xr:uid="{00000000-0005-0000-0000-000088840000}"/>
    <cellStyle name="Calculation 4 3 14 7 5" xfId="33960" xr:uid="{00000000-0005-0000-0000-000089840000}"/>
    <cellStyle name="Calculation 4 3 14 7 6" xfId="33961" xr:uid="{00000000-0005-0000-0000-00008A840000}"/>
    <cellStyle name="Calculation 4 3 14 8" xfId="33962" xr:uid="{00000000-0005-0000-0000-00008B840000}"/>
    <cellStyle name="Calculation 4 3 14 9" xfId="33963" xr:uid="{00000000-0005-0000-0000-00008C840000}"/>
    <cellStyle name="Calculation 4 3 15" xfId="33964" xr:uid="{00000000-0005-0000-0000-00008D840000}"/>
    <cellStyle name="Calculation 4 3 15 10" xfId="33965" xr:uid="{00000000-0005-0000-0000-00008E840000}"/>
    <cellStyle name="Calculation 4 3 15 2" xfId="33966" xr:uid="{00000000-0005-0000-0000-00008F840000}"/>
    <cellStyle name="Calculation 4 3 15 2 2" xfId="33967" xr:uid="{00000000-0005-0000-0000-000090840000}"/>
    <cellStyle name="Calculation 4 3 15 2 3" xfId="33968" xr:uid="{00000000-0005-0000-0000-000091840000}"/>
    <cellStyle name="Calculation 4 3 15 2 4" xfId="33969" xr:uid="{00000000-0005-0000-0000-000092840000}"/>
    <cellStyle name="Calculation 4 3 15 2 5" xfId="33970" xr:uid="{00000000-0005-0000-0000-000093840000}"/>
    <cellStyle name="Calculation 4 3 15 2 6" xfId="33971" xr:uid="{00000000-0005-0000-0000-000094840000}"/>
    <cellStyle name="Calculation 4 3 15 3" xfId="33972" xr:uid="{00000000-0005-0000-0000-000095840000}"/>
    <cellStyle name="Calculation 4 3 15 3 2" xfId="33973" xr:uid="{00000000-0005-0000-0000-000096840000}"/>
    <cellStyle name="Calculation 4 3 15 3 3" xfId="33974" xr:uid="{00000000-0005-0000-0000-000097840000}"/>
    <cellStyle name="Calculation 4 3 15 3 4" xfId="33975" xr:uid="{00000000-0005-0000-0000-000098840000}"/>
    <cellStyle name="Calculation 4 3 15 3 5" xfId="33976" xr:uid="{00000000-0005-0000-0000-000099840000}"/>
    <cellStyle name="Calculation 4 3 15 3 6" xfId="33977" xr:uid="{00000000-0005-0000-0000-00009A840000}"/>
    <cellStyle name="Calculation 4 3 15 4" xfId="33978" xr:uid="{00000000-0005-0000-0000-00009B840000}"/>
    <cellStyle name="Calculation 4 3 15 4 2" xfId="33979" xr:uid="{00000000-0005-0000-0000-00009C840000}"/>
    <cellStyle name="Calculation 4 3 15 4 3" xfId="33980" xr:uid="{00000000-0005-0000-0000-00009D840000}"/>
    <cellStyle name="Calculation 4 3 15 4 4" xfId="33981" xr:uid="{00000000-0005-0000-0000-00009E840000}"/>
    <cellStyle name="Calculation 4 3 15 4 5" xfId="33982" xr:uid="{00000000-0005-0000-0000-00009F840000}"/>
    <cellStyle name="Calculation 4 3 15 4 6" xfId="33983" xr:uid="{00000000-0005-0000-0000-0000A0840000}"/>
    <cellStyle name="Calculation 4 3 15 5" xfId="33984" xr:uid="{00000000-0005-0000-0000-0000A1840000}"/>
    <cellStyle name="Calculation 4 3 15 5 2" xfId="33985" xr:uid="{00000000-0005-0000-0000-0000A2840000}"/>
    <cellStyle name="Calculation 4 3 15 5 3" xfId="33986" xr:uid="{00000000-0005-0000-0000-0000A3840000}"/>
    <cellStyle name="Calculation 4 3 15 5 4" xfId="33987" xr:uid="{00000000-0005-0000-0000-0000A4840000}"/>
    <cellStyle name="Calculation 4 3 15 5 5" xfId="33988" xr:uid="{00000000-0005-0000-0000-0000A5840000}"/>
    <cellStyle name="Calculation 4 3 15 5 6" xfId="33989" xr:uid="{00000000-0005-0000-0000-0000A6840000}"/>
    <cellStyle name="Calculation 4 3 15 6" xfId="33990" xr:uid="{00000000-0005-0000-0000-0000A7840000}"/>
    <cellStyle name="Calculation 4 3 15 6 2" xfId="33991" xr:uid="{00000000-0005-0000-0000-0000A8840000}"/>
    <cellStyle name="Calculation 4 3 15 6 3" xfId="33992" xr:uid="{00000000-0005-0000-0000-0000A9840000}"/>
    <cellStyle name="Calculation 4 3 15 6 4" xfId="33993" xr:uid="{00000000-0005-0000-0000-0000AA840000}"/>
    <cellStyle name="Calculation 4 3 15 6 5" xfId="33994" xr:uid="{00000000-0005-0000-0000-0000AB840000}"/>
    <cellStyle name="Calculation 4 3 15 6 6" xfId="33995" xr:uid="{00000000-0005-0000-0000-0000AC840000}"/>
    <cellStyle name="Calculation 4 3 15 7" xfId="33996" xr:uid="{00000000-0005-0000-0000-0000AD840000}"/>
    <cellStyle name="Calculation 4 3 15 7 2" xfId="33997" xr:uid="{00000000-0005-0000-0000-0000AE840000}"/>
    <cellStyle name="Calculation 4 3 15 7 3" xfId="33998" xr:uid="{00000000-0005-0000-0000-0000AF840000}"/>
    <cellStyle name="Calculation 4 3 15 7 4" xfId="33999" xr:uid="{00000000-0005-0000-0000-0000B0840000}"/>
    <cellStyle name="Calculation 4 3 15 7 5" xfId="34000" xr:uid="{00000000-0005-0000-0000-0000B1840000}"/>
    <cellStyle name="Calculation 4 3 15 7 6" xfId="34001" xr:uid="{00000000-0005-0000-0000-0000B2840000}"/>
    <cellStyle name="Calculation 4 3 15 8" xfId="34002" xr:uid="{00000000-0005-0000-0000-0000B3840000}"/>
    <cellStyle name="Calculation 4 3 15 9" xfId="34003" xr:uid="{00000000-0005-0000-0000-0000B4840000}"/>
    <cellStyle name="Calculation 4 3 16" xfId="34004" xr:uid="{00000000-0005-0000-0000-0000B5840000}"/>
    <cellStyle name="Calculation 4 3 16 10" xfId="34005" xr:uid="{00000000-0005-0000-0000-0000B6840000}"/>
    <cellStyle name="Calculation 4 3 16 2" xfId="34006" xr:uid="{00000000-0005-0000-0000-0000B7840000}"/>
    <cellStyle name="Calculation 4 3 16 2 2" xfId="34007" xr:uid="{00000000-0005-0000-0000-0000B8840000}"/>
    <cellStyle name="Calculation 4 3 16 2 3" xfId="34008" xr:uid="{00000000-0005-0000-0000-0000B9840000}"/>
    <cellStyle name="Calculation 4 3 16 2 4" xfId="34009" xr:uid="{00000000-0005-0000-0000-0000BA840000}"/>
    <cellStyle name="Calculation 4 3 16 2 5" xfId="34010" xr:uid="{00000000-0005-0000-0000-0000BB840000}"/>
    <cellStyle name="Calculation 4 3 16 2 6" xfId="34011" xr:uid="{00000000-0005-0000-0000-0000BC840000}"/>
    <cellStyle name="Calculation 4 3 16 3" xfId="34012" xr:uid="{00000000-0005-0000-0000-0000BD840000}"/>
    <cellStyle name="Calculation 4 3 16 3 2" xfId="34013" xr:uid="{00000000-0005-0000-0000-0000BE840000}"/>
    <cellStyle name="Calculation 4 3 16 3 3" xfId="34014" xr:uid="{00000000-0005-0000-0000-0000BF840000}"/>
    <cellStyle name="Calculation 4 3 16 3 4" xfId="34015" xr:uid="{00000000-0005-0000-0000-0000C0840000}"/>
    <cellStyle name="Calculation 4 3 16 3 5" xfId="34016" xr:uid="{00000000-0005-0000-0000-0000C1840000}"/>
    <cellStyle name="Calculation 4 3 16 3 6" xfId="34017" xr:uid="{00000000-0005-0000-0000-0000C2840000}"/>
    <cellStyle name="Calculation 4 3 16 4" xfId="34018" xr:uid="{00000000-0005-0000-0000-0000C3840000}"/>
    <cellStyle name="Calculation 4 3 16 4 2" xfId="34019" xr:uid="{00000000-0005-0000-0000-0000C4840000}"/>
    <cellStyle name="Calculation 4 3 16 4 3" xfId="34020" xr:uid="{00000000-0005-0000-0000-0000C5840000}"/>
    <cellStyle name="Calculation 4 3 16 4 4" xfId="34021" xr:uid="{00000000-0005-0000-0000-0000C6840000}"/>
    <cellStyle name="Calculation 4 3 16 4 5" xfId="34022" xr:uid="{00000000-0005-0000-0000-0000C7840000}"/>
    <cellStyle name="Calculation 4 3 16 4 6" xfId="34023" xr:uid="{00000000-0005-0000-0000-0000C8840000}"/>
    <cellStyle name="Calculation 4 3 16 5" xfId="34024" xr:uid="{00000000-0005-0000-0000-0000C9840000}"/>
    <cellStyle name="Calculation 4 3 16 5 2" xfId="34025" xr:uid="{00000000-0005-0000-0000-0000CA840000}"/>
    <cellStyle name="Calculation 4 3 16 5 3" xfId="34026" xr:uid="{00000000-0005-0000-0000-0000CB840000}"/>
    <cellStyle name="Calculation 4 3 16 5 4" xfId="34027" xr:uid="{00000000-0005-0000-0000-0000CC840000}"/>
    <cellStyle name="Calculation 4 3 16 5 5" xfId="34028" xr:uid="{00000000-0005-0000-0000-0000CD840000}"/>
    <cellStyle name="Calculation 4 3 16 5 6" xfId="34029" xr:uid="{00000000-0005-0000-0000-0000CE840000}"/>
    <cellStyle name="Calculation 4 3 16 6" xfId="34030" xr:uid="{00000000-0005-0000-0000-0000CF840000}"/>
    <cellStyle name="Calculation 4 3 16 6 2" xfId="34031" xr:uid="{00000000-0005-0000-0000-0000D0840000}"/>
    <cellStyle name="Calculation 4 3 16 6 3" xfId="34032" xr:uid="{00000000-0005-0000-0000-0000D1840000}"/>
    <cellStyle name="Calculation 4 3 16 6 4" xfId="34033" xr:uid="{00000000-0005-0000-0000-0000D2840000}"/>
    <cellStyle name="Calculation 4 3 16 6 5" xfId="34034" xr:uid="{00000000-0005-0000-0000-0000D3840000}"/>
    <cellStyle name="Calculation 4 3 16 6 6" xfId="34035" xr:uid="{00000000-0005-0000-0000-0000D4840000}"/>
    <cellStyle name="Calculation 4 3 16 7" xfId="34036" xr:uid="{00000000-0005-0000-0000-0000D5840000}"/>
    <cellStyle name="Calculation 4 3 16 7 2" xfId="34037" xr:uid="{00000000-0005-0000-0000-0000D6840000}"/>
    <cellStyle name="Calculation 4 3 16 7 3" xfId="34038" xr:uid="{00000000-0005-0000-0000-0000D7840000}"/>
    <cellStyle name="Calculation 4 3 16 7 4" xfId="34039" xr:uid="{00000000-0005-0000-0000-0000D8840000}"/>
    <cellStyle name="Calculation 4 3 16 7 5" xfId="34040" xr:uid="{00000000-0005-0000-0000-0000D9840000}"/>
    <cellStyle name="Calculation 4 3 16 7 6" xfId="34041" xr:uid="{00000000-0005-0000-0000-0000DA840000}"/>
    <cellStyle name="Calculation 4 3 16 8" xfId="34042" xr:uid="{00000000-0005-0000-0000-0000DB840000}"/>
    <cellStyle name="Calculation 4 3 16 9" xfId="34043" xr:uid="{00000000-0005-0000-0000-0000DC840000}"/>
    <cellStyle name="Calculation 4 3 17" xfId="34044" xr:uid="{00000000-0005-0000-0000-0000DD840000}"/>
    <cellStyle name="Calculation 4 3 17 10" xfId="34045" xr:uid="{00000000-0005-0000-0000-0000DE840000}"/>
    <cellStyle name="Calculation 4 3 17 2" xfId="34046" xr:uid="{00000000-0005-0000-0000-0000DF840000}"/>
    <cellStyle name="Calculation 4 3 17 2 2" xfId="34047" xr:uid="{00000000-0005-0000-0000-0000E0840000}"/>
    <cellStyle name="Calculation 4 3 17 2 3" xfId="34048" xr:uid="{00000000-0005-0000-0000-0000E1840000}"/>
    <cellStyle name="Calculation 4 3 17 2 4" xfId="34049" xr:uid="{00000000-0005-0000-0000-0000E2840000}"/>
    <cellStyle name="Calculation 4 3 17 2 5" xfId="34050" xr:uid="{00000000-0005-0000-0000-0000E3840000}"/>
    <cellStyle name="Calculation 4 3 17 2 6" xfId="34051" xr:uid="{00000000-0005-0000-0000-0000E4840000}"/>
    <cellStyle name="Calculation 4 3 17 3" xfId="34052" xr:uid="{00000000-0005-0000-0000-0000E5840000}"/>
    <cellStyle name="Calculation 4 3 17 3 2" xfId="34053" xr:uid="{00000000-0005-0000-0000-0000E6840000}"/>
    <cellStyle name="Calculation 4 3 17 3 3" xfId="34054" xr:uid="{00000000-0005-0000-0000-0000E7840000}"/>
    <cellStyle name="Calculation 4 3 17 3 4" xfId="34055" xr:uid="{00000000-0005-0000-0000-0000E8840000}"/>
    <cellStyle name="Calculation 4 3 17 3 5" xfId="34056" xr:uid="{00000000-0005-0000-0000-0000E9840000}"/>
    <cellStyle name="Calculation 4 3 17 3 6" xfId="34057" xr:uid="{00000000-0005-0000-0000-0000EA840000}"/>
    <cellStyle name="Calculation 4 3 17 4" xfId="34058" xr:uid="{00000000-0005-0000-0000-0000EB840000}"/>
    <cellStyle name="Calculation 4 3 17 4 2" xfId="34059" xr:uid="{00000000-0005-0000-0000-0000EC840000}"/>
    <cellStyle name="Calculation 4 3 17 4 3" xfId="34060" xr:uid="{00000000-0005-0000-0000-0000ED840000}"/>
    <cellStyle name="Calculation 4 3 17 4 4" xfId="34061" xr:uid="{00000000-0005-0000-0000-0000EE840000}"/>
    <cellStyle name="Calculation 4 3 17 4 5" xfId="34062" xr:uid="{00000000-0005-0000-0000-0000EF840000}"/>
    <cellStyle name="Calculation 4 3 17 4 6" xfId="34063" xr:uid="{00000000-0005-0000-0000-0000F0840000}"/>
    <cellStyle name="Calculation 4 3 17 5" xfId="34064" xr:uid="{00000000-0005-0000-0000-0000F1840000}"/>
    <cellStyle name="Calculation 4 3 17 5 2" xfId="34065" xr:uid="{00000000-0005-0000-0000-0000F2840000}"/>
    <cellStyle name="Calculation 4 3 17 5 3" xfId="34066" xr:uid="{00000000-0005-0000-0000-0000F3840000}"/>
    <cellStyle name="Calculation 4 3 17 5 4" xfId="34067" xr:uid="{00000000-0005-0000-0000-0000F4840000}"/>
    <cellStyle name="Calculation 4 3 17 5 5" xfId="34068" xr:uid="{00000000-0005-0000-0000-0000F5840000}"/>
    <cellStyle name="Calculation 4 3 17 5 6" xfId="34069" xr:uid="{00000000-0005-0000-0000-0000F6840000}"/>
    <cellStyle name="Calculation 4 3 17 6" xfId="34070" xr:uid="{00000000-0005-0000-0000-0000F7840000}"/>
    <cellStyle name="Calculation 4 3 17 6 2" xfId="34071" xr:uid="{00000000-0005-0000-0000-0000F8840000}"/>
    <cellStyle name="Calculation 4 3 17 6 3" xfId="34072" xr:uid="{00000000-0005-0000-0000-0000F9840000}"/>
    <cellStyle name="Calculation 4 3 17 6 4" xfId="34073" xr:uid="{00000000-0005-0000-0000-0000FA840000}"/>
    <cellStyle name="Calculation 4 3 17 6 5" xfId="34074" xr:uid="{00000000-0005-0000-0000-0000FB840000}"/>
    <cellStyle name="Calculation 4 3 17 6 6" xfId="34075" xr:uid="{00000000-0005-0000-0000-0000FC840000}"/>
    <cellStyle name="Calculation 4 3 17 7" xfId="34076" xr:uid="{00000000-0005-0000-0000-0000FD840000}"/>
    <cellStyle name="Calculation 4 3 17 7 2" xfId="34077" xr:uid="{00000000-0005-0000-0000-0000FE840000}"/>
    <cellStyle name="Calculation 4 3 17 7 3" xfId="34078" xr:uid="{00000000-0005-0000-0000-0000FF840000}"/>
    <cellStyle name="Calculation 4 3 17 7 4" xfId="34079" xr:uid="{00000000-0005-0000-0000-000000850000}"/>
    <cellStyle name="Calculation 4 3 17 7 5" xfId="34080" xr:uid="{00000000-0005-0000-0000-000001850000}"/>
    <cellStyle name="Calculation 4 3 17 7 6" xfId="34081" xr:uid="{00000000-0005-0000-0000-000002850000}"/>
    <cellStyle name="Calculation 4 3 17 8" xfId="34082" xr:uid="{00000000-0005-0000-0000-000003850000}"/>
    <cellStyle name="Calculation 4 3 17 9" xfId="34083" xr:uid="{00000000-0005-0000-0000-000004850000}"/>
    <cellStyle name="Calculation 4 3 18" xfId="34084" xr:uid="{00000000-0005-0000-0000-000005850000}"/>
    <cellStyle name="Calculation 4 3 18 10" xfId="34085" xr:uid="{00000000-0005-0000-0000-000006850000}"/>
    <cellStyle name="Calculation 4 3 18 2" xfId="34086" xr:uid="{00000000-0005-0000-0000-000007850000}"/>
    <cellStyle name="Calculation 4 3 18 2 2" xfId="34087" xr:uid="{00000000-0005-0000-0000-000008850000}"/>
    <cellStyle name="Calculation 4 3 18 2 3" xfId="34088" xr:uid="{00000000-0005-0000-0000-000009850000}"/>
    <cellStyle name="Calculation 4 3 18 2 4" xfId="34089" xr:uid="{00000000-0005-0000-0000-00000A850000}"/>
    <cellStyle name="Calculation 4 3 18 2 5" xfId="34090" xr:uid="{00000000-0005-0000-0000-00000B850000}"/>
    <cellStyle name="Calculation 4 3 18 2 6" xfId="34091" xr:uid="{00000000-0005-0000-0000-00000C850000}"/>
    <cellStyle name="Calculation 4 3 18 3" xfId="34092" xr:uid="{00000000-0005-0000-0000-00000D850000}"/>
    <cellStyle name="Calculation 4 3 18 3 2" xfId="34093" xr:uid="{00000000-0005-0000-0000-00000E850000}"/>
    <cellStyle name="Calculation 4 3 18 3 3" xfId="34094" xr:uid="{00000000-0005-0000-0000-00000F850000}"/>
    <cellStyle name="Calculation 4 3 18 3 4" xfId="34095" xr:uid="{00000000-0005-0000-0000-000010850000}"/>
    <cellStyle name="Calculation 4 3 18 3 5" xfId="34096" xr:uid="{00000000-0005-0000-0000-000011850000}"/>
    <cellStyle name="Calculation 4 3 18 3 6" xfId="34097" xr:uid="{00000000-0005-0000-0000-000012850000}"/>
    <cellStyle name="Calculation 4 3 18 4" xfId="34098" xr:uid="{00000000-0005-0000-0000-000013850000}"/>
    <cellStyle name="Calculation 4 3 18 4 2" xfId="34099" xr:uid="{00000000-0005-0000-0000-000014850000}"/>
    <cellStyle name="Calculation 4 3 18 4 3" xfId="34100" xr:uid="{00000000-0005-0000-0000-000015850000}"/>
    <cellStyle name="Calculation 4 3 18 4 4" xfId="34101" xr:uid="{00000000-0005-0000-0000-000016850000}"/>
    <cellStyle name="Calculation 4 3 18 4 5" xfId="34102" xr:uid="{00000000-0005-0000-0000-000017850000}"/>
    <cellStyle name="Calculation 4 3 18 4 6" xfId="34103" xr:uid="{00000000-0005-0000-0000-000018850000}"/>
    <cellStyle name="Calculation 4 3 18 5" xfId="34104" xr:uid="{00000000-0005-0000-0000-000019850000}"/>
    <cellStyle name="Calculation 4 3 18 5 2" xfId="34105" xr:uid="{00000000-0005-0000-0000-00001A850000}"/>
    <cellStyle name="Calculation 4 3 18 5 3" xfId="34106" xr:uid="{00000000-0005-0000-0000-00001B850000}"/>
    <cellStyle name="Calculation 4 3 18 5 4" xfId="34107" xr:uid="{00000000-0005-0000-0000-00001C850000}"/>
    <cellStyle name="Calculation 4 3 18 5 5" xfId="34108" xr:uid="{00000000-0005-0000-0000-00001D850000}"/>
    <cellStyle name="Calculation 4 3 18 5 6" xfId="34109" xr:uid="{00000000-0005-0000-0000-00001E850000}"/>
    <cellStyle name="Calculation 4 3 18 6" xfId="34110" xr:uid="{00000000-0005-0000-0000-00001F850000}"/>
    <cellStyle name="Calculation 4 3 18 6 2" xfId="34111" xr:uid="{00000000-0005-0000-0000-000020850000}"/>
    <cellStyle name="Calculation 4 3 18 6 3" xfId="34112" xr:uid="{00000000-0005-0000-0000-000021850000}"/>
    <cellStyle name="Calculation 4 3 18 6 4" xfId="34113" xr:uid="{00000000-0005-0000-0000-000022850000}"/>
    <cellStyle name="Calculation 4 3 18 6 5" xfId="34114" xr:uid="{00000000-0005-0000-0000-000023850000}"/>
    <cellStyle name="Calculation 4 3 18 6 6" xfId="34115" xr:uid="{00000000-0005-0000-0000-000024850000}"/>
    <cellStyle name="Calculation 4 3 18 7" xfId="34116" xr:uid="{00000000-0005-0000-0000-000025850000}"/>
    <cellStyle name="Calculation 4 3 18 7 2" xfId="34117" xr:uid="{00000000-0005-0000-0000-000026850000}"/>
    <cellStyle name="Calculation 4 3 18 7 3" xfId="34118" xr:uid="{00000000-0005-0000-0000-000027850000}"/>
    <cellStyle name="Calculation 4 3 18 7 4" xfId="34119" xr:uid="{00000000-0005-0000-0000-000028850000}"/>
    <cellStyle name="Calculation 4 3 18 7 5" xfId="34120" xr:uid="{00000000-0005-0000-0000-000029850000}"/>
    <cellStyle name="Calculation 4 3 18 7 6" xfId="34121" xr:uid="{00000000-0005-0000-0000-00002A850000}"/>
    <cellStyle name="Calculation 4 3 18 8" xfId="34122" xr:uid="{00000000-0005-0000-0000-00002B850000}"/>
    <cellStyle name="Calculation 4 3 18 9" xfId="34123" xr:uid="{00000000-0005-0000-0000-00002C850000}"/>
    <cellStyle name="Calculation 4 3 19" xfId="34124" xr:uid="{00000000-0005-0000-0000-00002D850000}"/>
    <cellStyle name="Calculation 4 3 19 10" xfId="34125" xr:uid="{00000000-0005-0000-0000-00002E850000}"/>
    <cellStyle name="Calculation 4 3 19 2" xfId="34126" xr:uid="{00000000-0005-0000-0000-00002F850000}"/>
    <cellStyle name="Calculation 4 3 19 2 2" xfId="34127" xr:uid="{00000000-0005-0000-0000-000030850000}"/>
    <cellStyle name="Calculation 4 3 19 2 3" xfId="34128" xr:uid="{00000000-0005-0000-0000-000031850000}"/>
    <cellStyle name="Calculation 4 3 19 2 4" xfId="34129" xr:uid="{00000000-0005-0000-0000-000032850000}"/>
    <cellStyle name="Calculation 4 3 19 2 5" xfId="34130" xr:uid="{00000000-0005-0000-0000-000033850000}"/>
    <cellStyle name="Calculation 4 3 19 2 6" xfId="34131" xr:uid="{00000000-0005-0000-0000-000034850000}"/>
    <cellStyle name="Calculation 4 3 19 3" xfId="34132" xr:uid="{00000000-0005-0000-0000-000035850000}"/>
    <cellStyle name="Calculation 4 3 19 3 2" xfId="34133" xr:uid="{00000000-0005-0000-0000-000036850000}"/>
    <cellStyle name="Calculation 4 3 19 3 3" xfId="34134" xr:uid="{00000000-0005-0000-0000-000037850000}"/>
    <cellStyle name="Calculation 4 3 19 3 4" xfId="34135" xr:uid="{00000000-0005-0000-0000-000038850000}"/>
    <cellStyle name="Calculation 4 3 19 3 5" xfId="34136" xr:uid="{00000000-0005-0000-0000-000039850000}"/>
    <cellStyle name="Calculation 4 3 19 3 6" xfId="34137" xr:uid="{00000000-0005-0000-0000-00003A850000}"/>
    <cellStyle name="Calculation 4 3 19 4" xfId="34138" xr:uid="{00000000-0005-0000-0000-00003B850000}"/>
    <cellStyle name="Calculation 4 3 19 4 2" xfId="34139" xr:uid="{00000000-0005-0000-0000-00003C850000}"/>
    <cellStyle name="Calculation 4 3 19 4 3" xfId="34140" xr:uid="{00000000-0005-0000-0000-00003D850000}"/>
    <cellStyle name="Calculation 4 3 19 4 4" xfId="34141" xr:uid="{00000000-0005-0000-0000-00003E850000}"/>
    <cellStyle name="Calculation 4 3 19 4 5" xfId="34142" xr:uid="{00000000-0005-0000-0000-00003F850000}"/>
    <cellStyle name="Calculation 4 3 19 4 6" xfId="34143" xr:uid="{00000000-0005-0000-0000-000040850000}"/>
    <cellStyle name="Calculation 4 3 19 5" xfId="34144" xr:uid="{00000000-0005-0000-0000-000041850000}"/>
    <cellStyle name="Calculation 4 3 19 5 2" xfId="34145" xr:uid="{00000000-0005-0000-0000-000042850000}"/>
    <cellStyle name="Calculation 4 3 19 5 3" xfId="34146" xr:uid="{00000000-0005-0000-0000-000043850000}"/>
    <cellStyle name="Calculation 4 3 19 5 4" xfId="34147" xr:uid="{00000000-0005-0000-0000-000044850000}"/>
    <cellStyle name="Calculation 4 3 19 5 5" xfId="34148" xr:uid="{00000000-0005-0000-0000-000045850000}"/>
    <cellStyle name="Calculation 4 3 19 5 6" xfId="34149" xr:uid="{00000000-0005-0000-0000-000046850000}"/>
    <cellStyle name="Calculation 4 3 19 6" xfId="34150" xr:uid="{00000000-0005-0000-0000-000047850000}"/>
    <cellStyle name="Calculation 4 3 19 6 2" xfId="34151" xr:uid="{00000000-0005-0000-0000-000048850000}"/>
    <cellStyle name="Calculation 4 3 19 6 3" xfId="34152" xr:uid="{00000000-0005-0000-0000-000049850000}"/>
    <cellStyle name="Calculation 4 3 19 6 4" xfId="34153" xr:uid="{00000000-0005-0000-0000-00004A850000}"/>
    <cellStyle name="Calculation 4 3 19 6 5" xfId="34154" xr:uid="{00000000-0005-0000-0000-00004B850000}"/>
    <cellStyle name="Calculation 4 3 19 6 6" xfId="34155" xr:uid="{00000000-0005-0000-0000-00004C850000}"/>
    <cellStyle name="Calculation 4 3 19 7" xfId="34156" xr:uid="{00000000-0005-0000-0000-00004D850000}"/>
    <cellStyle name="Calculation 4 3 19 7 2" xfId="34157" xr:uid="{00000000-0005-0000-0000-00004E850000}"/>
    <cellStyle name="Calculation 4 3 19 7 3" xfId="34158" xr:uid="{00000000-0005-0000-0000-00004F850000}"/>
    <cellStyle name="Calculation 4 3 19 7 4" xfId="34159" xr:uid="{00000000-0005-0000-0000-000050850000}"/>
    <cellStyle name="Calculation 4 3 19 7 5" xfId="34160" xr:uid="{00000000-0005-0000-0000-000051850000}"/>
    <cellStyle name="Calculation 4 3 19 7 6" xfId="34161" xr:uid="{00000000-0005-0000-0000-000052850000}"/>
    <cellStyle name="Calculation 4 3 19 8" xfId="34162" xr:uid="{00000000-0005-0000-0000-000053850000}"/>
    <cellStyle name="Calculation 4 3 19 9" xfId="34163" xr:uid="{00000000-0005-0000-0000-000054850000}"/>
    <cellStyle name="Calculation 4 3 2" xfId="34164" xr:uid="{00000000-0005-0000-0000-000055850000}"/>
    <cellStyle name="Calculation 4 3 2 10" xfId="34165" xr:uid="{00000000-0005-0000-0000-000056850000}"/>
    <cellStyle name="Calculation 4 3 2 2" xfId="34166" xr:uid="{00000000-0005-0000-0000-000057850000}"/>
    <cellStyle name="Calculation 4 3 2 2 2" xfId="34167" xr:uid="{00000000-0005-0000-0000-000058850000}"/>
    <cellStyle name="Calculation 4 3 2 2 3" xfId="34168" xr:uid="{00000000-0005-0000-0000-000059850000}"/>
    <cellStyle name="Calculation 4 3 2 2 4" xfId="34169" xr:uid="{00000000-0005-0000-0000-00005A850000}"/>
    <cellStyle name="Calculation 4 3 2 2 5" xfId="34170" xr:uid="{00000000-0005-0000-0000-00005B850000}"/>
    <cellStyle name="Calculation 4 3 2 2 6" xfId="34171" xr:uid="{00000000-0005-0000-0000-00005C850000}"/>
    <cellStyle name="Calculation 4 3 2 3" xfId="34172" xr:uid="{00000000-0005-0000-0000-00005D850000}"/>
    <cellStyle name="Calculation 4 3 2 3 2" xfId="34173" xr:uid="{00000000-0005-0000-0000-00005E850000}"/>
    <cellStyle name="Calculation 4 3 2 3 3" xfId="34174" xr:uid="{00000000-0005-0000-0000-00005F850000}"/>
    <cellStyle name="Calculation 4 3 2 3 4" xfId="34175" xr:uid="{00000000-0005-0000-0000-000060850000}"/>
    <cellStyle name="Calculation 4 3 2 3 5" xfId="34176" xr:uid="{00000000-0005-0000-0000-000061850000}"/>
    <cellStyle name="Calculation 4 3 2 3 6" xfId="34177" xr:uid="{00000000-0005-0000-0000-000062850000}"/>
    <cellStyle name="Calculation 4 3 2 4" xfId="34178" xr:uid="{00000000-0005-0000-0000-000063850000}"/>
    <cellStyle name="Calculation 4 3 2 4 2" xfId="34179" xr:uid="{00000000-0005-0000-0000-000064850000}"/>
    <cellStyle name="Calculation 4 3 2 4 3" xfId="34180" xr:uid="{00000000-0005-0000-0000-000065850000}"/>
    <cellStyle name="Calculation 4 3 2 4 4" xfId="34181" xr:uid="{00000000-0005-0000-0000-000066850000}"/>
    <cellStyle name="Calculation 4 3 2 4 5" xfId="34182" xr:uid="{00000000-0005-0000-0000-000067850000}"/>
    <cellStyle name="Calculation 4 3 2 4 6" xfId="34183" xr:uid="{00000000-0005-0000-0000-000068850000}"/>
    <cellStyle name="Calculation 4 3 2 5" xfId="34184" xr:uid="{00000000-0005-0000-0000-000069850000}"/>
    <cellStyle name="Calculation 4 3 2 5 2" xfId="34185" xr:uid="{00000000-0005-0000-0000-00006A850000}"/>
    <cellStyle name="Calculation 4 3 2 5 3" xfId="34186" xr:uid="{00000000-0005-0000-0000-00006B850000}"/>
    <cellStyle name="Calculation 4 3 2 5 4" xfId="34187" xr:uid="{00000000-0005-0000-0000-00006C850000}"/>
    <cellStyle name="Calculation 4 3 2 5 5" xfId="34188" xr:uid="{00000000-0005-0000-0000-00006D850000}"/>
    <cellStyle name="Calculation 4 3 2 5 6" xfId="34189" xr:uid="{00000000-0005-0000-0000-00006E850000}"/>
    <cellStyle name="Calculation 4 3 2 6" xfId="34190" xr:uid="{00000000-0005-0000-0000-00006F850000}"/>
    <cellStyle name="Calculation 4 3 2 6 2" xfId="34191" xr:uid="{00000000-0005-0000-0000-000070850000}"/>
    <cellStyle name="Calculation 4 3 2 6 3" xfId="34192" xr:uid="{00000000-0005-0000-0000-000071850000}"/>
    <cellStyle name="Calculation 4 3 2 6 4" xfId="34193" xr:uid="{00000000-0005-0000-0000-000072850000}"/>
    <cellStyle name="Calculation 4 3 2 6 5" xfId="34194" xr:uid="{00000000-0005-0000-0000-000073850000}"/>
    <cellStyle name="Calculation 4 3 2 6 6" xfId="34195" xr:uid="{00000000-0005-0000-0000-000074850000}"/>
    <cellStyle name="Calculation 4 3 2 7" xfId="34196" xr:uid="{00000000-0005-0000-0000-000075850000}"/>
    <cellStyle name="Calculation 4 3 2 7 2" xfId="34197" xr:uid="{00000000-0005-0000-0000-000076850000}"/>
    <cellStyle name="Calculation 4 3 2 7 3" xfId="34198" xr:uid="{00000000-0005-0000-0000-000077850000}"/>
    <cellStyle name="Calculation 4 3 2 7 4" xfId="34199" xr:uid="{00000000-0005-0000-0000-000078850000}"/>
    <cellStyle name="Calculation 4 3 2 7 5" xfId="34200" xr:uid="{00000000-0005-0000-0000-000079850000}"/>
    <cellStyle name="Calculation 4 3 2 7 6" xfId="34201" xr:uid="{00000000-0005-0000-0000-00007A850000}"/>
    <cellStyle name="Calculation 4 3 2 8" xfId="34202" xr:uid="{00000000-0005-0000-0000-00007B850000}"/>
    <cellStyle name="Calculation 4 3 2 9" xfId="34203" xr:uid="{00000000-0005-0000-0000-00007C850000}"/>
    <cellStyle name="Calculation 4 3 20" xfId="34204" xr:uid="{00000000-0005-0000-0000-00007D850000}"/>
    <cellStyle name="Calculation 4 3 20 10" xfId="34205" xr:uid="{00000000-0005-0000-0000-00007E850000}"/>
    <cellStyle name="Calculation 4 3 20 2" xfId="34206" xr:uid="{00000000-0005-0000-0000-00007F850000}"/>
    <cellStyle name="Calculation 4 3 20 2 2" xfId="34207" xr:uid="{00000000-0005-0000-0000-000080850000}"/>
    <cellStyle name="Calculation 4 3 20 2 3" xfId="34208" xr:uid="{00000000-0005-0000-0000-000081850000}"/>
    <cellStyle name="Calculation 4 3 20 2 4" xfId="34209" xr:uid="{00000000-0005-0000-0000-000082850000}"/>
    <cellStyle name="Calculation 4 3 20 2 5" xfId="34210" xr:uid="{00000000-0005-0000-0000-000083850000}"/>
    <cellStyle name="Calculation 4 3 20 2 6" xfId="34211" xr:uid="{00000000-0005-0000-0000-000084850000}"/>
    <cellStyle name="Calculation 4 3 20 3" xfId="34212" xr:uid="{00000000-0005-0000-0000-000085850000}"/>
    <cellStyle name="Calculation 4 3 20 3 2" xfId="34213" xr:uid="{00000000-0005-0000-0000-000086850000}"/>
    <cellStyle name="Calculation 4 3 20 3 3" xfId="34214" xr:uid="{00000000-0005-0000-0000-000087850000}"/>
    <cellStyle name="Calculation 4 3 20 3 4" xfId="34215" xr:uid="{00000000-0005-0000-0000-000088850000}"/>
    <cellStyle name="Calculation 4 3 20 3 5" xfId="34216" xr:uid="{00000000-0005-0000-0000-000089850000}"/>
    <cellStyle name="Calculation 4 3 20 3 6" xfId="34217" xr:uid="{00000000-0005-0000-0000-00008A850000}"/>
    <cellStyle name="Calculation 4 3 20 4" xfId="34218" xr:uid="{00000000-0005-0000-0000-00008B850000}"/>
    <cellStyle name="Calculation 4 3 20 4 2" xfId="34219" xr:uid="{00000000-0005-0000-0000-00008C850000}"/>
    <cellStyle name="Calculation 4 3 20 4 3" xfId="34220" xr:uid="{00000000-0005-0000-0000-00008D850000}"/>
    <cellStyle name="Calculation 4 3 20 4 4" xfId="34221" xr:uid="{00000000-0005-0000-0000-00008E850000}"/>
    <cellStyle name="Calculation 4 3 20 4 5" xfId="34222" xr:uid="{00000000-0005-0000-0000-00008F850000}"/>
    <cellStyle name="Calculation 4 3 20 4 6" xfId="34223" xr:uid="{00000000-0005-0000-0000-000090850000}"/>
    <cellStyle name="Calculation 4 3 20 5" xfId="34224" xr:uid="{00000000-0005-0000-0000-000091850000}"/>
    <cellStyle name="Calculation 4 3 20 5 2" xfId="34225" xr:uid="{00000000-0005-0000-0000-000092850000}"/>
    <cellStyle name="Calculation 4 3 20 5 3" xfId="34226" xr:uid="{00000000-0005-0000-0000-000093850000}"/>
    <cellStyle name="Calculation 4 3 20 5 4" xfId="34227" xr:uid="{00000000-0005-0000-0000-000094850000}"/>
    <cellStyle name="Calculation 4 3 20 5 5" xfId="34228" xr:uid="{00000000-0005-0000-0000-000095850000}"/>
    <cellStyle name="Calculation 4 3 20 5 6" xfId="34229" xr:uid="{00000000-0005-0000-0000-000096850000}"/>
    <cellStyle name="Calculation 4 3 20 6" xfId="34230" xr:uid="{00000000-0005-0000-0000-000097850000}"/>
    <cellStyle name="Calculation 4 3 20 6 2" xfId="34231" xr:uid="{00000000-0005-0000-0000-000098850000}"/>
    <cellStyle name="Calculation 4 3 20 6 3" xfId="34232" xr:uid="{00000000-0005-0000-0000-000099850000}"/>
    <cellStyle name="Calculation 4 3 20 6 4" xfId="34233" xr:uid="{00000000-0005-0000-0000-00009A850000}"/>
    <cellStyle name="Calculation 4 3 20 6 5" xfId="34234" xr:uid="{00000000-0005-0000-0000-00009B850000}"/>
    <cellStyle name="Calculation 4 3 20 6 6" xfId="34235" xr:uid="{00000000-0005-0000-0000-00009C850000}"/>
    <cellStyle name="Calculation 4 3 20 7" xfId="34236" xr:uid="{00000000-0005-0000-0000-00009D850000}"/>
    <cellStyle name="Calculation 4 3 20 7 2" xfId="34237" xr:uid="{00000000-0005-0000-0000-00009E850000}"/>
    <cellStyle name="Calculation 4 3 20 7 3" xfId="34238" xr:uid="{00000000-0005-0000-0000-00009F850000}"/>
    <cellStyle name="Calculation 4 3 20 7 4" xfId="34239" xr:uid="{00000000-0005-0000-0000-0000A0850000}"/>
    <cellStyle name="Calculation 4 3 20 7 5" xfId="34240" xr:uid="{00000000-0005-0000-0000-0000A1850000}"/>
    <cellStyle name="Calculation 4 3 20 7 6" xfId="34241" xr:uid="{00000000-0005-0000-0000-0000A2850000}"/>
    <cellStyle name="Calculation 4 3 20 8" xfId="34242" xr:uid="{00000000-0005-0000-0000-0000A3850000}"/>
    <cellStyle name="Calculation 4 3 20 9" xfId="34243" xr:uid="{00000000-0005-0000-0000-0000A4850000}"/>
    <cellStyle name="Calculation 4 3 21" xfId="34244" xr:uid="{00000000-0005-0000-0000-0000A5850000}"/>
    <cellStyle name="Calculation 4 3 21 10" xfId="34245" xr:uid="{00000000-0005-0000-0000-0000A6850000}"/>
    <cellStyle name="Calculation 4 3 21 2" xfId="34246" xr:uid="{00000000-0005-0000-0000-0000A7850000}"/>
    <cellStyle name="Calculation 4 3 21 2 2" xfId="34247" xr:uid="{00000000-0005-0000-0000-0000A8850000}"/>
    <cellStyle name="Calculation 4 3 21 2 3" xfId="34248" xr:uid="{00000000-0005-0000-0000-0000A9850000}"/>
    <cellStyle name="Calculation 4 3 21 2 4" xfId="34249" xr:uid="{00000000-0005-0000-0000-0000AA850000}"/>
    <cellStyle name="Calculation 4 3 21 2 5" xfId="34250" xr:uid="{00000000-0005-0000-0000-0000AB850000}"/>
    <cellStyle name="Calculation 4 3 21 2 6" xfId="34251" xr:uid="{00000000-0005-0000-0000-0000AC850000}"/>
    <cellStyle name="Calculation 4 3 21 3" xfId="34252" xr:uid="{00000000-0005-0000-0000-0000AD850000}"/>
    <cellStyle name="Calculation 4 3 21 3 2" xfId="34253" xr:uid="{00000000-0005-0000-0000-0000AE850000}"/>
    <cellStyle name="Calculation 4 3 21 3 3" xfId="34254" xr:uid="{00000000-0005-0000-0000-0000AF850000}"/>
    <cellStyle name="Calculation 4 3 21 3 4" xfId="34255" xr:uid="{00000000-0005-0000-0000-0000B0850000}"/>
    <cellStyle name="Calculation 4 3 21 3 5" xfId="34256" xr:uid="{00000000-0005-0000-0000-0000B1850000}"/>
    <cellStyle name="Calculation 4 3 21 3 6" xfId="34257" xr:uid="{00000000-0005-0000-0000-0000B2850000}"/>
    <cellStyle name="Calculation 4 3 21 4" xfId="34258" xr:uid="{00000000-0005-0000-0000-0000B3850000}"/>
    <cellStyle name="Calculation 4 3 21 4 2" xfId="34259" xr:uid="{00000000-0005-0000-0000-0000B4850000}"/>
    <cellStyle name="Calculation 4 3 21 4 3" xfId="34260" xr:uid="{00000000-0005-0000-0000-0000B5850000}"/>
    <cellStyle name="Calculation 4 3 21 4 4" xfId="34261" xr:uid="{00000000-0005-0000-0000-0000B6850000}"/>
    <cellStyle name="Calculation 4 3 21 4 5" xfId="34262" xr:uid="{00000000-0005-0000-0000-0000B7850000}"/>
    <cellStyle name="Calculation 4 3 21 4 6" xfId="34263" xr:uid="{00000000-0005-0000-0000-0000B8850000}"/>
    <cellStyle name="Calculation 4 3 21 5" xfId="34264" xr:uid="{00000000-0005-0000-0000-0000B9850000}"/>
    <cellStyle name="Calculation 4 3 21 5 2" xfId="34265" xr:uid="{00000000-0005-0000-0000-0000BA850000}"/>
    <cellStyle name="Calculation 4 3 21 5 3" xfId="34266" xr:uid="{00000000-0005-0000-0000-0000BB850000}"/>
    <cellStyle name="Calculation 4 3 21 5 4" xfId="34267" xr:uid="{00000000-0005-0000-0000-0000BC850000}"/>
    <cellStyle name="Calculation 4 3 21 5 5" xfId="34268" xr:uid="{00000000-0005-0000-0000-0000BD850000}"/>
    <cellStyle name="Calculation 4 3 21 5 6" xfId="34269" xr:uid="{00000000-0005-0000-0000-0000BE850000}"/>
    <cellStyle name="Calculation 4 3 21 6" xfId="34270" xr:uid="{00000000-0005-0000-0000-0000BF850000}"/>
    <cellStyle name="Calculation 4 3 21 6 2" xfId="34271" xr:uid="{00000000-0005-0000-0000-0000C0850000}"/>
    <cellStyle name="Calculation 4 3 21 6 3" xfId="34272" xr:uid="{00000000-0005-0000-0000-0000C1850000}"/>
    <cellStyle name="Calculation 4 3 21 6 4" xfId="34273" xr:uid="{00000000-0005-0000-0000-0000C2850000}"/>
    <cellStyle name="Calculation 4 3 21 6 5" xfId="34274" xr:uid="{00000000-0005-0000-0000-0000C3850000}"/>
    <cellStyle name="Calculation 4 3 21 6 6" xfId="34275" xr:uid="{00000000-0005-0000-0000-0000C4850000}"/>
    <cellStyle name="Calculation 4 3 21 7" xfId="34276" xr:uid="{00000000-0005-0000-0000-0000C5850000}"/>
    <cellStyle name="Calculation 4 3 21 7 2" xfId="34277" xr:uid="{00000000-0005-0000-0000-0000C6850000}"/>
    <cellStyle name="Calculation 4 3 21 7 3" xfId="34278" xr:uid="{00000000-0005-0000-0000-0000C7850000}"/>
    <cellStyle name="Calculation 4 3 21 7 4" xfId="34279" xr:uid="{00000000-0005-0000-0000-0000C8850000}"/>
    <cellStyle name="Calculation 4 3 21 7 5" xfId="34280" xr:uid="{00000000-0005-0000-0000-0000C9850000}"/>
    <cellStyle name="Calculation 4 3 21 7 6" xfId="34281" xr:uid="{00000000-0005-0000-0000-0000CA850000}"/>
    <cellStyle name="Calculation 4 3 21 8" xfId="34282" xr:uid="{00000000-0005-0000-0000-0000CB850000}"/>
    <cellStyle name="Calculation 4 3 21 9" xfId="34283" xr:uid="{00000000-0005-0000-0000-0000CC850000}"/>
    <cellStyle name="Calculation 4 3 22" xfId="34284" xr:uid="{00000000-0005-0000-0000-0000CD850000}"/>
    <cellStyle name="Calculation 4 3 22 10" xfId="34285" xr:uid="{00000000-0005-0000-0000-0000CE850000}"/>
    <cellStyle name="Calculation 4 3 22 2" xfId="34286" xr:uid="{00000000-0005-0000-0000-0000CF850000}"/>
    <cellStyle name="Calculation 4 3 22 2 2" xfId="34287" xr:uid="{00000000-0005-0000-0000-0000D0850000}"/>
    <cellStyle name="Calculation 4 3 22 2 3" xfId="34288" xr:uid="{00000000-0005-0000-0000-0000D1850000}"/>
    <cellStyle name="Calculation 4 3 22 2 4" xfId="34289" xr:uid="{00000000-0005-0000-0000-0000D2850000}"/>
    <cellStyle name="Calculation 4 3 22 2 5" xfId="34290" xr:uid="{00000000-0005-0000-0000-0000D3850000}"/>
    <cellStyle name="Calculation 4 3 22 2 6" xfId="34291" xr:uid="{00000000-0005-0000-0000-0000D4850000}"/>
    <cellStyle name="Calculation 4 3 22 3" xfId="34292" xr:uid="{00000000-0005-0000-0000-0000D5850000}"/>
    <cellStyle name="Calculation 4 3 22 3 2" xfId="34293" xr:uid="{00000000-0005-0000-0000-0000D6850000}"/>
    <cellStyle name="Calculation 4 3 22 3 3" xfId="34294" xr:uid="{00000000-0005-0000-0000-0000D7850000}"/>
    <cellStyle name="Calculation 4 3 22 3 4" xfId="34295" xr:uid="{00000000-0005-0000-0000-0000D8850000}"/>
    <cellStyle name="Calculation 4 3 22 3 5" xfId="34296" xr:uid="{00000000-0005-0000-0000-0000D9850000}"/>
    <cellStyle name="Calculation 4 3 22 3 6" xfId="34297" xr:uid="{00000000-0005-0000-0000-0000DA850000}"/>
    <cellStyle name="Calculation 4 3 22 4" xfId="34298" xr:uid="{00000000-0005-0000-0000-0000DB850000}"/>
    <cellStyle name="Calculation 4 3 22 4 2" xfId="34299" xr:uid="{00000000-0005-0000-0000-0000DC850000}"/>
    <cellStyle name="Calculation 4 3 22 4 3" xfId="34300" xr:uid="{00000000-0005-0000-0000-0000DD850000}"/>
    <cellStyle name="Calculation 4 3 22 4 4" xfId="34301" xr:uid="{00000000-0005-0000-0000-0000DE850000}"/>
    <cellStyle name="Calculation 4 3 22 4 5" xfId="34302" xr:uid="{00000000-0005-0000-0000-0000DF850000}"/>
    <cellStyle name="Calculation 4 3 22 4 6" xfId="34303" xr:uid="{00000000-0005-0000-0000-0000E0850000}"/>
    <cellStyle name="Calculation 4 3 22 5" xfId="34304" xr:uid="{00000000-0005-0000-0000-0000E1850000}"/>
    <cellStyle name="Calculation 4 3 22 5 2" xfId="34305" xr:uid="{00000000-0005-0000-0000-0000E2850000}"/>
    <cellStyle name="Calculation 4 3 22 5 3" xfId="34306" xr:uid="{00000000-0005-0000-0000-0000E3850000}"/>
    <cellStyle name="Calculation 4 3 22 5 4" xfId="34307" xr:uid="{00000000-0005-0000-0000-0000E4850000}"/>
    <cellStyle name="Calculation 4 3 22 5 5" xfId="34308" xr:uid="{00000000-0005-0000-0000-0000E5850000}"/>
    <cellStyle name="Calculation 4 3 22 5 6" xfId="34309" xr:uid="{00000000-0005-0000-0000-0000E6850000}"/>
    <cellStyle name="Calculation 4 3 22 6" xfId="34310" xr:uid="{00000000-0005-0000-0000-0000E7850000}"/>
    <cellStyle name="Calculation 4 3 22 6 2" xfId="34311" xr:uid="{00000000-0005-0000-0000-0000E8850000}"/>
    <cellStyle name="Calculation 4 3 22 6 3" xfId="34312" xr:uid="{00000000-0005-0000-0000-0000E9850000}"/>
    <cellStyle name="Calculation 4 3 22 6 4" xfId="34313" xr:uid="{00000000-0005-0000-0000-0000EA850000}"/>
    <cellStyle name="Calculation 4 3 22 6 5" xfId="34314" xr:uid="{00000000-0005-0000-0000-0000EB850000}"/>
    <cellStyle name="Calculation 4 3 22 6 6" xfId="34315" xr:uid="{00000000-0005-0000-0000-0000EC850000}"/>
    <cellStyle name="Calculation 4 3 22 7" xfId="34316" xr:uid="{00000000-0005-0000-0000-0000ED850000}"/>
    <cellStyle name="Calculation 4 3 22 7 2" xfId="34317" xr:uid="{00000000-0005-0000-0000-0000EE850000}"/>
    <cellStyle name="Calculation 4 3 22 7 3" xfId="34318" xr:uid="{00000000-0005-0000-0000-0000EF850000}"/>
    <cellStyle name="Calculation 4 3 22 7 4" xfId="34319" xr:uid="{00000000-0005-0000-0000-0000F0850000}"/>
    <cellStyle name="Calculation 4 3 22 7 5" xfId="34320" xr:uid="{00000000-0005-0000-0000-0000F1850000}"/>
    <cellStyle name="Calculation 4 3 22 7 6" xfId="34321" xr:uid="{00000000-0005-0000-0000-0000F2850000}"/>
    <cellStyle name="Calculation 4 3 22 8" xfId="34322" xr:uid="{00000000-0005-0000-0000-0000F3850000}"/>
    <cellStyle name="Calculation 4 3 22 9" xfId="34323" xr:uid="{00000000-0005-0000-0000-0000F4850000}"/>
    <cellStyle name="Calculation 4 3 23" xfId="34324" xr:uid="{00000000-0005-0000-0000-0000F5850000}"/>
    <cellStyle name="Calculation 4 3 23 10" xfId="34325" xr:uid="{00000000-0005-0000-0000-0000F6850000}"/>
    <cellStyle name="Calculation 4 3 23 2" xfId="34326" xr:uid="{00000000-0005-0000-0000-0000F7850000}"/>
    <cellStyle name="Calculation 4 3 23 2 2" xfId="34327" xr:uid="{00000000-0005-0000-0000-0000F8850000}"/>
    <cellStyle name="Calculation 4 3 23 2 3" xfId="34328" xr:uid="{00000000-0005-0000-0000-0000F9850000}"/>
    <cellStyle name="Calculation 4 3 23 2 4" xfId="34329" xr:uid="{00000000-0005-0000-0000-0000FA850000}"/>
    <cellStyle name="Calculation 4 3 23 2 5" xfId="34330" xr:uid="{00000000-0005-0000-0000-0000FB850000}"/>
    <cellStyle name="Calculation 4 3 23 2 6" xfId="34331" xr:uid="{00000000-0005-0000-0000-0000FC850000}"/>
    <cellStyle name="Calculation 4 3 23 3" xfId="34332" xr:uid="{00000000-0005-0000-0000-0000FD850000}"/>
    <cellStyle name="Calculation 4 3 23 3 2" xfId="34333" xr:uid="{00000000-0005-0000-0000-0000FE850000}"/>
    <cellStyle name="Calculation 4 3 23 3 3" xfId="34334" xr:uid="{00000000-0005-0000-0000-0000FF850000}"/>
    <cellStyle name="Calculation 4 3 23 3 4" xfId="34335" xr:uid="{00000000-0005-0000-0000-000000860000}"/>
    <cellStyle name="Calculation 4 3 23 3 5" xfId="34336" xr:uid="{00000000-0005-0000-0000-000001860000}"/>
    <cellStyle name="Calculation 4 3 23 3 6" xfId="34337" xr:uid="{00000000-0005-0000-0000-000002860000}"/>
    <cellStyle name="Calculation 4 3 23 4" xfId="34338" xr:uid="{00000000-0005-0000-0000-000003860000}"/>
    <cellStyle name="Calculation 4 3 23 4 2" xfId="34339" xr:uid="{00000000-0005-0000-0000-000004860000}"/>
    <cellStyle name="Calculation 4 3 23 4 3" xfId="34340" xr:uid="{00000000-0005-0000-0000-000005860000}"/>
    <cellStyle name="Calculation 4 3 23 4 4" xfId="34341" xr:uid="{00000000-0005-0000-0000-000006860000}"/>
    <cellStyle name="Calculation 4 3 23 4 5" xfId="34342" xr:uid="{00000000-0005-0000-0000-000007860000}"/>
    <cellStyle name="Calculation 4 3 23 4 6" xfId="34343" xr:uid="{00000000-0005-0000-0000-000008860000}"/>
    <cellStyle name="Calculation 4 3 23 5" xfId="34344" xr:uid="{00000000-0005-0000-0000-000009860000}"/>
    <cellStyle name="Calculation 4 3 23 5 2" xfId="34345" xr:uid="{00000000-0005-0000-0000-00000A860000}"/>
    <cellStyle name="Calculation 4 3 23 5 3" xfId="34346" xr:uid="{00000000-0005-0000-0000-00000B860000}"/>
    <cellStyle name="Calculation 4 3 23 5 4" xfId="34347" xr:uid="{00000000-0005-0000-0000-00000C860000}"/>
    <cellStyle name="Calculation 4 3 23 5 5" xfId="34348" xr:uid="{00000000-0005-0000-0000-00000D860000}"/>
    <cellStyle name="Calculation 4 3 23 5 6" xfId="34349" xr:uid="{00000000-0005-0000-0000-00000E860000}"/>
    <cellStyle name="Calculation 4 3 23 6" xfId="34350" xr:uid="{00000000-0005-0000-0000-00000F860000}"/>
    <cellStyle name="Calculation 4 3 23 6 2" xfId="34351" xr:uid="{00000000-0005-0000-0000-000010860000}"/>
    <cellStyle name="Calculation 4 3 23 6 3" xfId="34352" xr:uid="{00000000-0005-0000-0000-000011860000}"/>
    <cellStyle name="Calculation 4 3 23 6 4" xfId="34353" xr:uid="{00000000-0005-0000-0000-000012860000}"/>
    <cellStyle name="Calculation 4 3 23 6 5" xfId="34354" xr:uid="{00000000-0005-0000-0000-000013860000}"/>
    <cellStyle name="Calculation 4 3 23 6 6" xfId="34355" xr:uid="{00000000-0005-0000-0000-000014860000}"/>
    <cellStyle name="Calculation 4 3 23 7" xfId="34356" xr:uid="{00000000-0005-0000-0000-000015860000}"/>
    <cellStyle name="Calculation 4 3 23 7 2" xfId="34357" xr:uid="{00000000-0005-0000-0000-000016860000}"/>
    <cellStyle name="Calculation 4 3 23 7 3" xfId="34358" xr:uid="{00000000-0005-0000-0000-000017860000}"/>
    <cellStyle name="Calculation 4 3 23 7 4" xfId="34359" xr:uid="{00000000-0005-0000-0000-000018860000}"/>
    <cellStyle name="Calculation 4 3 23 7 5" xfId="34360" xr:uid="{00000000-0005-0000-0000-000019860000}"/>
    <cellStyle name="Calculation 4 3 23 7 6" xfId="34361" xr:uid="{00000000-0005-0000-0000-00001A860000}"/>
    <cellStyle name="Calculation 4 3 23 8" xfId="34362" xr:uid="{00000000-0005-0000-0000-00001B860000}"/>
    <cellStyle name="Calculation 4 3 23 9" xfId="34363" xr:uid="{00000000-0005-0000-0000-00001C860000}"/>
    <cellStyle name="Calculation 4 3 24" xfId="34364" xr:uid="{00000000-0005-0000-0000-00001D860000}"/>
    <cellStyle name="Calculation 4 3 24 10" xfId="34365" xr:uid="{00000000-0005-0000-0000-00001E860000}"/>
    <cellStyle name="Calculation 4 3 24 2" xfId="34366" xr:uid="{00000000-0005-0000-0000-00001F860000}"/>
    <cellStyle name="Calculation 4 3 24 2 2" xfId="34367" xr:uid="{00000000-0005-0000-0000-000020860000}"/>
    <cellStyle name="Calculation 4 3 24 2 3" xfId="34368" xr:uid="{00000000-0005-0000-0000-000021860000}"/>
    <cellStyle name="Calculation 4 3 24 2 4" xfId="34369" xr:uid="{00000000-0005-0000-0000-000022860000}"/>
    <cellStyle name="Calculation 4 3 24 2 5" xfId="34370" xr:uid="{00000000-0005-0000-0000-000023860000}"/>
    <cellStyle name="Calculation 4 3 24 2 6" xfId="34371" xr:uid="{00000000-0005-0000-0000-000024860000}"/>
    <cellStyle name="Calculation 4 3 24 3" xfId="34372" xr:uid="{00000000-0005-0000-0000-000025860000}"/>
    <cellStyle name="Calculation 4 3 24 3 2" xfId="34373" xr:uid="{00000000-0005-0000-0000-000026860000}"/>
    <cellStyle name="Calculation 4 3 24 3 3" xfId="34374" xr:uid="{00000000-0005-0000-0000-000027860000}"/>
    <cellStyle name="Calculation 4 3 24 3 4" xfId="34375" xr:uid="{00000000-0005-0000-0000-000028860000}"/>
    <cellStyle name="Calculation 4 3 24 3 5" xfId="34376" xr:uid="{00000000-0005-0000-0000-000029860000}"/>
    <cellStyle name="Calculation 4 3 24 3 6" xfId="34377" xr:uid="{00000000-0005-0000-0000-00002A860000}"/>
    <cellStyle name="Calculation 4 3 24 4" xfId="34378" xr:uid="{00000000-0005-0000-0000-00002B860000}"/>
    <cellStyle name="Calculation 4 3 24 4 2" xfId="34379" xr:uid="{00000000-0005-0000-0000-00002C860000}"/>
    <cellStyle name="Calculation 4 3 24 4 3" xfId="34380" xr:uid="{00000000-0005-0000-0000-00002D860000}"/>
    <cellStyle name="Calculation 4 3 24 4 4" xfId="34381" xr:uid="{00000000-0005-0000-0000-00002E860000}"/>
    <cellStyle name="Calculation 4 3 24 4 5" xfId="34382" xr:uid="{00000000-0005-0000-0000-00002F860000}"/>
    <cellStyle name="Calculation 4 3 24 4 6" xfId="34383" xr:uid="{00000000-0005-0000-0000-000030860000}"/>
    <cellStyle name="Calculation 4 3 24 5" xfId="34384" xr:uid="{00000000-0005-0000-0000-000031860000}"/>
    <cellStyle name="Calculation 4 3 24 5 2" xfId="34385" xr:uid="{00000000-0005-0000-0000-000032860000}"/>
    <cellStyle name="Calculation 4 3 24 5 3" xfId="34386" xr:uid="{00000000-0005-0000-0000-000033860000}"/>
    <cellStyle name="Calculation 4 3 24 5 4" xfId="34387" xr:uid="{00000000-0005-0000-0000-000034860000}"/>
    <cellStyle name="Calculation 4 3 24 5 5" xfId="34388" xr:uid="{00000000-0005-0000-0000-000035860000}"/>
    <cellStyle name="Calculation 4 3 24 5 6" xfId="34389" xr:uid="{00000000-0005-0000-0000-000036860000}"/>
    <cellStyle name="Calculation 4 3 24 6" xfId="34390" xr:uid="{00000000-0005-0000-0000-000037860000}"/>
    <cellStyle name="Calculation 4 3 24 6 2" xfId="34391" xr:uid="{00000000-0005-0000-0000-000038860000}"/>
    <cellStyle name="Calculation 4 3 24 6 3" xfId="34392" xr:uid="{00000000-0005-0000-0000-000039860000}"/>
    <cellStyle name="Calculation 4 3 24 6 4" xfId="34393" xr:uid="{00000000-0005-0000-0000-00003A860000}"/>
    <cellStyle name="Calculation 4 3 24 6 5" xfId="34394" xr:uid="{00000000-0005-0000-0000-00003B860000}"/>
    <cellStyle name="Calculation 4 3 24 6 6" xfId="34395" xr:uid="{00000000-0005-0000-0000-00003C860000}"/>
    <cellStyle name="Calculation 4 3 24 7" xfId="34396" xr:uid="{00000000-0005-0000-0000-00003D860000}"/>
    <cellStyle name="Calculation 4 3 24 7 2" xfId="34397" xr:uid="{00000000-0005-0000-0000-00003E860000}"/>
    <cellStyle name="Calculation 4 3 24 7 3" xfId="34398" xr:uid="{00000000-0005-0000-0000-00003F860000}"/>
    <cellStyle name="Calculation 4 3 24 7 4" xfId="34399" xr:uid="{00000000-0005-0000-0000-000040860000}"/>
    <cellStyle name="Calculation 4 3 24 7 5" xfId="34400" xr:uid="{00000000-0005-0000-0000-000041860000}"/>
    <cellStyle name="Calculation 4 3 24 7 6" xfId="34401" xr:uid="{00000000-0005-0000-0000-000042860000}"/>
    <cellStyle name="Calculation 4 3 24 8" xfId="34402" xr:uid="{00000000-0005-0000-0000-000043860000}"/>
    <cellStyle name="Calculation 4 3 24 9" xfId="34403" xr:uid="{00000000-0005-0000-0000-000044860000}"/>
    <cellStyle name="Calculation 4 3 25" xfId="34404" xr:uid="{00000000-0005-0000-0000-000045860000}"/>
    <cellStyle name="Calculation 4 3 25 10" xfId="34405" xr:uid="{00000000-0005-0000-0000-000046860000}"/>
    <cellStyle name="Calculation 4 3 25 2" xfId="34406" xr:uid="{00000000-0005-0000-0000-000047860000}"/>
    <cellStyle name="Calculation 4 3 25 2 2" xfId="34407" xr:uid="{00000000-0005-0000-0000-000048860000}"/>
    <cellStyle name="Calculation 4 3 25 2 3" xfId="34408" xr:uid="{00000000-0005-0000-0000-000049860000}"/>
    <cellStyle name="Calculation 4 3 25 2 4" xfId="34409" xr:uid="{00000000-0005-0000-0000-00004A860000}"/>
    <cellStyle name="Calculation 4 3 25 2 5" xfId="34410" xr:uid="{00000000-0005-0000-0000-00004B860000}"/>
    <cellStyle name="Calculation 4 3 25 2 6" xfId="34411" xr:uid="{00000000-0005-0000-0000-00004C860000}"/>
    <cellStyle name="Calculation 4 3 25 3" xfId="34412" xr:uid="{00000000-0005-0000-0000-00004D860000}"/>
    <cellStyle name="Calculation 4 3 25 3 2" xfId="34413" xr:uid="{00000000-0005-0000-0000-00004E860000}"/>
    <cellStyle name="Calculation 4 3 25 3 3" xfId="34414" xr:uid="{00000000-0005-0000-0000-00004F860000}"/>
    <cellStyle name="Calculation 4 3 25 3 4" xfId="34415" xr:uid="{00000000-0005-0000-0000-000050860000}"/>
    <cellStyle name="Calculation 4 3 25 3 5" xfId="34416" xr:uid="{00000000-0005-0000-0000-000051860000}"/>
    <cellStyle name="Calculation 4 3 25 3 6" xfId="34417" xr:uid="{00000000-0005-0000-0000-000052860000}"/>
    <cellStyle name="Calculation 4 3 25 4" xfId="34418" xr:uid="{00000000-0005-0000-0000-000053860000}"/>
    <cellStyle name="Calculation 4 3 25 4 2" xfId="34419" xr:uid="{00000000-0005-0000-0000-000054860000}"/>
    <cellStyle name="Calculation 4 3 25 4 3" xfId="34420" xr:uid="{00000000-0005-0000-0000-000055860000}"/>
    <cellStyle name="Calculation 4 3 25 4 4" xfId="34421" xr:uid="{00000000-0005-0000-0000-000056860000}"/>
    <cellStyle name="Calculation 4 3 25 4 5" xfId="34422" xr:uid="{00000000-0005-0000-0000-000057860000}"/>
    <cellStyle name="Calculation 4 3 25 4 6" xfId="34423" xr:uid="{00000000-0005-0000-0000-000058860000}"/>
    <cellStyle name="Calculation 4 3 25 5" xfId="34424" xr:uid="{00000000-0005-0000-0000-000059860000}"/>
    <cellStyle name="Calculation 4 3 25 5 2" xfId="34425" xr:uid="{00000000-0005-0000-0000-00005A860000}"/>
    <cellStyle name="Calculation 4 3 25 5 3" xfId="34426" xr:uid="{00000000-0005-0000-0000-00005B860000}"/>
    <cellStyle name="Calculation 4 3 25 5 4" xfId="34427" xr:uid="{00000000-0005-0000-0000-00005C860000}"/>
    <cellStyle name="Calculation 4 3 25 5 5" xfId="34428" xr:uid="{00000000-0005-0000-0000-00005D860000}"/>
    <cellStyle name="Calculation 4 3 25 5 6" xfId="34429" xr:uid="{00000000-0005-0000-0000-00005E860000}"/>
    <cellStyle name="Calculation 4 3 25 6" xfId="34430" xr:uid="{00000000-0005-0000-0000-00005F860000}"/>
    <cellStyle name="Calculation 4 3 25 6 2" xfId="34431" xr:uid="{00000000-0005-0000-0000-000060860000}"/>
    <cellStyle name="Calculation 4 3 25 6 3" xfId="34432" xr:uid="{00000000-0005-0000-0000-000061860000}"/>
    <cellStyle name="Calculation 4 3 25 6 4" xfId="34433" xr:uid="{00000000-0005-0000-0000-000062860000}"/>
    <cellStyle name="Calculation 4 3 25 6 5" xfId="34434" xr:uid="{00000000-0005-0000-0000-000063860000}"/>
    <cellStyle name="Calculation 4 3 25 6 6" xfId="34435" xr:uid="{00000000-0005-0000-0000-000064860000}"/>
    <cellStyle name="Calculation 4 3 25 7" xfId="34436" xr:uid="{00000000-0005-0000-0000-000065860000}"/>
    <cellStyle name="Calculation 4 3 25 7 2" xfId="34437" xr:uid="{00000000-0005-0000-0000-000066860000}"/>
    <cellStyle name="Calculation 4 3 25 7 3" xfId="34438" xr:uid="{00000000-0005-0000-0000-000067860000}"/>
    <cellStyle name="Calculation 4 3 25 7 4" xfId="34439" xr:uid="{00000000-0005-0000-0000-000068860000}"/>
    <cellStyle name="Calculation 4 3 25 7 5" xfId="34440" xr:uid="{00000000-0005-0000-0000-000069860000}"/>
    <cellStyle name="Calculation 4 3 25 7 6" xfId="34441" xr:uid="{00000000-0005-0000-0000-00006A860000}"/>
    <cellStyle name="Calculation 4 3 25 8" xfId="34442" xr:uid="{00000000-0005-0000-0000-00006B860000}"/>
    <cellStyle name="Calculation 4 3 25 9" xfId="34443" xr:uid="{00000000-0005-0000-0000-00006C860000}"/>
    <cellStyle name="Calculation 4 3 26" xfId="34444" xr:uid="{00000000-0005-0000-0000-00006D860000}"/>
    <cellStyle name="Calculation 4 3 26 10" xfId="34445" xr:uid="{00000000-0005-0000-0000-00006E860000}"/>
    <cellStyle name="Calculation 4 3 26 2" xfId="34446" xr:uid="{00000000-0005-0000-0000-00006F860000}"/>
    <cellStyle name="Calculation 4 3 26 2 2" xfId="34447" xr:uid="{00000000-0005-0000-0000-000070860000}"/>
    <cellStyle name="Calculation 4 3 26 2 3" xfId="34448" xr:uid="{00000000-0005-0000-0000-000071860000}"/>
    <cellStyle name="Calculation 4 3 26 2 4" xfId="34449" xr:uid="{00000000-0005-0000-0000-000072860000}"/>
    <cellStyle name="Calculation 4 3 26 2 5" xfId="34450" xr:uid="{00000000-0005-0000-0000-000073860000}"/>
    <cellStyle name="Calculation 4 3 26 2 6" xfId="34451" xr:uid="{00000000-0005-0000-0000-000074860000}"/>
    <cellStyle name="Calculation 4 3 26 3" xfId="34452" xr:uid="{00000000-0005-0000-0000-000075860000}"/>
    <cellStyle name="Calculation 4 3 26 3 2" xfId="34453" xr:uid="{00000000-0005-0000-0000-000076860000}"/>
    <cellStyle name="Calculation 4 3 26 3 3" xfId="34454" xr:uid="{00000000-0005-0000-0000-000077860000}"/>
    <cellStyle name="Calculation 4 3 26 3 4" xfId="34455" xr:uid="{00000000-0005-0000-0000-000078860000}"/>
    <cellStyle name="Calculation 4 3 26 3 5" xfId="34456" xr:uid="{00000000-0005-0000-0000-000079860000}"/>
    <cellStyle name="Calculation 4 3 26 3 6" xfId="34457" xr:uid="{00000000-0005-0000-0000-00007A860000}"/>
    <cellStyle name="Calculation 4 3 26 4" xfId="34458" xr:uid="{00000000-0005-0000-0000-00007B860000}"/>
    <cellStyle name="Calculation 4 3 26 4 2" xfId="34459" xr:uid="{00000000-0005-0000-0000-00007C860000}"/>
    <cellStyle name="Calculation 4 3 26 4 3" xfId="34460" xr:uid="{00000000-0005-0000-0000-00007D860000}"/>
    <cellStyle name="Calculation 4 3 26 4 4" xfId="34461" xr:uid="{00000000-0005-0000-0000-00007E860000}"/>
    <cellStyle name="Calculation 4 3 26 4 5" xfId="34462" xr:uid="{00000000-0005-0000-0000-00007F860000}"/>
    <cellStyle name="Calculation 4 3 26 4 6" xfId="34463" xr:uid="{00000000-0005-0000-0000-000080860000}"/>
    <cellStyle name="Calculation 4 3 26 5" xfId="34464" xr:uid="{00000000-0005-0000-0000-000081860000}"/>
    <cellStyle name="Calculation 4 3 26 5 2" xfId="34465" xr:uid="{00000000-0005-0000-0000-000082860000}"/>
    <cellStyle name="Calculation 4 3 26 5 3" xfId="34466" xr:uid="{00000000-0005-0000-0000-000083860000}"/>
    <cellStyle name="Calculation 4 3 26 5 4" xfId="34467" xr:uid="{00000000-0005-0000-0000-000084860000}"/>
    <cellStyle name="Calculation 4 3 26 5 5" xfId="34468" xr:uid="{00000000-0005-0000-0000-000085860000}"/>
    <cellStyle name="Calculation 4 3 26 5 6" xfId="34469" xr:uid="{00000000-0005-0000-0000-000086860000}"/>
    <cellStyle name="Calculation 4 3 26 6" xfId="34470" xr:uid="{00000000-0005-0000-0000-000087860000}"/>
    <cellStyle name="Calculation 4 3 26 6 2" xfId="34471" xr:uid="{00000000-0005-0000-0000-000088860000}"/>
    <cellStyle name="Calculation 4 3 26 6 3" xfId="34472" xr:uid="{00000000-0005-0000-0000-000089860000}"/>
    <cellStyle name="Calculation 4 3 26 6 4" xfId="34473" xr:uid="{00000000-0005-0000-0000-00008A860000}"/>
    <cellStyle name="Calculation 4 3 26 6 5" xfId="34474" xr:uid="{00000000-0005-0000-0000-00008B860000}"/>
    <cellStyle name="Calculation 4 3 26 6 6" xfId="34475" xr:uid="{00000000-0005-0000-0000-00008C860000}"/>
    <cellStyle name="Calculation 4 3 26 7" xfId="34476" xr:uid="{00000000-0005-0000-0000-00008D860000}"/>
    <cellStyle name="Calculation 4 3 26 7 2" xfId="34477" xr:uid="{00000000-0005-0000-0000-00008E860000}"/>
    <cellStyle name="Calculation 4 3 26 7 3" xfId="34478" xr:uid="{00000000-0005-0000-0000-00008F860000}"/>
    <cellStyle name="Calculation 4 3 26 7 4" xfId="34479" xr:uid="{00000000-0005-0000-0000-000090860000}"/>
    <cellStyle name="Calculation 4 3 26 7 5" xfId="34480" xr:uid="{00000000-0005-0000-0000-000091860000}"/>
    <cellStyle name="Calculation 4 3 26 7 6" xfId="34481" xr:uid="{00000000-0005-0000-0000-000092860000}"/>
    <cellStyle name="Calculation 4 3 26 8" xfId="34482" xr:uid="{00000000-0005-0000-0000-000093860000}"/>
    <cellStyle name="Calculation 4 3 26 9" xfId="34483" xr:uid="{00000000-0005-0000-0000-000094860000}"/>
    <cellStyle name="Calculation 4 3 27" xfId="34484" xr:uid="{00000000-0005-0000-0000-000095860000}"/>
    <cellStyle name="Calculation 4 3 27 2" xfId="34485" xr:uid="{00000000-0005-0000-0000-000096860000}"/>
    <cellStyle name="Calculation 4 3 27 3" xfId="34486" xr:uid="{00000000-0005-0000-0000-000097860000}"/>
    <cellStyle name="Calculation 4 3 27 4" xfId="34487" xr:uid="{00000000-0005-0000-0000-000098860000}"/>
    <cellStyle name="Calculation 4 3 27 5" xfId="34488" xr:uid="{00000000-0005-0000-0000-000099860000}"/>
    <cellStyle name="Calculation 4 3 27 6" xfId="34489" xr:uid="{00000000-0005-0000-0000-00009A860000}"/>
    <cellStyle name="Calculation 4 3 28" xfId="34490" xr:uid="{00000000-0005-0000-0000-00009B860000}"/>
    <cellStyle name="Calculation 4 3 28 2" xfId="34491" xr:uid="{00000000-0005-0000-0000-00009C860000}"/>
    <cellStyle name="Calculation 4 3 28 3" xfId="34492" xr:uid="{00000000-0005-0000-0000-00009D860000}"/>
    <cellStyle name="Calculation 4 3 28 4" xfId="34493" xr:uid="{00000000-0005-0000-0000-00009E860000}"/>
    <cellStyle name="Calculation 4 3 28 5" xfId="34494" xr:uid="{00000000-0005-0000-0000-00009F860000}"/>
    <cellStyle name="Calculation 4 3 28 6" xfId="34495" xr:uid="{00000000-0005-0000-0000-0000A0860000}"/>
    <cellStyle name="Calculation 4 3 29" xfId="34496" xr:uid="{00000000-0005-0000-0000-0000A1860000}"/>
    <cellStyle name="Calculation 4 3 29 2" xfId="34497" xr:uid="{00000000-0005-0000-0000-0000A2860000}"/>
    <cellStyle name="Calculation 4 3 29 3" xfId="34498" xr:uid="{00000000-0005-0000-0000-0000A3860000}"/>
    <cellStyle name="Calculation 4 3 29 4" xfId="34499" xr:uid="{00000000-0005-0000-0000-0000A4860000}"/>
    <cellStyle name="Calculation 4 3 29 5" xfId="34500" xr:uid="{00000000-0005-0000-0000-0000A5860000}"/>
    <cellStyle name="Calculation 4 3 29 6" xfId="34501" xr:uid="{00000000-0005-0000-0000-0000A6860000}"/>
    <cellStyle name="Calculation 4 3 3" xfId="34502" xr:uid="{00000000-0005-0000-0000-0000A7860000}"/>
    <cellStyle name="Calculation 4 3 3 10" xfId="34503" xr:uid="{00000000-0005-0000-0000-0000A8860000}"/>
    <cellStyle name="Calculation 4 3 3 2" xfId="34504" xr:uid="{00000000-0005-0000-0000-0000A9860000}"/>
    <cellStyle name="Calculation 4 3 3 2 2" xfId="34505" xr:uid="{00000000-0005-0000-0000-0000AA860000}"/>
    <cellStyle name="Calculation 4 3 3 2 3" xfId="34506" xr:uid="{00000000-0005-0000-0000-0000AB860000}"/>
    <cellStyle name="Calculation 4 3 3 2 4" xfId="34507" xr:uid="{00000000-0005-0000-0000-0000AC860000}"/>
    <cellStyle name="Calculation 4 3 3 2 5" xfId="34508" xr:uid="{00000000-0005-0000-0000-0000AD860000}"/>
    <cellStyle name="Calculation 4 3 3 2 6" xfId="34509" xr:uid="{00000000-0005-0000-0000-0000AE860000}"/>
    <cellStyle name="Calculation 4 3 3 3" xfId="34510" xr:uid="{00000000-0005-0000-0000-0000AF860000}"/>
    <cellStyle name="Calculation 4 3 3 3 2" xfId="34511" xr:uid="{00000000-0005-0000-0000-0000B0860000}"/>
    <cellStyle name="Calculation 4 3 3 3 3" xfId="34512" xr:uid="{00000000-0005-0000-0000-0000B1860000}"/>
    <cellStyle name="Calculation 4 3 3 3 4" xfId="34513" xr:uid="{00000000-0005-0000-0000-0000B2860000}"/>
    <cellStyle name="Calculation 4 3 3 3 5" xfId="34514" xr:uid="{00000000-0005-0000-0000-0000B3860000}"/>
    <cellStyle name="Calculation 4 3 3 3 6" xfId="34515" xr:uid="{00000000-0005-0000-0000-0000B4860000}"/>
    <cellStyle name="Calculation 4 3 3 4" xfId="34516" xr:uid="{00000000-0005-0000-0000-0000B5860000}"/>
    <cellStyle name="Calculation 4 3 3 4 2" xfId="34517" xr:uid="{00000000-0005-0000-0000-0000B6860000}"/>
    <cellStyle name="Calculation 4 3 3 4 3" xfId="34518" xr:uid="{00000000-0005-0000-0000-0000B7860000}"/>
    <cellStyle name="Calculation 4 3 3 4 4" xfId="34519" xr:uid="{00000000-0005-0000-0000-0000B8860000}"/>
    <cellStyle name="Calculation 4 3 3 4 5" xfId="34520" xr:uid="{00000000-0005-0000-0000-0000B9860000}"/>
    <cellStyle name="Calculation 4 3 3 4 6" xfId="34521" xr:uid="{00000000-0005-0000-0000-0000BA860000}"/>
    <cellStyle name="Calculation 4 3 3 5" xfId="34522" xr:uid="{00000000-0005-0000-0000-0000BB860000}"/>
    <cellStyle name="Calculation 4 3 3 5 2" xfId="34523" xr:uid="{00000000-0005-0000-0000-0000BC860000}"/>
    <cellStyle name="Calculation 4 3 3 5 3" xfId="34524" xr:uid="{00000000-0005-0000-0000-0000BD860000}"/>
    <cellStyle name="Calculation 4 3 3 5 4" xfId="34525" xr:uid="{00000000-0005-0000-0000-0000BE860000}"/>
    <cellStyle name="Calculation 4 3 3 5 5" xfId="34526" xr:uid="{00000000-0005-0000-0000-0000BF860000}"/>
    <cellStyle name="Calculation 4 3 3 5 6" xfId="34527" xr:uid="{00000000-0005-0000-0000-0000C0860000}"/>
    <cellStyle name="Calculation 4 3 3 6" xfId="34528" xr:uid="{00000000-0005-0000-0000-0000C1860000}"/>
    <cellStyle name="Calculation 4 3 3 6 2" xfId="34529" xr:uid="{00000000-0005-0000-0000-0000C2860000}"/>
    <cellStyle name="Calculation 4 3 3 6 3" xfId="34530" xr:uid="{00000000-0005-0000-0000-0000C3860000}"/>
    <cellStyle name="Calculation 4 3 3 6 4" xfId="34531" xr:uid="{00000000-0005-0000-0000-0000C4860000}"/>
    <cellStyle name="Calculation 4 3 3 6 5" xfId="34532" xr:uid="{00000000-0005-0000-0000-0000C5860000}"/>
    <cellStyle name="Calculation 4 3 3 6 6" xfId="34533" xr:uid="{00000000-0005-0000-0000-0000C6860000}"/>
    <cellStyle name="Calculation 4 3 3 7" xfId="34534" xr:uid="{00000000-0005-0000-0000-0000C7860000}"/>
    <cellStyle name="Calculation 4 3 3 7 2" xfId="34535" xr:uid="{00000000-0005-0000-0000-0000C8860000}"/>
    <cellStyle name="Calculation 4 3 3 7 3" xfId="34536" xr:uid="{00000000-0005-0000-0000-0000C9860000}"/>
    <cellStyle name="Calculation 4 3 3 7 4" xfId="34537" xr:uid="{00000000-0005-0000-0000-0000CA860000}"/>
    <cellStyle name="Calculation 4 3 3 7 5" xfId="34538" xr:uid="{00000000-0005-0000-0000-0000CB860000}"/>
    <cellStyle name="Calculation 4 3 3 7 6" xfId="34539" xr:uid="{00000000-0005-0000-0000-0000CC860000}"/>
    <cellStyle name="Calculation 4 3 3 8" xfId="34540" xr:uid="{00000000-0005-0000-0000-0000CD860000}"/>
    <cellStyle name="Calculation 4 3 3 9" xfId="34541" xr:uid="{00000000-0005-0000-0000-0000CE860000}"/>
    <cellStyle name="Calculation 4 3 30" xfId="34542" xr:uid="{00000000-0005-0000-0000-0000CF860000}"/>
    <cellStyle name="Calculation 4 3 30 2" xfId="34543" xr:uid="{00000000-0005-0000-0000-0000D0860000}"/>
    <cellStyle name="Calculation 4 3 30 3" xfId="34544" xr:uid="{00000000-0005-0000-0000-0000D1860000}"/>
    <cellStyle name="Calculation 4 3 30 4" xfId="34545" xr:uid="{00000000-0005-0000-0000-0000D2860000}"/>
    <cellStyle name="Calculation 4 3 30 5" xfId="34546" xr:uid="{00000000-0005-0000-0000-0000D3860000}"/>
    <cellStyle name="Calculation 4 3 30 6" xfId="34547" xr:uid="{00000000-0005-0000-0000-0000D4860000}"/>
    <cellStyle name="Calculation 4 3 31" xfId="34548" xr:uid="{00000000-0005-0000-0000-0000D5860000}"/>
    <cellStyle name="Calculation 4 3 31 2" xfId="34549" xr:uid="{00000000-0005-0000-0000-0000D6860000}"/>
    <cellStyle name="Calculation 4 3 31 3" xfId="34550" xr:uid="{00000000-0005-0000-0000-0000D7860000}"/>
    <cellStyle name="Calculation 4 3 31 4" xfId="34551" xr:uid="{00000000-0005-0000-0000-0000D8860000}"/>
    <cellStyle name="Calculation 4 3 31 5" xfId="34552" xr:uid="{00000000-0005-0000-0000-0000D9860000}"/>
    <cellStyle name="Calculation 4 3 31 6" xfId="34553" xr:uid="{00000000-0005-0000-0000-0000DA860000}"/>
    <cellStyle name="Calculation 4 3 32" xfId="34554" xr:uid="{00000000-0005-0000-0000-0000DB860000}"/>
    <cellStyle name="Calculation 4 3 32 2" xfId="34555" xr:uid="{00000000-0005-0000-0000-0000DC860000}"/>
    <cellStyle name="Calculation 4 3 32 3" xfId="34556" xr:uid="{00000000-0005-0000-0000-0000DD860000}"/>
    <cellStyle name="Calculation 4 3 32 4" xfId="34557" xr:uid="{00000000-0005-0000-0000-0000DE860000}"/>
    <cellStyle name="Calculation 4 3 32 5" xfId="34558" xr:uid="{00000000-0005-0000-0000-0000DF860000}"/>
    <cellStyle name="Calculation 4 3 32 6" xfId="34559" xr:uid="{00000000-0005-0000-0000-0000E0860000}"/>
    <cellStyle name="Calculation 4 3 33" xfId="34560" xr:uid="{00000000-0005-0000-0000-0000E1860000}"/>
    <cellStyle name="Calculation 4 3 34" xfId="34561" xr:uid="{00000000-0005-0000-0000-0000E2860000}"/>
    <cellStyle name="Calculation 4 3 35" xfId="34562" xr:uid="{00000000-0005-0000-0000-0000E3860000}"/>
    <cellStyle name="Calculation 4 3 4" xfId="34563" xr:uid="{00000000-0005-0000-0000-0000E4860000}"/>
    <cellStyle name="Calculation 4 3 4 10" xfId="34564" xr:uid="{00000000-0005-0000-0000-0000E5860000}"/>
    <cellStyle name="Calculation 4 3 4 2" xfId="34565" xr:uid="{00000000-0005-0000-0000-0000E6860000}"/>
    <cellStyle name="Calculation 4 3 4 2 2" xfId="34566" xr:uid="{00000000-0005-0000-0000-0000E7860000}"/>
    <cellStyle name="Calculation 4 3 4 2 3" xfId="34567" xr:uid="{00000000-0005-0000-0000-0000E8860000}"/>
    <cellStyle name="Calculation 4 3 4 2 4" xfId="34568" xr:uid="{00000000-0005-0000-0000-0000E9860000}"/>
    <cellStyle name="Calculation 4 3 4 2 5" xfId="34569" xr:uid="{00000000-0005-0000-0000-0000EA860000}"/>
    <cellStyle name="Calculation 4 3 4 2 6" xfId="34570" xr:uid="{00000000-0005-0000-0000-0000EB860000}"/>
    <cellStyle name="Calculation 4 3 4 3" xfId="34571" xr:uid="{00000000-0005-0000-0000-0000EC860000}"/>
    <cellStyle name="Calculation 4 3 4 3 2" xfId="34572" xr:uid="{00000000-0005-0000-0000-0000ED860000}"/>
    <cellStyle name="Calculation 4 3 4 3 3" xfId="34573" xr:uid="{00000000-0005-0000-0000-0000EE860000}"/>
    <cellStyle name="Calculation 4 3 4 3 4" xfId="34574" xr:uid="{00000000-0005-0000-0000-0000EF860000}"/>
    <cellStyle name="Calculation 4 3 4 3 5" xfId="34575" xr:uid="{00000000-0005-0000-0000-0000F0860000}"/>
    <cellStyle name="Calculation 4 3 4 3 6" xfId="34576" xr:uid="{00000000-0005-0000-0000-0000F1860000}"/>
    <cellStyle name="Calculation 4 3 4 4" xfId="34577" xr:uid="{00000000-0005-0000-0000-0000F2860000}"/>
    <cellStyle name="Calculation 4 3 4 4 2" xfId="34578" xr:uid="{00000000-0005-0000-0000-0000F3860000}"/>
    <cellStyle name="Calculation 4 3 4 4 3" xfId="34579" xr:uid="{00000000-0005-0000-0000-0000F4860000}"/>
    <cellStyle name="Calculation 4 3 4 4 4" xfId="34580" xr:uid="{00000000-0005-0000-0000-0000F5860000}"/>
    <cellStyle name="Calculation 4 3 4 4 5" xfId="34581" xr:uid="{00000000-0005-0000-0000-0000F6860000}"/>
    <cellStyle name="Calculation 4 3 4 4 6" xfId="34582" xr:uid="{00000000-0005-0000-0000-0000F7860000}"/>
    <cellStyle name="Calculation 4 3 4 5" xfId="34583" xr:uid="{00000000-0005-0000-0000-0000F8860000}"/>
    <cellStyle name="Calculation 4 3 4 5 2" xfId="34584" xr:uid="{00000000-0005-0000-0000-0000F9860000}"/>
    <cellStyle name="Calculation 4 3 4 5 3" xfId="34585" xr:uid="{00000000-0005-0000-0000-0000FA860000}"/>
    <cellStyle name="Calculation 4 3 4 5 4" xfId="34586" xr:uid="{00000000-0005-0000-0000-0000FB860000}"/>
    <cellStyle name="Calculation 4 3 4 5 5" xfId="34587" xr:uid="{00000000-0005-0000-0000-0000FC860000}"/>
    <cellStyle name="Calculation 4 3 4 5 6" xfId="34588" xr:uid="{00000000-0005-0000-0000-0000FD860000}"/>
    <cellStyle name="Calculation 4 3 4 6" xfId="34589" xr:uid="{00000000-0005-0000-0000-0000FE860000}"/>
    <cellStyle name="Calculation 4 3 4 6 2" xfId="34590" xr:uid="{00000000-0005-0000-0000-0000FF860000}"/>
    <cellStyle name="Calculation 4 3 4 6 3" xfId="34591" xr:uid="{00000000-0005-0000-0000-000000870000}"/>
    <cellStyle name="Calculation 4 3 4 6 4" xfId="34592" xr:uid="{00000000-0005-0000-0000-000001870000}"/>
    <cellStyle name="Calculation 4 3 4 6 5" xfId="34593" xr:uid="{00000000-0005-0000-0000-000002870000}"/>
    <cellStyle name="Calculation 4 3 4 6 6" xfId="34594" xr:uid="{00000000-0005-0000-0000-000003870000}"/>
    <cellStyle name="Calculation 4 3 4 7" xfId="34595" xr:uid="{00000000-0005-0000-0000-000004870000}"/>
    <cellStyle name="Calculation 4 3 4 7 2" xfId="34596" xr:uid="{00000000-0005-0000-0000-000005870000}"/>
    <cellStyle name="Calculation 4 3 4 7 3" xfId="34597" xr:uid="{00000000-0005-0000-0000-000006870000}"/>
    <cellStyle name="Calculation 4 3 4 7 4" xfId="34598" xr:uid="{00000000-0005-0000-0000-000007870000}"/>
    <cellStyle name="Calculation 4 3 4 7 5" xfId="34599" xr:uid="{00000000-0005-0000-0000-000008870000}"/>
    <cellStyle name="Calculation 4 3 4 7 6" xfId="34600" xr:uid="{00000000-0005-0000-0000-000009870000}"/>
    <cellStyle name="Calculation 4 3 4 8" xfId="34601" xr:uid="{00000000-0005-0000-0000-00000A870000}"/>
    <cellStyle name="Calculation 4 3 4 9" xfId="34602" xr:uid="{00000000-0005-0000-0000-00000B870000}"/>
    <cellStyle name="Calculation 4 3 5" xfId="34603" xr:uid="{00000000-0005-0000-0000-00000C870000}"/>
    <cellStyle name="Calculation 4 3 5 10" xfId="34604" xr:uid="{00000000-0005-0000-0000-00000D870000}"/>
    <cellStyle name="Calculation 4 3 5 2" xfId="34605" xr:uid="{00000000-0005-0000-0000-00000E870000}"/>
    <cellStyle name="Calculation 4 3 5 2 2" xfId="34606" xr:uid="{00000000-0005-0000-0000-00000F870000}"/>
    <cellStyle name="Calculation 4 3 5 2 3" xfId="34607" xr:uid="{00000000-0005-0000-0000-000010870000}"/>
    <cellStyle name="Calculation 4 3 5 2 4" xfId="34608" xr:uid="{00000000-0005-0000-0000-000011870000}"/>
    <cellStyle name="Calculation 4 3 5 2 5" xfId="34609" xr:uid="{00000000-0005-0000-0000-000012870000}"/>
    <cellStyle name="Calculation 4 3 5 2 6" xfId="34610" xr:uid="{00000000-0005-0000-0000-000013870000}"/>
    <cellStyle name="Calculation 4 3 5 3" xfId="34611" xr:uid="{00000000-0005-0000-0000-000014870000}"/>
    <cellStyle name="Calculation 4 3 5 3 2" xfId="34612" xr:uid="{00000000-0005-0000-0000-000015870000}"/>
    <cellStyle name="Calculation 4 3 5 3 3" xfId="34613" xr:uid="{00000000-0005-0000-0000-000016870000}"/>
    <cellStyle name="Calculation 4 3 5 3 4" xfId="34614" xr:uid="{00000000-0005-0000-0000-000017870000}"/>
    <cellStyle name="Calculation 4 3 5 3 5" xfId="34615" xr:uid="{00000000-0005-0000-0000-000018870000}"/>
    <cellStyle name="Calculation 4 3 5 3 6" xfId="34616" xr:uid="{00000000-0005-0000-0000-000019870000}"/>
    <cellStyle name="Calculation 4 3 5 4" xfId="34617" xr:uid="{00000000-0005-0000-0000-00001A870000}"/>
    <cellStyle name="Calculation 4 3 5 4 2" xfId="34618" xr:uid="{00000000-0005-0000-0000-00001B870000}"/>
    <cellStyle name="Calculation 4 3 5 4 3" xfId="34619" xr:uid="{00000000-0005-0000-0000-00001C870000}"/>
    <cellStyle name="Calculation 4 3 5 4 4" xfId="34620" xr:uid="{00000000-0005-0000-0000-00001D870000}"/>
    <cellStyle name="Calculation 4 3 5 4 5" xfId="34621" xr:uid="{00000000-0005-0000-0000-00001E870000}"/>
    <cellStyle name="Calculation 4 3 5 4 6" xfId="34622" xr:uid="{00000000-0005-0000-0000-00001F870000}"/>
    <cellStyle name="Calculation 4 3 5 5" xfId="34623" xr:uid="{00000000-0005-0000-0000-000020870000}"/>
    <cellStyle name="Calculation 4 3 5 5 2" xfId="34624" xr:uid="{00000000-0005-0000-0000-000021870000}"/>
    <cellStyle name="Calculation 4 3 5 5 3" xfId="34625" xr:uid="{00000000-0005-0000-0000-000022870000}"/>
    <cellStyle name="Calculation 4 3 5 5 4" xfId="34626" xr:uid="{00000000-0005-0000-0000-000023870000}"/>
    <cellStyle name="Calculation 4 3 5 5 5" xfId="34627" xr:uid="{00000000-0005-0000-0000-000024870000}"/>
    <cellStyle name="Calculation 4 3 5 5 6" xfId="34628" xr:uid="{00000000-0005-0000-0000-000025870000}"/>
    <cellStyle name="Calculation 4 3 5 6" xfId="34629" xr:uid="{00000000-0005-0000-0000-000026870000}"/>
    <cellStyle name="Calculation 4 3 5 6 2" xfId="34630" xr:uid="{00000000-0005-0000-0000-000027870000}"/>
    <cellStyle name="Calculation 4 3 5 6 3" xfId="34631" xr:uid="{00000000-0005-0000-0000-000028870000}"/>
    <cellStyle name="Calculation 4 3 5 6 4" xfId="34632" xr:uid="{00000000-0005-0000-0000-000029870000}"/>
    <cellStyle name="Calculation 4 3 5 6 5" xfId="34633" xr:uid="{00000000-0005-0000-0000-00002A870000}"/>
    <cellStyle name="Calculation 4 3 5 6 6" xfId="34634" xr:uid="{00000000-0005-0000-0000-00002B870000}"/>
    <cellStyle name="Calculation 4 3 5 7" xfId="34635" xr:uid="{00000000-0005-0000-0000-00002C870000}"/>
    <cellStyle name="Calculation 4 3 5 7 2" xfId="34636" xr:uid="{00000000-0005-0000-0000-00002D870000}"/>
    <cellStyle name="Calculation 4 3 5 7 3" xfId="34637" xr:uid="{00000000-0005-0000-0000-00002E870000}"/>
    <cellStyle name="Calculation 4 3 5 7 4" xfId="34638" xr:uid="{00000000-0005-0000-0000-00002F870000}"/>
    <cellStyle name="Calculation 4 3 5 7 5" xfId="34639" xr:uid="{00000000-0005-0000-0000-000030870000}"/>
    <cellStyle name="Calculation 4 3 5 7 6" xfId="34640" xr:uid="{00000000-0005-0000-0000-000031870000}"/>
    <cellStyle name="Calculation 4 3 5 8" xfId="34641" xr:uid="{00000000-0005-0000-0000-000032870000}"/>
    <cellStyle name="Calculation 4 3 5 9" xfId="34642" xr:uid="{00000000-0005-0000-0000-000033870000}"/>
    <cellStyle name="Calculation 4 3 6" xfId="34643" xr:uid="{00000000-0005-0000-0000-000034870000}"/>
    <cellStyle name="Calculation 4 3 6 10" xfId="34644" xr:uid="{00000000-0005-0000-0000-000035870000}"/>
    <cellStyle name="Calculation 4 3 6 2" xfId="34645" xr:uid="{00000000-0005-0000-0000-000036870000}"/>
    <cellStyle name="Calculation 4 3 6 2 2" xfId="34646" xr:uid="{00000000-0005-0000-0000-000037870000}"/>
    <cellStyle name="Calculation 4 3 6 2 3" xfId="34647" xr:uid="{00000000-0005-0000-0000-000038870000}"/>
    <cellStyle name="Calculation 4 3 6 2 4" xfId="34648" xr:uid="{00000000-0005-0000-0000-000039870000}"/>
    <cellStyle name="Calculation 4 3 6 2 5" xfId="34649" xr:uid="{00000000-0005-0000-0000-00003A870000}"/>
    <cellStyle name="Calculation 4 3 6 2 6" xfId="34650" xr:uid="{00000000-0005-0000-0000-00003B870000}"/>
    <cellStyle name="Calculation 4 3 6 3" xfId="34651" xr:uid="{00000000-0005-0000-0000-00003C870000}"/>
    <cellStyle name="Calculation 4 3 6 3 2" xfId="34652" xr:uid="{00000000-0005-0000-0000-00003D870000}"/>
    <cellStyle name="Calculation 4 3 6 3 3" xfId="34653" xr:uid="{00000000-0005-0000-0000-00003E870000}"/>
    <cellStyle name="Calculation 4 3 6 3 4" xfId="34654" xr:uid="{00000000-0005-0000-0000-00003F870000}"/>
    <cellStyle name="Calculation 4 3 6 3 5" xfId="34655" xr:uid="{00000000-0005-0000-0000-000040870000}"/>
    <cellStyle name="Calculation 4 3 6 3 6" xfId="34656" xr:uid="{00000000-0005-0000-0000-000041870000}"/>
    <cellStyle name="Calculation 4 3 6 4" xfId="34657" xr:uid="{00000000-0005-0000-0000-000042870000}"/>
    <cellStyle name="Calculation 4 3 6 4 2" xfId="34658" xr:uid="{00000000-0005-0000-0000-000043870000}"/>
    <cellStyle name="Calculation 4 3 6 4 3" xfId="34659" xr:uid="{00000000-0005-0000-0000-000044870000}"/>
    <cellStyle name="Calculation 4 3 6 4 4" xfId="34660" xr:uid="{00000000-0005-0000-0000-000045870000}"/>
    <cellStyle name="Calculation 4 3 6 4 5" xfId="34661" xr:uid="{00000000-0005-0000-0000-000046870000}"/>
    <cellStyle name="Calculation 4 3 6 4 6" xfId="34662" xr:uid="{00000000-0005-0000-0000-000047870000}"/>
    <cellStyle name="Calculation 4 3 6 5" xfId="34663" xr:uid="{00000000-0005-0000-0000-000048870000}"/>
    <cellStyle name="Calculation 4 3 6 5 2" xfId="34664" xr:uid="{00000000-0005-0000-0000-000049870000}"/>
    <cellStyle name="Calculation 4 3 6 5 3" xfId="34665" xr:uid="{00000000-0005-0000-0000-00004A870000}"/>
    <cellStyle name="Calculation 4 3 6 5 4" xfId="34666" xr:uid="{00000000-0005-0000-0000-00004B870000}"/>
    <cellStyle name="Calculation 4 3 6 5 5" xfId="34667" xr:uid="{00000000-0005-0000-0000-00004C870000}"/>
    <cellStyle name="Calculation 4 3 6 5 6" xfId="34668" xr:uid="{00000000-0005-0000-0000-00004D870000}"/>
    <cellStyle name="Calculation 4 3 6 6" xfId="34669" xr:uid="{00000000-0005-0000-0000-00004E870000}"/>
    <cellStyle name="Calculation 4 3 6 6 2" xfId="34670" xr:uid="{00000000-0005-0000-0000-00004F870000}"/>
    <cellStyle name="Calculation 4 3 6 6 3" xfId="34671" xr:uid="{00000000-0005-0000-0000-000050870000}"/>
    <cellStyle name="Calculation 4 3 6 6 4" xfId="34672" xr:uid="{00000000-0005-0000-0000-000051870000}"/>
    <cellStyle name="Calculation 4 3 6 6 5" xfId="34673" xr:uid="{00000000-0005-0000-0000-000052870000}"/>
    <cellStyle name="Calculation 4 3 6 6 6" xfId="34674" xr:uid="{00000000-0005-0000-0000-000053870000}"/>
    <cellStyle name="Calculation 4 3 6 7" xfId="34675" xr:uid="{00000000-0005-0000-0000-000054870000}"/>
    <cellStyle name="Calculation 4 3 6 7 2" xfId="34676" xr:uid="{00000000-0005-0000-0000-000055870000}"/>
    <cellStyle name="Calculation 4 3 6 7 3" xfId="34677" xr:uid="{00000000-0005-0000-0000-000056870000}"/>
    <cellStyle name="Calculation 4 3 6 7 4" xfId="34678" xr:uid="{00000000-0005-0000-0000-000057870000}"/>
    <cellStyle name="Calculation 4 3 6 7 5" xfId="34679" xr:uid="{00000000-0005-0000-0000-000058870000}"/>
    <cellStyle name="Calculation 4 3 6 7 6" xfId="34680" xr:uid="{00000000-0005-0000-0000-000059870000}"/>
    <cellStyle name="Calculation 4 3 6 8" xfId="34681" xr:uid="{00000000-0005-0000-0000-00005A870000}"/>
    <cellStyle name="Calculation 4 3 6 9" xfId="34682" xr:uid="{00000000-0005-0000-0000-00005B870000}"/>
    <cellStyle name="Calculation 4 3 7" xfId="34683" xr:uid="{00000000-0005-0000-0000-00005C870000}"/>
    <cellStyle name="Calculation 4 3 7 10" xfId="34684" xr:uid="{00000000-0005-0000-0000-00005D870000}"/>
    <cellStyle name="Calculation 4 3 7 2" xfId="34685" xr:uid="{00000000-0005-0000-0000-00005E870000}"/>
    <cellStyle name="Calculation 4 3 7 2 2" xfId="34686" xr:uid="{00000000-0005-0000-0000-00005F870000}"/>
    <cellStyle name="Calculation 4 3 7 2 3" xfId="34687" xr:uid="{00000000-0005-0000-0000-000060870000}"/>
    <cellStyle name="Calculation 4 3 7 2 4" xfId="34688" xr:uid="{00000000-0005-0000-0000-000061870000}"/>
    <cellStyle name="Calculation 4 3 7 2 5" xfId="34689" xr:uid="{00000000-0005-0000-0000-000062870000}"/>
    <cellStyle name="Calculation 4 3 7 2 6" xfId="34690" xr:uid="{00000000-0005-0000-0000-000063870000}"/>
    <cellStyle name="Calculation 4 3 7 3" xfId="34691" xr:uid="{00000000-0005-0000-0000-000064870000}"/>
    <cellStyle name="Calculation 4 3 7 3 2" xfId="34692" xr:uid="{00000000-0005-0000-0000-000065870000}"/>
    <cellStyle name="Calculation 4 3 7 3 3" xfId="34693" xr:uid="{00000000-0005-0000-0000-000066870000}"/>
    <cellStyle name="Calculation 4 3 7 3 4" xfId="34694" xr:uid="{00000000-0005-0000-0000-000067870000}"/>
    <cellStyle name="Calculation 4 3 7 3 5" xfId="34695" xr:uid="{00000000-0005-0000-0000-000068870000}"/>
    <cellStyle name="Calculation 4 3 7 3 6" xfId="34696" xr:uid="{00000000-0005-0000-0000-000069870000}"/>
    <cellStyle name="Calculation 4 3 7 4" xfId="34697" xr:uid="{00000000-0005-0000-0000-00006A870000}"/>
    <cellStyle name="Calculation 4 3 7 4 2" xfId="34698" xr:uid="{00000000-0005-0000-0000-00006B870000}"/>
    <cellStyle name="Calculation 4 3 7 4 3" xfId="34699" xr:uid="{00000000-0005-0000-0000-00006C870000}"/>
    <cellStyle name="Calculation 4 3 7 4 4" xfId="34700" xr:uid="{00000000-0005-0000-0000-00006D870000}"/>
    <cellStyle name="Calculation 4 3 7 4 5" xfId="34701" xr:uid="{00000000-0005-0000-0000-00006E870000}"/>
    <cellStyle name="Calculation 4 3 7 4 6" xfId="34702" xr:uid="{00000000-0005-0000-0000-00006F870000}"/>
    <cellStyle name="Calculation 4 3 7 5" xfId="34703" xr:uid="{00000000-0005-0000-0000-000070870000}"/>
    <cellStyle name="Calculation 4 3 7 5 2" xfId="34704" xr:uid="{00000000-0005-0000-0000-000071870000}"/>
    <cellStyle name="Calculation 4 3 7 5 3" xfId="34705" xr:uid="{00000000-0005-0000-0000-000072870000}"/>
    <cellStyle name="Calculation 4 3 7 5 4" xfId="34706" xr:uid="{00000000-0005-0000-0000-000073870000}"/>
    <cellStyle name="Calculation 4 3 7 5 5" xfId="34707" xr:uid="{00000000-0005-0000-0000-000074870000}"/>
    <cellStyle name="Calculation 4 3 7 5 6" xfId="34708" xr:uid="{00000000-0005-0000-0000-000075870000}"/>
    <cellStyle name="Calculation 4 3 7 6" xfId="34709" xr:uid="{00000000-0005-0000-0000-000076870000}"/>
    <cellStyle name="Calculation 4 3 7 6 2" xfId="34710" xr:uid="{00000000-0005-0000-0000-000077870000}"/>
    <cellStyle name="Calculation 4 3 7 6 3" xfId="34711" xr:uid="{00000000-0005-0000-0000-000078870000}"/>
    <cellStyle name="Calculation 4 3 7 6 4" xfId="34712" xr:uid="{00000000-0005-0000-0000-000079870000}"/>
    <cellStyle name="Calculation 4 3 7 6 5" xfId="34713" xr:uid="{00000000-0005-0000-0000-00007A870000}"/>
    <cellStyle name="Calculation 4 3 7 6 6" xfId="34714" xr:uid="{00000000-0005-0000-0000-00007B870000}"/>
    <cellStyle name="Calculation 4 3 7 7" xfId="34715" xr:uid="{00000000-0005-0000-0000-00007C870000}"/>
    <cellStyle name="Calculation 4 3 7 7 2" xfId="34716" xr:uid="{00000000-0005-0000-0000-00007D870000}"/>
    <cellStyle name="Calculation 4 3 7 7 3" xfId="34717" xr:uid="{00000000-0005-0000-0000-00007E870000}"/>
    <cellStyle name="Calculation 4 3 7 7 4" xfId="34718" xr:uid="{00000000-0005-0000-0000-00007F870000}"/>
    <cellStyle name="Calculation 4 3 7 7 5" xfId="34719" xr:uid="{00000000-0005-0000-0000-000080870000}"/>
    <cellStyle name="Calculation 4 3 7 7 6" xfId="34720" xr:uid="{00000000-0005-0000-0000-000081870000}"/>
    <cellStyle name="Calculation 4 3 7 8" xfId="34721" xr:uid="{00000000-0005-0000-0000-000082870000}"/>
    <cellStyle name="Calculation 4 3 7 9" xfId="34722" xr:uid="{00000000-0005-0000-0000-000083870000}"/>
    <cellStyle name="Calculation 4 3 8" xfId="34723" xr:uid="{00000000-0005-0000-0000-000084870000}"/>
    <cellStyle name="Calculation 4 3 8 10" xfId="34724" xr:uid="{00000000-0005-0000-0000-000085870000}"/>
    <cellStyle name="Calculation 4 3 8 2" xfId="34725" xr:uid="{00000000-0005-0000-0000-000086870000}"/>
    <cellStyle name="Calculation 4 3 8 2 2" xfId="34726" xr:uid="{00000000-0005-0000-0000-000087870000}"/>
    <cellStyle name="Calculation 4 3 8 2 3" xfId="34727" xr:uid="{00000000-0005-0000-0000-000088870000}"/>
    <cellStyle name="Calculation 4 3 8 2 4" xfId="34728" xr:uid="{00000000-0005-0000-0000-000089870000}"/>
    <cellStyle name="Calculation 4 3 8 2 5" xfId="34729" xr:uid="{00000000-0005-0000-0000-00008A870000}"/>
    <cellStyle name="Calculation 4 3 8 2 6" xfId="34730" xr:uid="{00000000-0005-0000-0000-00008B870000}"/>
    <cellStyle name="Calculation 4 3 8 3" xfId="34731" xr:uid="{00000000-0005-0000-0000-00008C870000}"/>
    <cellStyle name="Calculation 4 3 8 3 2" xfId="34732" xr:uid="{00000000-0005-0000-0000-00008D870000}"/>
    <cellStyle name="Calculation 4 3 8 3 3" xfId="34733" xr:uid="{00000000-0005-0000-0000-00008E870000}"/>
    <cellStyle name="Calculation 4 3 8 3 4" xfId="34734" xr:uid="{00000000-0005-0000-0000-00008F870000}"/>
    <cellStyle name="Calculation 4 3 8 3 5" xfId="34735" xr:uid="{00000000-0005-0000-0000-000090870000}"/>
    <cellStyle name="Calculation 4 3 8 3 6" xfId="34736" xr:uid="{00000000-0005-0000-0000-000091870000}"/>
    <cellStyle name="Calculation 4 3 8 4" xfId="34737" xr:uid="{00000000-0005-0000-0000-000092870000}"/>
    <cellStyle name="Calculation 4 3 8 4 2" xfId="34738" xr:uid="{00000000-0005-0000-0000-000093870000}"/>
    <cellStyle name="Calculation 4 3 8 4 3" xfId="34739" xr:uid="{00000000-0005-0000-0000-000094870000}"/>
    <cellStyle name="Calculation 4 3 8 4 4" xfId="34740" xr:uid="{00000000-0005-0000-0000-000095870000}"/>
    <cellStyle name="Calculation 4 3 8 4 5" xfId="34741" xr:uid="{00000000-0005-0000-0000-000096870000}"/>
    <cellStyle name="Calculation 4 3 8 4 6" xfId="34742" xr:uid="{00000000-0005-0000-0000-000097870000}"/>
    <cellStyle name="Calculation 4 3 8 5" xfId="34743" xr:uid="{00000000-0005-0000-0000-000098870000}"/>
    <cellStyle name="Calculation 4 3 8 5 2" xfId="34744" xr:uid="{00000000-0005-0000-0000-000099870000}"/>
    <cellStyle name="Calculation 4 3 8 5 3" xfId="34745" xr:uid="{00000000-0005-0000-0000-00009A870000}"/>
    <cellStyle name="Calculation 4 3 8 5 4" xfId="34746" xr:uid="{00000000-0005-0000-0000-00009B870000}"/>
    <cellStyle name="Calculation 4 3 8 5 5" xfId="34747" xr:uid="{00000000-0005-0000-0000-00009C870000}"/>
    <cellStyle name="Calculation 4 3 8 5 6" xfId="34748" xr:uid="{00000000-0005-0000-0000-00009D870000}"/>
    <cellStyle name="Calculation 4 3 8 6" xfId="34749" xr:uid="{00000000-0005-0000-0000-00009E870000}"/>
    <cellStyle name="Calculation 4 3 8 6 2" xfId="34750" xr:uid="{00000000-0005-0000-0000-00009F870000}"/>
    <cellStyle name="Calculation 4 3 8 6 3" xfId="34751" xr:uid="{00000000-0005-0000-0000-0000A0870000}"/>
    <cellStyle name="Calculation 4 3 8 6 4" xfId="34752" xr:uid="{00000000-0005-0000-0000-0000A1870000}"/>
    <cellStyle name="Calculation 4 3 8 6 5" xfId="34753" xr:uid="{00000000-0005-0000-0000-0000A2870000}"/>
    <cellStyle name="Calculation 4 3 8 6 6" xfId="34754" xr:uid="{00000000-0005-0000-0000-0000A3870000}"/>
    <cellStyle name="Calculation 4 3 8 7" xfId="34755" xr:uid="{00000000-0005-0000-0000-0000A4870000}"/>
    <cellStyle name="Calculation 4 3 8 7 2" xfId="34756" xr:uid="{00000000-0005-0000-0000-0000A5870000}"/>
    <cellStyle name="Calculation 4 3 8 7 3" xfId="34757" xr:uid="{00000000-0005-0000-0000-0000A6870000}"/>
    <cellStyle name="Calculation 4 3 8 7 4" xfId="34758" xr:uid="{00000000-0005-0000-0000-0000A7870000}"/>
    <cellStyle name="Calculation 4 3 8 7 5" xfId="34759" xr:uid="{00000000-0005-0000-0000-0000A8870000}"/>
    <cellStyle name="Calculation 4 3 8 7 6" xfId="34760" xr:uid="{00000000-0005-0000-0000-0000A9870000}"/>
    <cellStyle name="Calculation 4 3 8 8" xfId="34761" xr:uid="{00000000-0005-0000-0000-0000AA870000}"/>
    <cellStyle name="Calculation 4 3 8 9" xfId="34762" xr:uid="{00000000-0005-0000-0000-0000AB870000}"/>
    <cellStyle name="Calculation 4 3 9" xfId="34763" xr:uid="{00000000-0005-0000-0000-0000AC870000}"/>
    <cellStyle name="Calculation 4 3 9 10" xfId="34764" xr:uid="{00000000-0005-0000-0000-0000AD870000}"/>
    <cellStyle name="Calculation 4 3 9 2" xfId="34765" xr:uid="{00000000-0005-0000-0000-0000AE870000}"/>
    <cellStyle name="Calculation 4 3 9 2 2" xfId="34766" xr:uid="{00000000-0005-0000-0000-0000AF870000}"/>
    <cellStyle name="Calculation 4 3 9 2 3" xfId="34767" xr:uid="{00000000-0005-0000-0000-0000B0870000}"/>
    <cellStyle name="Calculation 4 3 9 2 4" xfId="34768" xr:uid="{00000000-0005-0000-0000-0000B1870000}"/>
    <cellStyle name="Calculation 4 3 9 2 5" xfId="34769" xr:uid="{00000000-0005-0000-0000-0000B2870000}"/>
    <cellStyle name="Calculation 4 3 9 2 6" xfId="34770" xr:uid="{00000000-0005-0000-0000-0000B3870000}"/>
    <cellStyle name="Calculation 4 3 9 3" xfId="34771" xr:uid="{00000000-0005-0000-0000-0000B4870000}"/>
    <cellStyle name="Calculation 4 3 9 3 2" xfId="34772" xr:uid="{00000000-0005-0000-0000-0000B5870000}"/>
    <cellStyle name="Calculation 4 3 9 3 3" xfId="34773" xr:uid="{00000000-0005-0000-0000-0000B6870000}"/>
    <cellStyle name="Calculation 4 3 9 3 4" xfId="34774" xr:uid="{00000000-0005-0000-0000-0000B7870000}"/>
    <cellStyle name="Calculation 4 3 9 3 5" xfId="34775" xr:uid="{00000000-0005-0000-0000-0000B8870000}"/>
    <cellStyle name="Calculation 4 3 9 3 6" xfId="34776" xr:uid="{00000000-0005-0000-0000-0000B9870000}"/>
    <cellStyle name="Calculation 4 3 9 4" xfId="34777" xr:uid="{00000000-0005-0000-0000-0000BA870000}"/>
    <cellStyle name="Calculation 4 3 9 4 2" xfId="34778" xr:uid="{00000000-0005-0000-0000-0000BB870000}"/>
    <cellStyle name="Calculation 4 3 9 4 3" xfId="34779" xr:uid="{00000000-0005-0000-0000-0000BC870000}"/>
    <cellStyle name="Calculation 4 3 9 4 4" xfId="34780" xr:uid="{00000000-0005-0000-0000-0000BD870000}"/>
    <cellStyle name="Calculation 4 3 9 4 5" xfId="34781" xr:uid="{00000000-0005-0000-0000-0000BE870000}"/>
    <cellStyle name="Calculation 4 3 9 4 6" xfId="34782" xr:uid="{00000000-0005-0000-0000-0000BF870000}"/>
    <cellStyle name="Calculation 4 3 9 5" xfId="34783" xr:uid="{00000000-0005-0000-0000-0000C0870000}"/>
    <cellStyle name="Calculation 4 3 9 5 2" xfId="34784" xr:uid="{00000000-0005-0000-0000-0000C1870000}"/>
    <cellStyle name="Calculation 4 3 9 5 3" xfId="34785" xr:uid="{00000000-0005-0000-0000-0000C2870000}"/>
    <cellStyle name="Calculation 4 3 9 5 4" xfId="34786" xr:uid="{00000000-0005-0000-0000-0000C3870000}"/>
    <cellStyle name="Calculation 4 3 9 5 5" xfId="34787" xr:uid="{00000000-0005-0000-0000-0000C4870000}"/>
    <cellStyle name="Calculation 4 3 9 5 6" xfId="34788" xr:uid="{00000000-0005-0000-0000-0000C5870000}"/>
    <cellStyle name="Calculation 4 3 9 6" xfId="34789" xr:uid="{00000000-0005-0000-0000-0000C6870000}"/>
    <cellStyle name="Calculation 4 3 9 6 2" xfId="34790" xr:uid="{00000000-0005-0000-0000-0000C7870000}"/>
    <cellStyle name="Calculation 4 3 9 6 3" xfId="34791" xr:uid="{00000000-0005-0000-0000-0000C8870000}"/>
    <cellStyle name="Calculation 4 3 9 6 4" xfId="34792" xr:uid="{00000000-0005-0000-0000-0000C9870000}"/>
    <cellStyle name="Calculation 4 3 9 6 5" xfId="34793" xr:uid="{00000000-0005-0000-0000-0000CA870000}"/>
    <cellStyle name="Calculation 4 3 9 6 6" xfId="34794" xr:uid="{00000000-0005-0000-0000-0000CB870000}"/>
    <cellStyle name="Calculation 4 3 9 7" xfId="34795" xr:uid="{00000000-0005-0000-0000-0000CC870000}"/>
    <cellStyle name="Calculation 4 3 9 7 2" xfId="34796" xr:uid="{00000000-0005-0000-0000-0000CD870000}"/>
    <cellStyle name="Calculation 4 3 9 7 3" xfId="34797" xr:uid="{00000000-0005-0000-0000-0000CE870000}"/>
    <cellStyle name="Calculation 4 3 9 7 4" xfId="34798" xr:uid="{00000000-0005-0000-0000-0000CF870000}"/>
    <cellStyle name="Calculation 4 3 9 7 5" xfId="34799" xr:uid="{00000000-0005-0000-0000-0000D0870000}"/>
    <cellStyle name="Calculation 4 3 9 7 6" xfId="34800" xr:uid="{00000000-0005-0000-0000-0000D1870000}"/>
    <cellStyle name="Calculation 4 3 9 8" xfId="34801" xr:uid="{00000000-0005-0000-0000-0000D2870000}"/>
    <cellStyle name="Calculation 4 3 9 9" xfId="34802" xr:uid="{00000000-0005-0000-0000-0000D3870000}"/>
    <cellStyle name="Calculation 4 30" xfId="34803" xr:uid="{00000000-0005-0000-0000-0000D4870000}"/>
    <cellStyle name="Calculation 4 30 2" xfId="34804" xr:uid="{00000000-0005-0000-0000-0000D5870000}"/>
    <cellStyle name="Calculation 4 30 3" xfId="34805" xr:uid="{00000000-0005-0000-0000-0000D6870000}"/>
    <cellStyle name="Calculation 4 30 4" xfId="34806" xr:uid="{00000000-0005-0000-0000-0000D7870000}"/>
    <cellStyle name="Calculation 4 30 5" xfId="34807" xr:uid="{00000000-0005-0000-0000-0000D8870000}"/>
    <cellStyle name="Calculation 4 30 6" xfId="34808" xr:uid="{00000000-0005-0000-0000-0000D9870000}"/>
    <cellStyle name="Calculation 4 31" xfId="34809" xr:uid="{00000000-0005-0000-0000-0000DA870000}"/>
    <cellStyle name="Calculation 4 31 2" xfId="34810" xr:uid="{00000000-0005-0000-0000-0000DB870000}"/>
    <cellStyle name="Calculation 4 31 3" xfId="34811" xr:uid="{00000000-0005-0000-0000-0000DC870000}"/>
    <cellStyle name="Calculation 4 31 4" xfId="34812" xr:uid="{00000000-0005-0000-0000-0000DD870000}"/>
    <cellStyle name="Calculation 4 31 5" xfId="34813" xr:uid="{00000000-0005-0000-0000-0000DE870000}"/>
    <cellStyle name="Calculation 4 31 6" xfId="34814" xr:uid="{00000000-0005-0000-0000-0000DF870000}"/>
    <cellStyle name="Calculation 4 32" xfId="34815" xr:uid="{00000000-0005-0000-0000-0000E0870000}"/>
    <cellStyle name="Calculation 4 33" xfId="34816" xr:uid="{00000000-0005-0000-0000-0000E1870000}"/>
    <cellStyle name="Calculation 4 34" xfId="34817" xr:uid="{00000000-0005-0000-0000-0000E2870000}"/>
    <cellStyle name="Calculation 4 4" xfId="34818" xr:uid="{00000000-0005-0000-0000-0000E3870000}"/>
    <cellStyle name="Calculation 4 4 10" xfId="34819" xr:uid="{00000000-0005-0000-0000-0000E4870000}"/>
    <cellStyle name="Calculation 4 4 2" xfId="34820" xr:uid="{00000000-0005-0000-0000-0000E5870000}"/>
    <cellStyle name="Calculation 4 4 2 2" xfId="34821" xr:uid="{00000000-0005-0000-0000-0000E6870000}"/>
    <cellStyle name="Calculation 4 4 2 3" xfId="34822" xr:uid="{00000000-0005-0000-0000-0000E7870000}"/>
    <cellStyle name="Calculation 4 4 2 4" xfId="34823" xr:uid="{00000000-0005-0000-0000-0000E8870000}"/>
    <cellStyle name="Calculation 4 4 2 5" xfId="34824" xr:uid="{00000000-0005-0000-0000-0000E9870000}"/>
    <cellStyle name="Calculation 4 4 2 6" xfId="34825" xr:uid="{00000000-0005-0000-0000-0000EA870000}"/>
    <cellStyle name="Calculation 4 4 3" xfId="34826" xr:uid="{00000000-0005-0000-0000-0000EB870000}"/>
    <cellStyle name="Calculation 4 4 3 2" xfId="34827" xr:uid="{00000000-0005-0000-0000-0000EC870000}"/>
    <cellStyle name="Calculation 4 4 3 3" xfId="34828" xr:uid="{00000000-0005-0000-0000-0000ED870000}"/>
    <cellStyle name="Calculation 4 4 3 4" xfId="34829" xr:uid="{00000000-0005-0000-0000-0000EE870000}"/>
    <cellStyle name="Calculation 4 4 3 5" xfId="34830" xr:uid="{00000000-0005-0000-0000-0000EF870000}"/>
    <cellStyle name="Calculation 4 4 3 6" xfId="34831" xr:uid="{00000000-0005-0000-0000-0000F0870000}"/>
    <cellStyle name="Calculation 4 4 4" xfId="34832" xr:uid="{00000000-0005-0000-0000-0000F1870000}"/>
    <cellStyle name="Calculation 4 4 4 2" xfId="34833" xr:uid="{00000000-0005-0000-0000-0000F2870000}"/>
    <cellStyle name="Calculation 4 4 4 3" xfId="34834" xr:uid="{00000000-0005-0000-0000-0000F3870000}"/>
    <cellStyle name="Calculation 4 4 4 4" xfId="34835" xr:uid="{00000000-0005-0000-0000-0000F4870000}"/>
    <cellStyle name="Calculation 4 4 4 5" xfId="34836" xr:uid="{00000000-0005-0000-0000-0000F5870000}"/>
    <cellStyle name="Calculation 4 4 4 6" xfId="34837" xr:uid="{00000000-0005-0000-0000-0000F6870000}"/>
    <cellStyle name="Calculation 4 4 5" xfId="34838" xr:uid="{00000000-0005-0000-0000-0000F7870000}"/>
    <cellStyle name="Calculation 4 4 5 2" xfId="34839" xr:uid="{00000000-0005-0000-0000-0000F8870000}"/>
    <cellStyle name="Calculation 4 4 5 3" xfId="34840" xr:uid="{00000000-0005-0000-0000-0000F9870000}"/>
    <cellStyle name="Calculation 4 4 5 4" xfId="34841" xr:uid="{00000000-0005-0000-0000-0000FA870000}"/>
    <cellStyle name="Calculation 4 4 5 5" xfId="34842" xr:uid="{00000000-0005-0000-0000-0000FB870000}"/>
    <cellStyle name="Calculation 4 4 5 6" xfId="34843" xr:uid="{00000000-0005-0000-0000-0000FC870000}"/>
    <cellStyle name="Calculation 4 4 6" xfId="34844" xr:uid="{00000000-0005-0000-0000-0000FD870000}"/>
    <cellStyle name="Calculation 4 4 6 2" xfId="34845" xr:uid="{00000000-0005-0000-0000-0000FE870000}"/>
    <cellStyle name="Calculation 4 4 6 3" xfId="34846" xr:uid="{00000000-0005-0000-0000-0000FF870000}"/>
    <cellStyle name="Calculation 4 4 6 4" xfId="34847" xr:uid="{00000000-0005-0000-0000-000000880000}"/>
    <cellStyle name="Calculation 4 4 6 5" xfId="34848" xr:uid="{00000000-0005-0000-0000-000001880000}"/>
    <cellStyle name="Calculation 4 4 6 6" xfId="34849" xr:uid="{00000000-0005-0000-0000-000002880000}"/>
    <cellStyle name="Calculation 4 4 7" xfId="34850" xr:uid="{00000000-0005-0000-0000-000003880000}"/>
    <cellStyle name="Calculation 4 4 7 2" xfId="34851" xr:uid="{00000000-0005-0000-0000-000004880000}"/>
    <cellStyle name="Calculation 4 4 7 3" xfId="34852" xr:uid="{00000000-0005-0000-0000-000005880000}"/>
    <cellStyle name="Calculation 4 4 7 4" xfId="34853" xr:uid="{00000000-0005-0000-0000-000006880000}"/>
    <cellStyle name="Calculation 4 4 7 5" xfId="34854" xr:uid="{00000000-0005-0000-0000-000007880000}"/>
    <cellStyle name="Calculation 4 4 7 6" xfId="34855" xr:uid="{00000000-0005-0000-0000-000008880000}"/>
    <cellStyle name="Calculation 4 4 8" xfId="34856" xr:uid="{00000000-0005-0000-0000-000009880000}"/>
    <cellStyle name="Calculation 4 4 9" xfId="34857" xr:uid="{00000000-0005-0000-0000-00000A880000}"/>
    <cellStyle name="Calculation 4 5" xfId="34858" xr:uid="{00000000-0005-0000-0000-00000B880000}"/>
    <cellStyle name="Calculation 4 5 10" xfId="34859" xr:uid="{00000000-0005-0000-0000-00000C880000}"/>
    <cellStyle name="Calculation 4 5 2" xfId="34860" xr:uid="{00000000-0005-0000-0000-00000D880000}"/>
    <cellStyle name="Calculation 4 5 2 2" xfId="34861" xr:uid="{00000000-0005-0000-0000-00000E880000}"/>
    <cellStyle name="Calculation 4 5 2 3" xfId="34862" xr:uid="{00000000-0005-0000-0000-00000F880000}"/>
    <cellStyle name="Calculation 4 5 2 4" xfId="34863" xr:uid="{00000000-0005-0000-0000-000010880000}"/>
    <cellStyle name="Calculation 4 5 2 5" xfId="34864" xr:uid="{00000000-0005-0000-0000-000011880000}"/>
    <cellStyle name="Calculation 4 5 2 6" xfId="34865" xr:uid="{00000000-0005-0000-0000-000012880000}"/>
    <cellStyle name="Calculation 4 5 3" xfId="34866" xr:uid="{00000000-0005-0000-0000-000013880000}"/>
    <cellStyle name="Calculation 4 5 3 2" xfId="34867" xr:uid="{00000000-0005-0000-0000-000014880000}"/>
    <cellStyle name="Calculation 4 5 3 3" xfId="34868" xr:uid="{00000000-0005-0000-0000-000015880000}"/>
    <cellStyle name="Calculation 4 5 3 4" xfId="34869" xr:uid="{00000000-0005-0000-0000-000016880000}"/>
    <cellStyle name="Calculation 4 5 3 5" xfId="34870" xr:uid="{00000000-0005-0000-0000-000017880000}"/>
    <cellStyle name="Calculation 4 5 3 6" xfId="34871" xr:uid="{00000000-0005-0000-0000-000018880000}"/>
    <cellStyle name="Calculation 4 5 4" xfId="34872" xr:uid="{00000000-0005-0000-0000-000019880000}"/>
    <cellStyle name="Calculation 4 5 4 2" xfId="34873" xr:uid="{00000000-0005-0000-0000-00001A880000}"/>
    <cellStyle name="Calculation 4 5 4 3" xfId="34874" xr:uid="{00000000-0005-0000-0000-00001B880000}"/>
    <cellStyle name="Calculation 4 5 4 4" xfId="34875" xr:uid="{00000000-0005-0000-0000-00001C880000}"/>
    <cellStyle name="Calculation 4 5 4 5" xfId="34876" xr:uid="{00000000-0005-0000-0000-00001D880000}"/>
    <cellStyle name="Calculation 4 5 4 6" xfId="34877" xr:uid="{00000000-0005-0000-0000-00001E880000}"/>
    <cellStyle name="Calculation 4 5 5" xfId="34878" xr:uid="{00000000-0005-0000-0000-00001F880000}"/>
    <cellStyle name="Calculation 4 5 5 2" xfId="34879" xr:uid="{00000000-0005-0000-0000-000020880000}"/>
    <cellStyle name="Calculation 4 5 5 3" xfId="34880" xr:uid="{00000000-0005-0000-0000-000021880000}"/>
    <cellStyle name="Calculation 4 5 5 4" xfId="34881" xr:uid="{00000000-0005-0000-0000-000022880000}"/>
    <cellStyle name="Calculation 4 5 5 5" xfId="34882" xr:uid="{00000000-0005-0000-0000-000023880000}"/>
    <cellStyle name="Calculation 4 5 5 6" xfId="34883" xr:uid="{00000000-0005-0000-0000-000024880000}"/>
    <cellStyle name="Calculation 4 5 6" xfId="34884" xr:uid="{00000000-0005-0000-0000-000025880000}"/>
    <cellStyle name="Calculation 4 5 6 2" xfId="34885" xr:uid="{00000000-0005-0000-0000-000026880000}"/>
    <cellStyle name="Calculation 4 5 6 3" xfId="34886" xr:uid="{00000000-0005-0000-0000-000027880000}"/>
    <cellStyle name="Calculation 4 5 6 4" xfId="34887" xr:uid="{00000000-0005-0000-0000-000028880000}"/>
    <cellStyle name="Calculation 4 5 6 5" xfId="34888" xr:uid="{00000000-0005-0000-0000-000029880000}"/>
    <cellStyle name="Calculation 4 5 6 6" xfId="34889" xr:uid="{00000000-0005-0000-0000-00002A880000}"/>
    <cellStyle name="Calculation 4 5 7" xfId="34890" xr:uid="{00000000-0005-0000-0000-00002B880000}"/>
    <cellStyle name="Calculation 4 5 7 2" xfId="34891" xr:uid="{00000000-0005-0000-0000-00002C880000}"/>
    <cellStyle name="Calculation 4 5 7 3" xfId="34892" xr:uid="{00000000-0005-0000-0000-00002D880000}"/>
    <cellStyle name="Calculation 4 5 7 4" xfId="34893" xr:uid="{00000000-0005-0000-0000-00002E880000}"/>
    <cellStyle name="Calculation 4 5 7 5" xfId="34894" xr:uid="{00000000-0005-0000-0000-00002F880000}"/>
    <cellStyle name="Calculation 4 5 7 6" xfId="34895" xr:uid="{00000000-0005-0000-0000-000030880000}"/>
    <cellStyle name="Calculation 4 5 8" xfId="34896" xr:uid="{00000000-0005-0000-0000-000031880000}"/>
    <cellStyle name="Calculation 4 5 9" xfId="34897" xr:uid="{00000000-0005-0000-0000-000032880000}"/>
    <cellStyle name="Calculation 4 6" xfId="34898" xr:uid="{00000000-0005-0000-0000-000033880000}"/>
    <cellStyle name="Calculation 4 6 10" xfId="34899" xr:uid="{00000000-0005-0000-0000-000034880000}"/>
    <cellStyle name="Calculation 4 6 2" xfId="34900" xr:uid="{00000000-0005-0000-0000-000035880000}"/>
    <cellStyle name="Calculation 4 6 2 2" xfId="34901" xr:uid="{00000000-0005-0000-0000-000036880000}"/>
    <cellStyle name="Calculation 4 6 2 3" xfId="34902" xr:uid="{00000000-0005-0000-0000-000037880000}"/>
    <cellStyle name="Calculation 4 6 2 4" xfId="34903" xr:uid="{00000000-0005-0000-0000-000038880000}"/>
    <cellStyle name="Calculation 4 6 2 5" xfId="34904" xr:uid="{00000000-0005-0000-0000-000039880000}"/>
    <cellStyle name="Calculation 4 6 2 6" xfId="34905" xr:uid="{00000000-0005-0000-0000-00003A880000}"/>
    <cellStyle name="Calculation 4 6 3" xfId="34906" xr:uid="{00000000-0005-0000-0000-00003B880000}"/>
    <cellStyle name="Calculation 4 6 3 2" xfId="34907" xr:uid="{00000000-0005-0000-0000-00003C880000}"/>
    <cellStyle name="Calculation 4 6 3 3" xfId="34908" xr:uid="{00000000-0005-0000-0000-00003D880000}"/>
    <cellStyle name="Calculation 4 6 3 4" xfId="34909" xr:uid="{00000000-0005-0000-0000-00003E880000}"/>
    <cellStyle name="Calculation 4 6 3 5" xfId="34910" xr:uid="{00000000-0005-0000-0000-00003F880000}"/>
    <cellStyle name="Calculation 4 6 3 6" xfId="34911" xr:uid="{00000000-0005-0000-0000-000040880000}"/>
    <cellStyle name="Calculation 4 6 4" xfId="34912" xr:uid="{00000000-0005-0000-0000-000041880000}"/>
    <cellStyle name="Calculation 4 6 4 2" xfId="34913" xr:uid="{00000000-0005-0000-0000-000042880000}"/>
    <cellStyle name="Calculation 4 6 4 3" xfId="34914" xr:uid="{00000000-0005-0000-0000-000043880000}"/>
    <cellStyle name="Calculation 4 6 4 4" xfId="34915" xr:uid="{00000000-0005-0000-0000-000044880000}"/>
    <cellStyle name="Calculation 4 6 4 5" xfId="34916" xr:uid="{00000000-0005-0000-0000-000045880000}"/>
    <cellStyle name="Calculation 4 6 4 6" xfId="34917" xr:uid="{00000000-0005-0000-0000-000046880000}"/>
    <cellStyle name="Calculation 4 6 5" xfId="34918" xr:uid="{00000000-0005-0000-0000-000047880000}"/>
    <cellStyle name="Calculation 4 6 5 2" xfId="34919" xr:uid="{00000000-0005-0000-0000-000048880000}"/>
    <cellStyle name="Calculation 4 6 5 3" xfId="34920" xr:uid="{00000000-0005-0000-0000-000049880000}"/>
    <cellStyle name="Calculation 4 6 5 4" xfId="34921" xr:uid="{00000000-0005-0000-0000-00004A880000}"/>
    <cellStyle name="Calculation 4 6 5 5" xfId="34922" xr:uid="{00000000-0005-0000-0000-00004B880000}"/>
    <cellStyle name="Calculation 4 6 5 6" xfId="34923" xr:uid="{00000000-0005-0000-0000-00004C880000}"/>
    <cellStyle name="Calculation 4 6 6" xfId="34924" xr:uid="{00000000-0005-0000-0000-00004D880000}"/>
    <cellStyle name="Calculation 4 6 6 2" xfId="34925" xr:uid="{00000000-0005-0000-0000-00004E880000}"/>
    <cellStyle name="Calculation 4 6 6 3" xfId="34926" xr:uid="{00000000-0005-0000-0000-00004F880000}"/>
    <cellStyle name="Calculation 4 6 6 4" xfId="34927" xr:uid="{00000000-0005-0000-0000-000050880000}"/>
    <cellStyle name="Calculation 4 6 6 5" xfId="34928" xr:uid="{00000000-0005-0000-0000-000051880000}"/>
    <cellStyle name="Calculation 4 6 6 6" xfId="34929" xr:uid="{00000000-0005-0000-0000-000052880000}"/>
    <cellStyle name="Calculation 4 6 7" xfId="34930" xr:uid="{00000000-0005-0000-0000-000053880000}"/>
    <cellStyle name="Calculation 4 6 7 2" xfId="34931" xr:uid="{00000000-0005-0000-0000-000054880000}"/>
    <cellStyle name="Calculation 4 6 7 3" xfId="34932" xr:uid="{00000000-0005-0000-0000-000055880000}"/>
    <cellStyle name="Calculation 4 6 7 4" xfId="34933" xr:uid="{00000000-0005-0000-0000-000056880000}"/>
    <cellStyle name="Calculation 4 6 7 5" xfId="34934" xr:uid="{00000000-0005-0000-0000-000057880000}"/>
    <cellStyle name="Calculation 4 6 7 6" xfId="34935" xr:uid="{00000000-0005-0000-0000-000058880000}"/>
    <cellStyle name="Calculation 4 6 8" xfId="34936" xr:uid="{00000000-0005-0000-0000-000059880000}"/>
    <cellStyle name="Calculation 4 6 9" xfId="34937" xr:uid="{00000000-0005-0000-0000-00005A880000}"/>
    <cellStyle name="Calculation 4 7" xfId="34938" xr:uid="{00000000-0005-0000-0000-00005B880000}"/>
    <cellStyle name="Calculation 4 7 10" xfId="34939" xr:uid="{00000000-0005-0000-0000-00005C880000}"/>
    <cellStyle name="Calculation 4 7 2" xfId="34940" xr:uid="{00000000-0005-0000-0000-00005D880000}"/>
    <cellStyle name="Calculation 4 7 2 2" xfId="34941" xr:uid="{00000000-0005-0000-0000-00005E880000}"/>
    <cellStyle name="Calculation 4 7 2 3" xfId="34942" xr:uid="{00000000-0005-0000-0000-00005F880000}"/>
    <cellStyle name="Calculation 4 7 2 4" xfId="34943" xr:uid="{00000000-0005-0000-0000-000060880000}"/>
    <cellStyle name="Calculation 4 7 2 5" xfId="34944" xr:uid="{00000000-0005-0000-0000-000061880000}"/>
    <cellStyle name="Calculation 4 7 2 6" xfId="34945" xr:uid="{00000000-0005-0000-0000-000062880000}"/>
    <cellStyle name="Calculation 4 7 3" xfId="34946" xr:uid="{00000000-0005-0000-0000-000063880000}"/>
    <cellStyle name="Calculation 4 7 3 2" xfId="34947" xr:uid="{00000000-0005-0000-0000-000064880000}"/>
    <cellStyle name="Calculation 4 7 3 3" xfId="34948" xr:uid="{00000000-0005-0000-0000-000065880000}"/>
    <cellStyle name="Calculation 4 7 3 4" xfId="34949" xr:uid="{00000000-0005-0000-0000-000066880000}"/>
    <cellStyle name="Calculation 4 7 3 5" xfId="34950" xr:uid="{00000000-0005-0000-0000-000067880000}"/>
    <cellStyle name="Calculation 4 7 3 6" xfId="34951" xr:uid="{00000000-0005-0000-0000-000068880000}"/>
    <cellStyle name="Calculation 4 7 4" xfId="34952" xr:uid="{00000000-0005-0000-0000-000069880000}"/>
    <cellStyle name="Calculation 4 7 4 2" xfId="34953" xr:uid="{00000000-0005-0000-0000-00006A880000}"/>
    <cellStyle name="Calculation 4 7 4 3" xfId="34954" xr:uid="{00000000-0005-0000-0000-00006B880000}"/>
    <cellStyle name="Calculation 4 7 4 4" xfId="34955" xr:uid="{00000000-0005-0000-0000-00006C880000}"/>
    <cellStyle name="Calculation 4 7 4 5" xfId="34956" xr:uid="{00000000-0005-0000-0000-00006D880000}"/>
    <cellStyle name="Calculation 4 7 4 6" xfId="34957" xr:uid="{00000000-0005-0000-0000-00006E880000}"/>
    <cellStyle name="Calculation 4 7 5" xfId="34958" xr:uid="{00000000-0005-0000-0000-00006F880000}"/>
    <cellStyle name="Calculation 4 7 5 2" xfId="34959" xr:uid="{00000000-0005-0000-0000-000070880000}"/>
    <cellStyle name="Calculation 4 7 5 3" xfId="34960" xr:uid="{00000000-0005-0000-0000-000071880000}"/>
    <cellStyle name="Calculation 4 7 5 4" xfId="34961" xr:uid="{00000000-0005-0000-0000-000072880000}"/>
    <cellStyle name="Calculation 4 7 5 5" xfId="34962" xr:uid="{00000000-0005-0000-0000-000073880000}"/>
    <cellStyle name="Calculation 4 7 5 6" xfId="34963" xr:uid="{00000000-0005-0000-0000-000074880000}"/>
    <cellStyle name="Calculation 4 7 6" xfId="34964" xr:uid="{00000000-0005-0000-0000-000075880000}"/>
    <cellStyle name="Calculation 4 7 6 2" xfId="34965" xr:uid="{00000000-0005-0000-0000-000076880000}"/>
    <cellStyle name="Calculation 4 7 6 3" xfId="34966" xr:uid="{00000000-0005-0000-0000-000077880000}"/>
    <cellStyle name="Calculation 4 7 6 4" xfId="34967" xr:uid="{00000000-0005-0000-0000-000078880000}"/>
    <cellStyle name="Calculation 4 7 6 5" xfId="34968" xr:uid="{00000000-0005-0000-0000-000079880000}"/>
    <cellStyle name="Calculation 4 7 6 6" xfId="34969" xr:uid="{00000000-0005-0000-0000-00007A880000}"/>
    <cellStyle name="Calculation 4 7 7" xfId="34970" xr:uid="{00000000-0005-0000-0000-00007B880000}"/>
    <cellStyle name="Calculation 4 7 7 2" xfId="34971" xr:uid="{00000000-0005-0000-0000-00007C880000}"/>
    <cellStyle name="Calculation 4 7 7 3" xfId="34972" xr:uid="{00000000-0005-0000-0000-00007D880000}"/>
    <cellStyle name="Calculation 4 7 7 4" xfId="34973" xr:uid="{00000000-0005-0000-0000-00007E880000}"/>
    <cellStyle name="Calculation 4 7 7 5" xfId="34974" xr:uid="{00000000-0005-0000-0000-00007F880000}"/>
    <cellStyle name="Calculation 4 7 7 6" xfId="34975" xr:uid="{00000000-0005-0000-0000-000080880000}"/>
    <cellStyle name="Calculation 4 7 8" xfId="34976" xr:uid="{00000000-0005-0000-0000-000081880000}"/>
    <cellStyle name="Calculation 4 7 9" xfId="34977" xr:uid="{00000000-0005-0000-0000-000082880000}"/>
    <cellStyle name="Calculation 4 8" xfId="34978" xr:uid="{00000000-0005-0000-0000-000083880000}"/>
    <cellStyle name="Calculation 4 8 10" xfId="34979" xr:uid="{00000000-0005-0000-0000-000084880000}"/>
    <cellStyle name="Calculation 4 8 2" xfId="34980" xr:uid="{00000000-0005-0000-0000-000085880000}"/>
    <cellStyle name="Calculation 4 8 2 2" xfId="34981" xr:uid="{00000000-0005-0000-0000-000086880000}"/>
    <cellStyle name="Calculation 4 8 2 3" xfId="34982" xr:uid="{00000000-0005-0000-0000-000087880000}"/>
    <cellStyle name="Calculation 4 8 2 4" xfId="34983" xr:uid="{00000000-0005-0000-0000-000088880000}"/>
    <cellStyle name="Calculation 4 8 2 5" xfId="34984" xr:uid="{00000000-0005-0000-0000-000089880000}"/>
    <cellStyle name="Calculation 4 8 2 6" xfId="34985" xr:uid="{00000000-0005-0000-0000-00008A880000}"/>
    <cellStyle name="Calculation 4 8 3" xfId="34986" xr:uid="{00000000-0005-0000-0000-00008B880000}"/>
    <cellStyle name="Calculation 4 8 3 2" xfId="34987" xr:uid="{00000000-0005-0000-0000-00008C880000}"/>
    <cellStyle name="Calculation 4 8 3 3" xfId="34988" xr:uid="{00000000-0005-0000-0000-00008D880000}"/>
    <cellStyle name="Calculation 4 8 3 4" xfId="34989" xr:uid="{00000000-0005-0000-0000-00008E880000}"/>
    <cellStyle name="Calculation 4 8 3 5" xfId="34990" xr:uid="{00000000-0005-0000-0000-00008F880000}"/>
    <cellStyle name="Calculation 4 8 3 6" xfId="34991" xr:uid="{00000000-0005-0000-0000-000090880000}"/>
    <cellStyle name="Calculation 4 8 4" xfId="34992" xr:uid="{00000000-0005-0000-0000-000091880000}"/>
    <cellStyle name="Calculation 4 8 4 2" xfId="34993" xr:uid="{00000000-0005-0000-0000-000092880000}"/>
    <cellStyle name="Calculation 4 8 4 3" xfId="34994" xr:uid="{00000000-0005-0000-0000-000093880000}"/>
    <cellStyle name="Calculation 4 8 4 4" xfId="34995" xr:uid="{00000000-0005-0000-0000-000094880000}"/>
    <cellStyle name="Calculation 4 8 4 5" xfId="34996" xr:uid="{00000000-0005-0000-0000-000095880000}"/>
    <cellStyle name="Calculation 4 8 4 6" xfId="34997" xr:uid="{00000000-0005-0000-0000-000096880000}"/>
    <cellStyle name="Calculation 4 8 5" xfId="34998" xr:uid="{00000000-0005-0000-0000-000097880000}"/>
    <cellStyle name="Calculation 4 8 5 2" xfId="34999" xr:uid="{00000000-0005-0000-0000-000098880000}"/>
    <cellStyle name="Calculation 4 8 5 3" xfId="35000" xr:uid="{00000000-0005-0000-0000-000099880000}"/>
    <cellStyle name="Calculation 4 8 5 4" xfId="35001" xr:uid="{00000000-0005-0000-0000-00009A880000}"/>
    <cellStyle name="Calculation 4 8 5 5" xfId="35002" xr:uid="{00000000-0005-0000-0000-00009B880000}"/>
    <cellStyle name="Calculation 4 8 5 6" xfId="35003" xr:uid="{00000000-0005-0000-0000-00009C880000}"/>
    <cellStyle name="Calculation 4 8 6" xfId="35004" xr:uid="{00000000-0005-0000-0000-00009D880000}"/>
    <cellStyle name="Calculation 4 8 6 2" xfId="35005" xr:uid="{00000000-0005-0000-0000-00009E880000}"/>
    <cellStyle name="Calculation 4 8 6 3" xfId="35006" xr:uid="{00000000-0005-0000-0000-00009F880000}"/>
    <cellStyle name="Calculation 4 8 6 4" xfId="35007" xr:uid="{00000000-0005-0000-0000-0000A0880000}"/>
    <cellStyle name="Calculation 4 8 6 5" xfId="35008" xr:uid="{00000000-0005-0000-0000-0000A1880000}"/>
    <cellStyle name="Calculation 4 8 6 6" xfId="35009" xr:uid="{00000000-0005-0000-0000-0000A2880000}"/>
    <cellStyle name="Calculation 4 8 7" xfId="35010" xr:uid="{00000000-0005-0000-0000-0000A3880000}"/>
    <cellStyle name="Calculation 4 8 7 2" xfId="35011" xr:uid="{00000000-0005-0000-0000-0000A4880000}"/>
    <cellStyle name="Calculation 4 8 7 3" xfId="35012" xr:uid="{00000000-0005-0000-0000-0000A5880000}"/>
    <cellStyle name="Calculation 4 8 7 4" xfId="35013" xr:uid="{00000000-0005-0000-0000-0000A6880000}"/>
    <cellStyle name="Calculation 4 8 7 5" xfId="35014" xr:uid="{00000000-0005-0000-0000-0000A7880000}"/>
    <cellStyle name="Calculation 4 8 7 6" xfId="35015" xr:uid="{00000000-0005-0000-0000-0000A8880000}"/>
    <cellStyle name="Calculation 4 8 8" xfId="35016" xr:uid="{00000000-0005-0000-0000-0000A9880000}"/>
    <cellStyle name="Calculation 4 8 9" xfId="35017" xr:uid="{00000000-0005-0000-0000-0000AA880000}"/>
    <cellStyle name="Calculation 4 9" xfId="35018" xr:uid="{00000000-0005-0000-0000-0000AB880000}"/>
    <cellStyle name="Calculation 4 9 10" xfId="35019" xr:uid="{00000000-0005-0000-0000-0000AC880000}"/>
    <cellStyle name="Calculation 4 9 2" xfId="35020" xr:uid="{00000000-0005-0000-0000-0000AD880000}"/>
    <cellStyle name="Calculation 4 9 2 2" xfId="35021" xr:uid="{00000000-0005-0000-0000-0000AE880000}"/>
    <cellStyle name="Calculation 4 9 2 3" xfId="35022" xr:uid="{00000000-0005-0000-0000-0000AF880000}"/>
    <cellStyle name="Calculation 4 9 2 4" xfId="35023" xr:uid="{00000000-0005-0000-0000-0000B0880000}"/>
    <cellStyle name="Calculation 4 9 2 5" xfId="35024" xr:uid="{00000000-0005-0000-0000-0000B1880000}"/>
    <cellStyle name="Calculation 4 9 2 6" xfId="35025" xr:uid="{00000000-0005-0000-0000-0000B2880000}"/>
    <cellStyle name="Calculation 4 9 3" xfId="35026" xr:uid="{00000000-0005-0000-0000-0000B3880000}"/>
    <cellStyle name="Calculation 4 9 3 2" xfId="35027" xr:uid="{00000000-0005-0000-0000-0000B4880000}"/>
    <cellStyle name="Calculation 4 9 3 3" xfId="35028" xr:uid="{00000000-0005-0000-0000-0000B5880000}"/>
    <cellStyle name="Calculation 4 9 3 4" xfId="35029" xr:uid="{00000000-0005-0000-0000-0000B6880000}"/>
    <cellStyle name="Calculation 4 9 3 5" xfId="35030" xr:uid="{00000000-0005-0000-0000-0000B7880000}"/>
    <cellStyle name="Calculation 4 9 3 6" xfId="35031" xr:uid="{00000000-0005-0000-0000-0000B8880000}"/>
    <cellStyle name="Calculation 4 9 4" xfId="35032" xr:uid="{00000000-0005-0000-0000-0000B9880000}"/>
    <cellStyle name="Calculation 4 9 4 2" xfId="35033" xr:uid="{00000000-0005-0000-0000-0000BA880000}"/>
    <cellStyle name="Calculation 4 9 4 3" xfId="35034" xr:uid="{00000000-0005-0000-0000-0000BB880000}"/>
    <cellStyle name="Calculation 4 9 4 4" xfId="35035" xr:uid="{00000000-0005-0000-0000-0000BC880000}"/>
    <cellStyle name="Calculation 4 9 4 5" xfId="35036" xr:uid="{00000000-0005-0000-0000-0000BD880000}"/>
    <cellStyle name="Calculation 4 9 4 6" xfId="35037" xr:uid="{00000000-0005-0000-0000-0000BE880000}"/>
    <cellStyle name="Calculation 4 9 5" xfId="35038" xr:uid="{00000000-0005-0000-0000-0000BF880000}"/>
    <cellStyle name="Calculation 4 9 5 2" xfId="35039" xr:uid="{00000000-0005-0000-0000-0000C0880000}"/>
    <cellStyle name="Calculation 4 9 5 3" xfId="35040" xr:uid="{00000000-0005-0000-0000-0000C1880000}"/>
    <cellStyle name="Calculation 4 9 5 4" xfId="35041" xr:uid="{00000000-0005-0000-0000-0000C2880000}"/>
    <cellStyle name="Calculation 4 9 5 5" xfId="35042" xr:uid="{00000000-0005-0000-0000-0000C3880000}"/>
    <cellStyle name="Calculation 4 9 5 6" xfId="35043" xr:uid="{00000000-0005-0000-0000-0000C4880000}"/>
    <cellStyle name="Calculation 4 9 6" xfId="35044" xr:uid="{00000000-0005-0000-0000-0000C5880000}"/>
    <cellStyle name="Calculation 4 9 6 2" xfId="35045" xr:uid="{00000000-0005-0000-0000-0000C6880000}"/>
    <cellStyle name="Calculation 4 9 6 3" xfId="35046" xr:uid="{00000000-0005-0000-0000-0000C7880000}"/>
    <cellStyle name="Calculation 4 9 6 4" xfId="35047" xr:uid="{00000000-0005-0000-0000-0000C8880000}"/>
    <cellStyle name="Calculation 4 9 6 5" xfId="35048" xr:uid="{00000000-0005-0000-0000-0000C9880000}"/>
    <cellStyle name="Calculation 4 9 6 6" xfId="35049" xr:uid="{00000000-0005-0000-0000-0000CA880000}"/>
    <cellStyle name="Calculation 4 9 7" xfId="35050" xr:uid="{00000000-0005-0000-0000-0000CB880000}"/>
    <cellStyle name="Calculation 4 9 7 2" xfId="35051" xr:uid="{00000000-0005-0000-0000-0000CC880000}"/>
    <cellStyle name="Calculation 4 9 7 3" xfId="35052" xr:uid="{00000000-0005-0000-0000-0000CD880000}"/>
    <cellStyle name="Calculation 4 9 7 4" xfId="35053" xr:uid="{00000000-0005-0000-0000-0000CE880000}"/>
    <cellStyle name="Calculation 4 9 7 5" xfId="35054" xr:uid="{00000000-0005-0000-0000-0000CF880000}"/>
    <cellStyle name="Calculation 4 9 7 6" xfId="35055" xr:uid="{00000000-0005-0000-0000-0000D0880000}"/>
    <cellStyle name="Calculation 4 9 8" xfId="35056" xr:uid="{00000000-0005-0000-0000-0000D1880000}"/>
    <cellStyle name="Calculation 4 9 9" xfId="35057" xr:uid="{00000000-0005-0000-0000-0000D2880000}"/>
    <cellStyle name="Calculation 5" xfId="35058" xr:uid="{00000000-0005-0000-0000-0000D3880000}"/>
    <cellStyle name="Calculation 5 10" xfId="35059" xr:uid="{00000000-0005-0000-0000-0000D4880000}"/>
    <cellStyle name="Calculation 5 10 10" xfId="35060" xr:uid="{00000000-0005-0000-0000-0000D5880000}"/>
    <cellStyle name="Calculation 5 10 2" xfId="35061" xr:uid="{00000000-0005-0000-0000-0000D6880000}"/>
    <cellStyle name="Calculation 5 10 2 2" xfId="35062" xr:uid="{00000000-0005-0000-0000-0000D7880000}"/>
    <cellStyle name="Calculation 5 10 2 3" xfId="35063" xr:uid="{00000000-0005-0000-0000-0000D8880000}"/>
    <cellStyle name="Calculation 5 10 2 4" xfId="35064" xr:uid="{00000000-0005-0000-0000-0000D9880000}"/>
    <cellStyle name="Calculation 5 10 2 5" xfId="35065" xr:uid="{00000000-0005-0000-0000-0000DA880000}"/>
    <cellStyle name="Calculation 5 10 2 6" xfId="35066" xr:uid="{00000000-0005-0000-0000-0000DB880000}"/>
    <cellStyle name="Calculation 5 10 3" xfId="35067" xr:uid="{00000000-0005-0000-0000-0000DC880000}"/>
    <cellStyle name="Calculation 5 10 3 2" xfId="35068" xr:uid="{00000000-0005-0000-0000-0000DD880000}"/>
    <cellStyle name="Calculation 5 10 3 3" xfId="35069" xr:uid="{00000000-0005-0000-0000-0000DE880000}"/>
    <cellStyle name="Calculation 5 10 3 4" xfId="35070" xr:uid="{00000000-0005-0000-0000-0000DF880000}"/>
    <cellStyle name="Calculation 5 10 3 5" xfId="35071" xr:uid="{00000000-0005-0000-0000-0000E0880000}"/>
    <cellStyle name="Calculation 5 10 3 6" xfId="35072" xr:uid="{00000000-0005-0000-0000-0000E1880000}"/>
    <cellStyle name="Calculation 5 10 4" xfId="35073" xr:uid="{00000000-0005-0000-0000-0000E2880000}"/>
    <cellStyle name="Calculation 5 10 4 2" xfId="35074" xr:uid="{00000000-0005-0000-0000-0000E3880000}"/>
    <cellStyle name="Calculation 5 10 4 3" xfId="35075" xr:uid="{00000000-0005-0000-0000-0000E4880000}"/>
    <cellStyle name="Calculation 5 10 4 4" xfId="35076" xr:uid="{00000000-0005-0000-0000-0000E5880000}"/>
    <cellStyle name="Calculation 5 10 4 5" xfId="35077" xr:uid="{00000000-0005-0000-0000-0000E6880000}"/>
    <cellStyle name="Calculation 5 10 4 6" xfId="35078" xr:uid="{00000000-0005-0000-0000-0000E7880000}"/>
    <cellStyle name="Calculation 5 10 5" xfId="35079" xr:uid="{00000000-0005-0000-0000-0000E8880000}"/>
    <cellStyle name="Calculation 5 10 5 2" xfId="35080" xr:uid="{00000000-0005-0000-0000-0000E9880000}"/>
    <cellStyle name="Calculation 5 10 5 3" xfId="35081" xr:uid="{00000000-0005-0000-0000-0000EA880000}"/>
    <cellStyle name="Calculation 5 10 5 4" xfId="35082" xr:uid="{00000000-0005-0000-0000-0000EB880000}"/>
    <cellStyle name="Calculation 5 10 5 5" xfId="35083" xr:uid="{00000000-0005-0000-0000-0000EC880000}"/>
    <cellStyle name="Calculation 5 10 5 6" xfId="35084" xr:uid="{00000000-0005-0000-0000-0000ED880000}"/>
    <cellStyle name="Calculation 5 10 6" xfId="35085" xr:uid="{00000000-0005-0000-0000-0000EE880000}"/>
    <cellStyle name="Calculation 5 10 6 2" xfId="35086" xr:uid="{00000000-0005-0000-0000-0000EF880000}"/>
    <cellStyle name="Calculation 5 10 6 3" xfId="35087" xr:uid="{00000000-0005-0000-0000-0000F0880000}"/>
    <cellStyle name="Calculation 5 10 6 4" xfId="35088" xr:uid="{00000000-0005-0000-0000-0000F1880000}"/>
    <cellStyle name="Calculation 5 10 6 5" xfId="35089" xr:uid="{00000000-0005-0000-0000-0000F2880000}"/>
    <cellStyle name="Calculation 5 10 6 6" xfId="35090" xr:uid="{00000000-0005-0000-0000-0000F3880000}"/>
    <cellStyle name="Calculation 5 10 7" xfId="35091" xr:uid="{00000000-0005-0000-0000-0000F4880000}"/>
    <cellStyle name="Calculation 5 10 7 2" xfId="35092" xr:uid="{00000000-0005-0000-0000-0000F5880000}"/>
    <cellStyle name="Calculation 5 10 7 3" xfId="35093" xr:uid="{00000000-0005-0000-0000-0000F6880000}"/>
    <cellStyle name="Calculation 5 10 7 4" xfId="35094" xr:uid="{00000000-0005-0000-0000-0000F7880000}"/>
    <cellStyle name="Calculation 5 10 7 5" xfId="35095" xr:uid="{00000000-0005-0000-0000-0000F8880000}"/>
    <cellStyle name="Calculation 5 10 7 6" xfId="35096" xr:uid="{00000000-0005-0000-0000-0000F9880000}"/>
    <cellStyle name="Calculation 5 10 8" xfId="35097" xr:uid="{00000000-0005-0000-0000-0000FA880000}"/>
    <cellStyle name="Calculation 5 10 9" xfId="35098" xr:uid="{00000000-0005-0000-0000-0000FB880000}"/>
    <cellStyle name="Calculation 5 11" xfId="35099" xr:uid="{00000000-0005-0000-0000-0000FC880000}"/>
    <cellStyle name="Calculation 5 11 10" xfId="35100" xr:uid="{00000000-0005-0000-0000-0000FD880000}"/>
    <cellStyle name="Calculation 5 11 2" xfId="35101" xr:uid="{00000000-0005-0000-0000-0000FE880000}"/>
    <cellStyle name="Calculation 5 11 2 2" xfId="35102" xr:uid="{00000000-0005-0000-0000-0000FF880000}"/>
    <cellStyle name="Calculation 5 11 2 3" xfId="35103" xr:uid="{00000000-0005-0000-0000-000000890000}"/>
    <cellStyle name="Calculation 5 11 2 4" xfId="35104" xr:uid="{00000000-0005-0000-0000-000001890000}"/>
    <cellStyle name="Calculation 5 11 2 5" xfId="35105" xr:uid="{00000000-0005-0000-0000-000002890000}"/>
    <cellStyle name="Calculation 5 11 2 6" xfId="35106" xr:uid="{00000000-0005-0000-0000-000003890000}"/>
    <cellStyle name="Calculation 5 11 3" xfId="35107" xr:uid="{00000000-0005-0000-0000-000004890000}"/>
    <cellStyle name="Calculation 5 11 3 2" xfId="35108" xr:uid="{00000000-0005-0000-0000-000005890000}"/>
    <cellStyle name="Calculation 5 11 3 3" xfId="35109" xr:uid="{00000000-0005-0000-0000-000006890000}"/>
    <cellStyle name="Calculation 5 11 3 4" xfId="35110" xr:uid="{00000000-0005-0000-0000-000007890000}"/>
    <cellStyle name="Calculation 5 11 3 5" xfId="35111" xr:uid="{00000000-0005-0000-0000-000008890000}"/>
    <cellStyle name="Calculation 5 11 3 6" xfId="35112" xr:uid="{00000000-0005-0000-0000-000009890000}"/>
    <cellStyle name="Calculation 5 11 4" xfId="35113" xr:uid="{00000000-0005-0000-0000-00000A890000}"/>
    <cellStyle name="Calculation 5 11 4 2" xfId="35114" xr:uid="{00000000-0005-0000-0000-00000B890000}"/>
    <cellStyle name="Calculation 5 11 4 3" xfId="35115" xr:uid="{00000000-0005-0000-0000-00000C890000}"/>
    <cellStyle name="Calculation 5 11 4 4" xfId="35116" xr:uid="{00000000-0005-0000-0000-00000D890000}"/>
    <cellStyle name="Calculation 5 11 4 5" xfId="35117" xr:uid="{00000000-0005-0000-0000-00000E890000}"/>
    <cellStyle name="Calculation 5 11 4 6" xfId="35118" xr:uid="{00000000-0005-0000-0000-00000F890000}"/>
    <cellStyle name="Calculation 5 11 5" xfId="35119" xr:uid="{00000000-0005-0000-0000-000010890000}"/>
    <cellStyle name="Calculation 5 11 5 2" xfId="35120" xr:uid="{00000000-0005-0000-0000-000011890000}"/>
    <cellStyle name="Calculation 5 11 5 3" xfId="35121" xr:uid="{00000000-0005-0000-0000-000012890000}"/>
    <cellStyle name="Calculation 5 11 5 4" xfId="35122" xr:uid="{00000000-0005-0000-0000-000013890000}"/>
    <cellStyle name="Calculation 5 11 5 5" xfId="35123" xr:uid="{00000000-0005-0000-0000-000014890000}"/>
    <cellStyle name="Calculation 5 11 5 6" xfId="35124" xr:uid="{00000000-0005-0000-0000-000015890000}"/>
    <cellStyle name="Calculation 5 11 6" xfId="35125" xr:uid="{00000000-0005-0000-0000-000016890000}"/>
    <cellStyle name="Calculation 5 11 6 2" xfId="35126" xr:uid="{00000000-0005-0000-0000-000017890000}"/>
    <cellStyle name="Calculation 5 11 6 3" xfId="35127" xr:uid="{00000000-0005-0000-0000-000018890000}"/>
    <cellStyle name="Calculation 5 11 6 4" xfId="35128" xr:uid="{00000000-0005-0000-0000-000019890000}"/>
    <cellStyle name="Calculation 5 11 6 5" xfId="35129" xr:uid="{00000000-0005-0000-0000-00001A890000}"/>
    <cellStyle name="Calculation 5 11 6 6" xfId="35130" xr:uid="{00000000-0005-0000-0000-00001B890000}"/>
    <cellStyle name="Calculation 5 11 7" xfId="35131" xr:uid="{00000000-0005-0000-0000-00001C890000}"/>
    <cellStyle name="Calculation 5 11 7 2" xfId="35132" xr:uid="{00000000-0005-0000-0000-00001D890000}"/>
    <cellStyle name="Calculation 5 11 7 3" xfId="35133" xr:uid="{00000000-0005-0000-0000-00001E890000}"/>
    <cellStyle name="Calculation 5 11 7 4" xfId="35134" xr:uid="{00000000-0005-0000-0000-00001F890000}"/>
    <cellStyle name="Calculation 5 11 7 5" xfId="35135" xr:uid="{00000000-0005-0000-0000-000020890000}"/>
    <cellStyle name="Calculation 5 11 7 6" xfId="35136" xr:uid="{00000000-0005-0000-0000-000021890000}"/>
    <cellStyle name="Calculation 5 11 8" xfId="35137" xr:uid="{00000000-0005-0000-0000-000022890000}"/>
    <cellStyle name="Calculation 5 11 9" xfId="35138" xr:uid="{00000000-0005-0000-0000-000023890000}"/>
    <cellStyle name="Calculation 5 12" xfId="35139" xr:uid="{00000000-0005-0000-0000-000024890000}"/>
    <cellStyle name="Calculation 5 12 10" xfId="35140" xr:uid="{00000000-0005-0000-0000-000025890000}"/>
    <cellStyle name="Calculation 5 12 2" xfId="35141" xr:uid="{00000000-0005-0000-0000-000026890000}"/>
    <cellStyle name="Calculation 5 12 2 2" xfId="35142" xr:uid="{00000000-0005-0000-0000-000027890000}"/>
    <cellStyle name="Calculation 5 12 2 3" xfId="35143" xr:uid="{00000000-0005-0000-0000-000028890000}"/>
    <cellStyle name="Calculation 5 12 2 4" xfId="35144" xr:uid="{00000000-0005-0000-0000-000029890000}"/>
    <cellStyle name="Calculation 5 12 2 5" xfId="35145" xr:uid="{00000000-0005-0000-0000-00002A890000}"/>
    <cellStyle name="Calculation 5 12 2 6" xfId="35146" xr:uid="{00000000-0005-0000-0000-00002B890000}"/>
    <cellStyle name="Calculation 5 12 3" xfId="35147" xr:uid="{00000000-0005-0000-0000-00002C890000}"/>
    <cellStyle name="Calculation 5 12 3 2" xfId="35148" xr:uid="{00000000-0005-0000-0000-00002D890000}"/>
    <cellStyle name="Calculation 5 12 3 3" xfId="35149" xr:uid="{00000000-0005-0000-0000-00002E890000}"/>
    <cellStyle name="Calculation 5 12 3 4" xfId="35150" xr:uid="{00000000-0005-0000-0000-00002F890000}"/>
    <cellStyle name="Calculation 5 12 3 5" xfId="35151" xr:uid="{00000000-0005-0000-0000-000030890000}"/>
    <cellStyle name="Calculation 5 12 3 6" xfId="35152" xr:uid="{00000000-0005-0000-0000-000031890000}"/>
    <cellStyle name="Calculation 5 12 4" xfId="35153" xr:uid="{00000000-0005-0000-0000-000032890000}"/>
    <cellStyle name="Calculation 5 12 4 2" xfId="35154" xr:uid="{00000000-0005-0000-0000-000033890000}"/>
    <cellStyle name="Calculation 5 12 4 3" xfId="35155" xr:uid="{00000000-0005-0000-0000-000034890000}"/>
    <cellStyle name="Calculation 5 12 4 4" xfId="35156" xr:uid="{00000000-0005-0000-0000-000035890000}"/>
    <cellStyle name="Calculation 5 12 4 5" xfId="35157" xr:uid="{00000000-0005-0000-0000-000036890000}"/>
    <cellStyle name="Calculation 5 12 4 6" xfId="35158" xr:uid="{00000000-0005-0000-0000-000037890000}"/>
    <cellStyle name="Calculation 5 12 5" xfId="35159" xr:uid="{00000000-0005-0000-0000-000038890000}"/>
    <cellStyle name="Calculation 5 12 5 2" xfId="35160" xr:uid="{00000000-0005-0000-0000-000039890000}"/>
    <cellStyle name="Calculation 5 12 5 3" xfId="35161" xr:uid="{00000000-0005-0000-0000-00003A890000}"/>
    <cellStyle name="Calculation 5 12 5 4" xfId="35162" xr:uid="{00000000-0005-0000-0000-00003B890000}"/>
    <cellStyle name="Calculation 5 12 5 5" xfId="35163" xr:uid="{00000000-0005-0000-0000-00003C890000}"/>
    <cellStyle name="Calculation 5 12 5 6" xfId="35164" xr:uid="{00000000-0005-0000-0000-00003D890000}"/>
    <cellStyle name="Calculation 5 12 6" xfId="35165" xr:uid="{00000000-0005-0000-0000-00003E890000}"/>
    <cellStyle name="Calculation 5 12 6 2" xfId="35166" xr:uid="{00000000-0005-0000-0000-00003F890000}"/>
    <cellStyle name="Calculation 5 12 6 3" xfId="35167" xr:uid="{00000000-0005-0000-0000-000040890000}"/>
    <cellStyle name="Calculation 5 12 6 4" xfId="35168" xr:uid="{00000000-0005-0000-0000-000041890000}"/>
    <cellStyle name="Calculation 5 12 6 5" xfId="35169" xr:uid="{00000000-0005-0000-0000-000042890000}"/>
    <cellStyle name="Calculation 5 12 6 6" xfId="35170" xr:uid="{00000000-0005-0000-0000-000043890000}"/>
    <cellStyle name="Calculation 5 12 7" xfId="35171" xr:uid="{00000000-0005-0000-0000-000044890000}"/>
    <cellStyle name="Calculation 5 12 7 2" xfId="35172" xr:uid="{00000000-0005-0000-0000-000045890000}"/>
    <cellStyle name="Calculation 5 12 7 3" xfId="35173" xr:uid="{00000000-0005-0000-0000-000046890000}"/>
    <cellStyle name="Calculation 5 12 7 4" xfId="35174" xr:uid="{00000000-0005-0000-0000-000047890000}"/>
    <cellStyle name="Calculation 5 12 7 5" xfId="35175" xr:uid="{00000000-0005-0000-0000-000048890000}"/>
    <cellStyle name="Calculation 5 12 7 6" xfId="35176" xr:uid="{00000000-0005-0000-0000-000049890000}"/>
    <cellStyle name="Calculation 5 12 8" xfId="35177" xr:uid="{00000000-0005-0000-0000-00004A890000}"/>
    <cellStyle name="Calculation 5 12 9" xfId="35178" xr:uid="{00000000-0005-0000-0000-00004B890000}"/>
    <cellStyle name="Calculation 5 13" xfId="35179" xr:uid="{00000000-0005-0000-0000-00004C890000}"/>
    <cellStyle name="Calculation 5 13 10" xfId="35180" xr:uid="{00000000-0005-0000-0000-00004D890000}"/>
    <cellStyle name="Calculation 5 13 2" xfId="35181" xr:uid="{00000000-0005-0000-0000-00004E890000}"/>
    <cellStyle name="Calculation 5 13 2 2" xfId="35182" xr:uid="{00000000-0005-0000-0000-00004F890000}"/>
    <cellStyle name="Calculation 5 13 2 3" xfId="35183" xr:uid="{00000000-0005-0000-0000-000050890000}"/>
    <cellStyle name="Calculation 5 13 2 4" xfId="35184" xr:uid="{00000000-0005-0000-0000-000051890000}"/>
    <cellStyle name="Calculation 5 13 2 5" xfId="35185" xr:uid="{00000000-0005-0000-0000-000052890000}"/>
    <cellStyle name="Calculation 5 13 2 6" xfId="35186" xr:uid="{00000000-0005-0000-0000-000053890000}"/>
    <cellStyle name="Calculation 5 13 3" xfId="35187" xr:uid="{00000000-0005-0000-0000-000054890000}"/>
    <cellStyle name="Calculation 5 13 3 2" xfId="35188" xr:uid="{00000000-0005-0000-0000-000055890000}"/>
    <cellStyle name="Calculation 5 13 3 3" xfId="35189" xr:uid="{00000000-0005-0000-0000-000056890000}"/>
    <cellStyle name="Calculation 5 13 3 4" xfId="35190" xr:uid="{00000000-0005-0000-0000-000057890000}"/>
    <cellStyle name="Calculation 5 13 3 5" xfId="35191" xr:uid="{00000000-0005-0000-0000-000058890000}"/>
    <cellStyle name="Calculation 5 13 3 6" xfId="35192" xr:uid="{00000000-0005-0000-0000-000059890000}"/>
    <cellStyle name="Calculation 5 13 4" xfId="35193" xr:uid="{00000000-0005-0000-0000-00005A890000}"/>
    <cellStyle name="Calculation 5 13 4 2" xfId="35194" xr:uid="{00000000-0005-0000-0000-00005B890000}"/>
    <cellStyle name="Calculation 5 13 4 3" xfId="35195" xr:uid="{00000000-0005-0000-0000-00005C890000}"/>
    <cellStyle name="Calculation 5 13 4 4" xfId="35196" xr:uid="{00000000-0005-0000-0000-00005D890000}"/>
    <cellStyle name="Calculation 5 13 4 5" xfId="35197" xr:uid="{00000000-0005-0000-0000-00005E890000}"/>
    <cellStyle name="Calculation 5 13 4 6" xfId="35198" xr:uid="{00000000-0005-0000-0000-00005F890000}"/>
    <cellStyle name="Calculation 5 13 5" xfId="35199" xr:uid="{00000000-0005-0000-0000-000060890000}"/>
    <cellStyle name="Calculation 5 13 5 2" xfId="35200" xr:uid="{00000000-0005-0000-0000-000061890000}"/>
    <cellStyle name="Calculation 5 13 5 3" xfId="35201" xr:uid="{00000000-0005-0000-0000-000062890000}"/>
    <cellStyle name="Calculation 5 13 5 4" xfId="35202" xr:uid="{00000000-0005-0000-0000-000063890000}"/>
    <cellStyle name="Calculation 5 13 5 5" xfId="35203" xr:uid="{00000000-0005-0000-0000-000064890000}"/>
    <cellStyle name="Calculation 5 13 5 6" xfId="35204" xr:uid="{00000000-0005-0000-0000-000065890000}"/>
    <cellStyle name="Calculation 5 13 6" xfId="35205" xr:uid="{00000000-0005-0000-0000-000066890000}"/>
    <cellStyle name="Calculation 5 13 6 2" xfId="35206" xr:uid="{00000000-0005-0000-0000-000067890000}"/>
    <cellStyle name="Calculation 5 13 6 3" xfId="35207" xr:uid="{00000000-0005-0000-0000-000068890000}"/>
    <cellStyle name="Calculation 5 13 6 4" xfId="35208" xr:uid="{00000000-0005-0000-0000-000069890000}"/>
    <cellStyle name="Calculation 5 13 6 5" xfId="35209" xr:uid="{00000000-0005-0000-0000-00006A890000}"/>
    <cellStyle name="Calculation 5 13 6 6" xfId="35210" xr:uid="{00000000-0005-0000-0000-00006B890000}"/>
    <cellStyle name="Calculation 5 13 7" xfId="35211" xr:uid="{00000000-0005-0000-0000-00006C890000}"/>
    <cellStyle name="Calculation 5 13 7 2" xfId="35212" xr:uid="{00000000-0005-0000-0000-00006D890000}"/>
    <cellStyle name="Calculation 5 13 7 3" xfId="35213" xr:uid="{00000000-0005-0000-0000-00006E890000}"/>
    <cellStyle name="Calculation 5 13 7 4" xfId="35214" xr:uid="{00000000-0005-0000-0000-00006F890000}"/>
    <cellStyle name="Calculation 5 13 7 5" xfId="35215" xr:uid="{00000000-0005-0000-0000-000070890000}"/>
    <cellStyle name="Calculation 5 13 7 6" xfId="35216" xr:uid="{00000000-0005-0000-0000-000071890000}"/>
    <cellStyle name="Calculation 5 13 8" xfId="35217" xr:uid="{00000000-0005-0000-0000-000072890000}"/>
    <cellStyle name="Calculation 5 13 9" xfId="35218" xr:uid="{00000000-0005-0000-0000-000073890000}"/>
    <cellStyle name="Calculation 5 14" xfId="35219" xr:uid="{00000000-0005-0000-0000-000074890000}"/>
    <cellStyle name="Calculation 5 14 10" xfId="35220" xr:uid="{00000000-0005-0000-0000-000075890000}"/>
    <cellStyle name="Calculation 5 14 2" xfId="35221" xr:uid="{00000000-0005-0000-0000-000076890000}"/>
    <cellStyle name="Calculation 5 14 2 2" xfId="35222" xr:uid="{00000000-0005-0000-0000-000077890000}"/>
    <cellStyle name="Calculation 5 14 2 3" xfId="35223" xr:uid="{00000000-0005-0000-0000-000078890000}"/>
    <cellStyle name="Calculation 5 14 2 4" xfId="35224" xr:uid="{00000000-0005-0000-0000-000079890000}"/>
    <cellStyle name="Calculation 5 14 2 5" xfId="35225" xr:uid="{00000000-0005-0000-0000-00007A890000}"/>
    <cellStyle name="Calculation 5 14 2 6" xfId="35226" xr:uid="{00000000-0005-0000-0000-00007B890000}"/>
    <cellStyle name="Calculation 5 14 3" xfId="35227" xr:uid="{00000000-0005-0000-0000-00007C890000}"/>
    <cellStyle name="Calculation 5 14 3 2" xfId="35228" xr:uid="{00000000-0005-0000-0000-00007D890000}"/>
    <cellStyle name="Calculation 5 14 3 3" xfId="35229" xr:uid="{00000000-0005-0000-0000-00007E890000}"/>
    <cellStyle name="Calculation 5 14 3 4" xfId="35230" xr:uid="{00000000-0005-0000-0000-00007F890000}"/>
    <cellStyle name="Calculation 5 14 3 5" xfId="35231" xr:uid="{00000000-0005-0000-0000-000080890000}"/>
    <cellStyle name="Calculation 5 14 3 6" xfId="35232" xr:uid="{00000000-0005-0000-0000-000081890000}"/>
    <cellStyle name="Calculation 5 14 4" xfId="35233" xr:uid="{00000000-0005-0000-0000-000082890000}"/>
    <cellStyle name="Calculation 5 14 4 2" xfId="35234" xr:uid="{00000000-0005-0000-0000-000083890000}"/>
    <cellStyle name="Calculation 5 14 4 3" xfId="35235" xr:uid="{00000000-0005-0000-0000-000084890000}"/>
    <cellStyle name="Calculation 5 14 4 4" xfId="35236" xr:uid="{00000000-0005-0000-0000-000085890000}"/>
    <cellStyle name="Calculation 5 14 4 5" xfId="35237" xr:uid="{00000000-0005-0000-0000-000086890000}"/>
    <cellStyle name="Calculation 5 14 4 6" xfId="35238" xr:uid="{00000000-0005-0000-0000-000087890000}"/>
    <cellStyle name="Calculation 5 14 5" xfId="35239" xr:uid="{00000000-0005-0000-0000-000088890000}"/>
    <cellStyle name="Calculation 5 14 5 2" xfId="35240" xr:uid="{00000000-0005-0000-0000-000089890000}"/>
    <cellStyle name="Calculation 5 14 5 3" xfId="35241" xr:uid="{00000000-0005-0000-0000-00008A890000}"/>
    <cellStyle name="Calculation 5 14 5 4" xfId="35242" xr:uid="{00000000-0005-0000-0000-00008B890000}"/>
    <cellStyle name="Calculation 5 14 5 5" xfId="35243" xr:uid="{00000000-0005-0000-0000-00008C890000}"/>
    <cellStyle name="Calculation 5 14 5 6" xfId="35244" xr:uid="{00000000-0005-0000-0000-00008D890000}"/>
    <cellStyle name="Calculation 5 14 6" xfId="35245" xr:uid="{00000000-0005-0000-0000-00008E890000}"/>
    <cellStyle name="Calculation 5 14 6 2" xfId="35246" xr:uid="{00000000-0005-0000-0000-00008F890000}"/>
    <cellStyle name="Calculation 5 14 6 3" xfId="35247" xr:uid="{00000000-0005-0000-0000-000090890000}"/>
    <cellStyle name="Calculation 5 14 6 4" xfId="35248" xr:uid="{00000000-0005-0000-0000-000091890000}"/>
    <cellStyle name="Calculation 5 14 6 5" xfId="35249" xr:uid="{00000000-0005-0000-0000-000092890000}"/>
    <cellStyle name="Calculation 5 14 6 6" xfId="35250" xr:uid="{00000000-0005-0000-0000-000093890000}"/>
    <cellStyle name="Calculation 5 14 7" xfId="35251" xr:uid="{00000000-0005-0000-0000-000094890000}"/>
    <cellStyle name="Calculation 5 14 7 2" xfId="35252" xr:uid="{00000000-0005-0000-0000-000095890000}"/>
    <cellStyle name="Calculation 5 14 7 3" xfId="35253" xr:uid="{00000000-0005-0000-0000-000096890000}"/>
    <cellStyle name="Calculation 5 14 7 4" xfId="35254" xr:uid="{00000000-0005-0000-0000-000097890000}"/>
    <cellStyle name="Calculation 5 14 7 5" xfId="35255" xr:uid="{00000000-0005-0000-0000-000098890000}"/>
    <cellStyle name="Calculation 5 14 7 6" xfId="35256" xr:uid="{00000000-0005-0000-0000-000099890000}"/>
    <cellStyle name="Calculation 5 14 8" xfId="35257" xr:uid="{00000000-0005-0000-0000-00009A890000}"/>
    <cellStyle name="Calculation 5 14 9" xfId="35258" xr:uid="{00000000-0005-0000-0000-00009B890000}"/>
    <cellStyle name="Calculation 5 15" xfId="35259" xr:uid="{00000000-0005-0000-0000-00009C890000}"/>
    <cellStyle name="Calculation 5 15 10" xfId="35260" xr:uid="{00000000-0005-0000-0000-00009D890000}"/>
    <cellStyle name="Calculation 5 15 2" xfId="35261" xr:uid="{00000000-0005-0000-0000-00009E890000}"/>
    <cellStyle name="Calculation 5 15 2 2" xfId="35262" xr:uid="{00000000-0005-0000-0000-00009F890000}"/>
    <cellStyle name="Calculation 5 15 2 3" xfId="35263" xr:uid="{00000000-0005-0000-0000-0000A0890000}"/>
    <cellStyle name="Calculation 5 15 2 4" xfId="35264" xr:uid="{00000000-0005-0000-0000-0000A1890000}"/>
    <cellStyle name="Calculation 5 15 2 5" xfId="35265" xr:uid="{00000000-0005-0000-0000-0000A2890000}"/>
    <cellStyle name="Calculation 5 15 2 6" xfId="35266" xr:uid="{00000000-0005-0000-0000-0000A3890000}"/>
    <cellStyle name="Calculation 5 15 3" xfId="35267" xr:uid="{00000000-0005-0000-0000-0000A4890000}"/>
    <cellStyle name="Calculation 5 15 3 2" xfId="35268" xr:uid="{00000000-0005-0000-0000-0000A5890000}"/>
    <cellStyle name="Calculation 5 15 3 3" xfId="35269" xr:uid="{00000000-0005-0000-0000-0000A6890000}"/>
    <cellStyle name="Calculation 5 15 3 4" xfId="35270" xr:uid="{00000000-0005-0000-0000-0000A7890000}"/>
    <cellStyle name="Calculation 5 15 3 5" xfId="35271" xr:uid="{00000000-0005-0000-0000-0000A8890000}"/>
    <cellStyle name="Calculation 5 15 3 6" xfId="35272" xr:uid="{00000000-0005-0000-0000-0000A9890000}"/>
    <cellStyle name="Calculation 5 15 4" xfId="35273" xr:uid="{00000000-0005-0000-0000-0000AA890000}"/>
    <cellStyle name="Calculation 5 15 4 2" xfId="35274" xr:uid="{00000000-0005-0000-0000-0000AB890000}"/>
    <cellStyle name="Calculation 5 15 4 3" xfId="35275" xr:uid="{00000000-0005-0000-0000-0000AC890000}"/>
    <cellStyle name="Calculation 5 15 4 4" xfId="35276" xr:uid="{00000000-0005-0000-0000-0000AD890000}"/>
    <cellStyle name="Calculation 5 15 4 5" xfId="35277" xr:uid="{00000000-0005-0000-0000-0000AE890000}"/>
    <cellStyle name="Calculation 5 15 4 6" xfId="35278" xr:uid="{00000000-0005-0000-0000-0000AF890000}"/>
    <cellStyle name="Calculation 5 15 5" xfId="35279" xr:uid="{00000000-0005-0000-0000-0000B0890000}"/>
    <cellStyle name="Calculation 5 15 5 2" xfId="35280" xr:uid="{00000000-0005-0000-0000-0000B1890000}"/>
    <cellStyle name="Calculation 5 15 5 3" xfId="35281" xr:uid="{00000000-0005-0000-0000-0000B2890000}"/>
    <cellStyle name="Calculation 5 15 5 4" xfId="35282" xr:uid="{00000000-0005-0000-0000-0000B3890000}"/>
    <cellStyle name="Calculation 5 15 5 5" xfId="35283" xr:uid="{00000000-0005-0000-0000-0000B4890000}"/>
    <cellStyle name="Calculation 5 15 5 6" xfId="35284" xr:uid="{00000000-0005-0000-0000-0000B5890000}"/>
    <cellStyle name="Calculation 5 15 6" xfId="35285" xr:uid="{00000000-0005-0000-0000-0000B6890000}"/>
    <cellStyle name="Calculation 5 15 6 2" xfId="35286" xr:uid="{00000000-0005-0000-0000-0000B7890000}"/>
    <cellStyle name="Calculation 5 15 6 3" xfId="35287" xr:uid="{00000000-0005-0000-0000-0000B8890000}"/>
    <cellStyle name="Calculation 5 15 6 4" xfId="35288" xr:uid="{00000000-0005-0000-0000-0000B9890000}"/>
    <cellStyle name="Calculation 5 15 6 5" xfId="35289" xr:uid="{00000000-0005-0000-0000-0000BA890000}"/>
    <cellStyle name="Calculation 5 15 6 6" xfId="35290" xr:uid="{00000000-0005-0000-0000-0000BB890000}"/>
    <cellStyle name="Calculation 5 15 7" xfId="35291" xr:uid="{00000000-0005-0000-0000-0000BC890000}"/>
    <cellStyle name="Calculation 5 15 7 2" xfId="35292" xr:uid="{00000000-0005-0000-0000-0000BD890000}"/>
    <cellStyle name="Calculation 5 15 7 3" xfId="35293" xr:uid="{00000000-0005-0000-0000-0000BE890000}"/>
    <cellStyle name="Calculation 5 15 7 4" xfId="35294" xr:uid="{00000000-0005-0000-0000-0000BF890000}"/>
    <cellStyle name="Calculation 5 15 7 5" xfId="35295" xr:uid="{00000000-0005-0000-0000-0000C0890000}"/>
    <cellStyle name="Calculation 5 15 7 6" xfId="35296" xr:uid="{00000000-0005-0000-0000-0000C1890000}"/>
    <cellStyle name="Calculation 5 15 8" xfId="35297" xr:uid="{00000000-0005-0000-0000-0000C2890000}"/>
    <cellStyle name="Calculation 5 15 9" xfId="35298" xr:uid="{00000000-0005-0000-0000-0000C3890000}"/>
    <cellStyle name="Calculation 5 16" xfId="35299" xr:uid="{00000000-0005-0000-0000-0000C4890000}"/>
    <cellStyle name="Calculation 5 16 10" xfId="35300" xr:uid="{00000000-0005-0000-0000-0000C5890000}"/>
    <cellStyle name="Calculation 5 16 2" xfId="35301" xr:uid="{00000000-0005-0000-0000-0000C6890000}"/>
    <cellStyle name="Calculation 5 16 2 2" xfId="35302" xr:uid="{00000000-0005-0000-0000-0000C7890000}"/>
    <cellStyle name="Calculation 5 16 2 3" xfId="35303" xr:uid="{00000000-0005-0000-0000-0000C8890000}"/>
    <cellStyle name="Calculation 5 16 2 4" xfId="35304" xr:uid="{00000000-0005-0000-0000-0000C9890000}"/>
    <cellStyle name="Calculation 5 16 2 5" xfId="35305" xr:uid="{00000000-0005-0000-0000-0000CA890000}"/>
    <cellStyle name="Calculation 5 16 2 6" xfId="35306" xr:uid="{00000000-0005-0000-0000-0000CB890000}"/>
    <cellStyle name="Calculation 5 16 3" xfId="35307" xr:uid="{00000000-0005-0000-0000-0000CC890000}"/>
    <cellStyle name="Calculation 5 16 3 2" xfId="35308" xr:uid="{00000000-0005-0000-0000-0000CD890000}"/>
    <cellStyle name="Calculation 5 16 3 3" xfId="35309" xr:uid="{00000000-0005-0000-0000-0000CE890000}"/>
    <cellStyle name="Calculation 5 16 3 4" xfId="35310" xr:uid="{00000000-0005-0000-0000-0000CF890000}"/>
    <cellStyle name="Calculation 5 16 3 5" xfId="35311" xr:uid="{00000000-0005-0000-0000-0000D0890000}"/>
    <cellStyle name="Calculation 5 16 3 6" xfId="35312" xr:uid="{00000000-0005-0000-0000-0000D1890000}"/>
    <cellStyle name="Calculation 5 16 4" xfId="35313" xr:uid="{00000000-0005-0000-0000-0000D2890000}"/>
    <cellStyle name="Calculation 5 16 4 2" xfId="35314" xr:uid="{00000000-0005-0000-0000-0000D3890000}"/>
    <cellStyle name="Calculation 5 16 4 3" xfId="35315" xr:uid="{00000000-0005-0000-0000-0000D4890000}"/>
    <cellStyle name="Calculation 5 16 4 4" xfId="35316" xr:uid="{00000000-0005-0000-0000-0000D5890000}"/>
    <cellStyle name="Calculation 5 16 4 5" xfId="35317" xr:uid="{00000000-0005-0000-0000-0000D6890000}"/>
    <cellStyle name="Calculation 5 16 4 6" xfId="35318" xr:uid="{00000000-0005-0000-0000-0000D7890000}"/>
    <cellStyle name="Calculation 5 16 5" xfId="35319" xr:uid="{00000000-0005-0000-0000-0000D8890000}"/>
    <cellStyle name="Calculation 5 16 5 2" xfId="35320" xr:uid="{00000000-0005-0000-0000-0000D9890000}"/>
    <cellStyle name="Calculation 5 16 5 3" xfId="35321" xr:uid="{00000000-0005-0000-0000-0000DA890000}"/>
    <cellStyle name="Calculation 5 16 5 4" xfId="35322" xr:uid="{00000000-0005-0000-0000-0000DB890000}"/>
    <cellStyle name="Calculation 5 16 5 5" xfId="35323" xr:uid="{00000000-0005-0000-0000-0000DC890000}"/>
    <cellStyle name="Calculation 5 16 5 6" xfId="35324" xr:uid="{00000000-0005-0000-0000-0000DD890000}"/>
    <cellStyle name="Calculation 5 16 6" xfId="35325" xr:uid="{00000000-0005-0000-0000-0000DE890000}"/>
    <cellStyle name="Calculation 5 16 6 2" xfId="35326" xr:uid="{00000000-0005-0000-0000-0000DF890000}"/>
    <cellStyle name="Calculation 5 16 6 3" xfId="35327" xr:uid="{00000000-0005-0000-0000-0000E0890000}"/>
    <cellStyle name="Calculation 5 16 6 4" xfId="35328" xr:uid="{00000000-0005-0000-0000-0000E1890000}"/>
    <cellStyle name="Calculation 5 16 6 5" xfId="35329" xr:uid="{00000000-0005-0000-0000-0000E2890000}"/>
    <cellStyle name="Calculation 5 16 6 6" xfId="35330" xr:uid="{00000000-0005-0000-0000-0000E3890000}"/>
    <cellStyle name="Calculation 5 16 7" xfId="35331" xr:uid="{00000000-0005-0000-0000-0000E4890000}"/>
    <cellStyle name="Calculation 5 16 7 2" xfId="35332" xr:uid="{00000000-0005-0000-0000-0000E5890000}"/>
    <cellStyle name="Calculation 5 16 7 3" xfId="35333" xr:uid="{00000000-0005-0000-0000-0000E6890000}"/>
    <cellStyle name="Calculation 5 16 7 4" xfId="35334" xr:uid="{00000000-0005-0000-0000-0000E7890000}"/>
    <cellStyle name="Calculation 5 16 7 5" xfId="35335" xr:uid="{00000000-0005-0000-0000-0000E8890000}"/>
    <cellStyle name="Calculation 5 16 7 6" xfId="35336" xr:uid="{00000000-0005-0000-0000-0000E9890000}"/>
    <cellStyle name="Calculation 5 16 8" xfId="35337" xr:uid="{00000000-0005-0000-0000-0000EA890000}"/>
    <cellStyle name="Calculation 5 16 9" xfId="35338" xr:uid="{00000000-0005-0000-0000-0000EB890000}"/>
    <cellStyle name="Calculation 5 17" xfId="35339" xr:uid="{00000000-0005-0000-0000-0000EC890000}"/>
    <cellStyle name="Calculation 5 17 10" xfId="35340" xr:uid="{00000000-0005-0000-0000-0000ED890000}"/>
    <cellStyle name="Calculation 5 17 2" xfId="35341" xr:uid="{00000000-0005-0000-0000-0000EE890000}"/>
    <cellStyle name="Calculation 5 17 2 2" xfId="35342" xr:uid="{00000000-0005-0000-0000-0000EF890000}"/>
    <cellStyle name="Calculation 5 17 2 3" xfId="35343" xr:uid="{00000000-0005-0000-0000-0000F0890000}"/>
    <cellStyle name="Calculation 5 17 2 4" xfId="35344" xr:uid="{00000000-0005-0000-0000-0000F1890000}"/>
    <cellStyle name="Calculation 5 17 2 5" xfId="35345" xr:uid="{00000000-0005-0000-0000-0000F2890000}"/>
    <cellStyle name="Calculation 5 17 2 6" xfId="35346" xr:uid="{00000000-0005-0000-0000-0000F3890000}"/>
    <cellStyle name="Calculation 5 17 3" xfId="35347" xr:uid="{00000000-0005-0000-0000-0000F4890000}"/>
    <cellStyle name="Calculation 5 17 3 2" xfId="35348" xr:uid="{00000000-0005-0000-0000-0000F5890000}"/>
    <cellStyle name="Calculation 5 17 3 3" xfId="35349" xr:uid="{00000000-0005-0000-0000-0000F6890000}"/>
    <cellStyle name="Calculation 5 17 3 4" xfId="35350" xr:uid="{00000000-0005-0000-0000-0000F7890000}"/>
    <cellStyle name="Calculation 5 17 3 5" xfId="35351" xr:uid="{00000000-0005-0000-0000-0000F8890000}"/>
    <cellStyle name="Calculation 5 17 3 6" xfId="35352" xr:uid="{00000000-0005-0000-0000-0000F9890000}"/>
    <cellStyle name="Calculation 5 17 4" xfId="35353" xr:uid="{00000000-0005-0000-0000-0000FA890000}"/>
    <cellStyle name="Calculation 5 17 4 2" xfId="35354" xr:uid="{00000000-0005-0000-0000-0000FB890000}"/>
    <cellStyle name="Calculation 5 17 4 3" xfId="35355" xr:uid="{00000000-0005-0000-0000-0000FC890000}"/>
    <cellStyle name="Calculation 5 17 4 4" xfId="35356" xr:uid="{00000000-0005-0000-0000-0000FD890000}"/>
    <cellStyle name="Calculation 5 17 4 5" xfId="35357" xr:uid="{00000000-0005-0000-0000-0000FE890000}"/>
    <cellStyle name="Calculation 5 17 4 6" xfId="35358" xr:uid="{00000000-0005-0000-0000-0000FF890000}"/>
    <cellStyle name="Calculation 5 17 5" xfId="35359" xr:uid="{00000000-0005-0000-0000-0000008A0000}"/>
    <cellStyle name="Calculation 5 17 5 2" xfId="35360" xr:uid="{00000000-0005-0000-0000-0000018A0000}"/>
    <cellStyle name="Calculation 5 17 5 3" xfId="35361" xr:uid="{00000000-0005-0000-0000-0000028A0000}"/>
    <cellStyle name="Calculation 5 17 5 4" xfId="35362" xr:uid="{00000000-0005-0000-0000-0000038A0000}"/>
    <cellStyle name="Calculation 5 17 5 5" xfId="35363" xr:uid="{00000000-0005-0000-0000-0000048A0000}"/>
    <cellStyle name="Calculation 5 17 5 6" xfId="35364" xr:uid="{00000000-0005-0000-0000-0000058A0000}"/>
    <cellStyle name="Calculation 5 17 6" xfId="35365" xr:uid="{00000000-0005-0000-0000-0000068A0000}"/>
    <cellStyle name="Calculation 5 17 6 2" xfId="35366" xr:uid="{00000000-0005-0000-0000-0000078A0000}"/>
    <cellStyle name="Calculation 5 17 6 3" xfId="35367" xr:uid="{00000000-0005-0000-0000-0000088A0000}"/>
    <cellStyle name="Calculation 5 17 6 4" xfId="35368" xr:uid="{00000000-0005-0000-0000-0000098A0000}"/>
    <cellStyle name="Calculation 5 17 6 5" xfId="35369" xr:uid="{00000000-0005-0000-0000-00000A8A0000}"/>
    <cellStyle name="Calculation 5 17 6 6" xfId="35370" xr:uid="{00000000-0005-0000-0000-00000B8A0000}"/>
    <cellStyle name="Calculation 5 17 7" xfId="35371" xr:uid="{00000000-0005-0000-0000-00000C8A0000}"/>
    <cellStyle name="Calculation 5 17 7 2" xfId="35372" xr:uid="{00000000-0005-0000-0000-00000D8A0000}"/>
    <cellStyle name="Calculation 5 17 7 3" xfId="35373" xr:uid="{00000000-0005-0000-0000-00000E8A0000}"/>
    <cellStyle name="Calculation 5 17 7 4" xfId="35374" xr:uid="{00000000-0005-0000-0000-00000F8A0000}"/>
    <cellStyle name="Calculation 5 17 7 5" xfId="35375" xr:uid="{00000000-0005-0000-0000-0000108A0000}"/>
    <cellStyle name="Calculation 5 17 7 6" xfId="35376" xr:uid="{00000000-0005-0000-0000-0000118A0000}"/>
    <cellStyle name="Calculation 5 17 8" xfId="35377" xr:uid="{00000000-0005-0000-0000-0000128A0000}"/>
    <cellStyle name="Calculation 5 17 9" xfId="35378" xr:uid="{00000000-0005-0000-0000-0000138A0000}"/>
    <cellStyle name="Calculation 5 18" xfId="35379" xr:uid="{00000000-0005-0000-0000-0000148A0000}"/>
    <cellStyle name="Calculation 5 18 10" xfId="35380" xr:uid="{00000000-0005-0000-0000-0000158A0000}"/>
    <cellStyle name="Calculation 5 18 2" xfId="35381" xr:uid="{00000000-0005-0000-0000-0000168A0000}"/>
    <cellStyle name="Calculation 5 18 2 2" xfId="35382" xr:uid="{00000000-0005-0000-0000-0000178A0000}"/>
    <cellStyle name="Calculation 5 18 2 3" xfId="35383" xr:uid="{00000000-0005-0000-0000-0000188A0000}"/>
    <cellStyle name="Calculation 5 18 2 4" xfId="35384" xr:uid="{00000000-0005-0000-0000-0000198A0000}"/>
    <cellStyle name="Calculation 5 18 2 5" xfId="35385" xr:uid="{00000000-0005-0000-0000-00001A8A0000}"/>
    <cellStyle name="Calculation 5 18 2 6" xfId="35386" xr:uid="{00000000-0005-0000-0000-00001B8A0000}"/>
    <cellStyle name="Calculation 5 18 3" xfId="35387" xr:uid="{00000000-0005-0000-0000-00001C8A0000}"/>
    <cellStyle name="Calculation 5 18 3 2" xfId="35388" xr:uid="{00000000-0005-0000-0000-00001D8A0000}"/>
    <cellStyle name="Calculation 5 18 3 3" xfId="35389" xr:uid="{00000000-0005-0000-0000-00001E8A0000}"/>
    <cellStyle name="Calculation 5 18 3 4" xfId="35390" xr:uid="{00000000-0005-0000-0000-00001F8A0000}"/>
    <cellStyle name="Calculation 5 18 3 5" xfId="35391" xr:uid="{00000000-0005-0000-0000-0000208A0000}"/>
    <cellStyle name="Calculation 5 18 3 6" xfId="35392" xr:uid="{00000000-0005-0000-0000-0000218A0000}"/>
    <cellStyle name="Calculation 5 18 4" xfId="35393" xr:uid="{00000000-0005-0000-0000-0000228A0000}"/>
    <cellStyle name="Calculation 5 18 4 2" xfId="35394" xr:uid="{00000000-0005-0000-0000-0000238A0000}"/>
    <cellStyle name="Calculation 5 18 4 3" xfId="35395" xr:uid="{00000000-0005-0000-0000-0000248A0000}"/>
    <cellStyle name="Calculation 5 18 4 4" xfId="35396" xr:uid="{00000000-0005-0000-0000-0000258A0000}"/>
    <cellStyle name="Calculation 5 18 4 5" xfId="35397" xr:uid="{00000000-0005-0000-0000-0000268A0000}"/>
    <cellStyle name="Calculation 5 18 4 6" xfId="35398" xr:uid="{00000000-0005-0000-0000-0000278A0000}"/>
    <cellStyle name="Calculation 5 18 5" xfId="35399" xr:uid="{00000000-0005-0000-0000-0000288A0000}"/>
    <cellStyle name="Calculation 5 18 5 2" xfId="35400" xr:uid="{00000000-0005-0000-0000-0000298A0000}"/>
    <cellStyle name="Calculation 5 18 5 3" xfId="35401" xr:uid="{00000000-0005-0000-0000-00002A8A0000}"/>
    <cellStyle name="Calculation 5 18 5 4" xfId="35402" xr:uid="{00000000-0005-0000-0000-00002B8A0000}"/>
    <cellStyle name="Calculation 5 18 5 5" xfId="35403" xr:uid="{00000000-0005-0000-0000-00002C8A0000}"/>
    <cellStyle name="Calculation 5 18 5 6" xfId="35404" xr:uid="{00000000-0005-0000-0000-00002D8A0000}"/>
    <cellStyle name="Calculation 5 18 6" xfId="35405" xr:uid="{00000000-0005-0000-0000-00002E8A0000}"/>
    <cellStyle name="Calculation 5 18 6 2" xfId="35406" xr:uid="{00000000-0005-0000-0000-00002F8A0000}"/>
    <cellStyle name="Calculation 5 18 6 3" xfId="35407" xr:uid="{00000000-0005-0000-0000-0000308A0000}"/>
    <cellStyle name="Calculation 5 18 6 4" xfId="35408" xr:uid="{00000000-0005-0000-0000-0000318A0000}"/>
    <cellStyle name="Calculation 5 18 6 5" xfId="35409" xr:uid="{00000000-0005-0000-0000-0000328A0000}"/>
    <cellStyle name="Calculation 5 18 6 6" xfId="35410" xr:uid="{00000000-0005-0000-0000-0000338A0000}"/>
    <cellStyle name="Calculation 5 18 7" xfId="35411" xr:uid="{00000000-0005-0000-0000-0000348A0000}"/>
    <cellStyle name="Calculation 5 18 7 2" xfId="35412" xr:uid="{00000000-0005-0000-0000-0000358A0000}"/>
    <cellStyle name="Calculation 5 18 7 3" xfId="35413" xr:uid="{00000000-0005-0000-0000-0000368A0000}"/>
    <cellStyle name="Calculation 5 18 7 4" xfId="35414" xr:uid="{00000000-0005-0000-0000-0000378A0000}"/>
    <cellStyle name="Calculation 5 18 7 5" xfId="35415" xr:uid="{00000000-0005-0000-0000-0000388A0000}"/>
    <cellStyle name="Calculation 5 18 7 6" xfId="35416" xr:uid="{00000000-0005-0000-0000-0000398A0000}"/>
    <cellStyle name="Calculation 5 18 8" xfId="35417" xr:uid="{00000000-0005-0000-0000-00003A8A0000}"/>
    <cellStyle name="Calculation 5 18 9" xfId="35418" xr:uid="{00000000-0005-0000-0000-00003B8A0000}"/>
    <cellStyle name="Calculation 5 19" xfId="35419" xr:uid="{00000000-0005-0000-0000-00003C8A0000}"/>
    <cellStyle name="Calculation 5 19 10" xfId="35420" xr:uid="{00000000-0005-0000-0000-00003D8A0000}"/>
    <cellStyle name="Calculation 5 19 2" xfId="35421" xr:uid="{00000000-0005-0000-0000-00003E8A0000}"/>
    <cellStyle name="Calculation 5 19 2 2" xfId="35422" xr:uid="{00000000-0005-0000-0000-00003F8A0000}"/>
    <cellStyle name="Calculation 5 19 2 3" xfId="35423" xr:uid="{00000000-0005-0000-0000-0000408A0000}"/>
    <cellStyle name="Calculation 5 19 2 4" xfId="35424" xr:uid="{00000000-0005-0000-0000-0000418A0000}"/>
    <cellStyle name="Calculation 5 19 2 5" xfId="35425" xr:uid="{00000000-0005-0000-0000-0000428A0000}"/>
    <cellStyle name="Calculation 5 19 2 6" xfId="35426" xr:uid="{00000000-0005-0000-0000-0000438A0000}"/>
    <cellStyle name="Calculation 5 19 3" xfId="35427" xr:uid="{00000000-0005-0000-0000-0000448A0000}"/>
    <cellStyle name="Calculation 5 19 3 2" xfId="35428" xr:uid="{00000000-0005-0000-0000-0000458A0000}"/>
    <cellStyle name="Calculation 5 19 3 3" xfId="35429" xr:uid="{00000000-0005-0000-0000-0000468A0000}"/>
    <cellStyle name="Calculation 5 19 3 4" xfId="35430" xr:uid="{00000000-0005-0000-0000-0000478A0000}"/>
    <cellStyle name="Calculation 5 19 3 5" xfId="35431" xr:uid="{00000000-0005-0000-0000-0000488A0000}"/>
    <cellStyle name="Calculation 5 19 3 6" xfId="35432" xr:uid="{00000000-0005-0000-0000-0000498A0000}"/>
    <cellStyle name="Calculation 5 19 4" xfId="35433" xr:uid="{00000000-0005-0000-0000-00004A8A0000}"/>
    <cellStyle name="Calculation 5 19 4 2" xfId="35434" xr:uid="{00000000-0005-0000-0000-00004B8A0000}"/>
    <cellStyle name="Calculation 5 19 4 3" xfId="35435" xr:uid="{00000000-0005-0000-0000-00004C8A0000}"/>
    <cellStyle name="Calculation 5 19 4 4" xfId="35436" xr:uid="{00000000-0005-0000-0000-00004D8A0000}"/>
    <cellStyle name="Calculation 5 19 4 5" xfId="35437" xr:uid="{00000000-0005-0000-0000-00004E8A0000}"/>
    <cellStyle name="Calculation 5 19 4 6" xfId="35438" xr:uid="{00000000-0005-0000-0000-00004F8A0000}"/>
    <cellStyle name="Calculation 5 19 5" xfId="35439" xr:uid="{00000000-0005-0000-0000-0000508A0000}"/>
    <cellStyle name="Calculation 5 19 5 2" xfId="35440" xr:uid="{00000000-0005-0000-0000-0000518A0000}"/>
    <cellStyle name="Calculation 5 19 5 3" xfId="35441" xr:uid="{00000000-0005-0000-0000-0000528A0000}"/>
    <cellStyle name="Calculation 5 19 5 4" xfId="35442" xr:uid="{00000000-0005-0000-0000-0000538A0000}"/>
    <cellStyle name="Calculation 5 19 5 5" xfId="35443" xr:uid="{00000000-0005-0000-0000-0000548A0000}"/>
    <cellStyle name="Calculation 5 19 5 6" xfId="35444" xr:uid="{00000000-0005-0000-0000-0000558A0000}"/>
    <cellStyle name="Calculation 5 19 6" xfId="35445" xr:uid="{00000000-0005-0000-0000-0000568A0000}"/>
    <cellStyle name="Calculation 5 19 6 2" xfId="35446" xr:uid="{00000000-0005-0000-0000-0000578A0000}"/>
    <cellStyle name="Calculation 5 19 6 3" xfId="35447" xr:uid="{00000000-0005-0000-0000-0000588A0000}"/>
    <cellStyle name="Calculation 5 19 6 4" xfId="35448" xr:uid="{00000000-0005-0000-0000-0000598A0000}"/>
    <cellStyle name="Calculation 5 19 6 5" xfId="35449" xr:uid="{00000000-0005-0000-0000-00005A8A0000}"/>
    <cellStyle name="Calculation 5 19 6 6" xfId="35450" xr:uid="{00000000-0005-0000-0000-00005B8A0000}"/>
    <cellStyle name="Calculation 5 19 7" xfId="35451" xr:uid="{00000000-0005-0000-0000-00005C8A0000}"/>
    <cellStyle name="Calculation 5 19 7 2" xfId="35452" xr:uid="{00000000-0005-0000-0000-00005D8A0000}"/>
    <cellStyle name="Calculation 5 19 7 3" xfId="35453" xr:uid="{00000000-0005-0000-0000-00005E8A0000}"/>
    <cellStyle name="Calculation 5 19 7 4" xfId="35454" xr:uid="{00000000-0005-0000-0000-00005F8A0000}"/>
    <cellStyle name="Calculation 5 19 7 5" xfId="35455" xr:uid="{00000000-0005-0000-0000-0000608A0000}"/>
    <cellStyle name="Calculation 5 19 7 6" xfId="35456" xr:uid="{00000000-0005-0000-0000-0000618A0000}"/>
    <cellStyle name="Calculation 5 19 8" xfId="35457" xr:uid="{00000000-0005-0000-0000-0000628A0000}"/>
    <cellStyle name="Calculation 5 19 9" xfId="35458" xr:uid="{00000000-0005-0000-0000-0000638A0000}"/>
    <cellStyle name="Calculation 5 2" xfId="35459" xr:uid="{00000000-0005-0000-0000-0000648A0000}"/>
    <cellStyle name="Calculation 5 2 10" xfId="35460" xr:uid="{00000000-0005-0000-0000-0000658A0000}"/>
    <cellStyle name="Calculation 5 2 10 10" xfId="35461" xr:uid="{00000000-0005-0000-0000-0000668A0000}"/>
    <cellStyle name="Calculation 5 2 10 2" xfId="35462" xr:uid="{00000000-0005-0000-0000-0000678A0000}"/>
    <cellStyle name="Calculation 5 2 10 2 2" xfId="35463" xr:uid="{00000000-0005-0000-0000-0000688A0000}"/>
    <cellStyle name="Calculation 5 2 10 2 3" xfId="35464" xr:uid="{00000000-0005-0000-0000-0000698A0000}"/>
    <cellStyle name="Calculation 5 2 10 2 4" xfId="35465" xr:uid="{00000000-0005-0000-0000-00006A8A0000}"/>
    <cellStyle name="Calculation 5 2 10 2 5" xfId="35466" xr:uid="{00000000-0005-0000-0000-00006B8A0000}"/>
    <cellStyle name="Calculation 5 2 10 2 6" xfId="35467" xr:uid="{00000000-0005-0000-0000-00006C8A0000}"/>
    <cellStyle name="Calculation 5 2 10 3" xfId="35468" xr:uid="{00000000-0005-0000-0000-00006D8A0000}"/>
    <cellStyle name="Calculation 5 2 10 3 2" xfId="35469" xr:uid="{00000000-0005-0000-0000-00006E8A0000}"/>
    <cellStyle name="Calculation 5 2 10 3 3" xfId="35470" xr:uid="{00000000-0005-0000-0000-00006F8A0000}"/>
    <cellStyle name="Calculation 5 2 10 3 4" xfId="35471" xr:uid="{00000000-0005-0000-0000-0000708A0000}"/>
    <cellStyle name="Calculation 5 2 10 3 5" xfId="35472" xr:uid="{00000000-0005-0000-0000-0000718A0000}"/>
    <cellStyle name="Calculation 5 2 10 3 6" xfId="35473" xr:uid="{00000000-0005-0000-0000-0000728A0000}"/>
    <cellStyle name="Calculation 5 2 10 4" xfId="35474" xr:uid="{00000000-0005-0000-0000-0000738A0000}"/>
    <cellStyle name="Calculation 5 2 10 4 2" xfId="35475" xr:uid="{00000000-0005-0000-0000-0000748A0000}"/>
    <cellStyle name="Calculation 5 2 10 4 3" xfId="35476" xr:uid="{00000000-0005-0000-0000-0000758A0000}"/>
    <cellStyle name="Calculation 5 2 10 4 4" xfId="35477" xr:uid="{00000000-0005-0000-0000-0000768A0000}"/>
    <cellStyle name="Calculation 5 2 10 4 5" xfId="35478" xr:uid="{00000000-0005-0000-0000-0000778A0000}"/>
    <cellStyle name="Calculation 5 2 10 4 6" xfId="35479" xr:uid="{00000000-0005-0000-0000-0000788A0000}"/>
    <cellStyle name="Calculation 5 2 10 5" xfId="35480" xr:uid="{00000000-0005-0000-0000-0000798A0000}"/>
    <cellStyle name="Calculation 5 2 10 5 2" xfId="35481" xr:uid="{00000000-0005-0000-0000-00007A8A0000}"/>
    <cellStyle name="Calculation 5 2 10 5 3" xfId="35482" xr:uid="{00000000-0005-0000-0000-00007B8A0000}"/>
    <cellStyle name="Calculation 5 2 10 5 4" xfId="35483" xr:uid="{00000000-0005-0000-0000-00007C8A0000}"/>
    <cellStyle name="Calculation 5 2 10 5 5" xfId="35484" xr:uid="{00000000-0005-0000-0000-00007D8A0000}"/>
    <cellStyle name="Calculation 5 2 10 5 6" xfId="35485" xr:uid="{00000000-0005-0000-0000-00007E8A0000}"/>
    <cellStyle name="Calculation 5 2 10 6" xfId="35486" xr:uid="{00000000-0005-0000-0000-00007F8A0000}"/>
    <cellStyle name="Calculation 5 2 10 6 2" xfId="35487" xr:uid="{00000000-0005-0000-0000-0000808A0000}"/>
    <cellStyle name="Calculation 5 2 10 6 3" xfId="35488" xr:uid="{00000000-0005-0000-0000-0000818A0000}"/>
    <cellStyle name="Calculation 5 2 10 6 4" xfId="35489" xr:uid="{00000000-0005-0000-0000-0000828A0000}"/>
    <cellStyle name="Calculation 5 2 10 6 5" xfId="35490" xr:uid="{00000000-0005-0000-0000-0000838A0000}"/>
    <cellStyle name="Calculation 5 2 10 6 6" xfId="35491" xr:uid="{00000000-0005-0000-0000-0000848A0000}"/>
    <cellStyle name="Calculation 5 2 10 7" xfId="35492" xr:uid="{00000000-0005-0000-0000-0000858A0000}"/>
    <cellStyle name="Calculation 5 2 10 7 2" xfId="35493" xr:uid="{00000000-0005-0000-0000-0000868A0000}"/>
    <cellStyle name="Calculation 5 2 10 7 3" xfId="35494" xr:uid="{00000000-0005-0000-0000-0000878A0000}"/>
    <cellStyle name="Calculation 5 2 10 7 4" xfId="35495" xr:uid="{00000000-0005-0000-0000-0000888A0000}"/>
    <cellStyle name="Calculation 5 2 10 7 5" xfId="35496" xr:uid="{00000000-0005-0000-0000-0000898A0000}"/>
    <cellStyle name="Calculation 5 2 10 7 6" xfId="35497" xr:uid="{00000000-0005-0000-0000-00008A8A0000}"/>
    <cellStyle name="Calculation 5 2 10 8" xfId="35498" xr:uid="{00000000-0005-0000-0000-00008B8A0000}"/>
    <cellStyle name="Calculation 5 2 10 9" xfId="35499" xr:uid="{00000000-0005-0000-0000-00008C8A0000}"/>
    <cellStyle name="Calculation 5 2 11" xfId="35500" xr:uid="{00000000-0005-0000-0000-00008D8A0000}"/>
    <cellStyle name="Calculation 5 2 11 10" xfId="35501" xr:uid="{00000000-0005-0000-0000-00008E8A0000}"/>
    <cellStyle name="Calculation 5 2 11 2" xfId="35502" xr:uid="{00000000-0005-0000-0000-00008F8A0000}"/>
    <cellStyle name="Calculation 5 2 11 2 2" xfId="35503" xr:uid="{00000000-0005-0000-0000-0000908A0000}"/>
    <cellStyle name="Calculation 5 2 11 2 3" xfId="35504" xr:uid="{00000000-0005-0000-0000-0000918A0000}"/>
    <cellStyle name="Calculation 5 2 11 2 4" xfId="35505" xr:uid="{00000000-0005-0000-0000-0000928A0000}"/>
    <cellStyle name="Calculation 5 2 11 2 5" xfId="35506" xr:uid="{00000000-0005-0000-0000-0000938A0000}"/>
    <cellStyle name="Calculation 5 2 11 2 6" xfId="35507" xr:uid="{00000000-0005-0000-0000-0000948A0000}"/>
    <cellStyle name="Calculation 5 2 11 3" xfId="35508" xr:uid="{00000000-0005-0000-0000-0000958A0000}"/>
    <cellStyle name="Calculation 5 2 11 3 2" xfId="35509" xr:uid="{00000000-0005-0000-0000-0000968A0000}"/>
    <cellStyle name="Calculation 5 2 11 3 3" xfId="35510" xr:uid="{00000000-0005-0000-0000-0000978A0000}"/>
    <cellStyle name="Calculation 5 2 11 3 4" xfId="35511" xr:uid="{00000000-0005-0000-0000-0000988A0000}"/>
    <cellStyle name="Calculation 5 2 11 3 5" xfId="35512" xr:uid="{00000000-0005-0000-0000-0000998A0000}"/>
    <cellStyle name="Calculation 5 2 11 3 6" xfId="35513" xr:uid="{00000000-0005-0000-0000-00009A8A0000}"/>
    <cellStyle name="Calculation 5 2 11 4" xfId="35514" xr:uid="{00000000-0005-0000-0000-00009B8A0000}"/>
    <cellStyle name="Calculation 5 2 11 4 2" xfId="35515" xr:uid="{00000000-0005-0000-0000-00009C8A0000}"/>
    <cellStyle name="Calculation 5 2 11 4 3" xfId="35516" xr:uid="{00000000-0005-0000-0000-00009D8A0000}"/>
    <cellStyle name="Calculation 5 2 11 4 4" xfId="35517" xr:uid="{00000000-0005-0000-0000-00009E8A0000}"/>
    <cellStyle name="Calculation 5 2 11 4 5" xfId="35518" xr:uid="{00000000-0005-0000-0000-00009F8A0000}"/>
    <cellStyle name="Calculation 5 2 11 4 6" xfId="35519" xr:uid="{00000000-0005-0000-0000-0000A08A0000}"/>
    <cellStyle name="Calculation 5 2 11 5" xfId="35520" xr:uid="{00000000-0005-0000-0000-0000A18A0000}"/>
    <cellStyle name="Calculation 5 2 11 5 2" xfId="35521" xr:uid="{00000000-0005-0000-0000-0000A28A0000}"/>
    <cellStyle name="Calculation 5 2 11 5 3" xfId="35522" xr:uid="{00000000-0005-0000-0000-0000A38A0000}"/>
    <cellStyle name="Calculation 5 2 11 5 4" xfId="35523" xr:uid="{00000000-0005-0000-0000-0000A48A0000}"/>
    <cellStyle name="Calculation 5 2 11 5 5" xfId="35524" xr:uid="{00000000-0005-0000-0000-0000A58A0000}"/>
    <cellStyle name="Calculation 5 2 11 5 6" xfId="35525" xr:uid="{00000000-0005-0000-0000-0000A68A0000}"/>
    <cellStyle name="Calculation 5 2 11 6" xfId="35526" xr:uid="{00000000-0005-0000-0000-0000A78A0000}"/>
    <cellStyle name="Calculation 5 2 11 6 2" xfId="35527" xr:uid="{00000000-0005-0000-0000-0000A88A0000}"/>
    <cellStyle name="Calculation 5 2 11 6 3" xfId="35528" xr:uid="{00000000-0005-0000-0000-0000A98A0000}"/>
    <cellStyle name="Calculation 5 2 11 6 4" xfId="35529" xr:uid="{00000000-0005-0000-0000-0000AA8A0000}"/>
    <cellStyle name="Calculation 5 2 11 6 5" xfId="35530" xr:uid="{00000000-0005-0000-0000-0000AB8A0000}"/>
    <cellStyle name="Calculation 5 2 11 6 6" xfId="35531" xr:uid="{00000000-0005-0000-0000-0000AC8A0000}"/>
    <cellStyle name="Calculation 5 2 11 7" xfId="35532" xr:uid="{00000000-0005-0000-0000-0000AD8A0000}"/>
    <cellStyle name="Calculation 5 2 11 7 2" xfId="35533" xr:uid="{00000000-0005-0000-0000-0000AE8A0000}"/>
    <cellStyle name="Calculation 5 2 11 7 3" xfId="35534" xr:uid="{00000000-0005-0000-0000-0000AF8A0000}"/>
    <cellStyle name="Calculation 5 2 11 7 4" xfId="35535" xr:uid="{00000000-0005-0000-0000-0000B08A0000}"/>
    <cellStyle name="Calculation 5 2 11 7 5" xfId="35536" xr:uid="{00000000-0005-0000-0000-0000B18A0000}"/>
    <cellStyle name="Calculation 5 2 11 7 6" xfId="35537" xr:uid="{00000000-0005-0000-0000-0000B28A0000}"/>
    <cellStyle name="Calculation 5 2 11 8" xfId="35538" xr:uid="{00000000-0005-0000-0000-0000B38A0000}"/>
    <cellStyle name="Calculation 5 2 11 9" xfId="35539" xr:uid="{00000000-0005-0000-0000-0000B48A0000}"/>
    <cellStyle name="Calculation 5 2 12" xfId="35540" xr:uid="{00000000-0005-0000-0000-0000B58A0000}"/>
    <cellStyle name="Calculation 5 2 12 10" xfId="35541" xr:uid="{00000000-0005-0000-0000-0000B68A0000}"/>
    <cellStyle name="Calculation 5 2 12 2" xfId="35542" xr:uid="{00000000-0005-0000-0000-0000B78A0000}"/>
    <cellStyle name="Calculation 5 2 12 2 2" xfId="35543" xr:uid="{00000000-0005-0000-0000-0000B88A0000}"/>
    <cellStyle name="Calculation 5 2 12 2 3" xfId="35544" xr:uid="{00000000-0005-0000-0000-0000B98A0000}"/>
    <cellStyle name="Calculation 5 2 12 2 4" xfId="35545" xr:uid="{00000000-0005-0000-0000-0000BA8A0000}"/>
    <cellStyle name="Calculation 5 2 12 2 5" xfId="35546" xr:uid="{00000000-0005-0000-0000-0000BB8A0000}"/>
    <cellStyle name="Calculation 5 2 12 2 6" xfId="35547" xr:uid="{00000000-0005-0000-0000-0000BC8A0000}"/>
    <cellStyle name="Calculation 5 2 12 3" xfId="35548" xr:uid="{00000000-0005-0000-0000-0000BD8A0000}"/>
    <cellStyle name="Calculation 5 2 12 3 2" xfId="35549" xr:uid="{00000000-0005-0000-0000-0000BE8A0000}"/>
    <cellStyle name="Calculation 5 2 12 3 3" xfId="35550" xr:uid="{00000000-0005-0000-0000-0000BF8A0000}"/>
    <cellStyle name="Calculation 5 2 12 3 4" xfId="35551" xr:uid="{00000000-0005-0000-0000-0000C08A0000}"/>
    <cellStyle name="Calculation 5 2 12 3 5" xfId="35552" xr:uid="{00000000-0005-0000-0000-0000C18A0000}"/>
    <cellStyle name="Calculation 5 2 12 3 6" xfId="35553" xr:uid="{00000000-0005-0000-0000-0000C28A0000}"/>
    <cellStyle name="Calculation 5 2 12 4" xfId="35554" xr:uid="{00000000-0005-0000-0000-0000C38A0000}"/>
    <cellStyle name="Calculation 5 2 12 4 2" xfId="35555" xr:uid="{00000000-0005-0000-0000-0000C48A0000}"/>
    <cellStyle name="Calculation 5 2 12 4 3" xfId="35556" xr:uid="{00000000-0005-0000-0000-0000C58A0000}"/>
    <cellStyle name="Calculation 5 2 12 4 4" xfId="35557" xr:uid="{00000000-0005-0000-0000-0000C68A0000}"/>
    <cellStyle name="Calculation 5 2 12 4 5" xfId="35558" xr:uid="{00000000-0005-0000-0000-0000C78A0000}"/>
    <cellStyle name="Calculation 5 2 12 4 6" xfId="35559" xr:uid="{00000000-0005-0000-0000-0000C88A0000}"/>
    <cellStyle name="Calculation 5 2 12 5" xfId="35560" xr:uid="{00000000-0005-0000-0000-0000C98A0000}"/>
    <cellStyle name="Calculation 5 2 12 5 2" xfId="35561" xr:uid="{00000000-0005-0000-0000-0000CA8A0000}"/>
    <cellStyle name="Calculation 5 2 12 5 3" xfId="35562" xr:uid="{00000000-0005-0000-0000-0000CB8A0000}"/>
    <cellStyle name="Calculation 5 2 12 5 4" xfId="35563" xr:uid="{00000000-0005-0000-0000-0000CC8A0000}"/>
    <cellStyle name="Calculation 5 2 12 5 5" xfId="35564" xr:uid="{00000000-0005-0000-0000-0000CD8A0000}"/>
    <cellStyle name="Calculation 5 2 12 5 6" xfId="35565" xr:uid="{00000000-0005-0000-0000-0000CE8A0000}"/>
    <cellStyle name="Calculation 5 2 12 6" xfId="35566" xr:uid="{00000000-0005-0000-0000-0000CF8A0000}"/>
    <cellStyle name="Calculation 5 2 12 6 2" xfId="35567" xr:uid="{00000000-0005-0000-0000-0000D08A0000}"/>
    <cellStyle name="Calculation 5 2 12 6 3" xfId="35568" xr:uid="{00000000-0005-0000-0000-0000D18A0000}"/>
    <cellStyle name="Calculation 5 2 12 6 4" xfId="35569" xr:uid="{00000000-0005-0000-0000-0000D28A0000}"/>
    <cellStyle name="Calculation 5 2 12 6 5" xfId="35570" xr:uid="{00000000-0005-0000-0000-0000D38A0000}"/>
    <cellStyle name="Calculation 5 2 12 6 6" xfId="35571" xr:uid="{00000000-0005-0000-0000-0000D48A0000}"/>
    <cellStyle name="Calculation 5 2 12 7" xfId="35572" xr:uid="{00000000-0005-0000-0000-0000D58A0000}"/>
    <cellStyle name="Calculation 5 2 12 7 2" xfId="35573" xr:uid="{00000000-0005-0000-0000-0000D68A0000}"/>
    <cellStyle name="Calculation 5 2 12 7 3" xfId="35574" xr:uid="{00000000-0005-0000-0000-0000D78A0000}"/>
    <cellStyle name="Calculation 5 2 12 7 4" xfId="35575" xr:uid="{00000000-0005-0000-0000-0000D88A0000}"/>
    <cellStyle name="Calculation 5 2 12 7 5" xfId="35576" xr:uid="{00000000-0005-0000-0000-0000D98A0000}"/>
    <cellStyle name="Calculation 5 2 12 7 6" xfId="35577" xr:uid="{00000000-0005-0000-0000-0000DA8A0000}"/>
    <cellStyle name="Calculation 5 2 12 8" xfId="35578" xr:uid="{00000000-0005-0000-0000-0000DB8A0000}"/>
    <cellStyle name="Calculation 5 2 12 9" xfId="35579" xr:uid="{00000000-0005-0000-0000-0000DC8A0000}"/>
    <cellStyle name="Calculation 5 2 13" xfId="35580" xr:uid="{00000000-0005-0000-0000-0000DD8A0000}"/>
    <cellStyle name="Calculation 5 2 13 10" xfId="35581" xr:uid="{00000000-0005-0000-0000-0000DE8A0000}"/>
    <cellStyle name="Calculation 5 2 13 2" xfId="35582" xr:uid="{00000000-0005-0000-0000-0000DF8A0000}"/>
    <cellStyle name="Calculation 5 2 13 2 2" xfId="35583" xr:uid="{00000000-0005-0000-0000-0000E08A0000}"/>
    <cellStyle name="Calculation 5 2 13 2 3" xfId="35584" xr:uid="{00000000-0005-0000-0000-0000E18A0000}"/>
    <cellStyle name="Calculation 5 2 13 2 4" xfId="35585" xr:uid="{00000000-0005-0000-0000-0000E28A0000}"/>
    <cellStyle name="Calculation 5 2 13 2 5" xfId="35586" xr:uid="{00000000-0005-0000-0000-0000E38A0000}"/>
    <cellStyle name="Calculation 5 2 13 2 6" xfId="35587" xr:uid="{00000000-0005-0000-0000-0000E48A0000}"/>
    <cellStyle name="Calculation 5 2 13 3" xfId="35588" xr:uid="{00000000-0005-0000-0000-0000E58A0000}"/>
    <cellStyle name="Calculation 5 2 13 3 2" xfId="35589" xr:uid="{00000000-0005-0000-0000-0000E68A0000}"/>
    <cellStyle name="Calculation 5 2 13 3 3" xfId="35590" xr:uid="{00000000-0005-0000-0000-0000E78A0000}"/>
    <cellStyle name="Calculation 5 2 13 3 4" xfId="35591" xr:uid="{00000000-0005-0000-0000-0000E88A0000}"/>
    <cellStyle name="Calculation 5 2 13 3 5" xfId="35592" xr:uid="{00000000-0005-0000-0000-0000E98A0000}"/>
    <cellStyle name="Calculation 5 2 13 3 6" xfId="35593" xr:uid="{00000000-0005-0000-0000-0000EA8A0000}"/>
    <cellStyle name="Calculation 5 2 13 4" xfId="35594" xr:uid="{00000000-0005-0000-0000-0000EB8A0000}"/>
    <cellStyle name="Calculation 5 2 13 4 2" xfId="35595" xr:uid="{00000000-0005-0000-0000-0000EC8A0000}"/>
    <cellStyle name="Calculation 5 2 13 4 3" xfId="35596" xr:uid="{00000000-0005-0000-0000-0000ED8A0000}"/>
    <cellStyle name="Calculation 5 2 13 4 4" xfId="35597" xr:uid="{00000000-0005-0000-0000-0000EE8A0000}"/>
    <cellStyle name="Calculation 5 2 13 4 5" xfId="35598" xr:uid="{00000000-0005-0000-0000-0000EF8A0000}"/>
    <cellStyle name="Calculation 5 2 13 4 6" xfId="35599" xr:uid="{00000000-0005-0000-0000-0000F08A0000}"/>
    <cellStyle name="Calculation 5 2 13 5" xfId="35600" xr:uid="{00000000-0005-0000-0000-0000F18A0000}"/>
    <cellStyle name="Calculation 5 2 13 5 2" xfId="35601" xr:uid="{00000000-0005-0000-0000-0000F28A0000}"/>
    <cellStyle name="Calculation 5 2 13 5 3" xfId="35602" xr:uid="{00000000-0005-0000-0000-0000F38A0000}"/>
    <cellStyle name="Calculation 5 2 13 5 4" xfId="35603" xr:uid="{00000000-0005-0000-0000-0000F48A0000}"/>
    <cellStyle name="Calculation 5 2 13 5 5" xfId="35604" xr:uid="{00000000-0005-0000-0000-0000F58A0000}"/>
    <cellStyle name="Calculation 5 2 13 5 6" xfId="35605" xr:uid="{00000000-0005-0000-0000-0000F68A0000}"/>
    <cellStyle name="Calculation 5 2 13 6" xfId="35606" xr:uid="{00000000-0005-0000-0000-0000F78A0000}"/>
    <cellStyle name="Calculation 5 2 13 6 2" xfId="35607" xr:uid="{00000000-0005-0000-0000-0000F88A0000}"/>
    <cellStyle name="Calculation 5 2 13 6 3" xfId="35608" xr:uid="{00000000-0005-0000-0000-0000F98A0000}"/>
    <cellStyle name="Calculation 5 2 13 6 4" xfId="35609" xr:uid="{00000000-0005-0000-0000-0000FA8A0000}"/>
    <cellStyle name="Calculation 5 2 13 6 5" xfId="35610" xr:uid="{00000000-0005-0000-0000-0000FB8A0000}"/>
    <cellStyle name="Calculation 5 2 13 6 6" xfId="35611" xr:uid="{00000000-0005-0000-0000-0000FC8A0000}"/>
    <cellStyle name="Calculation 5 2 13 7" xfId="35612" xr:uid="{00000000-0005-0000-0000-0000FD8A0000}"/>
    <cellStyle name="Calculation 5 2 13 7 2" xfId="35613" xr:uid="{00000000-0005-0000-0000-0000FE8A0000}"/>
    <cellStyle name="Calculation 5 2 13 7 3" xfId="35614" xr:uid="{00000000-0005-0000-0000-0000FF8A0000}"/>
    <cellStyle name="Calculation 5 2 13 7 4" xfId="35615" xr:uid="{00000000-0005-0000-0000-0000008B0000}"/>
    <cellStyle name="Calculation 5 2 13 7 5" xfId="35616" xr:uid="{00000000-0005-0000-0000-0000018B0000}"/>
    <cellStyle name="Calculation 5 2 13 7 6" xfId="35617" xr:uid="{00000000-0005-0000-0000-0000028B0000}"/>
    <cellStyle name="Calculation 5 2 13 8" xfId="35618" xr:uid="{00000000-0005-0000-0000-0000038B0000}"/>
    <cellStyle name="Calculation 5 2 13 9" xfId="35619" xr:uid="{00000000-0005-0000-0000-0000048B0000}"/>
    <cellStyle name="Calculation 5 2 14" xfId="35620" xr:uid="{00000000-0005-0000-0000-0000058B0000}"/>
    <cellStyle name="Calculation 5 2 14 10" xfId="35621" xr:uid="{00000000-0005-0000-0000-0000068B0000}"/>
    <cellStyle name="Calculation 5 2 14 2" xfId="35622" xr:uid="{00000000-0005-0000-0000-0000078B0000}"/>
    <cellStyle name="Calculation 5 2 14 2 2" xfId="35623" xr:uid="{00000000-0005-0000-0000-0000088B0000}"/>
    <cellStyle name="Calculation 5 2 14 2 3" xfId="35624" xr:uid="{00000000-0005-0000-0000-0000098B0000}"/>
    <cellStyle name="Calculation 5 2 14 2 4" xfId="35625" xr:uid="{00000000-0005-0000-0000-00000A8B0000}"/>
    <cellStyle name="Calculation 5 2 14 2 5" xfId="35626" xr:uid="{00000000-0005-0000-0000-00000B8B0000}"/>
    <cellStyle name="Calculation 5 2 14 2 6" xfId="35627" xr:uid="{00000000-0005-0000-0000-00000C8B0000}"/>
    <cellStyle name="Calculation 5 2 14 3" xfId="35628" xr:uid="{00000000-0005-0000-0000-00000D8B0000}"/>
    <cellStyle name="Calculation 5 2 14 3 2" xfId="35629" xr:uid="{00000000-0005-0000-0000-00000E8B0000}"/>
    <cellStyle name="Calculation 5 2 14 3 3" xfId="35630" xr:uid="{00000000-0005-0000-0000-00000F8B0000}"/>
    <cellStyle name="Calculation 5 2 14 3 4" xfId="35631" xr:uid="{00000000-0005-0000-0000-0000108B0000}"/>
    <cellStyle name="Calculation 5 2 14 3 5" xfId="35632" xr:uid="{00000000-0005-0000-0000-0000118B0000}"/>
    <cellStyle name="Calculation 5 2 14 3 6" xfId="35633" xr:uid="{00000000-0005-0000-0000-0000128B0000}"/>
    <cellStyle name="Calculation 5 2 14 4" xfId="35634" xr:uid="{00000000-0005-0000-0000-0000138B0000}"/>
    <cellStyle name="Calculation 5 2 14 4 2" xfId="35635" xr:uid="{00000000-0005-0000-0000-0000148B0000}"/>
    <cellStyle name="Calculation 5 2 14 4 3" xfId="35636" xr:uid="{00000000-0005-0000-0000-0000158B0000}"/>
    <cellStyle name="Calculation 5 2 14 4 4" xfId="35637" xr:uid="{00000000-0005-0000-0000-0000168B0000}"/>
    <cellStyle name="Calculation 5 2 14 4 5" xfId="35638" xr:uid="{00000000-0005-0000-0000-0000178B0000}"/>
    <cellStyle name="Calculation 5 2 14 4 6" xfId="35639" xr:uid="{00000000-0005-0000-0000-0000188B0000}"/>
    <cellStyle name="Calculation 5 2 14 5" xfId="35640" xr:uid="{00000000-0005-0000-0000-0000198B0000}"/>
    <cellStyle name="Calculation 5 2 14 5 2" xfId="35641" xr:uid="{00000000-0005-0000-0000-00001A8B0000}"/>
    <cellStyle name="Calculation 5 2 14 5 3" xfId="35642" xr:uid="{00000000-0005-0000-0000-00001B8B0000}"/>
    <cellStyle name="Calculation 5 2 14 5 4" xfId="35643" xr:uid="{00000000-0005-0000-0000-00001C8B0000}"/>
    <cellStyle name="Calculation 5 2 14 5 5" xfId="35644" xr:uid="{00000000-0005-0000-0000-00001D8B0000}"/>
    <cellStyle name="Calculation 5 2 14 5 6" xfId="35645" xr:uid="{00000000-0005-0000-0000-00001E8B0000}"/>
    <cellStyle name="Calculation 5 2 14 6" xfId="35646" xr:uid="{00000000-0005-0000-0000-00001F8B0000}"/>
    <cellStyle name="Calculation 5 2 14 6 2" xfId="35647" xr:uid="{00000000-0005-0000-0000-0000208B0000}"/>
    <cellStyle name="Calculation 5 2 14 6 3" xfId="35648" xr:uid="{00000000-0005-0000-0000-0000218B0000}"/>
    <cellStyle name="Calculation 5 2 14 6 4" xfId="35649" xr:uid="{00000000-0005-0000-0000-0000228B0000}"/>
    <cellStyle name="Calculation 5 2 14 6 5" xfId="35650" xr:uid="{00000000-0005-0000-0000-0000238B0000}"/>
    <cellStyle name="Calculation 5 2 14 6 6" xfId="35651" xr:uid="{00000000-0005-0000-0000-0000248B0000}"/>
    <cellStyle name="Calculation 5 2 14 7" xfId="35652" xr:uid="{00000000-0005-0000-0000-0000258B0000}"/>
    <cellStyle name="Calculation 5 2 14 7 2" xfId="35653" xr:uid="{00000000-0005-0000-0000-0000268B0000}"/>
    <cellStyle name="Calculation 5 2 14 7 3" xfId="35654" xr:uid="{00000000-0005-0000-0000-0000278B0000}"/>
    <cellStyle name="Calculation 5 2 14 7 4" xfId="35655" xr:uid="{00000000-0005-0000-0000-0000288B0000}"/>
    <cellStyle name="Calculation 5 2 14 7 5" xfId="35656" xr:uid="{00000000-0005-0000-0000-0000298B0000}"/>
    <cellStyle name="Calculation 5 2 14 7 6" xfId="35657" xr:uid="{00000000-0005-0000-0000-00002A8B0000}"/>
    <cellStyle name="Calculation 5 2 14 8" xfId="35658" xr:uid="{00000000-0005-0000-0000-00002B8B0000}"/>
    <cellStyle name="Calculation 5 2 14 9" xfId="35659" xr:uid="{00000000-0005-0000-0000-00002C8B0000}"/>
    <cellStyle name="Calculation 5 2 15" xfId="35660" xr:uid="{00000000-0005-0000-0000-00002D8B0000}"/>
    <cellStyle name="Calculation 5 2 15 10" xfId="35661" xr:uid="{00000000-0005-0000-0000-00002E8B0000}"/>
    <cellStyle name="Calculation 5 2 15 2" xfId="35662" xr:uid="{00000000-0005-0000-0000-00002F8B0000}"/>
    <cellStyle name="Calculation 5 2 15 2 2" xfId="35663" xr:uid="{00000000-0005-0000-0000-0000308B0000}"/>
    <cellStyle name="Calculation 5 2 15 2 3" xfId="35664" xr:uid="{00000000-0005-0000-0000-0000318B0000}"/>
    <cellStyle name="Calculation 5 2 15 2 4" xfId="35665" xr:uid="{00000000-0005-0000-0000-0000328B0000}"/>
    <cellStyle name="Calculation 5 2 15 2 5" xfId="35666" xr:uid="{00000000-0005-0000-0000-0000338B0000}"/>
    <cellStyle name="Calculation 5 2 15 2 6" xfId="35667" xr:uid="{00000000-0005-0000-0000-0000348B0000}"/>
    <cellStyle name="Calculation 5 2 15 3" xfId="35668" xr:uid="{00000000-0005-0000-0000-0000358B0000}"/>
    <cellStyle name="Calculation 5 2 15 3 2" xfId="35669" xr:uid="{00000000-0005-0000-0000-0000368B0000}"/>
    <cellStyle name="Calculation 5 2 15 3 3" xfId="35670" xr:uid="{00000000-0005-0000-0000-0000378B0000}"/>
    <cellStyle name="Calculation 5 2 15 3 4" xfId="35671" xr:uid="{00000000-0005-0000-0000-0000388B0000}"/>
    <cellStyle name="Calculation 5 2 15 3 5" xfId="35672" xr:uid="{00000000-0005-0000-0000-0000398B0000}"/>
    <cellStyle name="Calculation 5 2 15 3 6" xfId="35673" xr:uid="{00000000-0005-0000-0000-00003A8B0000}"/>
    <cellStyle name="Calculation 5 2 15 4" xfId="35674" xr:uid="{00000000-0005-0000-0000-00003B8B0000}"/>
    <cellStyle name="Calculation 5 2 15 4 2" xfId="35675" xr:uid="{00000000-0005-0000-0000-00003C8B0000}"/>
    <cellStyle name="Calculation 5 2 15 4 3" xfId="35676" xr:uid="{00000000-0005-0000-0000-00003D8B0000}"/>
    <cellStyle name="Calculation 5 2 15 4 4" xfId="35677" xr:uid="{00000000-0005-0000-0000-00003E8B0000}"/>
    <cellStyle name="Calculation 5 2 15 4 5" xfId="35678" xr:uid="{00000000-0005-0000-0000-00003F8B0000}"/>
    <cellStyle name="Calculation 5 2 15 4 6" xfId="35679" xr:uid="{00000000-0005-0000-0000-0000408B0000}"/>
    <cellStyle name="Calculation 5 2 15 5" xfId="35680" xr:uid="{00000000-0005-0000-0000-0000418B0000}"/>
    <cellStyle name="Calculation 5 2 15 5 2" xfId="35681" xr:uid="{00000000-0005-0000-0000-0000428B0000}"/>
    <cellStyle name="Calculation 5 2 15 5 3" xfId="35682" xr:uid="{00000000-0005-0000-0000-0000438B0000}"/>
    <cellStyle name="Calculation 5 2 15 5 4" xfId="35683" xr:uid="{00000000-0005-0000-0000-0000448B0000}"/>
    <cellStyle name="Calculation 5 2 15 5 5" xfId="35684" xr:uid="{00000000-0005-0000-0000-0000458B0000}"/>
    <cellStyle name="Calculation 5 2 15 5 6" xfId="35685" xr:uid="{00000000-0005-0000-0000-0000468B0000}"/>
    <cellStyle name="Calculation 5 2 15 6" xfId="35686" xr:uid="{00000000-0005-0000-0000-0000478B0000}"/>
    <cellStyle name="Calculation 5 2 15 6 2" xfId="35687" xr:uid="{00000000-0005-0000-0000-0000488B0000}"/>
    <cellStyle name="Calculation 5 2 15 6 3" xfId="35688" xr:uid="{00000000-0005-0000-0000-0000498B0000}"/>
    <cellStyle name="Calculation 5 2 15 6 4" xfId="35689" xr:uid="{00000000-0005-0000-0000-00004A8B0000}"/>
    <cellStyle name="Calculation 5 2 15 6 5" xfId="35690" xr:uid="{00000000-0005-0000-0000-00004B8B0000}"/>
    <cellStyle name="Calculation 5 2 15 6 6" xfId="35691" xr:uid="{00000000-0005-0000-0000-00004C8B0000}"/>
    <cellStyle name="Calculation 5 2 15 7" xfId="35692" xr:uid="{00000000-0005-0000-0000-00004D8B0000}"/>
    <cellStyle name="Calculation 5 2 15 7 2" xfId="35693" xr:uid="{00000000-0005-0000-0000-00004E8B0000}"/>
    <cellStyle name="Calculation 5 2 15 7 3" xfId="35694" xr:uid="{00000000-0005-0000-0000-00004F8B0000}"/>
    <cellStyle name="Calculation 5 2 15 7 4" xfId="35695" xr:uid="{00000000-0005-0000-0000-0000508B0000}"/>
    <cellStyle name="Calculation 5 2 15 7 5" xfId="35696" xr:uid="{00000000-0005-0000-0000-0000518B0000}"/>
    <cellStyle name="Calculation 5 2 15 7 6" xfId="35697" xr:uid="{00000000-0005-0000-0000-0000528B0000}"/>
    <cellStyle name="Calculation 5 2 15 8" xfId="35698" xr:uid="{00000000-0005-0000-0000-0000538B0000}"/>
    <cellStyle name="Calculation 5 2 15 9" xfId="35699" xr:uid="{00000000-0005-0000-0000-0000548B0000}"/>
    <cellStyle name="Calculation 5 2 16" xfId="35700" xr:uid="{00000000-0005-0000-0000-0000558B0000}"/>
    <cellStyle name="Calculation 5 2 16 10" xfId="35701" xr:uid="{00000000-0005-0000-0000-0000568B0000}"/>
    <cellStyle name="Calculation 5 2 16 2" xfId="35702" xr:uid="{00000000-0005-0000-0000-0000578B0000}"/>
    <cellStyle name="Calculation 5 2 16 2 2" xfId="35703" xr:uid="{00000000-0005-0000-0000-0000588B0000}"/>
    <cellStyle name="Calculation 5 2 16 2 3" xfId="35704" xr:uid="{00000000-0005-0000-0000-0000598B0000}"/>
    <cellStyle name="Calculation 5 2 16 2 4" xfId="35705" xr:uid="{00000000-0005-0000-0000-00005A8B0000}"/>
    <cellStyle name="Calculation 5 2 16 2 5" xfId="35706" xr:uid="{00000000-0005-0000-0000-00005B8B0000}"/>
    <cellStyle name="Calculation 5 2 16 2 6" xfId="35707" xr:uid="{00000000-0005-0000-0000-00005C8B0000}"/>
    <cellStyle name="Calculation 5 2 16 3" xfId="35708" xr:uid="{00000000-0005-0000-0000-00005D8B0000}"/>
    <cellStyle name="Calculation 5 2 16 3 2" xfId="35709" xr:uid="{00000000-0005-0000-0000-00005E8B0000}"/>
    <cellStyle name="Calculation 5 2 16 3 3" xfId="35710" xr:uid="{00000000-0005-0000-0000-00005F8B0000}"/>
    <cellStyle name="Calculation 5 2 16 3 4" xfId="35711" xr:uid="{00000000-0005-0000-0000-0000608B0000}"/>
    <cellStyle name="Calculation 5 2 16 3 5" xfId="35712" xr:uid="{00000000-0005-0000-0000-0000618B0000}"/>
    <cellStyle name="Calculation 5 2 16 3 6" xfId="35713" xr:uid="{00000000-0005-0000-0000-0000628B0000}"/>
    <cellStyle name="Calculation 5 2 16 4" xfId="35714" xr:uid="{00000000-0005-0000-0000-0000638B0000}"/>
    <cellStyle name="Calculation 5 2 16 4 2" xfId="35715" xr:uid="{00000000-0005-0000-0000-0000648B0000}"/>
    <cellStyle name="Calculation 5 2 16 4 3" xfId="35716" xr:uid="{00000000-0005-0000-0000-0000658B0000}"/>
    <cellStyle name="Calculation 5 2 16 4 4" xfId="35717" xr:uid="{00000000-0005-0000-0000-0000668B0000}"/>
    <cellStyle name="Calculation 5 2 16 4 5" xfId="35718" xr:uid="{00000000-0005-0000-0000-0000678B0000}"/>
    <cellStyle name="Calculation 5 2 16 4 6" xfId="35719" xr:uid="{00000000-0005-0000-0000-0000688B0000}"/>
    <cellStyle name="Calculation 5 2 16 5" xfId="35720" xr:uid="{00000000-0005-0000-0000-0000698B0000}"/>
    <cellStyle name="Calculation 5 2 16 5 2" xfId="35721" xr:uid="{00000000-0005-0000-0000-00006A8B0000}"/>
    <cellStyle name="Calculation 5 2 16 5 3" xfId="35722" xr:uid="{00000000-0005-0000-0000-00006B8B0000}"/>
    <cellStyle name="Calculation 5 2 16 5 4" xfId="35723" xr:uid="{00000000-0005-0000-0000-00006C8B0000}"/>
    <cellStyle name="Calculation 5 2 16 5 5" xfId="35724" xr:uid="{00000000-0005-0000-0000-00006D8B0000}"/>
    <cellStyle name="Calculation 5 2 16 5 6" xfId="35725" xr:uid="{00000000-0005-0000-0000-00006E8B0000}"/>
    <cellStyle name="Calculation 5 2 16 6" xfId="35726" xr:uid="{00000000-0005-0000-0000-00006F8B0000}"/>
    <cellStyle name="Calculation 5 2 16 6 2" xfId="35727" xr:uid="{00000000-0005-0000-0000-0000708B0000}"/>
    <cellStyle name="Calculation 5 2 16 6 3" xfId="35728" xr:uid="{00000000-0005-0000-0000-0000718B0000}"/>
    <cellStyle name="Calculation 5 2 16 6 4" xfId="35729" xr:uid="{00000000-0005-0000-0000-0000728B0000}"/>
    <cellStyle name="Calculation 5 2 16 6 5" xfId="35730" xr:uid="{00000000-0005-0000-0000-0000738B0000}"/>
    <cellStyle name="Calculation 5 2 16 6 6" xfId="35731" xr:uid="{00000000-0005-0000-0000-0000748B0000}"/>
    <cellStyle name="Calculation 5 2 16 7" xfId="35732" xr:uid="{00000000-0005-0000-0000-0000758B0000}"/>
    <cellStyle name="Calculation 5 2 16 7 2" xfId="35733" xr:uid="{00000000-0005-0000-0000-0000768B0000}"/>
    <cellStyle name="Calculation 5 2 16 7 3" xfId="35734" xr:uid="{00000000-0005-0000-0000-0000778B0000}"/>
    <cellStyle name="Calculation 5 2 16 7 4" xfId="35735" xr:uid="{00000000-0005-0000-0000-0000788B0000}"/>
    <cellStyle name="Calculation 5 2 16 7 5" xfId="35736" xr:uid="{00000000-0005-0000-0000-0000798B0000}"/>
    <cellStyle name="Calculation 5 2 16 7 6" xfId="35737" xr:uid="{00000000-0005-0000-0000-00007A8B0000}"/>
    <cellStyle name="Calculation 5 2 16 8" xfId="35738" xr:uid="{00000000-0005-0000-0000-00007B8B0000}"/>
    <cellStyle name="Calculation 5 2 16 9" xfId="35739" xr:uid="{00000000-0005-0000-0000-00007C8B0000}"/>
    <cellStyle name="Calculation 5 2 17" xfId="35740" xr:uid="{00000000-0005-0000-0000-00007D8B0000}"/>
    <cellStyle name="Calculation 5 2 17 10" xfId="35741" xr:uid="{00000000-0005-0000-0000-00007E8B0000}"/>
    <cellStyle name="Calculation 5 2 17 2" xfId="35742" xr:uid="{00000000-0005-0000-0000-00007F8B0000}"/>
    <cellStyle name="Calculation 5 2 17 2 2" xfId="35743" xr:uid="{00000000-0005-0000-0000-0000808B0000}"/>
    <cellStyle name="Calculation 5 2 17 2 3" xfId="35744" xr:uid="{00000000-0005-0000-0000-0000818B0000}"/>
    <cellStyle name="Calculation 5 2 17 2 4" xfId="35745" xr:uid="{00000000-0005-0000-0000-0000828B0000}"/>
    <cellStyle name="Calculation 5 2 17 2 5" xfId="35746" xr:uid="{00000000-0005-0000-0000-0000838B0000}"/>
    <cellStyle name="Calculation 5 2 17 2 6" xfId="35747" xr:uid="{00000000-0005-0000-0000-0000848B0000}"/>
    <cellStyle name="Calculation 5 2 17 3" xfId="35748" xr:uid="{00000000-0005-0000-0000-0000858B0000}"/>
    <cellStyle name="Calculation 5 2 17 3 2" xfId="35749" xr:uid="{00000000-0005-0000-0000-0000868B0000}"/>
    <cellStyle name="Calculation 5 2 17 3 3" xfId="35750" xr:uid="{00000000-0005-0000-0000-0000878B0000}"/>
    <cellStyle name="Calculation 5 2 17 3 4" xfId="35751" xr:uid="{00000000-0005-0000-0000-0000888B0000}"/>
    <cellStyle name="Calculation 5 2 17 3 5" xfId="35752" xr:uid="{00000000-0005-0000-0000-0000898B0000}"/>
    <cellStyle name="Calculation 5 2 17 3 6" xfId="35753" xr:uid="{00000000-0005-0000-0000-00008A8B0000}"/>
    <cellStyle name="Calculation 5 2 17 4" xfId="35754" xr:uid="{00000000-0005-0000-0000-00008B8B0000}"/>
    <cellStyle name="Calculation 5 2 17 4 2" xfId="35755" xr:uid="{00000000-0005-0000-0000-00008C8B0000}"/>
    <cellStyle name="Calculation 5 2 17 4 3" xfId="35756" xr:uid="{00000000-0005-0000-0000-00008D8B0000}"/>
    <cellStyle name="Calculation 5 2 17 4 4" xfId="35757" xr:uid="{00000000-0005-0000-0000-00008E8B0000}"/>
    <cellStyle name="Calculation 5 2 17 4 5" xfId="35758" xr:uid="{00000000-0005-0000-0000-00008F8B0000}"/>
    <cellStyle name="Calculation 5 2 17 4 6" xfId="35759" xr:uid="{00000000-0005-0000-0000-0000908B0000}"/>
    <cellStyle name="Calculation 5 2 17 5" xfId="35760" xr:uid="{00000000-0005-0000-0000-0000918B0000}"/>
    <cellStyle name="Calculation 5 2 17 5 2" xfId="35761" xr:uid="{00000000-0005-0000-0000-0000928B0000}"/>
    <cellStyle name="Calculation 5 2 17 5 3" xfId="35762" xr:uid="{00000000-0005-0000-0000-0000938B0000}"/>
    <cellStyle name="Calculation 5 2 17 5 4" xfId="35763" xr:uid="{00000000-0005-0000-0000-0000948B0000}"/>
    <cellStyle name="Calculation 5 2 17 5 5" xfId="35764" xr:uid="{00000000-0005-0000-0000-0000958B0000}"/>
    <cellStyle name="Calculation 5 2 17 5 6" xfId="35765" xr:uid="{00000000-0005-0000-0000-0000968B0000}"/>
    <cellStyle name="Calculation 5 2 17 6" xfId="35766" xr:uid="{00000000-0005-0000-0000-0000978B0000}"/>
    <cellStyle name="Calculation 5 2 17 6 2" xfId="35767" xr:uid="{00000000-0005-0000-0000-0000988B0000}"/>
    <cellStyle name="Calculation 5 2 17 6 3" xfId="35768" xr:uid="{00000000-0005-0000-0000-0000998B0000}"/>
    <cellStyle name="Calculation 5 2 17 6 4" xfId="35769" xr:uid="{00000000-0005-0000-0000-00009A8B0000}"/>
    <cellStyle name="Calculation 5 2 17 6 5" xfId="35770" xr:uid="{00000000-0005-0000-0000-00009B8B0000}"/>
    <cellStyle name="Calculation 5 2 17 6 6" xfId="35771" xr:uid="{00000000-0005-0000-0000-00009C8B0000}"/>
    <cellStyle name="Calculation 5 2 17 7" xfId="35772" xr:uid="{00000000-0005-0000-0000-00009D8B0000}"/>
    <cellStyle name="Calculation 5 2 17 7 2" xfId="35773" xr:uid="{00000000-0005-0000-0000-00009E8B0000}"/>
    <cellStyle name="Calculation 5 2 17 7 3" xfId="35774" xr:uid="{00000000-0005-0000-0000-00009F8B0000}"/>
    <cellStyle name="Calculation 5 2 17 7 4" xfId="35775" xr:uid="{00000000-0005-0000-0000-0000A08B0000}"/>
    <cellStyle name="Calculation 5 2 17 7 5" xfId="35776" xr:uid="{00000000-0005-0000-0000-0000A18B0000}"/>
    <cellStyle name="Calculation 5 2 17 7 6" xfId="35777" xr:uid="{00000000-0005-0000-0000-0000A28B0000}"/>
    <cellStyle name="Calculation 5 2 17 8" xfId="35778" xr:uid="{00000000-0005-0000-0000-0000A38B0000}"/>
    <cellStyle name="Calculation 5 2 17 9" xfId="35779" xr:uid="{00000000-0005-0000-0000-0000A48B0000}"/>
    <cellStyle name="Calculation 5 2 18" xfId="35780" xr:uid="{00000000-0005-0000-0000-0000A58B0000}"/>
    <cellStyle name="Calculation 5 2 18 10" xfId="35781" xr:uid="{00000000-0005-0000-0000-0000A68B0000}"/>
    <cellStyle name="Calculation 5 2 18 2" xfId="35782" xr:uid="{00000000-0005-0000-0000-0000A78B0000}"/>
    <cellStyle name="Calculation 5 2 18 2 2" xfId="35783" xr:uid="{00000000-0005-0000-0000-0000A88B0000}"/>
    <cellStyle name="Calculation 5 2 18 2 3" xfId="35784" xr:uid="{00000000-0005-0000-0000-0000A98B0000}"/>
    <cellStyle name="Calculation 5 2 18 2 4" xfId="35785" xr:uid="{00000000-0005-0000-0000-0000AA8B0000}"/>
    <cellStyle name="Calculation 5 2 18 2 5" xfId="35786" xr:uid="{00000000-0005-0000-0000-0000AB8B0000}"/>
    <cellStyle name="Calculation 5 2 18 2 6" xfId="35787" xr:uid="{00000000-0005-0000-0000-0000AC8B0000}"/>
    <cellStyle name="Calculation 5 2 18 3" xfId="35788" xr:uid="{00000000-0005-0000-0000-0000AD8B0000}"/>
    <cellStyle name="Calculation 5 2 18 3 2" xfId="35789" xr:uid="{00000000-0005-0000-0000-0000AE8B0000}"/>
    <cellStyle name="Calculation 5 2 18 3 3" xfId="35790" xr:uid="{00000000-0005-0000-0000-0000AF8B0000}"/>
    <cellStyle name="Calculation 5 2 18 3 4" xfId="35791" xr:uid="{00000000-0005-0000-0000-0000B08B0000}"/>
    <cellStyle name="Calculation 5 2 18 3 5" xfId="35792" xr:uid="{00000000-0005-0000-0000-0000B18B0000}"/>
    <cellStyle name="Calculation 5 2 18 3 6" xfId="35793" xr:uid="{00000000-0005-0000-0000-0000B28B0000}"/>
    <cellStyle name="Calculation 5 2 18 4" xfId="35794" xr:uid="{00000000-0005-0000-0000-0000B38B0000}"/>
    <cellStyle name="Calculation 5 2 18 4 2" xfId="35795" xr:uid="{00000000-0005-0000-0000-0000B48B0000}"/>
    <cellStyle name="Calculation 5 2 18 4 3" xfId="35796" xr:uid="{00000000-0005-0000-0000-0000B58B0000}"/>
    <cellStyle name="Calculation 5 2 18 4 4" xfId="35797" xr:uid="{00000000-0005-0000-0000-0000B68B0000}"/>
    <cellStyle name="Calculation 5 2 18 4 5" xfId="35798" xr:uid="{00000000-0005-0000-0000-0000B78B0000}"/>
    <cellStyle name="Calculation 5 2 18 4 6" xfId="35799" xr:uid="{00000000-0005-0000-0000-0000B88B0000}"/>
    <cellStyle name="Calculation 5 2 18 5" xfId="35800" xr:uid="{00000000-0005-0000-0000-0000B98B0000}"/>
    <cellStyle name="Calculation 5 2 18 5 2" xfId="35801" xr:uid="{00000000-0005-0000-0000-0000BA8B0000}"/>
    <cellStyle name="Calculation 5 2 18 5 3" xfId="35802" xr:uid="{00000000-0005-0000-0000-0000BB8B0000}"/>
    <cellStyle name="Calculation 5 2 18 5 4" xfId="35803" xr:uid="{00000000-0005-0000-0000-0000BC8B0000}"/>
    <cellStyle name="Calculation 5 2 18 5 5" xfId="35804" xr:uid="{00000000-0005-0000-0000-0000BD8B0000}"/>
    <cellStyle name="Calculation 5 2 18 5 6" xfId="35805" xr:uid="{00000000-0005-0000-0000-0000BE8B0000}"/>
    <cellStyle name="Calculation 5 2 18 6" xfId="35806" xr:uid="{00000000-0005-0000-0000-0000BF8B0000}"/>
    <cellStyle name="Calculation 5 2 18 6 2" xfId="35807" xr:uid="{00000000-0005-0000-0000-0000C08B0000}"/>
    <cellStyle name="Calculation 5 2 18 6 3" xfId="35808" xr:uid="{00000000-0005-0000-0000-0000C18B0000}"/>
    <cellStyle name="Calculation 5 2 18 6 4" xfId="35809" xr:uid="{00000000-0005-0000-0000-0000C28B0000}"/>
    <cellStyle name="Calculation 5 2 18 6 5" xfId="35810" xr:uid="{00000000-0005-0000-0000-0000C38B0000}"/>
    <cellStyle name="Calculation 5 2 18 6 6" xfId="35811" xr:uid="{00000000-0005-0000-0000-0000C48B0000}"/>
    <cellStyle name="Calculation 5 2 18 7" xfId="35812" xr:uid="{00000000-0005-0000-0000-0000C58B0000}"/>
    <cellStyle name="Calculation 5 2 18 7 2" xfId="35813" xr:uid="{00000000-0005-0000-0000-0000C68B0000}"/>
    <cellStyle name="Calculation 5 2 18 7 3" xfId="35814" xr:uid="{00000000-0005-0000-0000-0000C78B0000}"/>
    <cellStyle name="Calculation 5 2 18 7 4" xfId="35815" xr:uid="{00000000-0005-0000-0000-0000C88B0000}"/>
    <cellStyle name="Calculation 5 2 18 7 5" xfId="35816" xr:uid="{00000000-0005-0000-0000-0000C98B0000}"/>
    <cellStyle name="Calculation 5 2 18 7 6" xfId="35817" xr:uid="{00000000-0005-0000-0000-0000CA8B0000}"/>
    <cellStyle name="Calculation 5 2 18 8" xfId="35818" xr:uid="{00000000-0005-0000-0000-0000CB8B0000}"/>
    <cellStyle name="Calculation 5 2 18 9" xfId="35819" xr:uid="{00000000-0005-0000-0000-0000CC8B0000}"/>
    <cellStyle name="Calculation 5 2 19" xfId="35820" xr:uid="{00000000-0005-0000-0000-0000CD8B0000}"/>
    <cellStyle name="Calculation 5 2 19 10" xfId="35821" xr:uid="{00000000-0005-0000-0000-0000CE8B0000}"/>
    <cellStyle name="Calculation 5 2 19 2" xfId="35822" xr:uid="{00000000-0005-0000-0000-0000CF8B0000}"/>
    <cellStyle name="Calculation 5 2 19 2 2" xfId="35823" xr:uid="{00000000-0005-0000-0000-0000D08B0000}"/>
    <cellStyle name="Calculation 5 2 19 2 3" xfId="35824" xr:uid="{00000000-0005-0000-0000-0000D18B0000}"/>
    <cellStyle name="Calculation 5 2 19 2 4" xfId="35825" xr:uid="{00000000-0005-0000-0000-0000D28B0000}"/>
    <cellStyle name="Calculation 5 2 19 2 5" xfId="35826" xr:uid="{00000000-0005-0000-0000-0000D38B0000}"/>
    <cellStyle name="Calculation 5 2 19 2 6" xfId="35827" xr:uid="{00000000-0005-0000-0000-0000D48B0000}"/>
    <cellStyle name="Calculation 5 2 19 3" xfId="35828" xr:uid="{00000000-0005-0000-0000-0000D58B0000}"/>
    <cellStyle name="Calculation 5 2 19 3 2" xfId="35829" xr:uid="{00000000-0005-0000-0000-0000D68B0000}"/>
    <cellStyle name="Calculation 5 2 19 3 3" xfId="35830" xr:uid="{00000000-0005-0000-0000-0000D78B0000}"/>
    <cellStyle name="Calculation 5 2 19 3 4" xfId="35831" xr:uid="{00000000-0005-0000-0000-0000D88B0000}"/>
    <cellStyle name="Calculation 5 2 19 3 5" xfId="35832" xr:uid="{00000000-0005-0000-0000-0000D98B0000}"/>
    <cellStyle name="Calculation 5 2 19 3 6" xfId="35833" xr:uid="{00000000-0005-0000-0000-0000DA8B0000}"/>
    <cellStyle name="Calculation 5 2 19 4" xfId="35834" xr:uid="{00000000-0005-0000-0000-0000DB8B0000}"/>
    <cellStyle name="Calculation 5 2 19 4 2" xfId="35835" xr:uid="{00000000-0005-0000-0000-0000DC8B0000}"/>
    <cellStyle name="Calculation 5 2 19 4 3" xfId="35836" xr:uid="{00000000-0005-0000-0000-0000DD8B0000}"/>
    <cellStyle name="Calculation 5 2 19 4 4" xfId="35837" xr:uid="{00000000-0005-0000-0000-0000DE8B0000}"/>
    <cellStyle name="Calculation 5 2 19 4 5" xfId="35838" xr:uid="{00000000-0005-0000-0000-0000DF8B0000}"/>
    <cellStyle name="Calculation 5 2 19 4 6" xfId="35839" xr:uid="{00000000-0005-0000-0000-0000E08B0000}"/>
    <cellStyle name="Calculation 5 2 19 5" xfId="35840" xr:uid="{00000000-0005-0000-0000-0000E18B0000}"/>
    <cellStyle name="Calculation 5 2 19 5 2" xfId="35841" xr:uid="{00000000-0005-0000-0000-0000E28B0000}"/>
    <cellStyle name="Calculation 5 2 19 5 3" xfId="35842" xr:uid="{00000000-0005-0000-0000-0000E38B0000}"/>
    <cellStyle name="Calculation 5 2 19 5 4" xfId="35843" xr:uid="{00000000-0005-0000-0000-0000E48B0000}"/>
    <cellStyle name="Calculation 5 2 19 5 5" xfId="35844" xr:uid="{00000000-0005-0000-0000-0000E58B0000}"/>
    <cellStyle name="Calculation 5 2 19 5 6" xfId="35845" xr:uid="{00000000-0005-0000-0000-0000E68B0000}"/>
    <cellStyle name="Calculation 5 2 19 6" xfId="35846" xr:uid="{00000000-0005-0000-0000-0000E78B0000}"/>
    <cellStyle name="Calculation 5 2 19 6 2" xfId="35847" xr:uid="{00000000-0005-0000-0000-0000E88B0000}"/>
    <cellStyle name="Calculation 5 2 19 6 3" xfId="35848" xr:uid="{00000000-0005-0000-0000-0000E98B0000}"/>
    <cellStyle name="Calculation 5 2 19 6 4" xfId="35849" xr:uid="{00000000-0005-0000-0000-0000EA8B0000}"/>
    <cellStyle name="Calculation 5 2 19 6 5" xfId="35850" xr:uid="{00000000-0005-0000-0000-0000EB8B0000}"/>
    <cellStyle name="Calculation 5 2 19 6 6" xfId="35851" xr:uid="{00000000-0005-0000-0000-0000EC8B0000}"/>
    <cellStyle name="Calculation 5 2 19 7" xfId="35852" xr:uid="{00000000-0005-0000-0000-0000ED8B0000}"/>
    <cellStyle name="Calculation 5 2 19 7 2" xfId="35853" xr:uid="{00000000-0005-0000-0000-0000EE8B0000}"/>
    <cellStyle name="Calculation 5 2 19 7 3" xfId="35854" xr:uid="{00000000-0005-0000-0000-0000EF8B0000}"/>
    <cellStyle name="Calculation 5 2 19 7 4" xfId="35855" xr:uid="{00000000-0005-0000-0000-0000F08B0000}"/>
    <cellStyle name="Calculation 5 2 19 7 5" xfId="35856" xr:uid="{00000000-0005-0000-0000-0000F18B0000}"/>
    <cellStyle name="Calculation 5 2 19 7 6" xfId="35857" xr:uid="{00000000-0005-0000-0000-0000F28B0000}"/>
    <cellStyle name="Calculation 5 2 19 8" xfId="35858" xr:uid="{00000000-0005-0000-0000-0000F38B0000}"/>
    <cellStyle name="Calculation 5 2 19 9" xfId="35859" xr:uid="{00000000-0005-0000-0000-0000F48B0000}"/>
    <cellStyle name="Calculation 5 2 2" xfId="35860" xr:uid="{00000000-0005-0000-0000-0000F58B0000}"/>
    <cellStyle name="Calculation 5 2 2 10" xfId="35861" xr:uid="{00000000-0005-0000-0000-0000F68B0000}"/>
    <cellStyle name="Calculation 5 2 2 2" xfId="35862" xr:uid="{00000000-0005-0000-0000-0000F78B0000}"/>
    <cellStyle name="Calculation 5 2 2 2 2" xfId="35863" xr:uid="{00000000-0005-0000-0000-0000F88B0000}"/>
    <cellStyle name="Calculation 5 2 2 2 3" xfId="35864" xr:uid="{00000000-0005-0000-0000-0000F98B0000}"/>
    <cellStyle name="Calculation 5 2 2 2 4" xfId="35865" xr:uid="{00000000-0005-0000-0000-0000FA8B0000}"/>
    <cellStyle name="Calculation 5 2 2 2 5" xfId="35866" xr:uid="{00000000-0005-0000-0000-0000FB8B0000}"/>
    <cellStyle name="Calculation 5 2 2 2 6" xfId="35867" xr:uid="{00000000-0005-0000-0000-0000FC8B0000}"/>
    <cellStyle name="Calculation 5 2 2 3" xfId="35868" xr:uid="{00000000-0005-0000-0000-0000FD8B0000}"/>
    <cellStyle name="Calculation 5 2 2 3 2" xfId="35869" xr:uid="{00000000-0005-0000-0000-0000FE8B0000}"/>
    <cellStyle name="Calculation 5 2 2 3 3" xfId="35870" xr:uid="{00000000-0005-0000-0000-0000FF8B0000}"/>
    <cellStyle name="Calculation 5 2 2 3 4" xfId="35871" xr:uid="{00000000-0005-0000-0000-0000008C0000}"/>
    <cellStyle name="Calculation 5 2 2 3 5" xfId="35872" xr:uid="{00000000-0005-0000-0000-0000018C0000}"/>
    <cellStyle name="Calculation 5 2 2 3 6" xfId="35873" xr:uid="{00000000-0005-0000-0000-0000028C0000}"/>
    <cellStyle name="Calculation 5 2 2 4" xfId="35874" xr:uid="{00000000-0005-0000-0000-0000038C0000}"/>
    <cellStyle name="Calculation 5 2 2 4 2" xfId="35875" xr:uid="{00000000-0005-0000-0000-0000048C0000}"/>
    <cellStyle name="Calculation 5 2 2 4 3" xfId="35876" xr:uid="{00000000-0005-0000-0000-0000058C0000}"/>
    <cellStyle name="Calculation 5 2 2 4 4" xfId="35877" xr:uid="{00000000-0005-0000-0000-0000068C0000}"/>
    <cellStyle name="Calculation 5 2 2 4 5" xfId="35878" xr:uid="{00000000-0005-0000-0000-0000078C0000}"/>
    <cellStyle name="Calculation 5 2 2 4 6" xfId="35879" xr:uid="{00000000-0005-0000-0000-0000088C0000}"/>
    <cellStyle name="Calculation 5 2 2 5" xfId="35880" xr:uid="{00000000-0005-0000-0000-0000098C0000}"/>
    <cellStyle name="Calculation 5 2 2 5 2" xfId="35881" xr:uid="{00000000-0005-0000-0000-00000A8C0000}"/>
    <cellStyle name="Calculation 5 2 2 5 3" xfId="35882" xr:uid="{00000000-0005-0000-0000-00000B8C0000}"/>
    <cellStyle name="Calculation 5 2 2 5 4" xfId="35883" xr:uid="{00000000-0005-0000-0000-00000C8C0000}"/>
    <cellStyle name="Calculation 5 2 2 5 5" xfId="35884" xr:uid="{00000000-0005-0000-0000-00000D8C0000}"/>
    <cellStyle name="Calculation 5 2 2 5 6" xfId="35885" xr:uid="{00000000-0005-0000-0000-00000E8C0000}"/>
    <cellStyle name="Calculation 5 2 2 6" xfId="35886" xr:uid="{00000000-0005-0000-0000-00000F8C0000}"/>
    <cellStyle name="Calculation 5 2 2 6 2" xfId="35887" xr:uid="{00000000-0005-0000-0000-0000108C0000}"/>
    <cellStyle name="Calculation 5 2 2 6 3" xfId="35888" xr:uid="{00000000-0005-0000-0000-0000118C0000}"/>
    <cellStyle name="Calculation 5 2 2 6 4" xfId="35889" xr:uid="{00000000-0005-0000-0000-0000128C0000}"/>
    <cellStyle name="Calculation 5 2 2 6 5" xfId="35890" xr:uid="{00000000-0005-0000-0000-0000138C0000}"/>
    <cellStyle name="Calculation 5 2 2 6 6" xfId="35891" xr:uid="{00000000-0005-0000-0000-0000148C0000}"/>
    <cellStyle name="Calculation 5 2 2 7" xfId="35892" xr:uid="{00000000-0005-0000-0000-0000158C0000}"/>
    <cellStyle name="Calculation 5 2 2 7 2" xfId="35893" xr:uid="{00000000-0005-0000-0000-0000168C0000}"/>
    <cellStyle name="Calculation 5 2 2 7 3" xfId="35894" xr:uid="{00000000-0005-0000-0000-0000178C0000}"/>
    <cellStyle name="Calculation 5 2 2 7 4" xfId="35895" xr:uid="{00000000-0005-0000-0000-0000188C0000}"/>
    <cellStyle name="Calculation 5 2 2 7 5" xfId="35896" xr:uid="{00000000-0005-0000-0000-0000198C0000}"/>
    <cellStyle name="Calculation 5 2 2 7 6" xfId="35897" xr:uid="{00000000-0005-0000-0000-00001A8C0000}"/>
    <cellStyle name="Calculation 5 2 2 8" xfId="35898" xr:uid="{00000000-0005-0000-0000-00001B8C0000}"/>
    <cellStyle name="Calculation 5 2 2 9" xfId="35899" xr:uid="{00000000-0005-0000-0000-00001C8C0000}"/>
    <cellStyle name="Calculation 5 2 20" xfId="35900" xr:uid="{00000000-0005-0000-0000-00001D8C0000}"/>
    <cellStyle name="Calculation 5 2 20 10" xfId="35901" xr:uid="{00000000-0005-0000-0000-00001E8C0000}"/>
    <cellStyle name="Calculation 5 2 20 2" xfId="35902" xr:uid="{00000000-0005-0000-0000-00001F8C0000}"/>
    <cellStyle name="Calculation 5 2 20 2 2" xfId="35903" xr:uid="{00000000-0005-0000-0000-0000208C0000}"/>
    <cellStyle name="Calculation 5 2 20 2 3" xfId="35904" xr:uid="{00000000-0005-0000-0000-0000218C0000}"/>
    <cellStyle name="Calculation 5 2 20 2 4" xfId="35905" xr:uid="{00000000-0005-0000-0000-0000228C0000}"/>
    <cellStyle name="Calculation 5 2 20 2 5" xfId="35906" xr:uid="{00000000-0005-0000-0000-0000238C0000}"/>
    <cellStyle name="Calculation 5 2 20 2 6" xfId="35907" xr:uid="{00000000-0005-0000-0000-0000248C0000}"/>
    <cellStyle name="Calculation 5 2 20 3" xfId="35908" xr:uid="{00000000-0005-0000-0000-0000258C0000}"/>
    <cellStyle name="Calculation 5 2 20 3 2" xfId="35909" xr:uid="{00000000-0005-0000-0000-0000268C0000}"/>
    <cellStyle name="Calculation 5 2 20 3 3" xfId="35910" xr:uid="{00000000-0005-0000-0000-0000278C0000}"/>
    <cellStyle name="Calculation 5 2 20 3 4" xfId="35911" xr:uid="{00000000-0005-0000-0000-0000288C0000}"/>
    <cellStyle name="Calculation 5 2 20 3 5" xfId="35912" xr:uid="{00000000-0005-0000-0000-0000298C0000}"/>
    <cellStyle name="Calculation 5 2 20 3 6" xfId="35913" xr:uid="{00000000-0005-0000-0000-00002A8C0000}"/>
    <cellStyle name="Calculation 5 2 20 4" xfId="35914" xr:uid="{00000000-0005-0000-0000-00002B8C0000}"/>
    <cellStyle name="Calculation 5 2 20 4 2" xfId="35915" xr:uid="{00000000-0005-0000-0000-00002C8C0000}"/>
    <cellStyle name="Calculation 5 2 20 4 3" xfId="35916" xr:uid="{00000000-0005-0000-0000-00002D8C0000}"/>
    <cellStyle name="Calculation 5 2 20 4 4" xfId="35917" xr:uid="{00000000-0005-0000-0000-00002E8C0000}"/>
    <cellStyle name="Calculation 5 2 20 4 5" xfId="35918" xr:uid="{00000000-0005-0000-0000-00002F8C0000}"/>
    <cellStyle name="Calculation 5 2 20 4 6" xfId="35919" xr:uid="{00000000-0005-0000-0000-0000308C0000}"/>
    <cellStyle name="Calculation 5 2 20 5" xfId="35920" xr:uid="{00000000-0005-0000-0000-0000318C0000}"/>
    <cellStyle name="Calculation 5 2 20 5 2" xfId="35921" xr:uid="{00000000-0005-0000-0000-0000328C0000}"/>
    <cellStyle name="Calculation 5 2 20 5 3" xfId="35922" xr:uid="{00000000-0005-0000-0000-0000338C0000}"/>
    <cellStyle name="Calculation 5 2 20 5 4" xfId="35923" xr:uid="{00000000-0005-0000-0000-0000348C0000}"/>
    <cellStyle name="Calculation 5 2 20 5 5" xfId="35924" xr:uid="{00000000-0005-0000-0000-0000358C0000}"/>
    <cellStyle name="Calculation 5 2 20 5 6" xfId="35925" xr:uid="{00000000-0005-0000-0000-0000368C0000}"/>
    <cellStyle name="Calculation 5 2 20 6" xfId="35926" xr:uid="{00000000-0005-0000-0000-0000378C0000}"/>
    <cellStyle name="Calculation 5 2 20 6 2" xfId="35927" xr:uid="{00000000-0005-0000-0000-0000388C0000}"/>
    <cellStyle name="Calculation 5 2 20 6 3" xfId="35928" xr:uid="{00000000-0005-0000-0000-0000398C0000}"/>
    <cellStyle name="Calculation 5 2 20 6 4" xfId="35929" xr:uid="{00000000-0005-0000-0000-00003A8C0000}"/>
    <cellStyle name="Calculation 5 2 20 6 5" xfId="35930" xr:uid="{00000000-0005-0000-0000-00003B8C0000}"/>
    <cellStyle name="Calculation 5 2 20 6 6" xfId="35931" xr:uid="{00000000-0005-0000-0000-00003C8C0000}"/>
    <cellStyle name="Calculation 5 2 20 7" xfId="35932" xr:uid="{00000000-0005-0000-0000-00003D8C0000}"/>
    <cellStyle name="Calculation 5 2 20 7 2" xfId="35933" xr:uid="{00000000-0005-0000-0000-00003E8C0000}"/>
    <cellStyle name="Calculation 5 2 20 7 3" xfId="35934" xr:uid="{00000000-0005-0000-0000-00003F8C0000}"/>
    <cellStyle name="Calculation 5 2 20 7 4" xfId="35935" xr:uid="{00000000-0005-0000-0000-0000408C0000}"/>
    <cellStyle name="Calculation 5 2 20 7 5" xfId="35936" xr:uid="{00000000-0005-0000-0000-0000418C0000}"/>
    <cellStyle name="Calculation 5 2 20 7 6" xfId="35937" xr:uid="{00000000-0005-0000-0000-0000428C0000}"/>
    <cellStyle name="Calculation 5 2 20 8" xfId="35938" xr:uid="{00000000-0005-0000-0000-0000438C0000}"/>
    <cellStyle name="Calculation 5 2 20 9" xfId="35939" xr:uid="{00000000-0005-0000-0000-0000448C0000}"/>
    <cellStyle name="Calculation 5 2 21" xfId="35940" xr:uid="{00000000-0005-0000-0000-0000458C0000}"/>
    <cellStyle name="Calculation 5 2 21 10" xfId="35941" xr:uid="{00000000-0005-0000-0000-0000468C0000}"/>
    <cellStyle name="Calculation 5 2 21 2" xfId="35942" xr:uid="{00000000-0005-0000-0000-0000478C0000}"/>
    <cellStyle name="Calculation 5 2 21 2 2" xfId="35943" xr:uid="{00000000-0005-0000-0000-0000488C0000}"/>
    <cellStyle name="Calculation 5 2 21 2 3" xfId="35944" xr:uid="{00000000-0005-0000-0000-0000498C0000}"/>
    <cellStyle name="Calculation 5 2 21 2 4" xfId="35945" xr:uid="{00000000-0005-0000-0000-00004A8C0000}"/>
    <cellStyle name="Calculation 5 2 21 2 5" xfId="35946" xr:uid="{00000000-0005-0000-0000-00004B8C0000}"/>
    <cellStyle name="Calculation 5 2 21 2 6" xfId="35947" xr:uid="{00000000-0005-0000-0000-00004C8C0000}"/>
    <cellStyle name="Calculation 5 2 21 3" xfId="35948" xr:uid="{00000000-0005-0000-0000-00004D8C0000}"/>
    <cellStyle name="Calculation 5 2 21 3 2" xfId="35949" xr:uid="{00000000-0005-0000-0000-00004E8C0000}"/>
    <cellStyle name="Calculation 5 2 21 3 3" xfId="35950" xr:uid="{00000000-0005-0000-0000-00004F8C0000}"/>
    <cellStyle name="Calculation 5 2 21 3 4" xfId="35951" xr:uid="{00000000-0005-0000-0000-0000508C0000}"/>
    <cellStyle name="Calculation 5 2 21 3 5" xfId="35952" xr:uid="{00000000-0005-0000-0000-0000518C0000}"/>
    <cellStyle name="Calculation 5 2 21 3 6" xfId="35953" xr:uid="{00000000-0005-0000-0000-0000528C0000}"/>
    <cellStyle name="Calculation 5 2 21 4" xfId="35954" xr:uid="{00000000-0005-0000-0000-0000538C0000}"/>
    <cellStyle name="Calculation 5 2 21 4 2" xfId="35955" xr:uid="{00000000-0005-0000-0000-0000548C0000}"/>
    <cellStyle name="Calculation 5 2 21 4 3" xfId="35956" xr:uid="{00000000-0005-0000-0000-0000558C0000}"/>
    <cellStyle name="Calculation 5 2 21 4 4" xfId="35957" xr:uid="{00000000-0005-0000-0000-0000568C0000}"/>
    <cellStyle name="Calculation 5 2 21 4 5" xfId="35958" xr:uid="{00000000-0005-0000-0000-0000578C0000}"/>
    <cellStyle name="Calculation 5 2 21 4 6" xfId="35959" xr:uid="{00000000-0005-0000-0000-0000588C0000}"/>
    <cellStyle name="Calculation 5 2 21 5" xfId="35960" xr:uid="{00000000-0005-0000-0000-0000598C0000}"/>
    <cellStyle name="Calculation 5 2 21 5 2" xfId="35961" xr:uid="{00000000-0005-0000-0000-00005A8C0000}"/>
    <cellStyle name="Calculation 5 2 21 5 3" xfId="35962" xr:uid="{00000000-0005-0000-0000-00005B8C0000}"/>
    <cellStyle name="Calculation 5 2 21 5 4" xfId="35963" xr:uid="{00000000-0005-0000-0000-00005C8C0000}"/>
    <cellStyle name="Calculation 5 2 21 5 5" xfId="35964" xr:uid="{00000000-0005-0000-0000-00005D8C0000}"/>
    <cellStyle name="Calculation 5 2 21 5 6" xfId="35965" xr:uid="{00000000-0005-0000-0000-00005E8C0000}"/>
    <cellStyle name="Calculation 5 2 21 6" xfId="35966" xr:uid="{00000000-0005-0000-0000-00005F8C0000}"/>
    <cellStyle name="Calculation 5 2 21 6 2" xfId="35967" xr:uid="{00000000-0005-0000-0000-0000608C0000}"/>
    <cellStyle name="Calculation 5 2 21 6 3" xfId="35968" xr:uid="{00000000-0005-0000-0000-0000618C0000}"/>
    <cellStyle name="Calculation 5 2 21 6 4" xfId="35969" xr:uid="{00000000-0005-0000-0000-0000628C0000}"/>
    <cellStyle name="Calculation 5 2 21 6 5" xfId="35970" xr:uid="{00000000-0005-0000-0000-0000638C0000}"/>
    <cellStyle name="Calculation 5 2 21 6 6" xfId="35971" xr:uid="{00000000-0005-0000-0000-0000648C0000}"/>
    <cellStyle name="Calculation 5 2 21 7" xfId="35972" xr:uid="{00000000-0005-0000-0000-0000658C0000}"/>
    <cellStyle name="Calculation 5 2 21 7 2" xfId="35973" xr:uid="{00000000-0005-0000-0000-0000668C0000}"/>
    <cellStyle name="Calculation 5 2 21 7 3" xfId="35974" xr:uid="{00000000-0005-0000-0000-0000678C0000}"/>
    <cellStyle name="Calculation 5 2 21 7 4" xfId="35975" xr:uid="{00000000-0005-0000-0000-0000688C0000}"/>
    <cellStyle name="Calculation 5 2 21 7 5" xfId="35976" xr:uid="{00000000-0005-0000-0000-0000698C0000}"/>
    <cellStyle name="Calculation 5 2 21 7 6" xfId="35977" xr:uid="{00000000-0005-0000-0000-00006A8C0000}"/>
    <cellStyle name="Calculation 5 2 21 8" xfId="35978" xr:uid="{00000000-0005-0000-0000-00006B8C0000}"/>
    <cellStyle name="Calculation 5 2 21 9" xfId="35979" xr:uid="{00000000-0005-0000-0000-00006C8C0000}"/>
    <cellStyle name="Calculation 5 2 22" xfId="35980" xr:uid="{00000000-0005-0000-0000-00006D8C0000}"/>
    <cellStyle name="Calculation 5 2 22 10" xfId="35981" xr:uid="{00000000-0005-0000-0000-00006E8C0000}"/>
    <cellStyle name="Calculation 5 2 22 2" xfId="35982" xr:uid="{00000000-0005-0000-0000-00006F8C0000}"/>
    <cellStyle name="Calculation 5 2 22 2 2" xfId="35983" xr:uid="{00000000-0005-0000-0000-0000708C0000}"/>
    <cellStyle name="Calculation 5 2 22 2 3" xfId="35984" xr:uid="{00000000-0005-0000-0000-0000718C0000}"/>
    <cellStyle name="Calculation 5 2 22 2 4" xfId="35985" xr:uid="{00000000-0005-0000-0000-0000728C0000}"/>
    <cellStyle name="Calculation 5 2 22 2 5" xfId="35986" xr:uid="{00000000-0005-0000-0000-0000738C0000}"/>
    <cellStyle name="Calculation 5 2 22 2 6" xfId="35987" xr:uid="{00000000-0005-0000-0000-0000748C0000}"/>
    <cellStyle name="Calculation 5 2 22 3" xfId="35988" xr:uid="{00000000-0005-0000-0000-0000758C0000}"/>
    <cellStyle name="Calculation 5 2 22 3 2" xfId="35989" xr:uid="{00000000-0005-0000-0000-0000768C0000}"/>
    <cellStyle name="Calculation 5 2 22 3 3" xfId="35990" xr:uid="{00000000-0005-0000-0000-0000778C0000}"/>
    <cellStyle name="Calculation 5 2 22 3 4" xfId="35991" xr:uid="{00000000-0005-0000-0000-0000788C0000}"/>
    <cellStyle name="Calculation 5 2 22 3 5" xfId="35992" xr:uid="{00000000-0005-0000-0000-0000798C0000}"/>
    <cellStyle name="Calculation 5 2 22 3 6" xfId="35993" xr:uid="{00000000-0005-0000-0000-00007A8C0000}"/>
    <cellStyle name="Calculation 5 2 22 4" xfId="35994" xr:uid="{00000000-0005-0000-0000-00007B8C0000}"/>
    <cellStyle name="Calculation 5 2 22 4 2" xfId="35995" xr:uid="{00000000-0005-0000-0000-00007C8C0000}"/>
    <cellStyle name="Calculation 5 2 22 4 3" xfId="35996" xr:uid="{00000000-0005-0000-0000-00007D8C0000}"/>
    <cellStyle name="Calculation 5 2 22 4 4" xfId="35997" xr:uid="{00000000-0005-0000-0000-00007E8C0000}"/>
    <cellStyle name="Calculation 5 2 22 4 5" xfId="35998" xr:uid="{00000000-0005-0000-0000-00007F8C0000}"/>
    <cellStyle name="Calculation 5 2 22 4 6" xfId="35999" xr:uid="{00000000-0005-0000-0000-0000808C0000}"/>
    <cellStyle name="Calculation 5 2 22 5" xfId="36000" xr:uid="{00000000-0005-0000-0000-0000818C0000}"/>
    <cellStyle name="Calculation 5 2 22 5 2" xfId="36001" xr:uid="{00000000-0005-0000-0000-0000828C0000}"/>
    <cellStyle name="Calculation 5 2 22 5 3" xfId="36002" xr:uid="{00000000-0005-0000-0000-0000838C0000}"/>
    <cellStyle name="Calculation 5 2 22 5 4" xfId="36003" xr:uid="{00000000-0005-0000-0000-0000848C0000}"/>
    <cellStyle name="Calculation 5 2 22 5 5" xfId="36004" xr:uid="{00000000-0005-0000-0000-0000858C0000}"/>
    <cellStyle name="Calculation 5 2 22 5 6" xfId="36005" xr:uid="{00000000-0005-0000-0000-0000868C0000}"/>
    <cellStyle name="Calculation 5 2 22 6" xfId="36006" xr:uid="{00000000-0005-0000-0000-0000878C0000}"/>
    <cellStyle name="Calculation 5 2 22 6 2" xfId="36007" xr:uid="{00000000-0005-0000-0000-0000888C0000}"/>
    <cellStyle name="Calculation 5 2 22 6 3" xfId="36008" xr:uid="{00000000-0005-0000-0000-0000898C0000}"/>
    <cellStyle name="Calculation 5 2 22 6 4" xfId="36009" xr:uid="{00000000-0005-0000-0000-00008A8C0000}"/>
    <cellStyle name="Calculation 5 2 22 6 5" xfId="36010" xr:uid="{00000000-0005-0000-0000-00008B8C0000}"/>
    <cellStyle name="Calculation 5 2 22 6 6" xfId="36011" xr:uid="{00000000-0005-0000-0000-00008C8C0000}"/>
    <cellStyle name="Calculation 5 2 22 7" xfId="36012" xr:uid="{00000000-0005-0000-0000-00008D8C0000}"/>
    <cellStyle name="Calculation 5 2 22 7 2" xfId="36013" xr:uid="{00000000-0005-0000-0000-00008E8C0000}"/>
    <cellStyle name="Calculation 5 2 22 7 3" xfId="36014" xr:uid="{00000000-0005-0000-0000-00008F8C0000}"/>
    <cellStyle name="Calculation 5 2 22 7 4" xfId="36015" xr:uid="{00000000-0005-0000-0000-0000908C0000}"/>
    <cellStyle name="Calculation 5 2 22 7 5" xfId="36016" xr:uid="{00000000-0005-0000-0000-0000918C0000}"/>
    <cellStyle name="Calculation 5 2 22 7 6" xfId="36017" xr:uid="{00000000-0005-0000-0000-0000928C0000}"/>
    <cellStyle name="Calculation 5 2 22 8" xfId="36018" xr:uid="{00000000-0005-0000-0000-0000938C0000}"/>
    <cellStyle name="Calculation 5 2 22 9" xfId="36019" xr:uid="{00000000-0005-0000-0000-0000948C0000}"/>
    <cellStyle name="Calculation 5 2 23" xfId="36020" xr:uid="{00000000-0005-0000-0000-0000958C0000}"/>
    <cellStyle name="Calculation 5 2 23 10" xfId="36021" xr:uid="{00000000-0005-0000-0000-0000968C0000}"/>
    <cellStyle name="Calculation 5 2 23 2" xfId="36022" xr:uid="{00000000-0005-0000-0000-0000978C0000}"/>
    <cellStyle name="Calculation 5 2 23 2 2" xfId="36023" xr:uid="{00000000-0005-0000-0000-0000988C0000}"/>
    <cellStyle name="Calculation 5 2 23 2 3" xfId="36024" xr:uid="{00000000-0005-0000-0000-0000998C0000}"/>
    <cellStyle name="Calculation 5 2 23 2 4" xfId="36025" xr:uid="{00000000-0005-0000-0000-00009A8C0000}"/>
    <cellStyle name="Calculation 5 2 23 2 5" xfId="36026" xr:uid="{00000000-0005-0000-0000-00009B8C0000}"/>
    <cellStyle name="Calculation 5 2 23 2 6" xfId="36027" xr:uid="{00000000-0005-0000-0000-00009C8C0000}"/>
    <cellStyle name="Calculation 5 2 23 3" xfId="36028" xr:uid="{00000000-0005-0000-0000-00009D8C0000}"/>
    <cellStyle name="Calculation 5 2 23 3 2" xfId="36029" xr:uid="{00000000-0005-0000-0000-00009E8C0000}"/>
    <cellStyle name="Calculation 5 2 23 3 3" xfId="36030" xr:uid="{00000000-0005-0000-0000-00009F8C0000}"/>
    <cellStyle name="Calculation 5 2 23 3 4" xfId="36031" xr:uid="{00000000-0005-0000-0000-0000A08C0000}"/>
    <cellStyle name="Calculation 5 2 23 3 5" xfId="36032" xr:uid="{00000000-0005-0000-0000-0000A18C0000}"/>
    <cellStyle name="Calculation 5 2 23 3 6" xfId="36033" xr:uid="{00000000-0005-0000-0000-0000A28C0000}"/>
    <cellStyle name="Calculation 5 2 23 4" xfId="36034" xr:uid="{00000000-0005-0000-0000-0000A38C0000}"/>
    <cellStyle name="Calculation 5 2 23 4 2" xfId="36035" xr:uid="{00000000-0005-0000-0000-0000A48C0000}"/>
    <cellStyle name="Calculation 5 2 23 4 3" xfId="36036" xr:uid="{00000000-0005-0000-0000-0000A58C0000}"/>
    <cellStyle name="Calculation 5 2 23 4 4" xfId="36037" xr:uid="{00000000-0005-0000-0000-0000A68C0000}"/>
    <cellStyle name="Calculation 5 2 23 4 5" xfId="36038" xr:uid="{00000000-0005-0000-0000-0000A78C0000}"/>
    <cellStyle name="Calculation 5 2 23 4 6" xfId="36039" xr:uid="{00000000-0005-0000-0000-0000A88C0000}"/>
    <cellStyle name="Calculation 5 2 23 5" xfId="36040" xr:uid="{00000000-0005-0000-0000-0000A98C0000}"/>
    <cellStyle name="Calculation 5 2 23 5 2" xfId="36041" xr:uid="{00000000-0005-0000-0000-0000AA8C0000}"/>
    <cellStyle name="Calculation 5 2 23 5 3" xfId="36042" xr:uid="{00000000-0005-0000-0000-0000AB8C0000}"/>
    <cellStyle name="Calculation 5 2 23 5 4" xfId="36043" xr:uid="{00000000-0005-0000-0000-0000AC8C0000}"/>
    <cellStyle name="Calculation 5 2 23 5 5" xfId="36044" xr:uid="{00000000-0005-0000-0000-0000AD8C0000}"/>
    <cellStyle name="Calculation 5 2 23 5 6" xfId="36045" xr:uid="{00000000-0005-0000-0000-0000AE8C0000}"/>
    <cellStyle name="Calculation 5 2 23 6" xfId="36046" xr:uid="{00000000-0005-0000-0000-0000AF8C0000}"/>
    <cellStyle name="Calculation 5 2 23 6 2" xfId="36047" xr:uid="{00000000-0005-0000-0000-0000B08C0000}"/>
    <cellStyle name="Calculation 5 2 23 6 3" xfId="36048" xr:uid="{00000000-0005-0000-0000-0000B18C0000}"/>
    <cellStyle name="Calculation 5 2 23 6 4" xfId="36049" xr:uid="{00000000-0005-0000-0000-0000B28C0000}"/>
    <cellStyle name="Calculation 5 2 23 6 5" xfId="36050" xr:uid="{00000000-0005-0000-0000-0000B38C0000}"/>
    <cellStyle name="Calculation 5 2 23 6 6" xfId="36051" xr:uid="{00000000-0005-0000-0000-0000B48C0000}"/>
    <cellStyle name="Calculation 5 2 23 7" xfId="36052" xr:uid="{00000000-0005-0000-0000-0000B58C0000}"/>
    <cellStyle name="Calculation 5 2 23 7 2" xfId="36053" xr:uid="{00000000-0005-0000-0000-0000B68C0000}"/>
    <cellStyle name="Calculation 5 2 23 7 3" xfId="36054" xr:uid="{00000000-0005-0000-0000-0000B78C0000}"/>
    <cellStyle name="Calculation 5 2 23 7 4" xfId="36055" xr:uid="{00000000-0005-0000-0000-0000B88C0000}"/>
    <cellStyle name="Calculation 5 2 23 7 5" xfId="36056" xr:uid="{00000000-0005-0000-0000-0000B98C0000}"/>
    <cellStyle name="Calculation 5 2 23 7 6" xfId="36057" xr:uid="{00000000-0005-0000-0000-0000BA8C0000}"/>
    <cellStyle name="Calculation 5 2 23 8" xfId="36058" xr:uid="{00000000-0005-0000-0000-0000BB8C0000}"/>
    <cellStyle name="Calculation 5 2 23 9" xfId="36059" xr:uid="{00000000-0005-0000-0000-0000BC8C0000}"/>
    <cellStyle name="Calculation 5 2 24" xfId="36060" xr:uid="{00000000-0005-0000-0000-0000BD8C0000}"/>
    <cellStyle name="Calculation 5 2 24 10" xfId="36061" xr:uid="{00000000-0005-0000-0000-0000BE8C0000}"/>
    <cellStyle name="Calculation 5 2 24 2" xfId="36062" xr:uid="{00000000-0005-0000-0000-0000BF8C0000}"/>
    <cellStyle name="Calculation 5 2 24 2 2" xfId="36063" xr:uid="{00000000-0005-0000-0000-0000C08C0000}"/>
    <cellStyle name="Calculation 5 2 24 2 3" xfId="36064" xr:uid="{00000000-0005-0000-0000-0000C18C0000}"/>
    <cellStyle name="Calculation 5 2 24 2 4" xfId="36065" xr:uid="{00000000-0005-0000-0000-0000C28C0000}"/>
    <cellStyle name="Calculation 5 2 24 2 5" xfId="36066" xr:uid="{00000000-0005-0000-0000-0000C38C0000}"/>
    <cellStyle name="Calculation 5 2 24 2 6" xfId="36067" xr:uid="{00000000-0005-0000-0000-0000C48C0000}"/>
    <cellStyle name="Calculation 5 2 24 3" xfId="36068" xr:uid="{00000000-0005-0000-0000-0000C58C0000}"/>
    <cellStyle name="Calculation 5 2 24 3 2" xfId="36069" xr:uid="{00000000-0005-0000-0000-0000C68C0000}"/>
    <cellStyle name="Calculation 5 2 24 3 3" xfId="36070" xr:uid="{00000000-0005-0000-0000-0000C78C0000}"/>
    <cellStyle name="Calculation 5 2 24 3 4" xfId="36071" xr:uid="{00000000-0005-0000-0000-0000C88C0000}"/>
    <cellStyle name="Calculation 5 2 24 3 5" xfId="36072" xr:uid="{00000000-0005-0000-0000-0000C98C0000}"/>
    <cellStyle name="Calculation 5 2 24 3 6" xfId="36073" xr:uid="{00000000-0005-0000-0000-0000CA8C0000}"/>
    <cellStyle name="Calculation 5 2 24 4" xfId="36074" xr:uid="{00000000-0005-0000-0000-0000CB8C0000}"/>
    <cellStyle name="Calculation 5 2 24 4 2" xfId="36075" xr:uid="{00000000-0005-0000-0000-0000CC8C0000}"/>
    <cellStyle name="Calculation 5 2 24 4 3" xfId="36076" xr:uid="{00000000-0005-0000-0000-0000CD8C0000}"/>
    <cellStyle name="Calculation 5 2 24 4 4" xfId="36077" xr:uid="{00000000-0005-0000-0000-0000CE8C0000}"/>
    <cellStyle name="Calculation 5 2 24 4 5" xfId="36078" xr:uid="{00000000-0005-0000-0000-0000CF8C0000}"/>
    <cellStyle name="Calculation 5 2 24 4 6" xfId="36079" xr:uid="{00000000-0005-0000-0000-0000D08C0000}"/>
    <cellStyle name="Calculation 5 2 24 5" xfId="36080" xr:uid="{00000000-0005-0000-0000-0000D18C0000}"/>
    <cellStyle name="Calculation 5 2 24 5 2" xfId="36081" xr:uid="{00000000-0005-0000-0000-0000D28C0000}"/>
    <cellStyle name="Calculation 5 2 24 5 3" xfId="36082" xr:uid="{00000000-0005-0000-0000-0000D38C0000}"/>
    <cellStyle name="Calculation 5 2 24 5 4" xfId="36083" xr:uid="{00000000-0005-0000-0000-0000D48C0000}"/>
    <cellStyle name="Calculation 5 2 24 5 5" xfId="36084" xr:uid="{00000000-0005-0000-0000-0000D58C0000}"/>
    <cellStyle name="Calculation 5 2 24 5 6" xfId="36085" xr:uid="{00000000-0005-0000-0000-0000D68C0000}"/>
    <cellStyle name="Calculation 5 2 24 6" xfId="36086" xr:uid="{00000000-0005-0000-0000-0000D78C0000}"/>
    <cellStyle name="Calculation 5 2 24 6 2" xfId="36087" xr:uid="{00000000-0005-0000-0000-0000D88C0000}"/>
    <cellStyle name="Calculation 5 2 24 6 3" xfId="36088" xr:uid="{00000000-0005-0000-0000-0000D98C0000}"/>
    <cellStyle name="Calculation 5 2 24 6 4" xfId="36089" xr:uid="{00000000-0005-0000-0000-0000DA8C0000}"/>
    <cellStyle name="Calculation 5 2 24 6 5" xfId="36090" xr:uid="{00000000-0005-0000-0000-0000DB8C0000}"/>
    <cellStyle name="Calculation 5 2 24 6 6" xfId="36091" xr:uid="{00000000-0005-0000-0000-0000DC8C0000}"/>
    <cellStyle name="Calculation 5 2 24 7" xfId="36092" xr:uid="{00000000-0005-0000-0000-0000DD8C0000}"/>
    <cellStyle name="Calculation 5 2 24 7 2" xfId="36093" xr:uid="{00000000-0005-0000-0000-0000DE8C0000}"/>
    <cellStyle name="Calculation 5 2 24 7 3" xfId="36094" xr:uid="{00000000-0005-0000-0000-0000DF8C0000}"/>
    <cellStyle name="Calculation 5 2 24 7 4" xfId="36095" xr:uid="{00000000-0005-0000-0000-0000E08C0000}"/>
    <cellStyle name="Calculation 5 2 24 7 5" xfId="36096" xr:uid="{00000000-0005-0000-0000-0000E18C0000}"/>
    <cellStyle name="Calculation 5 2 24 7 6" xfId="36097" xr:uid="{00000000-0005-0000-0000-0000E28C0000}"/>
    <cellStyle name="Calculation 5 2 24 8" xfId="36098" xr:uid="{00000000-0005-0000-0000-0000E38C0000}"/>
    <cellStyle name="Calculation 5 2 24 9" xfId="36099" xr:uid="{00000000-0005-0000-0000-0000E48C0000}"/>
    <cellStyle name="Calculation 5 2 25" xfId="36100" xr:uid="{00000000-0005-0000-0000-0000E58C0000}"/>
    <cellStyle name="Calculation 5 2 25 10" xfId="36101" xr:uid="{00000000-0005-0000-0000-0000E68C0000}"/>
    <cellStyle name="Calculation 5 2 25 2" xfId="36102" xr:uid="{00000000-0005-0000-0000-0000E78C0000}"/>
    <cellStyle name="Calculation 5 2 25 2 2" xfId="36103" xr:uid="{00000000-0005-0000-0000-0000E88C0000}"/>
    <cellStyle name="Calculation 5 2 25 2 3" xfId="36104" xr:uid="{00000000-0005-0000-0000-0000E98C0000}"/>
    <cellStyle name="Calculation 5 2 25 2 4" xfId="36105" xr:uid="{00000000-0005-0000-0000-0000EA8C0000}"/>
    <cellStyle name="Calculation 5 2 25 2 5" xfId="36106" xr:uid="{00000000-0005-0000-0000-0000EB8C0000}"/>
    <cellStyle name="Calculation 5 2 25 2 6" xfId="36107" xr:uid="{00000000-0005-0000-0000-0000EC8C0000}"/>
    <cellStyle name="Calculation 5 2 25 3" xfId="36108" xr:uid="{00000000-0005-0000-0000-0000ED8C0000}"/>
    <cellStyle name="Calculation 5 2 25 3 2" xfId="36109" xr:uid="{00000000-0005-0000-0000-0000EE8C0000}"/>
    <cellStyle name="Calculation 5 2 25 3 3" xfId="36110" xr:uid="{00000000-0005-0000-0000-0000EF8C0000}"/>
    <cellStyle name="Calculation 5 2 25 3 4" xfId="36111" xr:uid="{00000000-0005-0000-0000-0000F08C0000}"/>
    <cellStyle name="Calculation 5 2 25 3 5" xfId="36112" xr:uid="{00000000-0005-0000-0000-0000F18C0000}"/>
    <cellStyle name="Calculation 5 2 25 3 6" xfId="36113" xr:uid="{00000000-0005-0000-0000-0000F28C0000}"/>
    <cellStyle name="Calculation 5 2 25 4" xfId="36114" xr:uid="{00000000-0005-0000-0000-0000F38C0000}"/>
    <cellStyle name="Calculation 5 2 25 4 2" xfId="36115" xr:uid="{00000000-0005-0000-0000-0000F48C0000}"/>
    <cellStyle name="Calculation 5 2 25 4 3" xfId="36116" xr:uid="{00000000-0005-0000-0000-0000F58C0000}"/>
    <cellStyle name="Calculation 5 2 25 4 4" xfId="36117" xr:uid="{00000000-0005-0000-0000-0000F68C0000}"/>
    <cellStyle name="Calculation 5 2 25 4 5" xfId="36118" xr:uid="{00000000-0005-0000-0000-0000F78C0000}"/>
    <cellStyle name="Calculation 5 2 25 4 6" xfId="36119" xr:uid="{00000000-0005-0000-0000-0000F88C0000}"/>
    <cellStyle name="Calculation 5 2 25 5" xfId="36120" xr:uid="{00000000-0005-0000-0000-0000F98C0000}"/>
    <cellStyle name="Calculation 5 2 25 5 2" xfId="36121" xr:uid="{00000000-0005-0000-0000-0000FA8C0000}"/>
    <cellStyle name="Calculation 5 2 25 5 3" xfId="36122" xr:uid="{00000000-0005-0000-0000-0000FB8C0000}"/>
    <cellStyle name="Calculation 5 2 25 5 4" xfId="36123" xr:uid="{00000000-0005-0000-0000-0000FC8C0000}"/>
    <cellStyle name="Calculation 5 2 25 5 5" xfId="36124" xr:uid="{00000000-0005-0000-0000-0000FD8C0000}"/>
    <cellStyle name="Calculation 5 2 25 5 6" xfId="36125" xr:uid="{00000000-0005-0000-0000-0000FE8C0000}"/>
    <cellStyle name="Calculation 5 2 25 6" xfId="36126" xr:uid="{00000000-0005-0000-0000-0000FF8C0000}"/>
    <cellStyle name="Calculation 5 2 25 6 2" xfId="36127" xr:uid="{00000000-0005-0000-0000-0000008D0000}"/>
    <cellStyle name="Calculation 5 2 25 6 3" xfId="36128" xr:uid="{00000000-0005-0000-0000-0000018D0000}"/>
    <cellStyle name="Calculation 5 2 25 6 4" xfId="36129" xr:uid="{00000000-0005-0000-0000-0000028D0000}"/>
    <cellStyle name="Calculation 5 2 25 6 5" xfId="36130" xr:uid="{00000000-0005-0000-0000-0000038D0000}"/>
    <cellStyle name="Calculation 5 2 25 6 6" xfId="36131" xr:uid="{00000000-0005-0000-0000-0000048D0000}"/>
    <cellStyle name="Calculation 5 2 25 7" xfId="36132" xr:uid="{00000000-0005-0000-0000-0000058D0000}"/>
    <cellStyle name="Calculation 5 2 25 7 2" xfId="36133" xr:uid="{00000000-0005-0000-0000-0000068D0000}"/>
    <cellStyle name="Calculation 5 2 25 7 3" xfId="36134" xr:uid="{00000000-0005-0000-0000-0000078D0000}"/>
    <cellStyle name="Calculation 5 2 25 7 4" xfId="36135" xr:uid="{00000000-0005-0000-0000-0000088D0000}"/>
    <cellStyle name="Calculation 5 2 25 7 5" xfId="36136" xr:uid="{00000000-0005-0000-0000-0000098D0000}"/>
    <cellStyle name="Calculation 5 2 25 7 6" xfId="36137" xr:uid="{00000000-0005-0000-0000-00000A8D0000}"/>
    <cellStyle name="Calculation 5 2 25 8" xfId="36138" xr:uid="{00000000-0005-0000-0000-00000B8D0000}"/>
    <cellStyle name="Calculation 5 2 25 9" xfId="36139" xr:uid="{00000000-0005-0000-0000-00000C8D0000}"/>
    <cellStyle name="Calculation 5 2 26" xfId="36140" xr:uid="{00000000-0005-0000-0000-00000D8D0000}"/>
    <cellStyle name="Calculation 5 2 26 10" xfId="36141" xr:uid="{00000000-0005-0000-0000-00000E8D0000}"/>
    <cellStyle name="Calculation 5 2 26 2" xfId="36142" xr:uid="{00000000-0005-0000-0000-00000F8D0000}"/>
    <cellStyle name="Calculation 5 2 26 2 2" xfId="36143" xr:uid="{00000000-0005-0000-0000-0000108D0000}"/>
    <cellStyle name="Calculation 5 2 26 2 3" xfId="36144" xr:uid="{00000000-0005-0000-0000-0000118D0000}"/>
    <cellStyle name="Calculation 5 2 26 2 4" xfId="36145" xr:uid="{00000000-0005-0000-0000-0000128D0000}"/>
    <cellStyle name="Calculation 5 2 26 2 5" xfId="36146" xr:uid="{00000000-0005-0000-0000-0000138D0000}"/>
    <cellStyle name="Calculation 5 2 26 2 6" xfId="36147" xr:uid="{00000000-0005-0000-0000-0000148D0000}"/>
    <cellStyle name="Calculation 5 2 26 3" xfId="36148" xr:uid="{00000000-0005-0000-0000-0000158D0000}"/>
    <cellStyle name="Calculation 5 2 26 3 2" xfId="36149" xr:uid="{00000000-0005-0000-0000-0000168D0000}"/>
    <cellStyle name="Calculation 5 2 26 3 3" xfId="36150" xr:uid="{00000000-0005-0000-0000-0000178D0000}"/>
    <cellStyle name="Calculation 5 2 26 3 4" xfId="36151" xr:uid="{00000000-0005-0000-0000-0000188D0000}"/>
    <cellStyle name="Calculation 5 2 26 3 5" xfId="36152" xr:uid="{00000000-0005-0000-0000-0000198D0000}"/>
    <cellStyle name="Calculation 5 2 26 3 6" xfId="36153" xr:uid="{00000000-0005-0000-0000-00001A8D0000}"/>
    <cellStyle name="Calculation 5 2 26 4" xfId="36154" xr:uid="{00000000-0005-0000-0000-00001B8D0000}"/>
    <cellStyle name="Calculation 5 2 26 4 2" xfId="36155" xr:uid="{00000000-0005-0000-0000-00001C8D0000}"/>
    <cellStyle name="Calculation 5 2 26 4 3" xfId="36156" xr:uid="{00000000-0005-0000-0000-00001D8D0000}"/>
    <cellStyle name="Calculation 5 2 26 4 4" xfId="36157" xr:uid="{00000000-0005-0000-0000-00001E8D0000}"/>
    <cellStyle name="Calculation 5 2 26 4 5" xfId="36158" xr:uid="{00000000-0005-0000-0000-00001F8D0000}"/>
    <cellStyle name="Calculation 5 2 26 4 6" xfId="36159" xr:uid="{00000000-0005-0000-0000-0000208D0000}"/>
    <cellStyle name="Calculation 5 2 26 5" xfId="36160" xr:uid="{00000000-0005-0000-0000-0000218D0000}"/>
    <cellStyle name="Calculation 5 2 26 5 2" xfId="36161" xr:uid="{00000000-0005-0000-0000-0000228D0000}"/>
    <cellStyle name="Calculation 5 2 26 5 3" xfId="36162" xr:uid="{00000000-0005-0000-0000-0000238D0000}"/>
    <cellStyle name="Calculation 5 2 26 5 4" xfId="36163" xr:uid="{00000000-0005-0000-0000-0000248D0000}"/>
    <cellStyle name="Calculation 5 2 26 5 5" xfId="36164" xr:uid="{00000000-0005-0000-0000-0000258D0000}"/>
    <cellStyle name="Calculation 5 2 26 5 6" xfId="36165" xr:uid="{00000000-0005-0000-0000-0000268D0000}"/>
    <cellStyle name="Calculation 5 2 26 6" xfId="36166" xr:uid="{00000000-0005-0000-0000-0000278D0000}"/>
    <cellStyle name="Calculation 5 2 26 6 2" xfId="36167" xr:uid="{00000000-0005-0000-0000-0000288D0000}"/>
    <cellStyle name="Calculation 5 2 26 6 3" xfId="36168" xr:uid="{00000000-0005-0000-0000-0000298D0000}"/>
    <cellStyle name="Calculation 5 2 26 6 4" xfId="36169" xr:uid="{00000000-0005-0000-0000-00002A8D0000}"/>
    <cellStyle name="Calculation 5 2 26 6 5" xfId="36170" xr:uid="{00000000-0005-0000-0000-00002B8D0000}"/>
    <cellStyle name="Calculation 5 2 26 6 6" xfId="36171" xr:uid="{00000000-0005-0000-0000-00002C8D0000}"/>
    <cellStyle name="Calculation 5 2 26 7" xfId="36172" xr:uid="{00000000-0005-0000-0000-00002D8D0000}"/>
    <cellStyle name="Calculation 5 2 26 7 2" xfId="36173" xr:uid="{00000000-0005-0000-0000-00002E8D0000}"/>
    <cellStyle name="Calculation 5 2 26 7 3" xfId="36174" xr:uid="{00000000-0005-0000-0000-00002F8D0000}"/>
    <cellStyle name="Calculation 5 2 26 7 4" xfId="36175" xr:uid="{00000000-0005-0000-0000-0000308D0000}"/>
    <cellStyle name="Calculation 5 2 26 7 5" xfId="36176" xr:uid="{00000000-0005-0000-0000-0000318D0000}"/>
    <cellStyle name="Calculation 5 2 26 7 6" xfId="36177" xr:uid="{00000000-0005-0000-0000-0000328D0000}"/>
    <cellStyle name="Calculation 5 2 26 8" xfId="36178" xr:uid="{00000000-0005-0000-0000-0000338D0000}"/>
    <cellStyle name="Calculation 5 2 26 9" xfId="36179" xr:uid="{00000000-0005-0000-0000-0000348D0000}"/>
    <cellStyle name="Calculation 5 2 27" xfId="36180" xr:uid="{00000000-0005-0000-0000-0000358D0000}"/>
    <cellStyle name="Calculation 5 2 27 2" xfId="36181" xr:uid="{00000000-0005-0000-0000-0000368D0000}"/>
    <cellStyle name="Calculation 5 2 27 3" xfId="36182" xr:uid="{00000000-0005-0000-0000-0000378D0000}"/>
    <cellStyle name="Calculation 5 2 27 4" xfId="36183" xr:uid="{00000000-0005-0000-0000-0000388D0000}"/>
    <cellStyle name="Calculation 5 2 27 5" xfId="36184" xr:uid="{00000000-0005-0000-0000-0000398D0000}"/>
    <cellStyle name="Calculation 5 2 27 6" xfId="36185" xr:uid="{00000000-0005-0000-0000-00003A8D0000}"/>
    <cellStyle name="Calculation 5 2 28" xfId="36186" xr:uid="{00000000-0005-0000-0000-00003B8D0000}"/>
    <cellStyle name="Calculation 5 2 28 2" xfId="36187" xr:uid="{00000000-0005-0000-0000-00003C8D0000}"/>
    <cellStyle name="Calculation 5 2 28 3" xfId="36188" xr:uid="{00000000-0005-0000-0000-00003D8D0000}"/>
    <cellStyle name="Calculation 5 2 28 4" xfId="36189" xr:uid="{00000000-0005-0000-0000-00003E8D0000}"/>
    <cellStyle name="Calculation 5 2 28 5" xfId="36190" xr:uid="{00000000-0005-0000-0000-00003F8D0000}"/>
    <cellStyle name="Calculation 5 2 28 6" xfId="36191" xr:uid="{00000000-0005-0000-0000-0000408D0000}"/>
    <cellStyle name="Calculation 5 2 29" xfId="36192" xr:uid="{00000000-0005-0000-0000-0000418D0000}"/>
    <cellStyle name="Calculation 5 2 29 2" xfId="36193" xr:uid="{00000000-0005-0000-0000-0000428D0000}"/>
    <cellStyle name="Calculation 5 2 29 3" xfId="36194" xr:uid="{00000000-0005-0000-0000-0000438D0000}"/>
    <cellStyle name="Calculation 5 2 29 4" xfId="36195" xr:uid="{00000000-0005-0000-0000-0000448D0000}"/>
    <cellStyle name="Calculation 5 2 29 5" xfId="36196" xr:uid="{00000000-0005-0000-0000-0000458D0000}"/>
    <cellStyle name="Calculation 5 2 29 6" xfId="36197" xr:uid="{00000000-0005-0000-0000-0000468D0000}"/>
    <cellStyle name="Calculation 5 2 3" xfId="36198" xr:uid="{00000000-0005-0000-0000-0000478D0000}"/>
    <cellStyle name="Calculation 5 2 3 10" xfId="36199" xr:uid="{00000000-0005-0000-0000-0000488D0000}"/>
    <cellStyle name="Calculation 5 2 3 2" xfId="36200" xr:uid="{00000000-0005-0000-0000-0000498D0000}"/>
    <cellStyle name="Calculation 5 2 3 2 2" xfId="36201" xr:uid="{00000000-0005-0000-0000-00004A8D0000}"/>
    <cellStyle name="Calculation 5 2 3 2 3" xfId="36202" xr:uid="{00000000-0005-0000-0000-00004B8D0000}"/>
    <cellStyle name="Calculation 5 2 3 2 4" xfId="36203" xr:uid="{00000000-0005-0000-0000-00004C8D0000}"/>
    <cellStyle name="Calculation 5 2 3 2 5" xfId="36204" xr:uid="{00000000-0005-0000-0000-00004D8D0000}"/>
    <cellStyle name="Calculation 5 2 3 2 6" xfId="36205" xr:uid="{00000000-0005-0000-0000-00004E8D0000}"/>
    <cellStyle name="Calculation 5 2 3 3" xfId="36206" xr:uid="{00000000-0005-0000-0000-00004F8D0000}"/>
    <cellStyle name="Calculation 5 2 3 3 2" xfId="36207" xr:uid="{00000000-0005-0000-0000-0000508D0000}"/>
    <cellStyle name="Calculation 5 2 3 3 3" xfId="36208" xr:uid="{00000000-0005-0000-0000-0000518D0000}"/>
    <cellStyle name="Calculation 5 2 3 3 4" xfId="36209" xr:uid="{00000000-0005-0000-0000-0000528D0000}"/>
    <cellStyle name="Calculation 5 2 3 3 5" xfId="36210" xr:uid="{00000000-0005-0000-0000-0000538D0000}"/>
    <cellStyle name="Calculation 5 2 3 3 6" xfId="36211" xr:uid="{00000000-0005-0000-0000-0000548D0000}"/>
    <cellStyle name="Calculation 5 2 3 4" xfId="36212" xr:uid="{00000000-0005-0000-0000-0000558D0000}"/>
    <cellStyle name="Calculation 5 2 3 4 2" xfId="36213" xr:uid="{00000000-0005-0000-0000-0000568D0000}"/>
    <cellStyle name="Calculation 5 2 3 4 3" xfId="36214" xr:uid="{00000000-0005-0000-0000-0000578D0000}"/>
    <cellStyle name="Calculation 5 2 3 4 4" xfId="36215" xr:uid="{00000000-0005-0000-0000-0000588D0000}"/>
    <cellStyle name="Calculation 5 2 3 4 5" xfId="36216" xr:uid="{00000000-0005-0000-0000-0000598D0000}"/>
    <cellStyle name="Calculation 5 2 3 4 6" xfId="36217" xr:uid="{00000000-0005-0000-0000-00005A8D0000}"/>
    <cellStyle name="Calculation 5 2 3 5" xfId="36218" xr:uid="{00000000-0005-0000-0000-00005B8D0000}"/>
    <cellStyle name="Calculation 5 2 3 5 2" xfId="36219" xr:uid="{00000000-0005-0000-0000-00005C8D0000}"/>
    <cellStyle name="Calculation 5 2 3 5 3" xfId="36220" xr:uid="{00000000-0005-0000-0000-00005D8D0000}"/>
    <cellStyle name="Calculation 5 2 3 5 4" xfId="36221" xr:uid="{00000000-0005-0000-0000-00005E8D0000}"/>
    <cellStyle name="Calculation 5 2 3 5 5" xfId="36222" xr:uid="{00000000-0005-0000-0000-00005F8D0000}"/>
    <cellStyle name="Calculation 5 2 3 5 6" xfId="36223" xr:uid="{00000000-0005-0000-0000-0000608D0000}"/>
    <cellStyle name="Calculation 5 2 3 6" xfId="36224" xr:uid="{00000000-0005-0000-0000-0000618D0000}"/>
    <cellStyle name="Calculation 5 2 3 6 2" xfId="36225" xr:uid="{00000000-0005-0000-0000-0000628D0000}"/>
    <cellStyle name="Calculation 5 2 3 6 3" xfId="36226" xr:uid="{00000000-0005-0000-0000-0000638D0000}"/>
    <cellStyle name="Calculation 5 2 3 6 4" xfId="36227" xr:uid="{00000000-0005-0000-0000-0000648D0000}"/>
    <cellStyle name="Calculation 5 2 3 6 5" xfId="36228" xr:uid="{00000000-0005-0000-0000-0000658D0000}"/>
    <cellStyle name="Calculation 5 2 3 6 6" xfId="36229" xr:uid="{00000000-0005-0000-0000-0000668D0000}"/>
    <cellStyle name="Calculation 5 2 3 7" xfId="36230" xr:uid="{00000000-0005-0000-0000-0000678D0000}"/>
    <cellStyle name="Calculation 5 2 3 7 2" xfId="36231" xr:uid="{00000000-0005-0000-0000-0000688D0000}"/>
    <cellStyle name="Calculation 5 2 3 7 3" xfId="36232" xr:uid="{00000000-0005-0000-0000-0000698D0000}"/>
    <cellStyle name="Calculation 5 2 3 7 4" xfId="36233" xr:uid="{00000000-0005-0000-0000-00006A8D0000}"/>
    <cellStyle name="Calculation 5 2 3 7 5" xfId="36234" xr:uid="{00000000-0005-0000-0000-00006B8D0000}"/>
    <cellStyle name="Calculation 5 2 3 7 6" xfId="36235" xr:uid="{00000000-0005-0000-0000-00006C8D0000}"/>
    <cellStyle name="Calculation 5 2 3 8" xfId="36236" xr:uid="{00000000-0005-0000-0000-00006D8D0000}"/>
    <cellStyle name="Calculation 5 2 3 9" xfId="36237" xr:uid="{00000000-0005-0000-0000-00006E8D0000}"/>
    <cellStyle name="Calculation 5 2 30" xfId="36238" xr:uid="{00000000-0005-0000-0000-00006F8D0000}"/>
    <cellStyle name="Calculation 5 2 30 2" xfId="36239" xr:uid="{00000000-0005-0000-0000-0000708D0000}"/>
    <cellStyle name="Calculation 5 2 30 3" xfId="36240" xr:uid="{00000000-0005-0000-0000-0000718D0000}"/>
    <cellStyle name="Calculation 5 2 30 4" xfId="36241" xr:uid="{00000000-0005-0000-0000-0000728D0000}"/>
    <cellStyle name="Calculation 5 2 30 5" xfId="36242" xr:uid="{00000000-0005-0000-0000-0000738D0000}"/>
    <cellStyle name="Calculation 5 2 30 6" xfId="36243" xr:uid="{00000000-0005-0000-0000-0000748D0000}"/>
    <cellStyle name="Calculation 5 2 31" xfId="36244" xr:uid="{00000000-0005-0000-0000-0000758D0000}"/>
    <cellStyle name="Calculation 5 2 31 2" xfId="36245" xr:uid="{00000000-0005-0000-0000-0000768D0000}"/>
    <cellStyle name="Calculation 5 2 31 3" xfId="36246" xr:uid="{00000000-0005-0000-0000-0000778D0000}"/>
    <cellStyle name="Calculation 5 2 31 4" xfId="36247" xr:uid="{00000000-0005-0000-0000-0000788D0000}"/>
    <cellStyle name="Calculation 5 2 31 5" xfId="36248" xr:uid="{00000000-0005-0000-0000-0000798D0000}"/>
    <cellStyle name="Calculation 5 2 31 6" xfId="36249" xr:uid="{00000000-0005-0000-0000-00007A8D0000}"/>
    <cellStyle name="Calculation 5 2 32" xfId="36250" xr:uid="{00000000-0005-0000-0000-00007B8D0000}"/>
    <cellStyle name="Calculation 5 2 32 2" xfId="36251" xr:uid="{00000000-0005-0000-0000-00007C8D0000}"/>
    <cellStyle name="Calculation 5 2 32 3" xfId="36252" xr:uid="{00000000-0005-0000-0000-00007D8D0000}"/>
    <cellStyle name="Calculation 5 2 32 4" xfId="36253" xr:uid="{00000000-0005-0000-0000-00007E8D0000}"/>
    <cellStyle name="Calculation 5 2 32 5" xfId="36254" xr:uid="{00000000-0005-0000-0000-00007F8D0000}"/>
    <cellStyle name="Calculation 5 2 32 6" xfId="36255" xr:uid="{00000000-0005-0000-0000-0000808D0000}"/>
    <cellStyle name="Calculation 5 2 33" xfId="36256" xr:uid="{00000000-0005-0000-0000-0000818D0000}"/>
    <cellStyle name="Calculation 5 2 34" xfId="36257" xr:uid="{00000000-0005-0000-0000-0000828D0000}"/>
    <cellStyle name="Calculation 5 2 35" xfId="36258" xr:uid="{00000000-0005-0000-0000-0000838D0000}"/>
    <cellStyle name="Calculation 5 2 4" xfId="36259" xr:uid="{00000000-0005-0000-0000-0000848D0000}"/>
    <cellStyle name="Calculation 5 2 4 10" xfId="36260" xr:uid="{00000000-0005-0000-0000-0000858D0000}"/>
    <cellStyle name="Calculation 5 2 4 2" xfId="36261" xr:uid="{00000000-0005-0000-0000-0000868D0000}"/>
    <cellStyle name="Calculation 5 2 4 2 2" xfId="36262" xr:uid="{00000000-0005-0000-0000-0000878D0000}"/>
    <cellStyle name="Calculation 5 2 4 2 3" xfId="36263" xr:uid="{00000000-0005-0000-0000-0000888D0000}"/>
    <cellStyle name="Calculation 5 2 4 2 4" xfId="36264" xr:uid="{00000000-0005-0000-0000-0000898D0000}"/>
    <cellStyle name="Calculation 5 2 4 2 5" xfId="36265" xr:uid="{00000000-0005-0000-0000-00008A8D0000}"/>
    <cellStyle name="Calculation 5 2 4 2 6" xfId="36266" xr:uid="{00000000-0005-0000-0000-00008B8D0000}"/>
    <cellStyle name="Calculation 5 2 4 3" xfId="36267" xr:uid="{00000000-0005-0000-0000-00008C8D0000}"/>
    <cellStyle name="Calculation 5 2 4 3 2" xfId="36268" xr:uid="{00000000-0005-0000-0000-00008D8D0000}"/>
    <cellStyle name="Calculation 5 2 4 3 3" xfId="36269" xr:uid="{00000000-0005-0000-0000-00008E8D0000}"/>
    <cellStyle name="Calculation 5 2 4 3 4" xfId="36270" xr:uid="{00000000-0005-0000-0000-00008F8D0000}"/>
    <cellStyle name="Calculation 5 2 4 3 5" xfId="36271" xr:uid="{00000000-0005-0000-0000-0000908D0000}"/>
    <cellStyle name="Calculation 5 2 4 3 6" xfId="36272" xr:uid="{00000000-0005-0000-0000-0000918D0000}"/>
    <cellStyle name="Calculation 5 2 4 4" xfId="36273" xr:uid="{00000000-0005-0000-0000-0000928D0000}"/>
    <cellStyle name="Calculation 5 2 4 4 2" xfId="36274" xr:uid="{00000000-0005-0000-0000-0000938D0000}"/>
    <cellStyle name="Calculation 5 2 4 4 3" xfId="36275" xr:uid="{00000000-0005-0000-0000-0000948D0000}"/>
    <cellStyle name="Calculation 5 2 4 4 4" xfId="36276" xr:uid="{00000000-0005-0000-0000-0000958D0000}"/>
    <cellStyle name="Calculation 5 2 4 4 5" xfId="36277" xr:uid="{00000000-0005-0000-0000-0000968D0000}"/>
    <cellStyle name="Calculation 5 2 4 4 6" xfId="36278" xr:uid="{00000000-0005-0000-0000-0000978D0000}"/>
    <cellStyle name="Calculation 5 2 4 5" xfId="36279" xr:uid="{00000000-0005-0000-0000-0000988D0000}"/>
    <cellStyle name="Calculation 5 2 4 5 2" xfId="36280" xr:uid="{00000000-0005-0000-0000-0000998D0000}"/>
    <cellStyle name="Calculation 5 2 4 5 3" xfId="36281" xr:uid="{00000000-0005-0000-0000-00009A8D0000}"/>
    <cellStyle name="Calculation 5 2 4 5 4" xfId="36282" xr:uid="{00000000-0005-0000-0000-00009B8D0000}"/>
    <cellStyle name="Calculation 5 2 4 5 5" xfId="36283" xr:uid="{00000000-0005-0000-0000-00009C8D0000}"/>
    <cellStyle name="Calculation 5 2 4 5 6" xfId="36284" xr:uid="{00000000-0005-0000-0000-00009D8D0000}"/>
    <cellStyle name="Calculation 5 2 4 6" xfId="36285" xr:uid="{00000000-0005-0000-0000-00009E8D0000}"/>
    <cellStyle name="Calculation 5 2 4 6 2" xfId="36286" xr:uid="{00000000-0005-0000-0000-00009F8D0000}"/>
    <cellStyle name="Calculation 5 2 4 6 3" xfId="36287" xr:uid="{00000000-0005-0000-0000-0000A08D0000}"/>
    <cellStyle name="Calculation 5 2 4 6 4" xfId="36288" xr:uid="{00000000-0005-0000-0000-0000A18D0000}"/>
    <cellStyle name="Calculation 5 2 4 6 5" xfId="36289" xr:uid="{00000000-0005-0000-0000-0000A28D0000}"/>
    <cellStyle name="Calculation 5 2 4 6 6" xfId="36290" xr:uid="{00000000-0005-0000-0000-0000A38D0000}"/>
    <cellStyle name="Calculation 5 2 4 7" xfId="36291" xr:uid="{00000000-0005-0000-0000-0000A48D0000}"/>
    <cellStyle name="Calculation 5 2 4 7 2" xfId="36292" xr:uid="{00000000-0005-0000-0000-0000A58D0000}"/>
    <cellStyle name="Calculation 5 2 4 7 3" xfId="36293" xr:uid="{00000000-0005-0000-0000-0000A68D0000}"/>
    <cellStyle name="Calculation 5 2 4 7 4" xfId="36294" xr:uid="{00000000-0005-0000-0000-0000A78D0000}"/>
    <cellStyle name="Calculation 5 2 4 7 5" xfId="36295" xr:uid="{00000000-0005-0000-0000-0000A88D0000}"/>
    <cellStyle name="Calculation 5 2 4 7 6" xfId="36296" xr:uid="{00000000-0005-0000-0000-0000A98D0000}"/>
    <cellStyle name="Calculation 5 2 4 8" xfId="36297" xr:uid="{00000000-0005-0000-0000-0000AA8D0000}"/>
    <cellStyle name="Calculation 5 2 4 9" xfId="36298" xr:uid="{00000000-0005-0000-0000-0000AB8D0000}"/>
    <cellStyle name="Calculation 5 2 5" xfId="36299" xr:uid="{00000000-0005-0000-0000-0000AC8D0000}"/>
    <cellStyle name="Calculation 5 2 5 10" xfId="36300" xr:uid="{00000000-0005-0000-0000-0000AD8D0000}"/>
    <cellStyle name="Calculation 5 2 5 2" xfId="36301" xr:uid="{00000000-0005-0000-0000-0000AE8D0000}"/>
    <cellStyle name="Calculation 5 2 5 2 2" xfId="36302" xr:uid="{00000000-0005-0000-0000-0000AF8D0000}"/>
    <cellStyle name="Calculation 5 2 5 2 3" xfId="36303" xr:uid="{00000000-0005-0000-0000-0000B08D0000}"/>
    <cellStyle name="Calculation 5 2 5 2 4" xfId="36304" xr:uid="{00000000-0005-0000-0000-0000B18D0000}"/>
    <cellStyle name="Calculation 5 2 5 2 5" xfId="36305" xr:uid="{00000000-0005-0000-0000-0000B28D0000}"/>
    <cellStyle name="Calculation 5 2 5 2 6" xfId="36306" xr:uid="{00000000-0005-0000-0000-0000B38D0000}"/>
    <cellStyle name="Calculation 5 2 5 3" xfId="36307" xr:uid="{00000000-0005-0000-0000-0000B48D0000}"/>
    <cellStyle name="Calculation 5 2 5 3 2" xfId="36308" xr:uid="{00000000-0005-0000-0000-0000B58D0000}"/>
    <cellStyle name="Calculation 5 2 5 3 3" xfId="36309" xr:uid="{00000000-0005-0000-0000-0000B68D0000}"/>
    <cellStyle name="Calculation 5 2 5 3 4" xfId="36310" xr:uid="{00000000-0005-0000-0000-0000B78D0000}"/>
    <cellStyle name="Calculation 5 2 5 3 5" xfId="36311" xr:uid="{00000000-0005-0000-0000-0000B88D0000}"/>
    <cellStyle name="Calculation 5 2 5 3 6" xfId="36312" xr:uid="{00000000-0005-0000-0000-0000B98D0000}"/>
    <cellStyle name="Calculation 5 2 5 4" xfId="36313" xr:uid="{00000000-0005-0000-0000-0000BA8D0000}"/>
    <cellStyle name="Calculation 5 2 5 4 2" xfId="36314" xr:uid="{00000000-0005-0000-0000-0000BB8D0000}"/>
    <cellStyle name="Calculation 5 2 5 4 3" xfId="36315" xr:uid="{00000000-0005-0000-0000-0000BC8D0000}"/>
    <cellStyle name="Calculation 5 2 5 4 4" xfId="36316" xr:uid="{00000000-0005-0000-0000-0000BD8D0000}"/>
    <cellStyle name="Calculation 5 2 5 4 5" xfId="36317" xr:uid="{00000000-0005-0000-0000-0000BE8D0000}"/>
    <cellStyle name="Calculation 5 2 5 4 6" xfId="36318" xr:uid="{00000000-0005-0000-0000-0000BF8D0000}"/>
    <cellStyle name="Calculation 5 2 5 5" xfId="36319" xr:uid="{00000000-0005-0000-0000-0000C08D0000}"/>
    <cellStyle name="Calculation 5 2 5 5 2" xfId="36320" xr:uid="{00000000-0005-0000-0000-0000C18D0000}"/>
    <cellStyle name="Calculation 5 2 5 5 3" xfId="36321" xr:uid="{00000000-0005-0000-0000-0000C28D0000}"/>
    <cellStyle name="Calculation 5 2 5 5 4" xfId="36322" xr:uid="{00000000-0005-0000-0000-0000C38D0000}"/>
    <cellStyle name="Calculation 5 2 5 5 5" xfId="36323" xr:uid="{00000000-0005-0000-0000-0000C48D0000}"/>
    <cellStyle name="Calculation 5 2 5 5 6" xfId="36324" xr:uid="{00000000-0005-0000-0000-0000C58D0000}"/>
    <cellStyle name="Calculation 5 2 5 6" xfId="36325" xr:uid="{00000000-0005-0000-0000-0000C68D0000}"/>
    <cellStyle name="Calculation 5 2 5 6 2" xfId="36326" xr:uid="{00000000-0005-0000-0000-0000C78D0000}"/>
    <cellStyle name="Calculation 5 2 5 6 3" xfId="36327" xr:uid="{00000000-0005-0000-0000-0000C88D0000}"/>
    <cellStyle name="Calculation 5 2 5 6 4" xfId="36328" xr:uid="{00000000-0005-0000-0000-0000C98D0000}"/>
    <cellStyle name="Calculation 5 2 5 6 5" xfId="36329" xr:uid="{00000000-0005-0000-0000-0000CA8D0000}"/>
    <cellStyle name="Calculation 5 2 5 6 6" xfId="36330" xr:uid="{00000000-0005-0000-0000-0000CB8D0000}"/>
    <cellStyle name="Calculation 5 2 5 7" xfId="36331" xr:uid="{00000000-0005-0000-0000-0000CC8D0000}"/>
    <cellStyle name="Calculation 5 2 5 7 2" xfId="36332" xr:uid="{00000000-0005-0000-0000-0000CD8D0000}"/>
    <cellStyle name="Calculation 5 2 5 7 3" xfId="36333" xr:uid="{00000000-0005-0000-0000-0000CE8D0000}"/>
    <cellStyle name="Calculation 5 2 5 7 4" xfId="36334" xr:uid="{00000000-0005-0000-0000-0000CF8D0000}"/>
    <cellStyle name="Calculation 5 2 5 7 5" xfId="36335" xr:uid="{00000000-0005-0000-0000-0000D08D0000}"/>
    <cellStyle name="Calculation 5 2 5 7 6" xfId="36336" xr:uid="{00000000-0005-0000-0000-0000D18D0000}"/>
    <cellStyle name="Calculation 5 2 5 8" xfId="36337" xr:uid="{00000000-0005-0000-0000-0000D28D0000}"/>
    <cellStyle name="Calculation 5 2 5 9" xfId="36338" xr:uid="{00000000-0005-0000-0000-0000D38D0000}"/>
    <cellStyle name="Calculation 5 2 6" xfId="36339" xr:uid="{00000000-0005-0000-0000-0000D48D0000}"/>
    <cellStyle name="Calculation 5 2 6 10" xfId="36340" xr:uid="{00000000-0005-0000-0000-0000D58D0000}"/>
    <cellStyle name="Calculation 5 2 6 2" xfId="36341" xr:uid="{00000000-0005-0000-0000-0000D68D0000}"/>
    <cellStyle name="Calculation 5 2 6 2 2" xfId="36342" xr:uid="{00000000-0005-0000-0000-0000D78D0000}"/>
    <cellStyle name="Calculation 5 2 6 2 3" xfId="36343" xr:uid="{00000000-0005-0000-0000-0000D88D0000}"/>
    <cellStyle name="Calculation 5 2 6 2 4" xfId="36344" xr:uid="{00000000-0005-0000-0000-0000D98D0000}"/>
    <cellStyle name="Calculation 5 2 6 2 5" xfId="36345" xr:uid="{00000000-0005-0000-0000-0000DA8D0000}"/>
    <cellStyle name="Calculation 5 2 6 2 6" xfId="36346" xr:uid="{00000000-0005-0000-0000-0000DB8D0000}"/>
    <cellStyle name="Calculation 5 2 6 3" xfId="36347" xr:uid="{00000000-0005-0000-0000-0000DC8D0000}"/>
    <cellStyle name="Calculation 5 2 6 3 2" xfId="36348" xr:uid="{00000000-0005-0000-0000-0000DD8D0000}"/>
    <cellStyle name="Calculation 5 2 6 3 3" xfId="36349" xr:uid="{00000000-0005-0000-0000-0000DE8D0000}"/>
    <cellStyle name="Calculation 5 2 6 3 4" xfId="36350" xr:uid="{00000000-0005-0000-0000-0000DF8D0000}"/>
    <cellStyle name="Calculation 5 2 6 3 5" xfId="36351" xr:uid="{00000000-0005-0000-0000-0000E08D0000}"/>
    <cellStyle name="Calculation 5 2 6 3 6" xfId="36352" xr:uid="{00000000-0005-0000-0000-0000E18D0000}"/>
    <cellStyle name="Calculation 5 2 6 4" xfId="36353" xr:uid="{00000000-0005-0000-0000-0000E28D0000}"/>
    <cellStyle name="Calculation 5 2 6 4 2" xfId="36354" xr:uid="{00000000-0005-0000-0000-0000E38D0000}"/>
    <cellStyle name="Calculation 5 2 6 4 3" xfId="36355" xr:uid="{00000000-0005-0000-0000-0000E48D0000}"/>
    <cellStyle name="Calculation 5 2 6 4 4" xfId="36356" xr:uid="{00000000-0005-0000-0000-0000E58D0000}"/>
    <cellStyle name="Calculation 5 2 6 4 5" xfId="36357" xr:uid="{00000000-0005-0000-0000-0000E68D0000}"/>
    <cellStyle name="Calculation 5 2 6 4 6" xfId="36358" xr:uid="{00000000-0005-0000-0000-0000E78D0000}"/>
    <cellStyle name="Calculation 5 2 6 5" xfId="36359" xr:uid="{00000000-0005-0000-0000-0000E88D0000}"/>
    <cellStyle name="Calculation 5 2 6 5 2" xfId="36360" xr:uid="{00000000-0005-0000-0000-0000E98D0000}"/>
    <cellStyle name="Calculation 5 2 6 5 3" xfId="36361" xr:uid="{00000000-0005-0000-0000-0000EA8D0000}"/>
    <cellStyle name="Calculation 5 2 6 5 4" xfId="36362" xr:uid="{00000000-0005-0000-0000-0000EB8D0000}"/>
    <cellStyle name="Calculation 5 2 6 5 5" xfId="36363" xr:uid="{00000000-0005-0000-0000-0000EC8D0000}"/>
    <cellStyle name="Calculation 5 2 6 5 6" xfId="36364" xr:uid="{00000000-0005-0000-0000-0000ED8D0000}"/>
    <cellStyle name="Calculation 5 2 6 6" xfId="36365" xr:uid="{00000000-0005-0000-0000-0000EE8D0000}"/>
    <cellStyle name="Calculation 5 2 6 6 2" xfId="36366" xr:uid="{00000000-0005-0000-0000-0000EF8D0000}"/>
    <cellStyle name="Calculation 5 2 6 6 3" xfId="36367" xr:uid="{00000000-0005-0000-0000-0000F08D0000}"/>
    <cellStyle name="Calculation 5 2 6 6 4" xfId="36368" xr:uid="{00000000-0005-0000-0000-0000F18D0000}"/>
    <cellStyle name="Calculation 5 2 6 6 5" xfId="36369" xr:uid="{00000000-0005-0000-0000-0000F28D0000}"/>
    <cellStyle name="Calculation 5 2 6 6 6" xfId="36370" xr:uid="{00000000-0005-0000-0000-0000F38D0000}"/>
    <cellStyle name="Calculation 5 2 6 7" xfId="36371" xr:uid="{00000000-0005-0000-0000-0000F48D0000}"/>
    <cellStyle name="Calculation 5 2 6 7 2" xfId="36372" xr:uid="{00000000-0005-0000-0000-0000F58D0000}"/>
    <cellStyle name="Calculation 5 2 6 7 3" xfId="36373" xr:uid="{00000000-0005-0000-0000-0000F68D0000}"/>
    <cellStyle name="Calculation 5 2 6 7 4" xfId="36374" xr:uid="{00000000-0005-0000-0000-0000F78D0000}"/>
    <cellStyle name="Calculation 5 2 6 7 5" xfId="36375" xr:uid="{00000000-0005-0000-0000-0000F88D0000}"/>
    <cellStyle name="Calculation 5 2 6 7 6" xfId="36376" xr:uid="{00000000-0005-0000-0000-0000F98D0000}"/>
    <cellStyle name="Calculation 5 2 6 8" xfId="36377" xr:uid="{00000000-0005-0000-0000-0000FA8D0000}"/>
    <cellStyle name="Calculation 5 2 6 9" xfId="36378" xr:uid="{00000000-0005-0000-0000-0000FB8D0000}"/>
    <cellStyle name="Calculation 5 2 7" xfId="36379" xr:uid="{00000000-0005-0000-0000-0000FC8D0000}"/>
    <cellStyle name="Calculation 5 2 7 10" xfId="36380" xr:uid="{00000000-0005-0000-0000-0000FD8D0000}"/>
    <cellStyle name="Calculation 5 2 7 2" xfId="36381" xr:uid="{00000000-0005-0000-0000-0000FE8D0000}"/>
    <cellStyle name="Calculation 5 2 7 2 2" xfId="36382" xr:uid="{00000000-0005-0000-0000-0000FF8D0000}"/>
    <cellStyle name="Calculation 5 2 7 2 3" xfId="36383" xr:uid="{00000000-0005-0000-0000-0000008E0000}"/>
    <cellStyle name="Calculation 5 2 7 2 4" xfId="36384" xr:uid="{00000000-0005-0000-0000-0000018E0000}"/>
    <cellStyle name="Calculation 5 2 7 2 5" xfId="36385" xr:uid="{00000000-0005-0000-0000-0000028E0000}"/>
    <cellStyle name="Calculation 5 2 7 2 6" xfId="36386" xr:uid="{00000000-0005-0000-0000-0000038E0000}"/>
    <cellStyle name="Calculation 5 2 7 3" xfId="36387" xr:uid="{00000000-0005-0000-0000-0000048E0000}"/>
    <cellStyle name="Calculation 5 2 7 3 2" xfId="36388" xr:uid="{00000000-0005-0000-0000-0000058E0000}"/>
    <cellStyle name="Calculation 5 2 7 3 3" xfId="36389" xr:uid="{00000000-0005-0000-0000-0000068E0000}"/>
    <cellStyle name="Calculation 5 2 7 3 4" xfId="36390" xr:uid="{00000000-0005-0000-0000-0000078E0000}"/>
    <cellStyle name="Calculation 5 2 7 3 5" xfId="36391" xr:uid="{00000000-0005-0000-0000-0000088E0000}"/>
    <cellStyle name="Calculation 5 2 7 3 6" xfId="36392" xr:uid="{00000000-0005-0000-0000-0000098E0000}"/>
    <cellStyle name="Calculation 5 2 7 4" xfId="36393" xr:uid="{00000000-0005-0000-0000-00000A8E0000}"/>
    <cellStyle name="Calculation 5 2 7 4 2" xfId="36394" xr:uid="{00000000-0005-0000-0000-00000B8E0000}"/>
    <cellStyle name="Calculation 5 2 7 4 3" xfId="36395" xr:uid="{00000000-0005-0000-0000-00000C8E0000}"/>
    <cellStyle name="Calculation 5 2 7 4 4" xfId="36396" xr:uid="{00000000-0005-0000-0000-00000D8E0000}"/>
    <cellStyle name="Calculation 5 2 7 4 5" xfId="36397" xr:uid="{00000000-0005-0000-0000-00000E8E0000}"/>
    <cellStyle name="Calculation 5 2 7 4 6" xfId="36398" xr:uid="{00000000-0005-0000-0000-00000F8E0000}"/>
    <cellStyle name="Calculation 5 2 7 5" xfId="36399" xr:uid="{00000000-0005-0000-0000-0000108E0000}"/>
    <cellStyle name="Calculation 5 2 7 5 2" xfId="36400" xr:uid="{00000000-0005-0000-0000-0000118E0000}"/>
    <cellStyle name="Calculation 5 2 7 5 3" xfId="36401" xr:uid="{00000000-0005-0000-0000-0000128E0000}"/>
    <cellStyle name="Calculation 5 2 7 5 4" xfId="36402" xr:uid="{00000000-0005-0000-0000-0000138E0000}"/>
    <cellStyle name="Calculation 5 2 7 5 5" xfId="36403" xr:uid="{00000000-0005-0000-0000-0000148E0000}"/>
    <cellStyle name="Calculation 5 2 7 5 6" xfId="36404" xr:uid="{00000000-0005-0000-0000-0000158E0000}"/>
    <cellStyle name="Calculation 5 2 7 6" xfId="36405" xr:uid="{00000000-0005-0000-0000-0000168E0000}"/>
    <cellStyle name="Calculation 5 2 7 6 2" xfId="36406" xr:uid="{00000000-0005-0000-0000-0000178E0000}"/>
    <cellStyle name="Calculation 5 2 7 6 3" xfId="36407" xr:uid="{00000000-0005-0000-0000-0000188E0000}"/>
    <cellStyle name="Calculation 5 2 7 6 4" xfId="36408" xr:uid="{00000000-0005-0000-0000-0000198E0000}"/>
    <cellStyle name="Calculation 5 2 7 6 5" xfId="36409" xr:uid="{00000000-0005-0000-0000-00001A8E0000}"/>
    <cellStyle name="Calculation 5 2 7 6 6" xfId="36410" xr:uid="{00000000-0005-0000-0000-00001B8E0000}"/>
    <cellStyle name="Calculation 5 2 7 7" xfId="36411" xr:uid="{00000000-0005-0000-0000-00001C8E0000}"/>
    <cellStyle name="Calculation 5 2 7 7 2" xfId="36412" xr:uid="{00000000-0005-0000-0000-00001D8E0000}"/>
    <cellStyle name="Calculation 5 2 7 7 3" xfId="36413" xr:uid="{00000000-0005-0000-0000-00001E8E0000}"/>
    <cellStyle name="Calculation 5 2 7 7 4" xfId="36414" xr:uid="{00000000-0005-0000-0000-00001F8E0000}"/>
    <cellStyle name="Calculation 5 2 7 7 5" xfId="36415" xr:uid="{00000000-0005-0000-0000-0000208E0000}"/>
    <cellStyle name="Calculation 5 2 7 7 6" xfId="36416" xr:uid="{00000000-0005-0000-0000-0000218E0000}"/>
    <cellStyle name="Calculation 5 2 7 8" xfId="36417" xr:uid="{00000000-0005-0000-0000-0000228E0000}"/>
    <cellStyle name="Calculation 5 2 7 9" xfId="36418" xr:uid="{00000000-0005-0000-0000-0000238E0000}"/>
    <cellStyle name="Calculation 5 2 8" xfId="36419" xr:uid="{00000000-0005-0000-0000-0000248E0000}"/>
    <cellStyle name="Calculation 5 2 8 10" xfId="36420" xr:uid="{00000000-0005-0000-0000-0000258E0000}"/>
    <cellStyle name="Calculation 5 2 8 2" xfId="36421" xr:uid="{00000000-0005-0000-0000-0000268E0000}"/>
    <cellStyle name="Calculation 5 2 8 2 2" xfId="36422" xr:uid="{00000000-0005-0000-0000-0000278E0000}"/>
    <cellStyle name="Calculation 5 2 8 2 3" xfId="36423" xr:uid="{00000000-0005-0000-0000-0000288E0000}"/>
    <cellStyle name="Calculation 5 2 8 2 4" xfId="36424" xr:uid="{00000000-0005-0000-0000-0000298E0000}"/>
    <cellStyle name="Calculation 5 2 8 2 5" xfId="36425" xr:uid="{00000000-0005-0000-0000-00002A8E0000}"/>
    <cellStyle name="Calculation 5 2 8 2 6" xfId="36426" xr:uid="{00000000-0005-0000-0000-00002B8E0000}"/>
    <cellStyle name="Calculation 5 2 8 3" xfId="36427" xr:uid="{00000000-0005-0000-0000-00002C8E0000}"/>
    <cellStyle name="Calculation 5 2 8 3 2" xfId="36428" xr:uid="{00000000-0005-0000-0000-00002D8E0000}"/>
    <cellStyle name="Calculation 5 2 8 3 3" xfId="36429" xr:uid="{00000000-0005-0000-0000-00002E8E0000}"/>
    <cellStyle name="Calculation 5 2 8 3 4" xfId="36430" xr:uid="{00000000-0005-0000-0000-00002F8E0000}"/>
    <cellStyle name="Calculation 5 2 8 3 5" xfId="36431" xr:uid="{00000000-0005-0000-0000-0000308E0000}"/>
    <cellStyle name="Calculation 5 2 8 3 6" xfId="36432" xr:uid="{00000000-0005-0000-0000-0000318E0000}"/>
    <cellStyle name="Calculation 5 2 8 4" xfId="36433" xr:uid="{00000000-0005-0000-0000-0000328E0000}"/>
    <cellStyle name="Calculation 5 2 8 4 2" xfId="36434" xr:uid="{00000000-0005-0000-0000-0000338E0000}"/>
    <cellStyle name="Calculation 5 2 8 4 3" xfId="36435" xr:uid="{00000000-0005-0000-0000-0000348E0000}"/>
    <cellStyle name="Calculation 5 2 8 4 4" xfId="36436" xr:uid="{00000000-0005-0000-0000-0000358E0000}"/>
    <cellStyle name="Calculation 5 2 8 4 5" xfId="36437" xr:uid="{00000000-0005-0000-0000-0000368E0000}"/>
    <cellStyle name="Calculation 5 2 8 4 6" xfId="36438" xr:uid="{00000000-0005-0000-0000-0000378E0000}"/>
    <cellStyle name="Calculation 5 2 8 5" xfId="36439" xr:uid="{00000000-0005-0000-0000-0000388E0000}"/>
    <cellStyle name="Calculation 5 2 8 5 2" xfId="36440" xr:uid="{00000000-0005-0000-0000-0000398E0000}"/>
    <cellStyle name="Calculation 5 2 8 5 3" xfId="36441" xr:uid="{00000000-0005-0000-0000-00003A8E0000}"/>
    <cellStyle name="Calculation 5 2 8 5 4" xfId="36442" xr:uid="{00000000-0005-0000-0000-00003B8E0000}"/>
    <cellStyle name="Calculation 5 2 8 5 5" xfId="36443" xr:uid="{00000000-0005-0000-0000-00003C8E0000}"/>
    <cellStyle name="Calculation 5 2 8 5 6" xfId="36444" xr:uid="{00000000-0005-0000-0000-00003D8E0000}"/>
    <cellStyle name="Calculation 5 2 8 6" xfId="36445" xr:uid="{00000000-0005-0000-0000-00003E8E0000}"/>
    <cellStyle name="Calculation 5 2 8 6 2" xfId="36446" xr:uid="{00000000-0005-0000-0000-00003F8E0000}"/>
    <cellStyle name="Calculation 5 2 8 6 3" xfId="36447" xr:uid="{00000000-0005-0000-0000-0000408E0000}"/>
    <cellStyle name="Calculation 5 2 8 6 4" xfId="36448" xr:uid="{00000000-0005-0000-0000-0000418E0000}"/>
    <cellStyle name="Calculation 5 2 8 6 5" xfId="36449" xr:uid="{00000000-0005-0000-0000-0000428E0000}"/>
    <cellStyle name="Calculation 5 2 8 6 6" xfId="36450" xr:uid="{00000000-0005-0000-0000-0000438E0000}"/>
    <cellStyle name="Calculation 5 2 8 7" xfId="36451" xr:uid="{00000000-0005-0000-0000-0000448E0000}"/>
    <cellStyle name="Calculation 5 2 8 7 2" xfId="36452" xr:uid="{00000000-0005-0000-0000-0000458E0000}"/>
    <cellStyle name="Calculation 5 2 8 7 3" xfId="36453" xr:uid="{00000000-0005-0000-0000-0000468E0000}"/>
    <cellStyle name="Calculation 5 2 8 7 4" xfId="36454" xr:uid="{00000000-0005-0000-0000-0000478E0000}"/>
    <cellStyle name="Calculation 5 2 8 7 5" xfId="36455" xr:uid="{00000000-0005-0000-0000-0000488E0000}"/>
    <cellStyle name="Calculation 5 2 8 7 6" xfId="36456" xr:uid="{00000000-0005-0000-0000-0000498E0000}"/>
    <cellStyle name="Calculation 5 2 8 8" xfId="36457" xr:uid="{00000000-0005-0000-0000-00004A8E0000}"/>
    <cellStyle name="Calculation 5 2 8 9" xfId="36458" xr:uid="{00000000-0005-0000-0000-00004B8E0000}"/>
    <cellStyle name="Calculation 5 2 9" xfId="36459" xr:uid="{00000000-0005-0000-0000-00004C8E0000}"/>
    <cellStyle name="Calculation 5 2 9 10" xfId="36460" xr:uid="{00000000-0005-0000-0000-00004D8E0000}"/>
    <cellStyle name="Calculation 5 2 9 2" xfId="36461" xr:uid="{00000000-0005-0000-0000-00004E8E0000}"/>
    <cellStyle name="Calculation 5 2 9 2 2" xfId="36462" xr:uid="{00000000-0005-0000-0000-00004F8E0000}"/>
    <cellStyle name="Calculation 5 2 9 2 3" xfId="36463" xr:uid="{00000000-0005-0000-0000-0000508E0000}"/>
    <cellStyle name="Calculation 5 2 9 2 4" xfId="36464" xr:uid="{00000000-0005-0000-0000-0000518E0000}"/>
    <cellStyle name="Calculation 5 2 9 2 5" xfId="36465" xr:uid="{00000000-0005-0000-0000-0000528E0000}"/>
    <cellStyle name="Calculation 5 2 9 2 6" xfId="36466" xr:uid="{00000000-0005-0000-0000-0000538E0000}"/>
    <cellStyle name="Calculation 5 2 9 3" xfId="36467" xr:uid="{00000000-0005-0000-0000-0000548E0000}"/>
    <cellStyle name="Calculation 5 2 9 3 2" xfId="36468" xr:uid="{00000000-0005-0000-0000-0000558E0000}"/>
    <cellStyle name="Calculation 5 2 9 3 3" xfId="36469" xr:uid="{00000000-0005-0000-0000-0000568E0000}"/>
    <cellStyle name="Calculation 5 2 9 3 4" xfId="36470" xr:uid="{00000000-0005-0000-0000-0000578E0000}"/>
    <cellStyle name="Calculation 5 2 9 3 5" xfId="36471" xr:uid="{00000000-0005-0000-0000-0000588E0000}"/>
    <cellStyle name="Calculation 5 2 9 3 6" xfId="36472" xr:uid="{00000000-0005-0000-0000-0000598E0000}"/>
    <cellStyle name="Calculation 5 2 9 4" xfId="36473" xr:uid="{00000000-0005-0000-0000-00005A8E0000}"/>
    <cellStyle name="Calculation 5 2 9 4 2" xfId="36474" xr:uid="{00000000-0005-0000-0000-00005B8E0000}"/>
    <cellStyle name="Calculation 5 2 9 4 3" xfId="36475" xr:uid="{00000000-0005-0000-0000-00005C8E0000}"/>
    <cellStyle name="Calculation 5 2 9 4 4" xfId="36476" xr:uid="{00000000-0005-0000-0000-00005D8E0000}"/>
    <cellStyle name="Calculation 5 2 9 4 5" xfId="36477" xr:uid="{00000000-0005-0000-0000-00005E8E0000}"/>
    <cellStyle name="Calculation 5 2 9 4 6" xfId="36478" xr:uid="{00000000-0005-0000-0000-00005F8E0000}"/>
    <cellStyle name="Calculation 5 2 9 5" xfId="36479" xr:uid="{00000000-0005-0000-0000-0000608E0000}"/>
    <cellStyle name="Calculation 5 2 9 5 2" xfId="36480" xr:uid="{00000000-0005-0000-0000-0000618E0000}"/>
    <cellStyle name="Calculation 5 2 9 5 3" xfId="36481" xr:uid="{00000000-0005-0000-0000-0000628E0000}"/>
    <cellStyle name="Calculation 5 2 9 5 4" xfId="36482" xr:uid="{00000000-0005-0000-0000-0000638E0000}"/>
    <cellStyle name="Calculation 5 2 9 5 5" xfId="36483" xr:uid="{00000000-0005-0000-0000-0000648E0000}"/>
    <cellStyle name="Calculation 5 2 9 5 6" xfId="36484" xr:uid="{00000000-0005-0000-0000-0000658E0000}"/>
    <cellStyle name="Calculation 5 2 9 6" xfId="36485" xr:uid="{00000000-0005-0000-0000-0000668E0000}"/>
    <cellStyle name="Calculation 5 2 9 6 2" xfId="36486" xr:uid="{00000000-0005-0000-0000-0000678E0000}"/>
    <cellStyle name="Calculation 5 2 9 6 3" xfId="36487" xr:uid="{00000000-0005-0000-0000-0000688E0000}"/>
    <cellStyle name="Calculation 5 2 9 6 4" xfId="36488" xr:uid="{00000000-0005-0000-0000-0000698E0000}"/>
    <cellStyle name="Calculation 5 2 9 6 5" xfId="36489" xr:uid="{00000000-0005-0000-0000-00006A8E0000}"/>
    <cellStyle name="Calculation 5 2 9 6 6" xfId="36490" xr:uid="{00000000-0005-0000-0000-00006B8E0000}"/>
    <cellStyle name="Calculation 5 2 9 7" xfId="36491" xr:uid="{00000000-0005-0000-0000-00006C8E0000}"/>
    <cellStyle name="Calculation 5 2 9 7 2" xfId="36492" xr:uid="{00000000-0005-0000-0000-00006D8E0000}"/>
    <cellStyle name="Calculation 5 2 9 7 3" xfId="36493" xr:uid="{00000000-0005-0000-0000-00006E8E0000}"/>
    <cellStyle name="Calculation 5 2 9 7 4" xfId="36494" xr:uid="{00000000-0005-0000-0000-00006F8E0000}"/>
    <cellStyle name="Calculation 5 2 9 7 5" xfId="36495" xr:uid="{00000000-0005-0000-0000-0000708E0000}"/>
    <cellStyle name="Calculation 5 2 9 7 6" xfId="36496" xr:uid="{00000000-0005-0000-0000-0000718E0000}"/>
    <cellStyle name="Calculation 5 2 9 8" xfId="36497" xr:uid="{00000000-0005-0000-0000-0000728E0000}"/>
    <cellStyle name="Calculation 5 2 9 9" xfId="36498" xr:uid="{00000000-0005-0000-0000-0000738E0000}"/>
    <cellStyle name="Calculation 5 20" xfId="36499" xr:uid="{00000000-0005-0000-0000-0000748E0000}"/>
    <cellStyle name="Calculation 5 20 10" xfId="36500" xr:uid="{00000000-0005-0000-0000-0000758E0000}"/>
    <cellStyle name="Calculation 5 20 2" xfId="36501" xr:uid="{00000000-0005-0000-0000-0000768E0000}"/>
    <cellStyle name="Calculation 5 20 2 2" xfId="36502" xr:uid="{00000000-0005-0000-0000-0000778E0000}"/>
    <cellStyle name="Calculation 5 20 2 3" xfId="36503" xr:uid="{00000000-0005-0000-0000-0000788E0000}"/>
    <cellStyle name="Calculation 5 20 2 4" xfId="36504" xr:uid="{00000000-0005-0000-0000-0000798E0000}"/>
    <cellStyle name="Calculation 5 20 2 5" xfId="36505" xr:uid="{00000000-0005-0000-0000-00007A8E0000}"/>
    <cellStyle name="Calculation 5 20 2 6" xfId="36506" xr:uid="{00000000-0005-0000-0000-00007B8E0000}"/>
    <cellStyle name="Calculation 5 20 3" xfId="36507" xr:uid="{00000000-0005-0000-0000-00007C8E0000}"/>
    <cellStyle name="Calculation 5 20 3 2" xfId="36508" xr:uid="{00000000-0005-0000-0000-00007D8E0000}"/>
    <cellStyle name="Calculation 5 20 3 3" xfId="36509" xr:uid="{00000000-0005-0000-0000-00007E8E0000}"/>
    <cellStyle name="Calculation 5 20 3 4" xfId="36510" xr:uid="{00000000-0005-0000-0000-00007F8E0000}"/>
    <cellStyle name="Calculation 5 20 3 5" xfId="36511" xr:uid="{00000000-0005-0000-0000-0000808E0000}"/>
    <cellStyle name="Calculation 5 20 3 6" xfId="36512" xr:uid="{00000000-0005-0000-0000-0000818E0000}"/>
    <cellStyle name="Calculation 5 20 4" xfId="36513" xr:uid="{00000000-0005-0000-0000-0000828E0000}"/>
    <cellStyle name="Calculation 5 20 4 2" xfId="36514" xr:uid="{00000000-0005-0000-0000-0000838E0000}"/>
    <cellStyle name="Calculation 5 20 4 3" xfId="36515" xr:uid="{00000000-0005-0000-0000-0000848E0000}"/>
    <cellStyle name="Calculation 5 20 4 4" xfId="36516" xr:uid="{00000000-0005-0000-0000-0000858E0000}"/>
    <cellStyle name="Calculation 5 20 4 5" xfId="36517" xr:uid="{00000000-0005-0000-0000-0000868E0000}"/>
    <cellStyle name="Calculation 5 20 4 6" xfId="36518" xr:uid="{00000000-0005-0000-0000-0000878E0000}"/>
    <cellStyle name="Calculation 5 20 5" xfId="36519" xr:uid="{00000000-0005-0000-0000-0000888E0000}"/>
    <cellStyle name="Calculation 5 20 5 2" xfId="36520" xr:uid="{00000000-0005-0000-0000-0000898E0000}"/>
    <cellStyle name="Calculation 5 20 5 3" xfId="36521" xr:uid="{00000000-0005-0000-0000-00008A8E0000}"/>
    <cellStyle name="Calculation 5 20 5 4" xfId="36522" xr:uid="{00000000-0005-0000-0000-00008B8E0000}"/>
    <cellStyle name="Calculation 5 20 5 5" xfId="36523" xr:uid="{00000000-0005-0000-0000-00008C8E0000}"/>
    <cellStyle name="Calculation 5 20 5 6" xfId="36524" xr:uid="{00000000-0005-0000-0000-00008D8E0000}"/>
    <cellStyle name="Calculation 5 20 6" xfId="36525" xr:uid="{00000000-0005-0000-0000-00008E8E0000}"/>
    <cellStyle name="Calculation 5 20 6 2" xfId="36526" xr:uid="{00000000-0005-0000-0000-00008F8E0000}"/>
    <cellStyle name="Calculation 5 20 6 3" xfId="36527" xr:uid="{00000000-0005-0000-0000-0000908E0000}"/>
    <cellStyle name="Calculation 5 20 6 4" xfId="36528" xr:uid="{00000000-0005-0000-0000-0000918E0000}"/>
    <cellStyle name="Calculation 5 20 6 5" xfId="36529" xr:uid="{00000000-0005-0000-0000-0000928E0000}"/>
    <cellStyle name="Calculation 5 20 6 6" xfId="36530" xr:uid="{00000000-0005-0000-0000-0000938E0000}"/>
    <cellStyle name="Calculation 5 20 7" xfId="36531" xr:uid="{00000000-0005-0000-0000-0000948E0000}"/>
    <cellStyle name="Calculation 5 20 7 2" xfId="36532" xr:uid="{00000000-0005-0000-0000-0000958E0000}"/>
    <cellStyle name="Calculation 5 20 7 3" xfId="36533" xr:uid="{00000000-0005-0000-0000-0000968E0000}"/>
    <cellStyle name="Calculation 5 20 7 4" xfId="36534" xr:uid="{00000000-0005-0000-0000-0000978E0000}"/>
    <cellStyle name="Calculation 5 20 7 5" xfId="36535" xr:uid="{00000000-0005-0000-0000-0000988E0000}"/>
    <cellStyle name="Calculation 5 20 7 6" xfId="36536" xr:uid="{00000000-0005-0000-0000-0000998E0000}"/>
    <cellStyle name="Calculation 5 20 8" xfId="36537" xr:uid="{00000000-0005-0000-0000-00009A8E0000}"/>
    <cellStyle name="Calculation 5 20 9" xfId="36538" xr:uid="{00000000-0005-0000-0000-00009B8E0000}"/>
    <cellStyle name="Calculation 5 21" xfId="36539" xr:uid="{00000000-0005-0000-0000-00009C8E0000}"/>
    <cellStyle name="Calculation 5 21 10" xfId="36540" xr:uid="{00000000-0005-0000-0000-00009D8E0000}"/>
    <cellStyle name="Calculation 5 21 2" xfId="36541" xr:uid="{00000000-0005-0000-0000-00009E8E0000}"/>
    <cellStyle name="Calculation 5 21 2 2" xfId="36542" xr:uid="{00000000-0005-0000-0000-00009F8E0000}"/>
    <cellStyle name="Calculation 5 21 2 3" xfId="36543" xr:uid="{00000000-0005-0000-0000-0000A08E0000}"/>
    <cellStyle name="Calculation 5 21 2 4" xfId="36544" xr:uid="{00000000-0005-0000-0000-0000A18E0000}"/>
    <cellStyle name="Calculation 5 21 2 5" xfId="36545" xr:uid="{00000000-0005-0000-0000-0000A28E0000}"/>
    <cellStyle name="Calculation 5 21 2 6" xfId="36546" xr:uid="{00000000-0005-0000-0000-0000A38E0000}"/>
    <cellStyle name="Calculation 5 21 3" xfId="36547" xr:uid="{00000000-0005-0000-0000-0000A48E0000}"/>
    <cellStyle name="Calculation 5 21 3 2" xfId="36548" xr:uid="{00000000-0005-0000-0000-0000A58E0000}"/>
    <cellStyle name="Calculation 5 21 3 3" xfId="36549" xr:uid="{00000000-0005-0000-0000-0000A68E0000}"/>
    <cellStyle name="Calculation 5 21 3 4" xfId="36550" xr:uid="{00000000-0005-0000-0000-0000A78E0000}"/>
    <cellStyle name="Calculation 5 21 3 5" xfId="36551" xr:uid="{00000000-0005-0000-0000-0000A88E0000}"/>
    <cellStyle name="Calculation 5 21 3 6" xfId="36552" xr:uid="{00000000-0005-0000-0000-0000A98E0000}"/>
    <cellStyle name="Calculation 5 21 4" xfId="36553" xr:uid="{00000000-0005-0000-0000-0000AA8E0000}"/>
    <cellStyle name="Calculation 5 21 4 2" xfId="36554" xr:uid="{00000000-0005-0000-0000-0000AB8E0000}"/>
    <cellStyle name="Calculation 5 21 4 3" xfId="36555" xr:uid="{00000000-0005-0000-0000-0000AC8E0000}"/>
    <cellStyle name="Calculation 5 21 4 4" xfId="36556" xr:uid="{00000000-0005-0000-0000-0000AD8E0000}"/>
    <cellStyle name="Calculation 5 21 4 5" xfId="36557" xr:uid="{00000000-0005-0000-0000-0000AE8E0000}"/>
    <cellStyle name="Calculation 5 21 4 6" xfId="36558" xr:uid="{00000000-0005-0000-0000-0000AF8E0000}"/>
    <cellStyle name="Calculation 5 21 5" xfId="36559" xr:uid="{00000000-0005-0000-0000-0000B08E0000}"/>
    <cellStyle name="Calculation 5 21 5 2" xfId="36560" xr:uid="{00000000-0005-0000-0000-0000B18E0000}"/>
    <cellStyle name="Calculation 5 21 5 3" xfId="36561" xr:uid="{00000000-0005-0000-0000-0000B28E0000}"/>
    <cellStyle name="Calculation 5 21 5 4" xfId="36562" xr:uid="{00000000-0005-0000-0000-0000B38E0000}"/>
    <cellStyle name="Calculation 5 21 5 5" xfId="36563" xr:uid="{00000000-0005-0000-0000-0000B48E0000}"/>
    <cellStyle name="Calculation 5 21 5 6" xfId="36564" xr:uid="{00000000-0005-0000-0000-0000B58E0000}"/>
    <cellStyle name="Calculation 5 21 6" xfId="36565" xr:uid="{00000000-0005-0000-0000-0000B68E0000}"/>
    <cellStyle name="Calculation 5 21 6 2" xfId="36566" xr:uid="{00000000-0005-0000-0000-0000B78E0000}"/>
    <cellStyle name="Calculation 5 21 6 3" xfId="36567" xr:uid="{00000000-0005-0000-0000-0000B88E0000}"/>
    <cellStyle name="Calculation 5 21 6 4" xfId="36568" xr:uid="{00000000-0005-0000-0000-0000B98E0000}"/>
    <cellStyle name="Calculation 5 21 6 5" xfId="36569" xr:uid="{00000000-0005-0000-0000-0000BA8E0000}"/>
    <cellStyle name="Calculation 5 21 6 6" xfId="36570" xr:uid="{00000000-0005-0000-0000-0000BB8E0000}"/>
    <cellStyle name="Calculation 5 21 7" xfId="36571" xr:uid="{00000000-0005-0000-0000-0000BC8E0000}"/>
    <cellStyle name="Calculation 5 21 7 2" xfId="36572" xr:uid="{00000000-0005-0000-0000-0000BD8E0000}"/>
    <cellStyle name="Calculation 5 21 7 3" xfId="36573" xr:uid="{00000000-0005-0000-0000-0000BE8E0000}"/>
    <cellStyle name="Calculation 5 21 7 4" xfId="36574" xr:uid="{00000000-0005-0000-0000-0000BF8E0000}"/>
    <cellStyle name="Calculation 5 21 7 5" xfId="36575" xr:uid="{00000000-0005-0000-0000-0000C08E0000}"/>
    <cellStyle name="Calculation 5 21 7 6" xfId="36576" xr:uid="{00000000-0005-0000-0000-0000C18E0000}"/>
    <cellStyle name="Calculation 5 21 8" xfId="36577" xr:uid="{00000000-0005-0000-0000-0000C28E0000}"/>
    <cellStyle name="Calculation 5 21 9" xfId="36578" xr:uid="{00000000-0005-0000-0000-0000C38E0000}"/>
    <cellStyle name="Calculation 5 22" xfId="36579" xr:uid="{00000000-0005-0000-0000-0000C48E0000}"/>
    <cellStyle name="Calculation 5 22 10" xfId="36580" xr:uid="{00000000-0005-0000-0000-0000C58E0000}"/>
    <cellStyle name="Calculation 5 22 2" xfId="36581" xr:uid="{00000000-0005-0000-0000-0000C68E0000}"/>
    <cellStyle name="Calculation 5 22 2 2" xfId="36582" xr:uid="{00000000-0005-0000-0000-0000C78E0000}"/>
    <cellStyle name="Calculation 5 22 2 3" xfId="36583" xr:uid="{00000000-0005-0000-0000-0000C88E0000}"/>
    <cellStyle name="Calculation 5 22 2 4" xfId="36584" xr:uid="{00000000-0005-0000-0000-0000C98E0000}"/>
    <cellStyle name="Calculation 5 22 2 5" xfId="36585" xr:uid="{00000000-0005-0000-0000-0000CA8E0000}"/>
    <cellStyle name="Calculation 5 22 2 6" xfId="36586" xr:uid="{00000000-0005-0000-0000-0000CB8E0000}"/>
    <cellStyle name="Calculation 5 22 3" xfId="36587" xr:uid="{00000000-0005-0000-0000-0000CC8E0000}"/>
    <cellStyle name="Calculation 5 22 3 2" xfId="36588" xr:uid="{00000000-0005-0000-0000-0000CD8E0000}"/>
    <cellStyle name="Calculation 5 22 3 3" xfId="36589" xr:uid="{00000000-0005-0000-0000-0000CE8E0000}"/>
    <cellStyle name="Calculation 5 22 3 4" xfId="36590" xr:uid="{00000000-0005-0000-0000-0000CF8E0000}"/>
    <cellStyle name="Calculation 5 22 3 5" xfId="36591" xr:uid="{00000000-0005-0000-0000-0000D08E0000}"/>
    <cellStyle name="Calculation 5 22 3 6" xfId="36592" xr:uid="{00000000-0005-0000-0000-0000D18E0000}"/>
    <cellStyle name="Calculation 5 22 4" xfId="36593" xr:uid="{00000000-0005-0000-0000-0000D28E0000}"/>
    <cellStyle name="Calculation 5 22 4 2" xfId="36594" xr:uid="{00000000-0005-0000-0000-0000D38E0000}"/>
    <cellStyle name="Calculation 5 22 4 3" xfId="36595" xr:uid="{00000000-0005-0000-0000-0000D48E0000}"/>
    <cellStyle name="Calculation 5 22 4 4" xfId="36596" xr:uid="{00000000-0005-0000-0000-0000D58E0000}"/>
    <cellStyle name="Calculation 5 22 4 5" xfId="36597" xr:uid="{00000000-0005-0000-0000-0000D68E0000}"/>
    <cellStyle name="Calculation 5 22 4 6" xfId="36598" xr:uid="{00000000-0005-0000-0000-0000D78E0000}"/>
    <cellStyle name="Calculation 5 22 5" xfId="36599" xr:uid="{00000000-0005-0000-0000-0000D88E0000}"/>
    <cellStyle name="Calculation 5 22 5 2" xfId="36600" xr:uid="{00000000-0005-0000-0000-0000D98E0000}"/>
    <cellStyle name="Calculation 5 22 5 3" xfId="36601" xr:uid="{00000000-0005-0000-0000-0000DA8E0000}"/>
    <cellStyle name="Calculation 5 22 5 4" xfId="36602" xr:uid="{00000000-0005-0000-0000-0000DB8E0000}"/>
    <cellStyle name="Calculation 5 22 5 5" xfId="36603" xr:uid="{00000000-0005-0000-0000-0000DC8E0000}"/>
    <cellStyle name="Calculation 5 22 5 6" xfId="36604" xr:uid="{00000000-0005-0000-0000-0000DD8E0000}"/>
    <cellStyle name="Calculation 5 22 6" xfId="36605" xr:uid="{00000000-0005-0000-0000-0000DE8E0000}"/>
    <cellStyle name="Calculation 5 22 6 2" xfId="36606" xr:uid="{00000000-0005-0000-0000-0000DF8E0000}"/>
    <cellStyle name="Calculation 5 22 6 3" xfId="36607" xr:uid="{00000000-0005-0000-0000-0000E08E0000}"/>
    <cellStyle name="Calculation 5 22 6 4" xfId="36608" xr:uid="{00000000-0005-0000-0000-0000E18E0000}"/>
    <cellStyle name="Calculation 5 22 6 5" xfId="36609" xr:uid="{00000000-0005-0000-0000-0000E28E0000}"/>
    <cellStyle name="Calculation 5 22 6 6" xfId="36610" xr:uid="{00000000-0005-0000-0000-0000E38E0000}"/>
    <cellStyle name="Calculation 5 22 7" xfId="36611" xr:uid="{00000000-0005-0000-0000-0000E48E0000}"/>
    <cellStyle name="Calculation 5 22 7 2" xfId="36612" xr:uid="{00000000-0005-0000-0000-0000E58E0000}"/>
    <cellStyle name="Calculation 5 22 7 3" xfId="36613" xr:uid="{00000000-0005-0000-0000-0000E68E0000}"/>
    <cellStyle name="Calculation 5 22 7 4" xfId="36614" xr:uid="{00000000-0005-0000-0000-0000E78E0000}"/>
    <cellStyle name="Calculation 5 22 7 5" xfId="36615" xr:uid="{00000000-0005-0000-0000-0000E88E0000}"/>
    <cellStyle name="Calculation 5 22 7 6" xfId="36616" xr:uid="{00000000-0005-0000-0000-0000E98E0000}"/>
    <cellStyle name="Calculation 5 22 8" xfId="36617" xr:uid="{00000000-0005-0000-0000-0000EA8E0000}"/>
    <cellStyle name="Calculation 5 22 9" xfId="36618" xr:uid="{00000000-0005-0000-0000-0000EB8E0000}"/>
    <cellStyle name="Calculation 5 23" xfId="36619" xr:uid="{00000000-0005-0000-0000-0000EC8E0000}"/>
    <cellStyle name="Calculation 5 23 10" xfId="36620" xr:uid="{00000000-0005-0000-0000-0000ED8E0000}"/>
    <cellStyle name="Calculation 5 23 2" xfId="36621" xr:uid="{00000000-0005-0000-0000-0000EE8E0000}"/>
    <cellStyle name="Calculation 5 23 2 2" xfId="36622" xr:uid="{00000000-0005-0000-0000-0000EF8E0000}"/>
    <cellStyle name="Calculation 5 23 2 3" xfId="36623" xr:uid="{00000000-0005-0000-0000-0000F08E0000}"/>
    <cellStyle name="Calculation 5 23 2 4" xfId="36624" xr:uid="{00000000-0005-0000-0000-0000F18E0000}"/>
    <cellStyle name="Calculation 5 23 2 5" xfId="36625" xr:uid="{00000000-0005-0000-0000-0000F28E0000}"/>
    <cellStyle name="Calculation 5 23 2 6" xfId="36626" xr:uid="{00000000-0005-0000-0000-0000F38E0000}"/>
    <cellStyle name="Calculation 5 23 3" xfId="36627" xr:uid="{00000000-0005-0000-0000-0000F48E0000}"/>
    <cellStyle name="Calculation 5 23 3 2" xfId="36628" xr:uid="{00000000-0005-0000-0000-0000F58E0000}"/>
    <cellStyle name="Calculation 5 23 3 3" xfId="36629" xr:uid="{00000000-0005-0000-0000-0000F68E0000}"/>
    <cellStyle name="Calculation 5 23 3 4" xfId="36630" xr:uid="{00000000-0005-0000-0000-0000F78E0000}"/>
    <cellStyle name="Calculation 5 23 3 5" xfId="36631" xr:uid="{00000000-0005-0000-0000-0000F88E0000}"/>
    <cellStyle name="Calculation 5 23 3 6" xfId="36632" xr:uid="{00000000-0005-0000-0000-0000F98E0000}"/>
    <cellStyle name="Calculation 5 23 4" xfId="36633" xr:uid="{00000000-0005-0000-0000-0000FA8E0000}"/>
    <cellStyle name="Calculation 5 23 4 2" xfId="36634" xr:uid="{00000000-0005-0000-0000-0000FB8E0000}"/>
    <cellStyle name="Calculation 5 23 4 3" xfId="36635" xr:uid="{00000000-0005-0000-0000-0000FC8E0000}"/>
    <cellStyle name="Calculation 5 23 4 4" xfId="36636" xr:uid="{00000000-0005-0000-0000-0000FD8E0000}"/>
    <cellStyle name="Calculation 5 23 4 5" xfId="36637" xr:uid="{00000000-0005-0000-0000-0000FE8E0000}"/>
    <cellStyle name="Calculation 5 23 4 6" xfId="36638" xr:uid="{00000000-0005-0000-0000-0000FF8E0000}"/>
    <cellStyle name="Calculation 5 23 5" xfId="36639" xr:uid="{00000000-0005-0000-0000-0000008F0000}"/>
    <cellStyle name="Calculation 5 23 5 2" xfId="36640" xr:uid="{00000000-0005-0000-0000-0000018F0000}"/>
    <cellStyle name="Calculation 5 23 5 3" xfId="36641" xr:uid="{00000000-0005-0000-0000-0000028F0000}"/>
    <cellStyle name="Calculation 5 23 5 4" xfId="36642" xr:uid="{00000000-0005-0000-0000-0000038F0000}"/>
    <cellStyle name="Calculation 5 23 5 5" xfId="36643" xr:uid="{00000000-0005-0000-0000-0000048F0000}"/>
    <cellStyle name="Calculation 5 23 5 6" xfId="36644" xr:uid="{00000000-0005-0000-0000-0000058F0000}"/>
    <cellStyle name="Calculation 5 23 6" xfId="36645" xr:uid="{00000000-0005-0000-0000-0000068F0000}"/>
    <cellStyle name="Calculation 5 23 6 2" xfId="36646" xr:uid="{00000000-0005-0000-0000-0000078F0000}"/>
    <cellStyle name="Calculation 5 23 6 3" xfId="36647" xr:uid="{00000000-0005-0000-0000-0000088F0000}"/>
    <cellStyle name="Calculation 5 23 6 4" xfId="36648" xr:uid="{00000000-0005-0000-0000-0000098F0000}"/>
    <cellStyle name="Calculation 5 23 6 5" xfId="36649" xr:uid="{00000000-0005-0000-0000-00000A8F0000}"/>
    <cellStyle name="Calculation 5 23 6 6" xfId="36650" xr:uid="{00000000-0005-0000-0000-00000B8F0000}"/>
    <cellStyle name="Calculation 5 23 7" xfId="36651" xr:uid="{00000000-0005-0000-0000-00000C8F0000}"/>
    <cellStyle name="Calculation 5 23 7 2" xfId="36652" xr:uid="{00000000-0005-0000-0000-00000D8F0000}"/>
    <cellStyle name="Calculation 5 23 7 3" xfId="36653" xr:uid="{00000000-0005-0000-0000-00000E8F0000}"/>
    <cellStyle name="Calculation 5 23 7 4" xfId="36654" xr:uid="{00000000-0005-0000-0000-00000F8F0000}"/>
    <cellStyle name="Calculation 5 23 7 5" xfId="36655" xr:uid="{00000000-0005-0000-0000-0000108F0000}"/>
    <cellStyle name="Calculation 5 23 7 6" xfId="36656" xr:uid="{00000000-0005-0000-0000-0000118F0000}"/>
    <cellStyle name="Calculation 5 23 8" xfId="36657" xr:uid="{00000000-0005-0000-0000-0000128F0000}"/>
    <cellStyle name="Calculation 5 23 9" xfId="36658" xr:uid="{00000000-0005-0000-0000-0000138F0000}"/>
    <cellStyle name="Calculation 5 24" xfId="36659" xr:uid="{00000000-0005-0000-0000-0000148F0000}"/>
    <cellStyle name="Calculation 5 24 10" xfId="36660" xr:uid="{00000000-0005-0000-0000-0000158F0000}"/>
    <cellStyle name="Calculation 5 24 2" xfId="36661" xr:uid="{00000000-0005-0000-0000-0000168F0000}"/>
    <cellStyle name="Calculation 5 24 2 2" xfId="36662" xr:uid="{00000000-0005-0000-0000-0000178F0000}"/>
    <cellStyle name="Calculation 5 24 2 3" xfId="36663" xr:uid="{00000000-0005-0000-0000-0000188F0000}"/>
    <cellStyle name="Calculation 5 24 2 4" xfId="36664" xr:uid="{00000000-0005-0000-0000-0000198F0000}"/>
    <cellStyle name="Calculation 5 24 2 5" xfId="36665" xr:uid="{00000000-0005-0000-0000-00001A8F0000}"/>
    <cellStyle name="Calculation 5 24 2 6" xfId="36666" xr:uid="{00000000-0005-0000-0000-00001B8F0000}"/>
    <cellStyle name="Calculation 5 24 3" xfId="36667" xr:uid="{00000000-0005-0000-0000-00001C8F0000}"/>
    <cellStyle name="Calculation 5 24 3 2" xfId="36668" xr:uid="{00000000-0005-0000-0000-00001D8F0000}"/>
    <cellStyle name="Calculation 5 24 3 3" xfId="36669" xr:uid="{00000000-0005-0000-0000-00001E8F0000}"/>
    <cellStyle name="Calculation 5 24 3 4" xfId="36670" xr:uid="{00000000-0005-0000-0000-00001F8F0000}"/>
    <cellStyle name="Calculation 5 24 3 5" xfId="36671" xr:uid="{00000000-0005-0000-0000-0000208F0000}"/>
    <cellStyle name="Calculation 5 24 3 6" xfId="36672" xr:uid="{00000000-0005-0000-0000-0000218F0000}"/>
    <cellStyle name="Calculation 5 24 4" xfId="36673" xr:uid="{00000000-0005-0000-0000-0000228F0000}"/>
    <cellStyle name="Calculation 5 24 4 2" xfId="36674" xr:uid="{00000000-0005-0000-0000-0000238F0000}"/>
    <cellStyle name="Calculation 5 24 4 3" xfId="36675" xr:uid="{00000000-0005-0000-0000-0000248F0000}"/>
    <cellStyle name="Calculation 5 24 4 4" xfId="36676" xr:uid="{00000000-0005-0000-0000-0000258F0000}"/>
    <cellStyle name="Calculation 5 24 4 5" xfId="36677" xr:uid="{00000000-0005-0000-0000-0000268F0000}"/>
    <cellStyle name="Calculation 5 24 4 6" xfId="36678" xr:uid="{00000000-0005-0000-0000-0000278F0000}"/>
    <cellStyle name="Calculation 5 24 5" xfId="36679" xr:uid="{00000000-0005-0000-0000-0000288F0000}"/>
    <cellStyle name="Calculation 5 24 5 2" xfId="36680" xr:uid="{00000000-0005-0000-0000-0000298F0000}"/>
    <cellStyle name="Calculation 5 24 5 3" xfId="36681" xr:uid="{00000000-0005-0000-0000-00002A8F0000}"/>
    <cellStyle name="Calculation 5 24 5 4" xfId="36682" xr:uid="{00000000-0005-0000-0000-00002B8F0000}"/>
    <cellStyle name="Calculation 5 24 5 5" xfId="36683" xr:uid="{00000000-0005-0000-0000-00002C8F0000}"/>
    <cellStyle name="Calculation 5 24 5 6" xfId="36684" xr:uid="{00000000-0005-0000-0000-00002D8F0000}"/>
    <cellStyle name="Calculation 5 24 6" xfId="36685" xr:uid="{00000000-0005-0000-0000-00002E8F0000}"/>
    <cellStyle name="Calculation 5 24 6 2" xfId="36686" xr:uid="{00000000-0005-0000-0000-00002F8F0000}"/>
    <cellStyle name="Calculation 5 24 6 3" xfId="36687" xr:uid="{00000000-0005-0000-0000-0000308F0000}"/>
    <cellStyle name="Calculation 5 24 6 4" xfId="36688" xr:uid="{00000000-0005-0000-0000-0000318F0000}"/>
    <cellStyle name="Calculation 5 24 6 5" xfId="36689" xr:uid="{00000000-0005-0000-0000-0000328F0000}"/>
    <cellStyle name="Calculation 5 24 6 6" xfId="36690" xr:uid="{00000000-0005-0000-0000-0000338F0000}"/>
    <cellStyle name="Calculation 5 24 7" xfId="36691" xr:uid="{00000000-0005-0000-0000-0000348F0000}"/>
    <cellStyle name="Calculation 5 24 7 2" xfId="36692" xr:uid="{00000000-0005-0000-0000-0000358F0000}"/>
    <cellStyle name="Calculation 5 24 7 3" xfId="36693" xr:uid="{00000000-0005-0000-0000-0000368F0000}"/>
    <cellStyle name="Calculation 5 24 7 4" xfId="36694" xr:uid="{00000000-0005-0000-0000-0000378F0000}"/>
    <cellStyle name="Calculation 5 24 7 5" xfId="36695" xr:uid="{00000000-0005-0000-0000-0000388F0000}"/>
    <cellStyle name="Calculation 5 24 7 6" xfId="36696" xr:uid="{00000000-0005-0000-0000-0000398F0000}"/>
    <cellStyle name="Calculation 5 24 8" xfId="36697" xr:uid="{00000000-0005-0000-0000-00003A8F0000}"/>
    <cellStyle name="Calculation 5 24 9" xfId="36698" xr:uid="{00000000-0005-0000-0000-00003B8F0000}"/>
    <cellStyle name="Calculation 5 25" xfId="36699" xr:uid="{00000000-0005-0000-0000-00003C8F0000}"/>
    <cellStyle name="Calculation 5 25 10" xfId="36700" xr:uid="{00000000-0005-0000-0000-00003D8F0000}"/>
    <cellStyle name="Calculation 5 25 2" xfId="36701" xr:uid="{00000000-0005-0000-0000-00003E8F0000}"/>
    <cellStyle name="Calculation 5 25 2 2" xfId="36702" xr:uid="{00000000-0005-0000-0000-00003F8F0000}"/>
    <cellStyle name="Calculation 5 25 2 3" xfId="36703" xr:uid="{00000000-0005-0000-0000-0000408F0000}"/>
    <cellStyle name="Calculation 5 25 2 4" xfId="36704" xr:uid="{00000000-0005-0000-0000-0000418F0000}"/>
    <cellStyle name="Calculation 5 25 2 5" xfId="36705" xr:uid="{00000000-0005-0000-0000-0000428F0000}"/>
    <cellStyle name="Calculation 5 25 2 6" xfId="36706" xr:uid="{00000000-0005-0000-0000-0000438F0000}"/>
    <cellStyle name="Calculation 5 25 3" xfId="36707" xr:uid="{00000000-0005-0000-0000-0000448F0000}"/>
    <cellStyle name="Calculation 5 25 3 2" xfId="36708" xr:uid="{00000000-0005-0000-0000-0000458F0000}"/>
    <cellStyle name="Calculation 5 25 3 3" xfId="36709" xr:uid="{00000000-0005-0000-0000-0000468F0000}"/>
    <cellStyle name="Calculation 5 25 3 4" xfId="36710" xr:uid="{00000000-0005-0000-0000-0000478F0000}"/>
    <cellStyle name="Calculation 5 25 3 5" xfId="36711" xr:uid="{00000000-0005-0000-0000-0000488F0000}"/>
    <cellStyle name="Calculation 5 25 3 6" xfId="36712" xr:uid="{00000000-0005-0000-0000-0000498F0000}"/>
    <cellStyle name="Calculation 5 25 4" xfId="36713" xr:uid="{00000000-0005-0000-0000-00004A8F0000}"/>
    <cellStyle name="Calculation 5 25 4 2" xfId="36714" xr:uid="{00000000-0005-0000-0000-00004B8F0000}"/>
    <cellStyle name="Calculation 5 25 4 3" xfId="36715" xr:uid="{00000000-0005-0000-0000-00004C8F0000}"/>
    <cellStyle name="Calculation 5 25 4 4" xfId="36716" xr:uid="{00000000-0005-0000-0000-00004D8F0000}"/>
    <cellStyle name="Calculation 5 25 4 5" xfId="36717" xr:uid="{00000000-0005-0000-0000-00004E8F0000}"/>
    <cellStyle name="Calculation 5 25 4 6" xfId="36718" xr:uid="{00000000-0005-0000-0000-00004F8F0000}"/>
    <cellStyle name="Calculation 5 25 5" xfId="36719" xr:uid="{00000000-0005-0000-0000-0000508F0000}"/>
    <cellStyle name="Calculation 5 25 5 2" xfId="36720" xr:uid="{00000000-0005-0000-0000-0000518F0000}"/>
    <cellStyle name="Calculation 5 25 5 3" xfId="36721" xr:uid="{00000000-0005-0000-0000-0000528F0000}"/>
    <cellStyle name="Calculation 5 25 5 4" xfId="36722" xr:uid="{00000000-0005-0000-0000-0000538F0000}"/>
    <cellStyle name="Calculation 5 25 5 5" xfId="36723" xr:uid="{00000000-0005-0000-0000-0000548F0000}"/>
    <cellStyle name="Calculation 5 25 5 6" xfId="36724" xr:uid="{00000000-0005-0000-0000-0000558F0000}"/>
    <cellStyle name="Calculation 5 25 6" xfId="36725" xr:uid="{00000000-0005-0000-0000-0000568F0000}"/>
    <cellStyle name="Calculation 5 25 6 2" xfId="36726" xr:uid="{00000000-0005-0000-0000-0000578F0000}"/>
    <cellStyle name="Calculation 5 25 6 3" xfId="36727" xr:uid="{00000000-0005-0000-0000-0000588F0000}"/>
    <cellStyle name="Calculation 5 25 6 4" xfId="36728" xr:uid="{00000000-0005-0000-0000-0000598F0000}"/>
    <cellStyle name="Calculation 5 25 6 5" xfId="36729" xr:uid="{00000000-0005-0000-0000-00005A8F0000}"/>
    <cellStyle name="Calculation 5 25 6 6" xfId="36730" xr:uid="{00000000-0005-0000-0000-00005B8F0000}"/>
    <cellStyle name="Calculation 5 25 7" xfId="36731" xr:uid="{00000000-0005-0000-0000-00005C8F0000}"/>
    <cellStyle name="Calculation 5 25 7 2" xfId="36732" xr:uid="{00000000-0005-0000-0000-00005D8F0000}"/>
    <cellStyle name="Calculation 5 25 7 3" xfId="36733" xr:uid="{00000000-0005-0000-0000-00005E8F0000}"/>
    <cellStyle name="Calculation 5 25 7 4" xfId="36734" xr:uid="{00000000-0005-0000-0000-00005F8F0000}"/>
    <cellStyle name="Calculation 5 25 7 5" xfId="36735" xr:uid="{00000000-0005-0000-0000-0000608F0000}"/>
    <cellStyle name="Calculation 5 25 7 6" xfId="36736" xr:uid="{00000000-0005-0000-0000-0000618F0000}"/>
    <cellStyle name="Calculation 5 25 8" xfId="36737" xr:uid="{00000000-0005-0000-0000-0000628F0000}"/>
    <cellStyle name="Calculation 5 25 9" xfId="36738" xr:uid="{00000000-0005-0000-0000-0000638F0000}"/>
    <cellStyle name="Calculation 5 26" xfId="36739" xr:uid="{00000000-0005-0000-0000-0000648F0000}"/>
    <cellStyle name="Calculation 5 26 2" xfId="36740" xr:uid="{00000000-0005-0000-0000-0000658F0000}"/>
    <cellStyle name="Calculation 5 26 3" xfId="36741" xr:uid="{00000000-0005-0000-0000-0000668F0000}"/>
    <cellStyle name="Calculation 5 26 4" xfId="36742" xr:uid="{00000000-0005-0000-0000-0000678F0000}"/>
    <cellStyle name="Calculation 5 26 5" xfId="36743" xr:uid="{00000000-0005-0000-0000-0000688F0000}"/>
    <cellStyle name="Calculation 5 26 6" xfId="36744" xr:uid="{00000000-0005-0000-0000-0000698F0000}"/>
    <cellStyle name="Calculation 5 27" xfId="36745" xr:uid="{00000000-0005-0000-0000-00006A8F0000}"/>
    <cellStyle name="Calculation 5 27 2" xfId="36746" xr:uid="{00000000-0005-0000-0000-00006B8F0000}"/>
    <cellStyle name="Calculation 5 27 3" xfId="36747" xr:uid="{00000000-0005-0000-0000-00006C8F0000}"/>
    <cellStyle name="Calculation 5 27 4" xfId="36748" xr:uid="{00000000-0005-0000-0000-00006D8F0000}"/>
    <cellStyle name="Calculation 5 27 5" xfId="36749" xr:uid="{00000000-0005-0000-0000-00006E8F0000}"/>
    <cellStyle name="Calculation 5 27 6" xfId="36750" xr:uid="{00000000-0005-0000-0000-00006F8F0000}"/>
    <cellStyle name="Calculation 5 28" xfId="36751" xr:uid="{00000000-0005-0000-0000-0000708F0000}"/>
    <cellStyle name="Calculation 5 28 2" xfId="36752" xr:uid="{00000000-0005-0000-0000-0000718F0000}"/>
    <cellStyle name="Calculation 5 28 3" xfId="36753" xr:uid="{00000000-0005-0000-0000-0000728F0000}"/>
    <cellStyle name="Calculation 5 28 4" xfId="36754" xr:uid="{00000000-0005-0000-0000-0000738F0000}"/>
    <cellStyle name="Calculation 5 28 5" xfId="36755" xr:uid="{00000000-0005-0000-0000-0000748F0000}"/>
    <cellStyle name="Calculation 5 28 6" xfId="36756" xr:uid="{00000000-0005-0000-0000-0000758F0000}"/>
    <cellStyle name="Calculation 5 29" xfId="36757" xr:uid="{00000000-0005-0000-0000-0000768F0000}"/>
    <cellStyle name="Calculation 5 29 2" xfId="36758" xr:uid="{00000000-0005-0000-0000-0000778F0000}"/>
    <cellStyle name="Calculation 5 29 3" xfId="36759" xr:uid="{00000000-0005-0000-0000-0000788F0000}"/>
    <cellStyle name="Calculation 5 29 4" xfId="36760" xr:uid="{00000000-0005-0000-0000-0000798F0000}"/>
    <cellStyle name="Calculation 5 29 5" xfId="36761" xr:uid="{00000000-0005-0000-0000-00007A8F0000}"/>
    <cellStyle name="Calculation 5 29 6" xfId="36762" xr:uid="{00000000-0005-0000-0000-00007B8F0000}"/>
    <cellStyle name="Calculation 5 3" xfId="36763" xr:uid="{00000000-0005-0000-0000-00007C8F0000}"/>
    <cellStyle name="Calculation 5 3 10" xfId="36764" xr:uid="{00000000-0005-0000-0000-00007D8F0000}"/>
    <cellStyle name="Calculation 5 3 10 10" xfId="36765" xr:uid="{00000000-0005-0000-0000-00007E8F0000}"/>
    <cellStyle name="Calculation 5 3 10 2" xfId="36766" xr:uid="{00000000-0005-0000-0000-00007F8F0000}"/>
    <cellStyle name="Calculation 5 3 10 2 2" xfId="36767" xr:uid="{00000000-0005-0000-0000-0000808F0000}"/>
    <cellStyle name="Calculation 5 3 10 2 3" xfId="36768" xr:uid="{00000000-0005-0000-0000-0000818F0000}"/>
    <cellStyle name="Calculation 5 3 10 2 4" xfId="36769" xr:uid="{00000000-0005-0000-0000-0000828F0000}"/>
    <cellStyle name="Calculation 5 3 10 2 5" xfId="36770" xr:uid="{00000000-0005-0000-0000-0000838F0000}"/>
    <cellStyle name="Calculation 5 3 10 2 6" xfId="36771" xr:uid="{00000000-0005-0000-0000-0000848F0000}"/>
    <cellStyle name="Calculation 5 3 10 3" xfId="36772" xr:uid="{00000000-0005-0000-0000-0000858F0000}"/>
    <cellStyle name="Calculation 5 3 10 3 2" xfId="36773" xr:uid="{00000000-0005-0000-0000-0000868F0000}"/>
    <cellStyle name="Calculation 5 3 10 3 3" xfId="36774" xr:uid="{00000000-0005-0000-0000-0000878F0000}"/>
    <cellStyle name="Calculation 5 3 10 3 4" xfId="36775" xr:uid="{00000000-0005-0000-0000-0000888F0000}"/>
    <cellStyle name="Calculation 5 3 10 3 5" xfId="36776" xr:uid="{00000000-0005-0000-0000-0000898F0000}"/>
    <cellStyle name="Calculation 5 3 10 3 6" xfId="36777" xr:uid="{00000000-0005-0000-0000-00008A8F0000}"/>
    <cellStyle name="Calculation 5 3 10 4" xfId="36778" xr:uid="{00000000-0005-0000-0000-00008B8F0000}"/>
    <cellStyle name="Calculation 5 3 10 4 2" xfId="36779" xr:uid="{00000000-0005-0000-0000-00008C8F0000}"/>
    <cellStyle name="Calculation 5 3 10 4 3" xfId="36780" xr:uid="{00000000-0005-0000-0000-00008D8F0000}"/>
    <cellStyle name="Calculation 5 3 10 4 4" xfId="36781" xr:uid="{00000000-0005-0000-0000-00008E8F0000}"/>
    <cellStyle name="Calculation 5 3 10 4 5" xfId="36782" xr:uid="{00000000-0005-0000-0000-00008F8F0000}"/>
    <cellStyle name="Calculation 5 3 10 4 6" xfId="36783" xr:uid="{00000000-0005-0000-0000-0000908F0000}"/>
    <cellStyle name="Calculation 5 3 10 5" xfId="36784" xr:uid="{00000000-0005-0000-0000-0000918F0000}"/>
    <cellStyle name="Calculation 5 3 10 5 2" xfId="36785" xr:uid="{00000000-0005-0000-0000-0000928F0000}"/>
    <cellStyle name="Calculation 5 3 10 5 3" xfId="36786" xr:uid="{00000000-0005-0000-0000-0000938F0000}"/>
    <cellStyle name="Calculation 5 3 10 5 4" xfId="36787" xr:uid="{00000000-0005-0000-0000-0000948F0000}"/>
    <cellStyle name="Calculation 5 3 10 5 5" xfId="36788" xr:uid="{00000000-0005-0000-0000-0000958F0000}"/>
    <cellStyle name="Calculation 5 3 10 5 6" xfId="36789" xr:uid="{00000000-0005-0000-0000-0000968F0000}"/>
    <cellStyle name="Calculation 5 3 10 6" xfId="36790" xr:uid="{00000000-0005-0000-0000-0000978F0000}"/>
    <cellStyle name="Calculation 5 3 10 6 2" xfId="36791" xr:uid="{00000000-0005-0000-0000-0000988F0000}"/>
    <cellStyle name="Calculation 5 3 10 6 3" xfId="36792" xr:uid="{00000000-0005-0000-0000-0000998F0000}"/>
    <cellStyle name="Calculation 5 3 10 6 4" xfId="36793" xr:uid="{00000000-0005-0000-0000-00009A8F0000}"/>
    <cellStyle name="Calculation 5 3 10 6 5" xfId="36794" xr:uid="{00000000-0005-0000-0000-00009B8F0000}"/>
    <cellStyle name="Calculation 5 3 10 6 6" xfId="36795" xr:uid="{00000000-0005-0000-0000-00009C8F0000}"/>
    <cellStyle name="Calculation 5 3 10 7" xfId="36796" xr:uid="{00000000-0005-0000-0000-00009D8F0000}"/>
    <cellStyle name="Calculation 5 3 10 7 2" xfId="36797" xr:uid="{00000000-0005-0000-0000-00009E8F0000}"/>
    <cellStyle name="Calculation 5 3 10 7 3" xfId="36798" xr:uid="{00000000-0005-0000-0000-00009F8F0000}"/>
    <cellStyle name="Calculation 5 3 10 7 4" xfId="36799" xr:uid="{00000000-0005-0000-0000-0000A08F0000}"/>
    <cellStyle name="Calculation 5 3 10 7 5" xfId="36800" xr:uid="{00000000-0005-0000-0000-0000A18F0000}"/>
    <cellStyle name="Calculation 5 3 10 7 6" xfId="36801" xr:uid="{00000000-0005-0000-0000-0000A28F0000}"/>
    <cellStyle name="Calculation 5 3 10 8" xfId="36802" xr:uid="{00000000-0005-0000-0000-0000A38F0000}"/>
    <cellStyle name="Calculation 5 3 10 9" xfId="36803" xr:uid="{00000000-0005-0000-0000-0000A48F0000}"/>
    <cellStyle name="Calculation 5 3 11" xfId="36804" xr:uid="{00000000-0005-0000-0000-0000A58F0000}"/>
    <cellStyle name="Calculation 5 3 11 10" xfId="36805" xr:uid="{00000000-0005-0000-0000-0000A68F0000}"/>
    <cellStyle name="Calculation 5 3 11 2" xfId="36806" xr:uid="{00000000-0005-0000-0000-0000A78F0000}"/>
    <cellStyle name="Calculation 5 3 11 2 2" xfId="36807" xr:uid="{00000000-0005-0000-0000-0000A88F0000}"/>
    <cellStyle name="Calculation 5 3 11 2 3" xfId="36808" xr:uid="{00000000-0005-0000-0000-0000A98F0000}"/>
    <cellStyle name="Calculation 5 3 11 2 4" xfId="36809" xr:uid="{00000000-0005-0000-0000-0000AA8F0000}"/>
    <cellStyle name="Calculation 5 3 11 2 5" xfId="36810" xr:uid="{00000000-0005-0000-0000-0000AB8F0000}"/>
    <cellStyle name="Calculation 5 3 11 2 6" xfId="36811" xr:uid="{00000000-0005-0000-0000-0000AC8F0000}"/>
    <cellStyle name="Calculation 5 3 11 3" xfId="36812" xr:uid="{00000000-0005-0000-0000-0000AD8F0000}"/>
    <cellStyle name="Calculation 5 3 11 3 2" xfId="36813" xr:uid="{00000000-0005-0000-0000-0000AE8F0000}"/>
    <cellStyle name="Calculation 5 3 11 3 3" xfId="36814" xr:uid="{00000000-0005-0000-0000-0000AF8F0000}"/>
    <cellStyle name="Calculation 5 3 11 3 4" xfId="36815" xr:uid="{00000000-0005-0000-0000-0000B08F0000}"/>
    <cellStyle name="Calculation 5 3 11 3 5" xfId="36816" xr:uid="{00000000-0005-0000-0000-0000B18F0000}"/>
    <cellStyle name="Calculation 5 3 11 3 6" xfId="36817" xr:uid="{00000000-0005-0000-0000-0000B28F0000}"/>
    <cellStyle name="Calculation 5 3 11 4" xfId="36818" xr:uid="{00000000-0005-0000-0000-0000B38F0000}"/>
    <cellStyle name="Calculation 5 3 11 4 2" xfId="36819" xr:uid="{00000000-0005-0000-0000-0000B48F0000}"/>
    <cellStyle name="Calculation 5 3 11 4 3" xfId="36820" xr:uid="{00000000-0005-0000-0000-0000B58F0000}"/>
    <cellStyle name="Calculation 5 3 11 4 4" xfId="36821" xr:uid="{00000000-0005-0000-0000-0000B68F0000}"/>
    <cellStyle name="Calculation 5 3 11 4 5" xfId="36822" xr:uid="{00000000-0005-0000-0000-0000B78F0000}"/>
    <cellStyle name="Calculation 5 3 11 4 6" xfId="36823" xr:uid="{00000000-0005-0000-0000-0000B88F0000}"/>
    <cellStyle name="Calculation 5 3 11 5" xfId="36824" xr:uid="{00000000-0005-0000-0000-0000B98F0000}"/>
    <cellStyle name="Calculation 5 3 11 5 2" xfId="36825" xr:uid="{00000000-0005-0000-0000-0000BA8F0000}"/>
    <cellStyle name="Calculation 5 3 11 5 3" xfId="36826" xr:uid="{00000000-0005-0000-0000-0000BB8F0000}"/>
    <cellStyle name="Calculation 5 3 11 5 4" xfId="36827" xr:uid="{00000000-0005-0000-0000-0000BC8F0000}"/>
    <cellStyle name="Calculation 5 3 11 5 5" xfId="36828" xr:uid="{00000000-0005-0000-0000-0000BD8F0000}"/>
    <cellStyle name="Calculation 5 3 11 5 6" xfId="36829" xr:uid="{00000000-0005-0000-0000-0000BE8F0000}"/>
    <cellStyle name="Calculation 5 3 11 6" xfId="36830" xr:uid="{00000000-0005-0000-0000-0000BF8F0000}"/>
    <cellStyle name="Calculation 5 3 11 6 2" xfId="36831" xr:uid="{00000000-0005-0000-0000-0000C08F0000}"/>
    <cellStyle name="Calculation 5 3 11 6 3" xfId="36832" xr:uid="{00000000-0005-0000-0000-0000C18F0000}"/>
    <cellStyle name="Calculation 5 3 11 6 4" xfId="36833" xr:uid="{00000000-0005-0000-0000-0000C28F0000}"/>
    <cellStyle name="Calculation 5 3 11 6 5" xfId="36834" xr:uid="{00000000-0005-0000-0000-0000C38F0000}"/>
    <cellStyle name="Calculation 5 3 11 6 6" xfId="36835" xr:uid="{00000000-0005-0000-0000-0000C48F0000}"/>
    <cellStyle name="Calculation 5 3 11 7" xfId="36836" xr:uid="{00000000-0005-0000-0000-0000C58F0000}"/>
    <cellStyle name="Calculation 5 3 11 7 2" xfId="36837" xr:uid="{00000000-0005-0000-0000-0000C68F0000}"/>
    <cellStyle name="Calculation 5 3 11 7 3" xfId="36838" xr:uid="{00000000-0005-0000-0000-0000C78F0000}"/>
    <cellStyle name="Calculation 5 3 11 7 4" xfId="36839" xr:uid="{00000000-0005-0000-0000-0000C88F0000}"/>
    <cellStyle name="Calculation 5 3 11 7 5" xfId="36840" xr:uid="{00000000-0005-0000-0000-0000C98F0000}"/>
    <cellStyle name="Calculation 5 3 11 7 6" xfId="36841" xr:uid="{00000000-0005-0000-0000-0000CA8F0000}"/>
    <cellStyle name="Calculation 5 3 11 8" xfId="36842" xr:uid="{00000000-0005-0000-0000-0000CB8F0000}"/>
    <cellStyle name="Calculation 5 3 11 9" xfId="36843" xr:uid="{00000000-0005-0000-0000-0000CC8F0000}"/>
    <cellStyle name="Calculation 5 3 12" xfId="36844" xr:uid="{00000000-0005-0000-0000-0000CD8F0000}"/>
    <cellStyle name="Calculation 5 3 12 10" xfId="36845" xr:uid="{00000000-0005-0000-0000-0000CE8F0000}"/>
    <cellStyle name="Calculation 5 3 12 2" xfId="36846" xr:uid="{00000000-0005-0000-0000-0000CF8F0000}"/>
    <cellStyle name="Calculation 5 3 12 2 2" xfId="36847" xr:uid="{00000000-0005-0000-0000-0000D08F0000}"/>
    <cellStyle name="Calculation 5 3 12 2 3" xfId="36848" xr:uid="{00000000-0005-0000-0000-0000D18F0000}"/>
    <cellStyle name="Calculation 5 3 12 2 4" xfId="36849" xr:uid="{00000000-0005-0000-0000-0000D28F0000}"/>
    <cellStyle name="Calculation 5 3 12 2 5" xfId="36850" xr:uid="{00000000-0005-0000-0000-0000D38F0000}"/>
    <cellStyle name="Calculation 5 3 12 2 6" xfId="36851" xr:uid="{00000000-0005-0000-0000-0000D48F0000}"/>
    <cellStyle name="Calculation 5 3 12 3" xfId="36852" xr:uid="{00000000-0005-0000-0000-0000D58F0000}"/>
    <cellStyle name="Calculation 5 3 12 3 2" xfId="36853" xr:uid="{00000000-0005-0000-0000-0000D68F0000}"/>
    <cellStyle name="Calculation 5 3 12 3 3" xfId="36854" xr:uid="{00000000-0005-0000-0000-0000D78F0000}"/>
    <cellStyle name="Calculation 5 3 12 3 4" xfId="36855" xr:uid="{00000000-0005-0000-0000-0000D88F0000}"/>
    <cellStyle name="Calculation 5 3 12 3 5" xfId="36856" xr:uid="{00000000-0005-0000-0000-0000D98F0000}"/>
    <cellStyle name="Calculation 5 3 12 3 6" xfId="36857" xr:uid="{00000000-0005-0000-0000-0000DA8F0000}"/>
    <cellStyle name="Calculation 5 3 12 4" xfId="36858" xr:uid="{00000000-0005-0000-0000-0000DB8F0000}"/>
    <cellStyle name="Calculation 5 3 12 4 2" xfId="36859" xr:uid="{00000000-0005-0000-0000-0000DC8F0000}"/>
    <cellStyle name="Calculation 5 3 12 4 3" xfId="36860" xr:uid="{00000000-0005-0000-0000-0000DD8F0000}"/>
    <cellStyle name="Calculation 5 3 12 4 4" xfId="36861" xr:uid="{00000000-0005-0000-0000-0000DE8F0000}"/>
    <cellStyle name="Calculation 5 3 12 4 5" xfId="36862" xr:uid="{00000000-0005-0000-0000-0000DF8F0000}"/>
    <cellStyle name="Calculation 5 3 12 4 6" xfId="36863" xr:uid="{00000000-0005-0000-0000-0000E08F0000}"/>
    <cellStyle name="Calculation 5 3 12 5" xfId="36864" xr:uid="{00000000-0005-0000-0000-0000E18F0000}"/>
    <cellStyle name="Calculation 5 3 12 5 2" xfId="36865" xr:uid="{00000000-0005-0000-0000-0000E28F0000}"/>
    <cellStyle name="Calculation 5 3 12 5 3" xfId="36866" xr:uid="{00000000-0005-0000-0000-0000E38F0000}"/>
    <cellStyle name="Calculation 5 3 12 5 4" xfId="36867" xr:uid="{00000000-0005-0000-0000-0000E48F0000}"/>
    <cellStyle name="Calculation 5 3 12 5 5" xfId="36868" xr:uid="{00000000-0005-0000-0000-0000E58F0000}"/>
    <cellStyle name="Calculation 5 3 12 5 6" xfId="36869" xr:uid="{00000000-0005-0000-0000-0000E68F0000}"/>
    <cellStyle name="Calculation 5 3 12 6" xfId="36870" xr:uid="{00000000-0005-0000-0000-0000E78F0000}"/>
    <cellStyle name="Calculation 5 3 12 6 2" xfId="36871" xr:uid="{00000000-0005-0000-0000-0000E88F0000}"/>
    <cellStyle name="Calculation 5 3 12 6 3" xfId="36872" xr:uid="{00000000-0005-0000-0000-0000E98F0000}"/>
    <cellStyle name="Calculation 5 3 12 6 4" xfId="36873" xr:uid="{00000000-0005-0000-0000-0000EA8F0000}"/>
    <cellStyle name="Calculation 5 3 12 6 5" xfId="36874" xr:uid="{00000000-0005-0000-0000-0000EB8F0000}"/>
    <cellStyle name="Calculation 5 3 12 6 6" xfId="36875" xr:uid="{00000000-0005-0000-0000-0000EC8F0000}"/>
    <cellStyle name="Calculation 5 3 12 7" xfId="36876" xr:uid="{00000000-0005-0000-0000-0000ED8F0000}"/>
    <cellStyle name="Calculation 5 3 12 7 2" xfId="36877" xr:uid="{00000000-0005-0000-0000-0000EE8F0000}"/>
    <cellStyle name="Calculation 5 3 12 7 3" xfId="36878" xr:uid="{00000000-0005-0000-0000-0000EF8F0000}"/>
    <cellStyle name="Calculation 5 3 12 7 4" xfId="36879" xr:uid="{00000000-0005-0000-0000-0000F08F0000}"/>
    <cellStyle name="Calculation 5 3 12 7 5" xfId="36880" xr:uid="{00000000-0005-0000-0000-0000F18F0000}"/>
    <cellStyle name="Calculation 5 3 12 7 6" xfId="36881" xr:uid="{00000000-0005-0000-0000-0000F28F0000}"/>
    <cellStyle name="Calculation 5 3 12 8" xfId="36882" xr:uid="{00000000-0005-0000-0000-0000F38F0000}"/>
    <cellStyle name="Calculation 5 3 12 9" xfId="36883" xr:uid="{00000000-0005-0000-0000-0000F48F0000}"/>
    <cellStyle name="Calculation 5 3 13" xfId="36884" xr:uid="{00000000-0005-0000-0000-0000F58F0000}"/>
    <cellStyle name="Calculation 5 3 13 10" xfId="36885" xr:uid="{00000000-0005-0000-0000-0000F68F0000}"/>
    <cellStyle name="Calculation 5 3 13 2" xfId="36886" xr:uid="{00000000-0005-0000-0000-0000F78F0000}"/>
    <cellStyle name="Calculation 5 3 13 2 2" xfId="36887" xr:uid="{00000000-0005-0000-0000-0000F88F0000}"/>
    <cellStyle name="Calculation 5 3 13 2 3" xfId="36888" xr:uid="{00000000-0005-0000-0000-0000F98F0000}"/>
    <cellStyle name="Calculation 5 3 13 2 4" xfId="36889" xr:uid="{00000000-0005-0000-0000-0000FA8F0000}"/>
    <cellStyle name="Calculation 5 3 13 2 5" xfId="36890" xr:uid="{00000000-0005-0000-0000-0000FB8F0000}"/>
    <cellStyle name="Calculation 5 3 13 2 6" xfId="36891" xr:uid="{00000000-0005-0000-0000-0000FC8F0000}"/>
    <cellStyle name="Calculation 5 3 13 3" xfId="36892" xr:uid="{00000000-0005-0000-0000-0000FD8F0000}"/>
    <cellStyle name="Calculation 5 3 13 3 2" xfId="36893" xr:uid="{00000000-0005-0000-0000-0000FE8F0000}"/>
    <cellStyle name="Calculation 5 3 13 3 3" xfId="36894" xr:uid="{00000000-0005-0000-0000-0000FF8F0000}"/>
    <cellStyle name="Calculation 5 3 13 3 4" xfId="36895" xr:uid="{00000000-0005-0000-0000-000000900000}"/>
    <cellStyle name="Calculation 5 3 13 3 5" xfId="36896" xr:uid="{00000000-0005-0000-0000-000001900000}"/>
    <cellStyle name="Calculation 5 3 13 3 6" xfId="36897" xr:uid="{00000000-0005-0000-0000-000002900000}"/>
    <cellStyle name="Calculation 5 3 13 4" xfId="36898" xr:uid="{00000000-0005-0000-0000-000003900000}"/>
    <cellStyle name="Calculation 5 3 13 4 2" xfId="36899" xr:uid="{00000000-0005-0000-0000-000004900000}"/>
    <cellStyle name="Calculation 5 3 13 4 3" xfId="36900" xr:uid="{00000000-0005-0000-0000-000005900000}"/>
    <cellStyle name="Calculation 5 3 13 4 4" xfId="36901" xr:uid="{00000000-0005-0000-0000-000006900000}"/>
    <cellStyle name="Calculation 5 3 13 4 5" xfId="36902" xr:uid="{00000000-0005-0000-0000-000007900000}"/>
    <cellStyle name="Calculation 5 3 13 4 6" xfId="36903" xr:uid="{00000000-0005-0000-0000-000008900000}"/>
    <cellStyle name="Calculation 5 3 13 5" xfId="36904" xr:uid="{00000000-0005-0000-0000-000009900000}"/>
    <cellStyle name="Calculation 5 3 13 5 2" xfId="36905" xr:uid="{00000000-0005-0000-0000-00000A900000}"/>
    <cellStyle name="Calculation 5 3 13 5 3" xfId="36906" xr:uid="{00000000-0005-0000-0000-00000B900000}"/>
    <cellStyle name="Calculation 5 3 13 5 4" xfId="36907" xr:uid="{00000000-0005-0000-0000-00000C900000}"/>
    <cellStyle name="Calculation 5 3 13 5 5" xfId="36908" xr:uid="{00000000-0005-0000-0000-00000D900000}"/>
    <cellStyle name="Calculation 5 3 13 5 6" xfId="36909" xr:uid="{00000000-0005-0000-0000-00000E900000}"/>
    <cellStyle name="Calculation 5 3 13 6" xfId="36910" xr:uid="{00000000-0005-0000-0000-00000F900000}"/>
    <cellStyle name="Calculation 5 3 13 6 2" xfId="36911" xr:uid="{00000000-0005-0000-0000-000010900000}"/>
    <cellStyle name="Calculation 5 3 13 6 3" xfId="36912" xr:uid="{00000000-0005-0000-0000-000011900000}"/>
    <cellStyle name="Calculation 5 3 13 6 4" xfId="36913" xr:uid="{00000000-0005-0000-0000-000012900000}"/>
    <cellStyle name="Calculation 5 3 13 6 5" xfId="36914" xr:uid="{00000000-0005-0000-0000-000013900000}"/>
    <cellStyle name="Calculation 5 3 13 6 6" xfId="36915" xr:uid="{00000000-0005-0000-0000-000014900000}"/>
    <cellStyle name="Calculation 5 3 13 7" xfId="36916" xr:uid="{00000000-0005-0000-0000-000015900000}"/>
    <cellStyle name="Calculation 5 3 13 7 2" xfId="36917" xr:uid="{00000000-0005-0000-0000-000016900000}"/>
    <cellStyle name="Calculation 5 3 13 7 3" xfId="36918" xr:uid="{00000000-0005-0000-0000-000017900000}"/>
    <cellStyle name="Calculation 5 3 13 7 4" xfId="36919" xr:uid="{00000000-0005-0000-0000-000018900000}"/>
    <cellStyle name="Calculation 5 3 13 7 5" xfId="36920" xr:uid="{00000000-0005-0000-0000-000019900000}"/>
    <cellStyle name="Calculation 5 3 13 7 6" xfId="36921" xr:uid="{00000000-0005-0000-0000-00001A900000}"/>
    <cellStyle name="Calculation 5 3 13 8" xfId="36922" xr:uid="{00000000-0005-0000-0000-00001B900000}"/>
    <cellStyle name="Calculation 5 3 13 9" xfId="36923" xr:uid="{00000000-0005-0000-0000-00001C900000}"/>
    <cellStyle name="Calculation 5 3 14" xfId="36924" xr:uid="{00000000-0005-0000-0000-00001D900000}"/>
    <cellStyle name="Calculation 5 3 14 10" xfId="36925" xr:uid="{00000000-0005-0000-0000-00001E900000}"/>
    <cellStyle name="Calculation 5 3 14 2" xfId="36926" xr:uid="{00000000-0005-0000-0000-00001F900000}"/>
    <cellStyle name="Calculation 5 3 14 2 2" xfId="36927" xr:uid="{00000000-0005-0000-0000-000020900000}"/>
    <cellStyle name="Calculation 5 3 14 2 3" xfId="36928" xr:uid="{00000000-0005-0000-0000-000021900000}"/>
    <cellStyle name="Calculation 5 3 14 2 4" xfId="36929" xr:uid="{00000000-0005-0000-0000-000022900000}"/>
    <cellStyle name="Calculation 5 3 14 2 5" xfId="36930" xr:uid="{00000000-0005-0000-0000-000023900000}"/>
    <cellStyle name="Calculation 5 3 14 2 6" xfId="36931" xr:uid="{00000000-0005-0000-0000-000024900000}"/>
    <cellStyle name="Calculation 5 3 14 3" xfId="36932" xr:uid="{00000000-0005-0000-0000-000025900000}"/>
    <cellStyle name="Calculation 5 3 14 3 2" xfId="36933" xr:uid="{00000000-0005-0000-0000-000026900000}"/>
    <cellStyle name="Calculation 5 3 14 3 3" xfId="36934" xr:uid="{00000000-0005-0000-0000-000027900000}"/>
    <cellStyle name="Calculation 5 3 14 3 4" xfId="36935" xr:uid="{00000000-0005-0000-0000-000028900000}"/>
    <cellStyle name="Calculation 5 3 14 3 5" xfId="36936" xr:uid="{00000000-0005-0000-0000-000029900000}"/>
    <cellStyle name="Calculation 5 3 14 3 6" xfId="36937" xr:uid="{00000000-0005-0000-0000-00002A900000}"/>
    <cellStyle name="Calculation 5 3 14 4" xfId="36938" xr:uid="{00000000-0005-0000-0000-00002B900000}"/>
    <cellStyle name="Calculation 5 3 14 4 2" xfId="36939" xr:uid="{00000000-0005-0000-0000-00002C900000}"/>
    <cellStyle name="Calculation 5 3 14 4 3" xfId="36940" xr:uid="{00000000-0005-0000-0000-00002D900000}"/>
    <cellStyle name="Calculation 5 3 14 4 4" xfId="36941" xr:uid="{00000000-0005-0000-0000-00002E900000}"/>
    <cellStyle name="Calculation 5 3 14 4 5" xfId="36942" xr:uid="{00000000-0005-0000-0000-00002F900000}"/>
    <cellStyle name="Calculation 5 3 14 4 6" xfId="36943" xr:uid="{00000000-0005-0000-0000-000030900000}"/>
    <cellStyle name="Calculation 5 3 14 5" xfId="36944" xr:uid="{00000000-0005-0000-0000-000031900000}"/>
    <cellStyle name="Calculation 5 3 14 5 2" xfId="36945" xr:uid="{00000000-0005-0000-0000-000032900000}"/>
    <cellStyle name="Calculation 5 3 14 5 3" xfId="36946" xr:uid="{00000000-0005-0000-0000-000033900000}"/>
    <cellStyle name="Calculation 5 3 14 5 4" xfId="36947" xr:uid="{00000000-0005-0000-0000-000034900000}"/>
    <cellStyle name="Calculation 5 3 14 5 5" xfId="36948" xr:uid="{00000000-0005-0000-0000-000035900000}"/>
    <cellStyle name="Calculation 5 3 14 5 6" xfId="36949" xr:uid="{00000000-0005-0000-0000-000036900000}"/>
    <cellStyle name="Calculation 5 3 14 6" xfId="36950" xr:uid="{00000000-0005-0000-0000-000037900000}"/>
    <cellStyle name="Calculation 5 3 14 6 2" xfId="36951" xr:uid="{00000000-0005-0000-0000-000038900000}"/>
    <cellStyle name="Calculation 5 3 14 6 3" xfId="36952" xr:uid="{00000000-0005-0000-0000-000039900000}"/>
    <cellStyle name="Calculation 5 3 14 6 4" xfId="36953" xr:uid="{00000000-0005-0000-0000-00003A900000}"/>
    <cellStyle name="Calculation 5 3 14 6 5" xfId="36954" xr:uid="{00000000-0005-0000-0000-00003B900000}"/>
    <cellStyle name="Calculation 5 3 14 6 6" xfId="36955" xr:uid="{00000000-0005-0000-0000-00003C900000}"/>
    <cellStyle name="Calculation 5 3 14 7" xfId="36956" xr:uid="{00000000-0005-0000-0000-00003D900000}"/>
    <cellStyle name="Calculation 5 3 14 7 2" xfId="36957" xr:uid="{00000000-0005-0000-0000-00003E900000}"/>
    <cellStyle name="Calculation 5 3 14 7 3" xfId="36958" xr:uid="{00000000-0005-0000-0000-00003F900000}"/>
    <cellStyle name="Calculation 5 3 14 7 4" xfId="36959" xr:uid="{00000000-0005-0000-0000-000040900000}"/>
    <cellStyle name="Calculation 5 3 14 7 5" xfId="36960" xr:uid="{00000000-0005-0000-0000-000041900000}"/>
    <cellStyle name="Calculation 5 3 14 7 6" xfId="36961" xr:uid="{00000000-0005-0000-0000-000042900000}"/>
    <cellStyle name="Calculation 5 3 14 8" xfId="36962" xr:uid="{00000000-0005-0000-0000-000043900000}"/>
    <cellStyle name="Calculation 5 3 14 9" xfId="36963" xr:uid="{00000000-0005-0000-0000-000044900000}"/>
    <cellStyle name="Calculation 5 3 15" xfId="36964" xr:uid="{00000000-0005-0000-0000-000045900000}"/>
    <cellStyle name="Calculation 5 3 15 10" xfId="36965" xr:uid="{00000000-0005-0000-0000-000046900000}"/>
    <cellStyle name="Calculation 5 3 15 2" xfId="36966" xr:uid="{00000000-0005-0000-0000-000047900000}"/>
    <cellStyle name="Calculation 5 3 15 2 2" xfId="36967" xr:uid="{00000000-0005-0000-0000-000048900000}"/>
    <cellStyle name="Calculation 5 3 15 2 3" xfId="36968" xr:uid="{00000000-0005-0000-0000-000049900000}"/>
    <cellStyle name="Calculation 5 3 15 2 4" xfId="36969" xr:uid="{00000000-0005-0000-0000-00004A900000}"/>
    <cellStyle name="Calculation 5 3 15 2 5" xfId="36970" xr:uid="{00000000-0005-0000-0000-00004B900000}"/>
    <cellStyle name="Calculation 5 3 15 2 6" xfId="36971" xr:uid="{00000000-0005-0000-0000-00004C900000}"/>
    <cellStyle name="Calculation 5 3 15 3" xfId="36972" xr:uid="{00000000-0005-0000-0000-00004D900000}"/>
    <cellStyle name="Calculation 5 3 15 3 2" xfId="36973" xr:uid="{00000000-0005-0000-0000-00004E900000}"/>
    <cellStyle name="Calculation 5 3 15 3 3" xfId="36974" xr:uid="{00000000-0005-0000-0000-00004F900000}"/>
    <cellStyle name="Calculation 5 3 15 3 4" xfId="36975" xr:uid="{00000000-0005-0000-0000-000050900000}"/>
    <cellStyle name="Calculation 5 3 15 3 5" xfId="36976" xr:uid="{00000000-0005-0000-0000-000051900000}"/>
    <cellStyle name="Calculation 5 3 15 3 6" xfId="36977" xr:uid="{00000000-0005-0000-0000-000052900000}"/>
    <cellStyle name="Calculation 5 3 15 4" xfId="36978" xr:uid="{00000000-0005-0000-0000-000053900000}"/>
    <cellStyle name="Calculation 5 3 15 4 2" xfId="36979" xr:uid="{00000000-0005-0000-0000-000054900000}"/>
    <cellStyle name="Calculation 5 3 15 4 3" xfId="36980" xr:uid="{00000000-0005-0000-0000-000055900000}"/>
    <cellStyle name="Calculation 5 3 15 4 4" xfId="36981" xr:uid="{00000000-0005-0000-0000-000056900000}"/>
    <cellStyle name="Calculation 5 3 15 4 5" xfId="36982" xr:uid="{00000000-0005-0000-0000-000057900000}"/>
    <cellStyle name="Calculation 5 3 15 4 6" xfId="36983" xr:uid="{00000000-0005-0000-0000-000058900000}"/>
    <cellStyle name="Calculation 5 3 15 5" xfId="36984" xr:uid="{00000000-0005-0000-0000-000059900000}"/>
    <cellStyle name="Calculation 5 3 15 5 2" xfId="36985" xr:uid="{00000000-0005-0000-0000-00005A900000}"/>
    <cellStyle name="Calculation 5 3 15 5 3" xfId="36986" xr:uid="{00000000-0005-0000-0000-00005B900000}"/>
    <cellStyle name="Calculation 5 3 15 5 4" xfId="36987" xr:uid="{00000000-0005-0000-0000-00005C900000}"/>
    <cellStyle name="Calculation 5 3 15 5 5" xfId="36988" xr:uid="{00000000-0005-0000-0000-00005D900000}"/>
    <cellStyle name="Calculation 5 3 15 5 6" xfId="36989" xr:uid="{00000000-0005-0000-0000-00005E900000}"/>
    <cellStyle name="Calculation 5 3 15 6" xfId="36990" xr:uid="{00000000-0005-0000-0000-00005F900000}"/>
    <cellStyle name="Calculation 5 3 15 6 2" xfId="36991" xr:uid="{00000000-0005-0000-0000-000060900000}"/>
    <cellStyle name="Calculation 5 3 15 6 3" xfId="36992" xr:uid="{00000000-0005-0000-0000-000061900000}"/>
    <cellStyle name="Calculation 5 3 15 6 4" xfId="36993" xr:uid="{00000000-0005-0000-0000-000062900000}"/>
    <cellStyle name="Calculation 5 3 15 6 5" xfId="36994" xr:uid="{00000000-0005-0000-0000-000063900000}"/>
    <cellStyle name="Calculation 5 3 15 6 6" xfId="36995" xr:uid="{00000000-0005-0000-0000-000064900000}"/>
    <cellStyle name="Calculation 5 3 15 7" xfId="36996" xr:uid="{00000000-0005-0000-0000-000065900000}"/>
    <cellStyle name="Calculation 5 3 15 7 2" xfId="36997" xr:uid="{00000000-0005-0000-0000-000066900000}"/>
    <cellStyle name="Calculation 5 3 15 7 3" xfId="36998" xr:uid="{00000000-0005-0000-0000-000067900000}"/>
    <cellStyle name="Calculation 5 3 15 7 4" xfId="36999" xr:uid="{00000000-0005-0000-0000-000068900000}"/>
    <cellStyle name="Calculation 5 3 15 7 5" xfId="37000" xr:uid="{00000000-0005-0000-0000-000069900000}"/>
    <cellStyle name="Calculation 5 3 15 7 6" xfId="37001" xr:uid="{00000000-0005-0000-0000-00006A900000}"/>
    <cellStyle name="Calculation 5 3 15 8" xfId="37002" xr:uid="{00000000-0005-0000-0000-00006B900000}"/>
    <cellStyle name="Calculation 5 3 15 9" xfId="37003" xr:uid="{00000000-0005-0000-0000-00006C900000}"/>
    <cellStyle name="Calculation 5 3 16" xfId="37004" xr:uid="{00000000-0005-0000-0000-00006D900000}"/>
    <cellStyle name="Calculation 5 3 16 10" xfId="37005" xr:uid="{00000000-0005-0000-0000-00006E900000}"/>
    <cellStyle name="Calculation 5 3 16 2" xfId="37006" xr:uid="{00000000-0005-0000-0000-00006F900000}"/>
    <cellStyle name="Calculation 5 3 16 2 2" xfId="37007" xr:uid="{00000000-0005-0000-0000-000070900000}"/>
    <cellStyle name="Calculation 5 3 16 2 3" xfId="37008" xr:uid="{00000000-0005-0000-0000-000071900000}"/>
    <cellStyle name="Calculation 5 3 16 2 4" xfId="37009" xr:uid="{00000000-0005-0000-0000-000072900000}"/>
    <cellStyle name="Calculation 5 3 16 2 5" xfId="37010" xr:uid="{00000000-0005-0000-0000-000073900000}"/>
    <cellStyle name="Calculation 5 3 16 2 6" xfId="37011" xr:uid="{00000000-0005-0000-0000-000074900000}"/>
    <cellStyle name="Calculation 5 3 16 3" xfId="37012" xr:uid="{00000000-0005-0000-0000-000075900000}"/>
    <cellStyle name="Calculation 5 3 16 3 2" xfId="37013" xr:uid="{00000000-0005-0000-0000-000076900000}"/>
    <cellStyle name="Calculation 5 3 16 3 3" xfId="37014" xr:uid="{00000000-0005-0000-0000-000077900000}"/>
    <cellStyle name="Calculation 5 3 16 3 4" xfId="37015" xr:uid="{00000000-0005-0000-0000-000078900000}"/>
    <cellStyle name="Calculation 5 3 16 3 5" xfId="37016" xr:uid="{00000000-0005-0000-0000-000079900000}"/>
    <cellStyle name="Calculation 5 3 16 3 6" xfId="37017" xr:uid="{00000000-0005-0000-0000-00007A900000}"/>
    <cellStyle name="Calculation 5 3 16 4" xfId="37018" xr:uid="{00000000-0005-0000-0000-00007B900000}"/>
    <cellStyle name="Calculation 5 3 16 4 2" xfId="37019" xr:uid="{00000000-0005-0000-0000-00007C900000}"/>
    <cellStyle name="Calculation 5 3 16 4 3" xfId="37020" xr:uid="{00000000-0005-0000-0000-00007D900000}"/>
    <cellStyle name="Calculation 5 3 16 4 4" xfId="37021" xr:uid="{00000000-0005-0000-0000-00007E900000}"/>
    <cellStyle name="Calculation 5 3 16 4 5" xfId="37022" xr:uid="{00000000-0005-0000-0000-00007F900000}"/>
    <cellStyle name="Calculation 5 3 16 4 6" xfId="37023" xr:uid="{00000000-0005-0000-0000-000080900000}"/>
    <cellStyle name="Calculation 5 3 16 5" xfId="37024" xr:uid="{00000000-0005-0000-0000-000081900000}"/>
    <cellStyle name="Calculation 5 3 16 5 2" xfId="37025" xr:uid="{00000000-0005-0000-0000-000082900000}"/>
    <cellStyle name="Calculation 5 3 16 5 3" xfId="37026" xr:uid="{00000000-0005-0000-0000-000083900000}"/>
    <cellStyle name="Calculation 5 3 16 5 4" xfId="37027" xr:uid="{00000000-0005-0000-0000-000084900000}"/>
    <cellStyle name="Calculation 5 3 16 5 5" xfId="37028" xr:uid="{00000000-0005-0000-0000-000085900000}"/>
    <cellStyle name="Calculation 5 3 16 5 6" xfId="37029" xr:uid="{00000000-0005-0000-0000-000086900000}"/>
    <cellStyle name="Calculation 5 3 16 6" xfId="37030" xr:uid="{00000000-0005-0000-0000-000087900000}"/>
    <cellStyle name="Calculation 5 3 16 6 2" xfId="37031" xr:uid="{00000000-0005-0000-0000-000088900000}"/>
    <cellStyle name="Calculation 5 3 16 6 3" xfId="37032" xr:uid="{00000000-0005-0000-0000-000089900000}"/>
    <cellStyle name="Calculation 5 3 16 6 4" xfId="37033" xr:uid="{00000000-0005-0000-0000-00008A900000}"/>
    <cellStyle name="Calculation 5 3 16 6 5" xfId="37034" xr:uid="{00000000-0005-0000-0000-00008B900000}"/>
    <cellStyle name="Calculation 5 3 16 6 6" xfId="37035" xr:uid="{00000000-0005-0000-0000-00008C900000}"/>
    <cellStyle name="Calculation 5 3 16 7" xfId="37036" xr:uid="{00000000-0005-0000-0000-00008D900000}"/>
    <cellStyle name="Calculation 5 3 16 7 2" xfId="37037" xr:uid="{00000000-0005-0000-0000-00008E900000}"/>
    <cellStyle name="Calculation 5 3 16 7 3" xfId="37038" xr:uid="{00000000-0005-0000-0000-00008F900000}"/>
    <cellStyle name="Calculation 5 3 16 7 4" xfId="37039" xr:uid="{00000000-0005-0000-0000-000090900000}"/>
    <cellStyle name="Calculation 5 3 16 7 5" xfId="37040" xr:uid="{00000000-0005-0000-0000-000091900000}"/>
    <cellStyle name="Calculation 5 3 16 7 6" xfId="37041" xr:uid="{00000000-0005-0000-0000-000092900000}"/>
    <cellStyle name="Calculation 5 3 16 8" xfId="37042" xr:uid="{00000000-0005-0000-0000-000093900000}"/>
    <cellStyle name="Calculation 5 3 16 9" xfId="37043" xr:uid="{00000000-0005-0000-0000-000094900000}"/>
    <cellStyle name="Calculation 5 3 17" xfId="37044" xr:uid="{00000000-0005-0000-0000-000095900000}"/>
    <cellStyle name="Calculation 5 3 17 10" xfId="37045" xr:uid="{00000000-0005-0000-0000-000096900000}"/>
    <cellStyle name="Calculation 5 3 17 2" xfId="37046" xr:uid="{00000000-0005-0000-0000-000097900000}"/>
    <cellStyle name="Calculation 5 3 17 2 2" xfId="37047" xr:uid="{00000000-0005-0000-0000-000098900000}"/>
    <cellStyle name="Calculation 5 3 17 2 3" xfId="37048" xr:uid="{00000000-0005-0000-0000-000099900000}"/>
    <cellStyle name="Calculation 5 3 17 2 4" xfId="37049" xr:uid="{00000000-0005-0000-0000-00009A900000}"/>
    <cellStyle name="Calculation 5 3 17 2 5" xfId="37050" xr:uid="{00000000-0005-0000-0000-00009B900000}"/>
    <cellStyle name="Calculation 5 3 17 2 6" xfId="37051" xr:uid="{00000000-0005-0000-0000-00009C900000}"/>
    <cellStyle name="Calculation 5 3 17 3" xfId="37052" xr:uid="{00000000-0005-0000-0000-00009D900000}"/>
    <cellStyle name="Calculation 5 3 17 3 2" xfId="37053" xr:uid="{00000000-0005-0000-0000-00009E900000}"/>
    <cellStyle name="Calculation 5 3 17 3 3" xfId="37054" xr:uid="{00000000-0005-0000-0000-00009F900000}"/>
    <cellStyle name="Calculation 5 3 17 3 4" xfId="37055" xr:uid="{00000000-0005-0000-0000-0000A0900000}"/>
    <cellStyle name="Calculation 5 3 17 3 5" xfId="37056" xr:uid="{00000000-0005-0000-0000-0000A1900000}"/>
    <cellStyle name="Calculation 5 3 17 3 6" xfId="37057" xr:uid="{00000000-0005-0000-0000-0000A2900000}"/>
    <cellStyle name="Calculation 5 3 17 4" xfId="37058" xr:uid="{00000000-0005-0000-0000-0000A3900000}"/>
    <cellStyle name="Calculation 5 3 17 4 2" xfId="37059" xr:uid="{00000000-0005-0000-0000-0000A4900000}"/>
    <cellStyle name="Calculation 5 3 17 4 3" xfId="37060" xr:uid="{00000000-0005-0000-0000-0000A5900000}"/>
    <cellStyle name="Calculation 5 3 17 4 4" xfId="37061" xr:uid="{00000000-0005-0000-0000-0000A6900000}"/>
    <cellStyle name="Calculation 5 3 17 4 5" xfId="37062" xr:uid="{00000000-0005-0000-0000-0000A7900000}"/>
    <cellStyle name="Calculation 5 3 17 4 6" xfId="37063" xr:uid="{00000000-0005-0000-0000-0000A8900000}"/>
    <cellStyle name="Calculation 5 3 17 5" xfId="37064" xr:uid="{00000000-0005-0000-0000-0000A9900000}"/>
    <cellStyle name="Calculation 5 3 17 5 2" xfId="37065" xr:uid="{00000000-0005-0000-0000-0000AA900000}"/>
    <cellStyle name="Calculation 5 3 17 5 3" xfId="37066" xr:uid="{00000000-0005-0000-0000-0000AB900000}"/>
    <cellStyle name="Calculation 5 3 17 5 4" xfId="37067" xr:uid="{00000000-0005-0000-0000-0000AC900000}"/>
    <cellStyle name="Calculation 5 3 17 5 5" xfId="37068" xr:uid="{00000000-0005-0000-0000-0000AD900000}"/>
    <cellStyle name="Calculation 5 3 17 5 6" xfId="37069" xr:uid="{00000000-0005-0000-0000-0000AE900000}"/>
    <cellStyle name="Calculation 5 3 17 6" xfId="37070" xr:uid="{00000000-0005-0000-0000-0000AF900000}"/>
    <cellStyle name="Calculation 5 3 17 6 2" xfId="37071" xr:uid="{00000000-0005-0000-0000-0000B0900000}"/>
    <cellStyle name="Calculation 5 3 17 6 3" xfId="37072" xr:uid="{00000000-0005-0000-0000-0000B1900000}"/>
    <cellStyle name="Calculation 5 3 17 6 4" xfId="37073" xr:uid="{00000000-0005-0000-0000-0000B2900000}"/>
    <cellStyle name="Calculation 5 3 17 6 5" xfId="37074" xr:uid="{00000000-0005-0000-0000-0000B3900000}"/>
    <cellStyle name="Calculation 5 3 17 6 6" xfId="37075" xr:uid="{00000000-0005-0000-0000-0000B4900000}"/>
    <cellStyle name="Calculation 5 3 17 7" xfId="37076" xr:uid="{00000000-0005-0000-0000-0000B5900000}"/>
    <cellStyle name="Calculation 5 3 17 7 2" xfId="37077" xr:uid="{00000000-0005-0000-0000-0000B6900000}"/>
    <cellStyle name="Calculation 5 3 17 7 3" xfId="37078" xr:uid="{00000000-0005-0000-0000-0000B7900000}"/>
    <cellStyle name="Calculation 5 3 17 7 4" xfId="37079" xr:uid="{00000000-0005-0000-0000-0000B8900000}"/>
    <cellStyle name="Calculation 5 3 17 7 5" xfId="37080" xr:uid="{00000000-0005-0000-0000-0000B9900000}"/>
    <cellStyle name="Calculation 5 3 17 7 6" xfId="37081" xr:uid="{00000000-0005-0000-0000-0000BA900000}"/>
    <cellStyle name="Calculation 5 3 17 8" xfId="37082" xr:uid="{00000000-0005-0000-0000-0000BB900000}"/>
    <cellStyle name="Calculation 5 3 17 9" xfId="37083" xr:uid="{00000000-0005-0000-0000-0000BC900000}"/>
    <cellStyle name="Calculation 5 3 18" xfId="37084" xr:uid="{00000000-0005-0000-0000-0000BD900000}"/>
    <cellStyle name="Calculation 5 3 18 10" xfId="37085" xr:uid="{00000000-0005-0000-0000-0000BE900000}"/>
    <cellStyle name="Calculation 5 3 18 2" xfId="37086" xr:uid="{00000000-0005-0000-0000-0000BF900000}"/>
    <cellStyle name="Calculation 5 3 18 2 2" xfId="37087" xr:uid="{00000000-0005-0000-0000-0000C0900000}"/>
    <cellStyle name="Calculation 5 3 18 2 3" xfId="37088" xr:uid="{00000000-0005-0000-0000-0000C1900000}"/>
    <cellStyle name="Calculation 5 3 18 2 4" xfId="37089" xr:uid="{00000000-0005-0000-0000-0000C2900000}"/>
    <cellStyle name="Calculation 5 3 18 2 5" xfId="37090" xr:uid="{00000000-0005-0000-0000-0000C3900000}"/>
    <cellStyle name="Calculation 5 3 18 2 6" xfId="37091" xr:uid="{00000000-0005-0000-0000-0000C4900000}"/>
    <cellStyle name="Calculation 5 3 18 3" xfId="37092" xr:uid="{00000000-0005-0000-0000-0000C5900000}"/>
    <cellStyle name="Calculation 5 3 18 3 2" xfId="37093" xr:uid="{00000000-0005-0000-0000-0000C6900000}"/>
    <cellStyle name="Calculation 5 3 18 3 3" xfId="37094" xr:uid="{00000000-0005-0000-0000-0000C7900000}"/>
    <cellStyle name="Calculation 5 3 18 3 4" xfId="37095" xr:uid="{00000000-0005-0000-0000-0000C8900000}"/>
    <cellStyle name="Calculation 5 3 18 3 5" xfId="37096" xr:uid="{00000000-0005-0000-0000-0000C9900000}"/>
    <cellStyle name="Calculation 5 3 18 3 6" xfId="37097" xr:uid="{00000000-0005-0000-0000-0000CA900000}"/>
    <cellStyle name="Calculation 5 3 18 4" xfId="37098" xr:uid="{00000000-0005-0000-0000-0000CB900000}"/>
    <cellStyle name="Calculation 5 3 18 4 2" xfId="37099" xr:uid="{00000000-0005-0000-0000-0000CC900000}"/>
    <cellStyle name="Calculation 5 3 18 4 3" xfId="37100" xr:uid="{00000000-0005-0000-0000-0000CD900000}"/>
    <cellStyle name="Calculation 5 3 18 4 4" xfId="37101" xr:uid="{00000000-0005-0000-0000-0000CE900000}"/>
    <cellStyle name="Calculation 5 3 18 4 5" xfId="37102" xr:uid="{00000000-0005-0000-0000-0000CF900000}"/>
    <cellStyle name="Calculation 5 3 18 4 6" xfId="37103" xr:uid="{00000000-0005-0000-0000-0000D0900000}"/>
    <cellStyle name="Calculation 5 3 18 5" xfId="37104" xr:uid="{00000000-0005-0000-0000-0000D1900000}"/>
    <cellStyle name="Calculation 5 3 18 5 2" xfId="37105" xr:uid="{00000000-0005-0000-0000-0000D2900000}"/>
    <cellStyle name="Calculation 5 3 18 5 3" xfId="37106" xr:uid="{00000000-0005-0000-0000-0000D3900000}"/>
    <cellStyle name="Calculation 5 3 18 5 4" xfId="37107" xr:uid="{00000000-0005-0000-0000-0000D4900000}"/>
    <cellStyle name="Calculation 5 3 18 5 5" xfId="37108" xr:uid="{00000000-0005-0000-0000-0000D5900000}"/>
    <cellStyle name="Calculation 5 3 18 5 6" xfId="37109" xr:uid="{00000000-0005-0000-0000-0000D6900000}"/>
    <cellStyle name="Calculation 5 3 18 6" xfId="37110" xr:uid="{00000000-0005-0000-0000-0000D7900000}"/>
    <cellStyle name="Calculation 5 3 18 6 2" xfId="37111" xr:uid="{00000000-0005-0000-0000-0000D8900000}"/>
    <cellStyle name="Calculation 5 3 18 6 3" xfId="37112" xr:uid="{00000000-0005-0000-0000-0000D9900000}"/>
    <cellStyle name="Calculation 5 3 18 6 4" xfId="37113" xr:uid="{00000000-0005-0000-0000-0000DA900000}"/>
    <cellStyle name="Calculation 5 3 18 6 5" xfId="37114" xr:uid="{00000000-0005-0000-0000-0000DB900000}"/>
    <cellStyle name="Calculation 5 3 18 6 6" xfId="37115" xr:uid="{00000000-0005-0000-0000-0000DC900000}"/>
    <cellStyle name="Calculation 5 3 18 7" xfId="37116" xr:uid="{00000000-0005-0000-0000-0000DD900000}"/>
    <cellStyle name="Calculation 5 3 18 7 2" xfId="37117" xr:uid="{00000000-0005-0000-0000-0000DE900000}"/>
    <cellStyle name="Calculation 5 3 18 7 3" xfId="37118" xr:uid="{00000000-0005-0000-0000-0000DF900000}"/>
    <cellStyle name="Calculation 5 3 18 7 4" xfId="37119" xr:uid="{00000000-0005-0000-0000-0000E0900000}"/>
    <cellStyle name="Calculation 5 3 18 7 5" xfId="37120" xr:uid="{00000000-0005-0000-0000-0000E1900000}"/>
    <cellStyle name="Calculation 5 3 18 7 6" xfId="37121" xr:uid="{00000000-0005-0000-0000-0000E2900000}"/>
    <cellStyle name="Calculation 5 3 18 8" xfId="37122" xr:uid="{00000000-0005-0000-0000-0000E3900000}"/>
    <cellStyle name="Calculation 5 3 18 9" xfId="37123" xr:uid="{00000000-0005-0000-0000-0000E4900000}"/>
    <cellStyle name="Calculation 5 3 19" xfId="37124" xr:uid="{00000000-0005-0000-0000-0000E5900000}"/>
    <cellStyle name="Calculation 5 3 19 10" xfId="37125" xr:uid="{00000000-0005-0000-0000-0000E6900000}"/>
    <cellStyle name="Calculation 5 3 19 2" xfId="37126" xr:uid="{00000000-0005-0000-0000-0000E7900000}"/>
    <cellStyle name="Calculation 5 3 19 2 2" xfId="37127" xr:uid="{00000000-0005-0000-0000-0000E8900000}"/>
    <cellStyle name="Calculation 5 3 19 2 3" xfId="37128" xr:uid="{00000000-0005-0000-0000-0000E9900000}"/>
    <cellStyle name="Calculation 5 3 19 2 4" xfId="37129" xr:uid="{00000000-0005-0000-0000-0000EA900000}"/>
    <cellStyle name="Calculation 5 3 19 2 5" xfId="37130" xr:uid="{00000000-0005-0000-0000-0000EB900000}"/>
    <cellStyle name="Calculation 5 3 19 2 6" xfId="37131" xr:uid="{00000000-0005-0000-0000-0000EC900000}"/>
    <cellStyle name="Calculation 5 3 19 3" xfId="37132" xr:uid="{00000000-0005-0000-0000-0000ED900000}"/>
    <cellStyle name="Calculation 5 3 19 3 2" xfId="37133" xr:uid="{00000000-0005-0000-0000-0000EE900000}"/>
    <cellStyle name="Calculation 5 3 19 3 3" xfId="37134" xr:uid="{00000000-0005-0000-0000-0000EF900000}"/>
    <cellStyle name="Calculation 5 3 19 3 4" xfId="37135" xr:uid="{00000000-0005-0000-0000-0000F0900000}"/>
    <cellStyle name="Calculation 5 3 19 3 5" xfId="37136" xr:uid="{00000000-0005-0000-0000-0000F1900000}"/>
    <cellStyle name="Calculation 5 3 19 3 6" xfId="37137" xr:uid="{00000000-0005-0000-0000-0000F2900000}"/>
    <cellStyle name="Calculation 5 3 19 4" xfId="37138" xr:uid="{00000000-0005-0000-0000-0000F3900000}"/>
    <cellStyle name="Calculation 5 3 19 4 2" xfId="37139" xr:uid="{00000000-0005-0000-0000-0000F4900000}"/>
    <cellStyle name="Calculation 5 3 19 4 3" xfId="37140" xr:uid="{00000000-0005-0000-0000-0000F5900000}"/>
    <cellStyle name="Calculation 5 3 19 4 4" xfId="37141" xr:uid="{00000000-0005-0000-0000-0000F6900000}"/>
    <cellStyle name="Calculation 5 3 19 4 5" xfId="37142" xr:uid="{00000000-0005-0000-0000-0000F7900000}"/>
    <cellStyle name="Calculation 5 3 19 4 6" xfId="37143" xr:uid="{00000000-0005-0000-0000-0000F8900000}"/>
    <cellStyle name="Calculation 5 3 19 5" xfId="37144" xr:uid="{00000000-0005-0000-0000-0000F9900000}"/>
    <cellStyle name="Calculation 5 3 19 5 2" xfId="37145" xr:uid="{00000000-0005-0000-0000-0000FA900000}"/>
    <cellStyle name="Calculation 5 3 19 5 3" xfId="37146" xr:uid="{00000000-0005-0000-0000-0000FB900000}"/>
    <cellStyle name="Calculation 5 3 19 5 4" xfId="37147" xr:uid="{00000000-0005-0000-0000-0000FC900000}"/>
    <cellStyle name="Calculation 5 3 19 5 5" xfId="37148" xr:uid="{00000000-0005-0000-0000-0000FD900000}"/>
    <cellStyle name="Calculation 5 3 19 5 6" xfId="37149" xr:uid="{00000000-0005-0000-0000-0000FE900000}"/>
    <cellStyle name="Calculation 5 3 19 6" xfId="37150" xr:uid="{00000000-0005-0000-0000-0000FF900000}"/>
    <cellStyle name="Calculation 5 3 19 6 2" xfId="37151" xr:uid="{00000000-0005-0000-0000-000000910000}"/>
    <cellStyle name="Calculation 5 3 19 6 3" xfId="37152" xr:uid="{00000000-0005-0000-0000-000001910000}"/>
    <cellStyle name="Calculation 5 3 19 6 4" xfId="37153" xr:uid="{00000000-0005-0000-0000-000002910000}"/>
    <cellStyle name="Calculation 5 3 19 6 5" xfId="37154" xr:uid="{00000000-0005-0000-0000-000003910000}"/>
    <cellStyle name="Calculation 5 3 19 6 6" xfId="37155" xr:uid="{00000000-0005-0000-0000-000004910000}"/>
    <cellStyle name="Calculation 5 3 19 7" xfId="37156" xr:uid="{00000000-0005-0000-0000-000005910000}"/>
    <cellStyle name="Calculation 5 3 19 7 2" xfId="37157" xr:uid="{00000000-0005-0000-0000-000006910000}"/>
    <cellStyle name="Calculation 5 3 19 7 3" xfId="37158" xr:uid="{00000000-0005-0000-0000-000007910000}"/>
    <cellStyle name="Calculation 5 3 19 7 4" xfId="37159" xr:uid="{00000000-0005-0000-0000-000008910000}"/>
    <cellStyle name="Calculation 5 3 19 7 5" xfId="37160" xr:uid="{00000000-0005-0000-0000-000009910000}"/>
    <cellStyle name="Calculation 5 3 19 7 6" xfId="37161" xr:uid="{00000000-0005-0000-0000-00000A910000}"/>
    <cellStyle name="Calculation 5 3 19 8" xfId="37162" xr:uid="{00000000-0005-0000-0000-00000B910000}"/>
    <cellStyle name="Calculation 5 3 19 9" xfId="37163" xr:uid="{00000000-0005-0000-0000-00000C910000}"/>
    <cellStyle name="Calculation 5 3 2" xfId="37164" xr:uid="{00000000-0005-0000-0000-00000D910000}"/>
    <cellStyle name="Calculation 5 3 2 10" xfId="37165" xr:uid="{00000000-0005-0000-0000-00000E910000}"/>
    <cellStyle name="Calculation 5 3 2 2" xfId="37166" xr:uid="{00000000-0005-0000-0000-00000F910000}"/>
    <cellStyle name="Calculation 5 3 2 2 2" xfId="37167" xr:uid="{00000000-0005-0000-0000-000010910000}"/>
    <cellStyle name="Calculation 5 3 2 2 3" xfId="37168" xr:uid="{00000000-0005-0000-0000-000011910000}"/>
    <cellStyle name="Calculation 5 3 2 2 4" xfId="37169" xr:uid="{00000000-0005-0000-0000-000012910000}"/>
    <cellStyle name="Calculation 5 3 2 2 5" xfId="37170" xr:uid="{00000000-0005-0000-0000-000013910000}"/>
    <cellStyle name="Calculation 5 3 2 2 6" xfId="37171" xr:uid="{00000000-0005-0000-0000-000014910000}"/>
    <cellStyle name="Calculation 5 3 2 3" xfId="37172" xr:uid="{00000000-0005-0000-0000-000015910000}"/>
    <cellStyle name="Calculation 5 3 2 3 2" xfId="37173" xr:uid="{00000000-0005-0000-0000-000016910000}"/>
    <cellStyle name="Calculation 5 3 2 3 3" xfId="37174" xr:uid="{00000000-0005-0000-0000-000017910000}"/>
    <cellStyle name="Calculation 5 3 2 3 4" xfId="37175" xr:uid="{00000000-0005-0000-0000-000018910000}"/>
    <cellStyle name="Calculation 5 3 2 3 5" xfId="37176" xr:uid="{00000000-0005-0000-0000-000019910000}"/>
    <cellStyle name="Calculation 5 3 2 3 6" xfId="37177" xr:uid="{00000000-0005-0000-0000-00001A910000}"/>
    <cellStyle name="Calculation 5 3 2 4" xfId="37178" xr:uid="{00000000-0005-0000-0000-00001B910000}"/>
    <cellStyle name="Calculation 5 3 2 4 2" xfId="37179" xr:uid="{00000000-0005-0000-0000-00001C910000}"/>
    <cellStyle name="Calculation 5 3 2 4 3" xfId="37180" xr:uid="{00000000-0005-0000-0000-00001D910000}"/>
    <cellStyle name="Calculation 5 3 2 4 4" xfId="37181" xr:uid="{00000000-0005-0000-0000-00001E910000}"/>
    <cellStyle name="Calculation 5 3 2 4 5" xfId="37182" xr:uid="{00000000-0005-0000-0000-00001F910000}"/>
    <cellStyle name="Calculation 5 3 2 4 6" xfId="37183" xr:uid="{00000000-0005-0000-0000-000020910000}"/>
    <cellStyle name="Calculation 5 3 2 5" xfId="37184" xr:uid="{00000000-0005-0000-0000-000021910000}"/>
    <cellStyle name="Calculation 5 3 2 5 2" xfId="37185" xr:uid="{00000000-0005-0000-0000-000022910000}"/>
    <cellStyle name="Calculation 5 3 2 5 3" xfId="37186" xr:uid="{00000000-0005-0000-0000-000023910000}"/>
    <cellStyle name="Calculation 5 3 2 5 4" xfId="37187" xr:uid="{00000000-0005-0000-0000-000024910000}"/>
    <cellStyle name="Calculation 5 3 2 5 5" xfId="37188" xr:uid="{00000000-0005-0000-0000-000025910000}"/>
    <cellStyle name="Calculation 5 3 2 5 6" xfId="37189" xr:uid="{00000000-0005-0000-0000-000026910000}"/>
    <cellStyle name="Calculation 5 3 2 6" xfId="37190" xr:uid="{00000000-0005-0000-0000-000027910000}"/>
    <cellStyle name="Calculation 5 3 2 6 2" xfId="37191" xr:uid="{00000000-0005-0000-0000-000028910000}"/>
    <cellStyle name="Calculation 5 3 2 6 3" xfId="37192" xr:uid="{00000000-0005-0000-0000-000029910000}"/>
    <cellStyle name="Calculation 5 3 2 6 4" xfId="37193" xr:uid="{00000000-0005-0000-0000-00002A910000}"/>
    <cellStyle name="Calculation 5 3 2 6 5" xfId="37194" xr:uid="{00000000-0005-0000-0000-00002B910000}"/>
    <cellStyle name="Calculation 5 3 2 6 6" xfId="37195" xr:uid="{00000000-0005-0000-0000-00002C910000}"/>
    <cellStyle name="Calculation 5 3 2 7" xfId="37196" xr:uid="{00000000-0005-0000-0000-00002D910000}"/>
    <cellStyle name="Calculation 5 3 2 7 2" xfId="37197" xr:uid="{00000000-0005-0000-0000-00002E910000}"/>
    <cellStyle name="Calculation 5 3 2 7 3" xfId="37198" xr:uid="{00000000-0005-0000-0000-00002F910000}"/>
    <cellStyle name="Calculation 5 3 2 7 4" xfId="37199" xr:uid="{00000000-0005-0000-0000-000030910000}"/>
    <cellStyle name="Calculation 5 3 2 7 5" xfId="37200" xr:uid="{00000000-0005-0000-0000-000031910000}"/>
    <cellStyle name="Calculation 5 3 2 7 6" xfId="37201" xr:uid="{00000000-0005-0000-0000-000032910000}"/>
    <cellStyle name="Calculation 5 3 2 8" xfId="37202" xr:uid="{00000000-0005-0000-0000-000033910000}"/>
    <cellStyle name="Calculation 5 3 2 9" xfId="37203" xr:uid="{00000000-0005-0000-0000-000034910000}"/>
    <cellStyle name="Calculation 5 3 20" xfId="37204" xr:uid="{00000000-0005-0000-0000-000035910000}"/>
    <cellStyle name="Calculation 5 3 20 10" xfId="37205" xr:uid="{00000000-0005-0000-0000-000036910000}"/>
    <cellStyle name="Calculation 5 3 20 2" xfId="37206" xr:uid="{00000000-0005-0000-0000-000037910000}"/>
    <cellStyle name="Calculation 5 3 20 2 2" xfId="37207" xr:uid="{00000000-0005-0000-0000-000038910000}"/>
    <cellStyle name="Calculation 5 3 20 2 3" xfId="37208" xr:uid="{00000000-0005-0000-0000-000039910000}"/>
    <cellStyle name="Calculation 5 3 20 2 4" xfId="37209" xr:uid="{00000000-0005-0000-0000-00003A910000}"/>
    <cellStyle name="Calculation 5 3 20 2 5" xfId="37210" xr:uid="{00000000-0005-0000-0000-00003B910000}"/>
    <cellStyle name="Calculation 5 3 20 2 6" xfId="37211" xr:uid="{00000000-0005-0000-0000-00003C910000}"/>
    <cellStyle name="Calculation 5 3 20 3" xfId="37212" xr:uid="{00000000-0005-0000-0000-00003D910000}"/>
    <cellStyle name="Calculation 5 3 20 3 2" xfId="37213" xr:uid="{00000000-0005-0000-0000-00003E910000}"/>
    <cellStyle name="Calculation 5 3 20 3 3" xfId="37214" xr:uid="{00000000-0005-0000-0000-00003F910000}"/>
    <cellStyle name="Calculation 5 3 20 3 4" xfId="37215" xr:uid="{00000000-0005-0000-0000-000040910000}"/>
    <cellStyle name="Calculation 5 3 20 3 5" xfId="37216" xr:uid="{00000000-0005-0000-0000-000041910000}"/>
    <cellStyle name="Calculation 5 3 20 3 6" xfId="37217" xr:uid="{00000000-0005-0000-0000-000042910000}"/>
    <cellStyle name="Calculation 5 3 20 4" xfId="37218" xr:uid="{00000000-0005-0000-0000-000043910000}"/>
    <cellStyle name="Calculation 5 3 20 4 2" xfId="37219" xr:uid="{00000000-0005-0000-0000-000044910000}"/>
    <cellStyle name="Calculation 5 3 20 4 3" xfId="37220" xr:uid="{00000000-0005-0000-0000-000045910000}"/>
    <cellStyle name="Calculation 5 3 20 4 4" xfId="37221" xr:uid="{00000000-0005-0000-0000-000046910000}"/>
    <cellStyle name="Calculation 5 3 20 4 5" xfId="37222" xr:uid="{00000000-0005-0000-0000-000047910000}"/>
    <cellStyle name="Calculation 5 3 20 4 6" xfId="37223" xr:uid="{00000000-0005-0000-0000-000048910000}"/>
    <cellStyle name="Calculation 5 3 20 5" xfId="37224" xr:uid="{00000000-0005-0000-0000-000049910000}"/>
    <cellStyle name="Calculation 5 3 20 5 2" xfId="37225" xr:uid="{00000000-0005-0000-0000-00004A910000}"/>
    <cellStyle name="Calculation 5 3 20 5 3" xfId="37226" xr:uid="{00000000-0005-0000-0000-00004B910000}"/>
    <cellStyle name="Calculation 5 3 20 5 4" xfId="37227" xr:uid="{00000000-0005-0000-0000-00004C910000}"/>
    <cellStyle name="Calculation 5 3 20 5 5" xfId="37228" xr:uid="{00000000-0005-0000-0000-00004D910000}"/>
    <cellStyle name="Calculation 5 3 20 5 6" xfId="37229" xr:uid="{00000000-0005-0000-0000-00004E910000}"/>
    <cellStyle name="Calculation 5 3 20 6" xfId="37230" xr:uid="{00000000-0005-0000-0000-00004F910000}"/>
    <cellStyle name="Calculation 5 3 20 6 2" xfId="37231" xr:uid="{00000000-0005-0000-0000-000050910000}"/>
    <cellStyle name="Calculation 5 3 20 6 3" xfId="37232" xr:uid="{00000000-0005-0000-0000-000051910000}"/>
    <cellStyle name="Calculation 5 3 20 6 4" xfId="37233" xr:uid="{00000000-0005-0000-0000-000052910000}"/>
    <cellStyle name="Calculation 5 3 20 6 5" xfId="37234" xr:uid="{00000000-0005-0000-0000-000053910000}"/>
    <cellStyle name="Calculation 5 3 20 6 6" xfId="37235" xr:uid="{00000000-0005-0000-0000-000054910000}"/>
    <cellStyle name="Calculation 5 3 20 7" xfId="37236" xr:uid="{00000000-0005-0000-0000-000055910000}"/>
    <cellStyle name="Calculation 5 3 20 7 2" xfId="37237" xr:uid="{00000000-0005-0000-0000-000056910000}"/>
    <cellStyle name="Calculation 5 3 20 7 3" xfId="37238" xr:uid="{00000000-0005-0000-0000-000057910000}"/>
    <cellStyle name="Calculation 5 3 20 7 4" xfId="37239" xr:uid="{00000000-0005-0000-0000-000058910000}"/>
    <cellStyle name="Calculation 5 3 20 7 5" xfId="37240" xr:uid="{00000000-0005-0000-0000-000059910000}"/>
    <cellStyle name="Calculation 5 3 20 7 6" xfId="37241" xr:uid="{00000000-0005-0000-0000-00005A910000}"/>
    <cellStyle name="Calculation 5 3 20 8" xfId="37242" xr:uid="{00000000-0005-0000-0000-00005B910000}"/>
    <cellStyle name="Calculation 5 3 20 9" xfId="37243" xr:uid="{00000000-0005-0000-0000-00005C910000}"/>
    <cellStyle name="Calculation 5 3 21" xfId="37244" xr:uid="{00000000-0005-0000-0000-00005D910000}"/>
    <cellStyle name="Calculation 5 3 21 10" xfId="37245" xr:uid="{00000000-0005-0000-0000-00005E910000}"/>
    <cellStyle name="Calculation 5 3 21 2" xfId="37246" xr:uid="{00000000-0005-0000-0000-00005F910000}"/>
    <cellStyle name="Calculation 5 3 21 2 2" xfId="37247" xr:uid="{00000000-0005-0000-0000-000060910000}"/>
    <cellStyle name="Calculation 5 3 21 2 3" xfId="37248" xr:uid="{00000000-0005-0000-0000-000061910000}"/>
    <cellStyle name="Calculation 5 3 21 2 4" xfId="37249" xr:uid="{00000000-0005-0000-0000-000062910000}"/>
    <cellStyle name="Calculation 5 3 21 2 5" xfId="37250" xr:uid="{00000000-0005-0000-0000-000063910000}"/>
    <cellStyle name="Calculation 5 3 21 2 6" xfId="37251" xr:uid="{00000000-0005-0000-0000-000064910000}"/>
    <cellStyle name="Calculation 5 3 21 3" xfId="37252" xr:uid="{00000000-0005-0000-0000-000065910000}"/>
    <cellStyle name="Calculation 5 3 21 3 2" xfId="37253" xr:uid="{00000000-0005-0000-0000-000066910000}"/>
    <cellStyle name="Calculation 5 3 21 3 3" xfId="37254" xr:uid="{00000000-0005-0000-0000-000067910000}"/>
    <cellStyle name="Calculation 5 3 21 3 4" xfId="37255" xr:uid="{00000000-0005-0000-0000-000068910000}"/>
    <cellStyle name="Calculation 5 3 21 3 5" xfId="37256" xr:uid="{00000000-0005-0000-0000-000069910000}"/>
    <cellStyle name="Calculation 5 3 21 3 6" xfId="37257" xr:uid="{00000000-0005-0000-0000-00006A910000}"/>
    <cellStyle name="Calculation 5 3 21 4" xfId="37258" xr:uid="{00000000-0005-0000-0000-00006B910000}"/>
    <cellStyle name="Calculation 5 3 21 4 2" xfId="37259" xr:uid="{00000000-0005-0000-0000-00006C910000}"/>
    <cellStyle name="Calculation 5 3 21 4 3" xfId="37260" xr:uid="{00000000-0005-0000-0000-00006D910000}"/>
    <cellStyle name="Calculation 5 3 21 4 4" xfId="37261" xr:uid="{00000000-0005-0000-0000-00006E910000}"/>
    <cellStyle name="Calculation 5 3 21 4 5" xfId="37262" xr:uid="{00000000-0005-0000-0000-00006F910000}"/>
    <cellStyle name="Calculation 5 3 21 4 6" xfId="37263" xr:uid="{00000000-0005-0000-0000-000070910000}"/>
    <cellStyle name="Calculation 5 3 21 5" xfId="37264" xr:uid="{00000000-0005-0000-0000-000071910000}"/>
    <cellStyle name="Calculation 5 3 21 5 2" xfId="37265" xr:uid="{00000000-0005-0000-0000-000072910000}"/>
    <cellStyle name="Calculation 5 3 21 5 3" xfId="37266" xr:uid="{00000000-0005-0000-0000-000073910000}"/>
    <cellStyle name="Calculation 5 3 21 5 4" xfId="37267" xr:uid="{00000000-0005-0000-0000-000074910000}"/>
    <cellStyle name="Calculation 5 3 21 5 5" xfId="37268" xr:uid="{00000000-0005-0000-0000-000075910000}"/>
    <cellStyle name="Calculation 5 3 21 5 6" xfId="37269" xr:uid="{00000000-0005-0000-0000-000076910000}"/>
    <cellStyle name="Calculation 5 3 21 6" xfId="37270" xr:uid="{00000000-0005-0000-0000-000077910000}"/>
    <cellStyle name="Calculation 5 3 21 6 2" xfId="37271" xr:uid="{00000000-0005-0000-0000-000078910000}"/>
    <cellStyle name="Calculation 5 3 21 6 3" xfId="37272" xr:uid="{00000000-0005-0000-0000-000079910000}"/>
    <cellStyle name="Calculation 5 3 21 6 4" xfId="37273" xr:uid="{00000000-0005-0000-0000-00007A910000}"/>
    <cellStyle name="Calculation 5 3 21 6 5" xfId="37274" xr:uid="{00000000-0005-0000-0000-00007B910000}"/>
    <cellStyle name="Calculation 5 3 21 6 6" xfId="37275" xr:uid="{00000000-0005-0000-0000-00007C910000}"/>
    <cellStyle name="Calculation 5 3 21 7" xfId="37276" xr:uid="{00000000-0005-0000-0000-00007D910000}"/>
    <cellStyle name="Calculation 5 3 21 7 2" xfId="37277" xr:uid="{00000000-0005-0000-0000-00007E910000}"/>
    <cellStyle name="Calculation 5 3 21 7 3" xfId="37278" xr:uid="{00000000-0005-0000-0000-00007F910000}"/>
    <cellStyle name="Calculation 5 3 21 7 4" xfId="37279" xr:uid="{00000000-0005-0000-0000-000080910000}"/>
    <cellStyle name="Calculation 5 3 21 7 5" xfId="37280" xr:uid="{00000000-0005-0000-0000-000081910000}"/>
    <cellStyle name="Calculation 5 3 21 7 6" xfId="37281" xr:uid="{00000000-0005-0000-0000-000082910000}"/>
    <cellStyle name="Calculation 5 3 21 8" xfId="37282" xr:uid="{00000000-0005-0000-0000-000083910000}"/>
    <cellStyle name="Calculation 5 3 21 9" xfId="37283" xr:uid="{00000000-0005-0000-0000-000084910000}"/>
    <cellStyle name="Calculation 5 3 22" xfId="37284" xr:uid="{00000000-0005-0000-0000-000085910000}"/>
    <cellStyle name="Calculation 5 3 22 10" xfId="37285" xr:uid="{00000000-0005-0000-0000-000086910000}"/>
    <cellStyle name="Calculation 5 3 22 2" xfId="37286" xr:uid="{00000000-0005-0000-0000-000087910000}"/>
    <cellStyle name="Calculation 5 3 22 2 2" xfId="37287" xr:uid="{00000000-0005-0000-0000-000088910000}"/>
    <cellStyle name="Calculation 5 3 22 2 3" xfId="37288" xr:uid="{00000000-0005-0000-0000-000089910000}"/>
    <cellStyle name="Calculation 5 3 22 2 4" xfId="37289" xr:uid="{00000000-0005-0000-0000-00008A910000}"/>
    <cellStyle name="Calculation 5 3 22 2 5" xfId="37290" xr:uid="{00000000-0005-0000-0000-00008B910000}"/>
    <cellStyle name="Calculation 5 3 22 2 6" xfId="37291" xr:uid="{00000000-0005-0000-0000-00008C910000}"/>
    <cellStyle name="Calculation 5 3 22 3" xfId="37292" xr:uid="{00000000-0005-0000-0000-00008D910000}"/>
    <cellStyle name="Calculation 5 3 22 3 2" xfId="37293" xr:uid="{00000000-0005-0000-0000-00008E910000}"/>
    <cellStyle name="Calculation 5 3 22 3 3" xfId="37294" xr:uid="{00000000-0005-0000-0000-00008F910000}"/>
    <cellStyle name="Calculation 5 3 22 3 4" xfId="37295" xr:uid="{00000000-0005-0000-0000-000090910000}"/>
    <cellStyle name="Calculation 5 3 22 3 5" xfId="37296" xr:uid="{00000000-0005-0000-0000-000091910000}"/>
    <cellStyle name="Calculation 5 3 22 3 6" xfId="37297" xr:uid="{00000000-0005-0000-0000-000092910000}"/>
    <cellStyle name="Calculation 5 3 22 4" xfId="37298" xr:uid="{00000000-0005-0000-0000-000093910000}"/>
    <cellStyle name="Calculation 5 3 22 4 2" xfId="37299" xr:uid="{00000000-0005-0000-0000-000094910000}"/>
    <cellStyle name="Calculation 5 3 22 4 3" xfId="37300" xr:uid="{00000000-0005-0000-0000-000095910000}"/>
    <cellStyle name="Calculation 5 3 22 4 4" xfId="37301" xr:uid="{00000000-0005-0000-0000-000096910000}"/>
    <cellStyle name="Calculation 5 3 22 4 5" xfId="37302" xr:uid="{00000000-0005-0000-0000-000097910000}"/>
    <cellStyle name="Calculation 5 3 22 4 6" xfId="37303" xr:uid="{00000000-0005-0000-0000-000098910000}"/>
    <cellStyle name="Calculation 5 3 22 5" xfId="37304" xr:uid="{00000000-0005-0000-0000-000099910000}"/>
    <cellStyle name="Calculation 5 3 22 5 2" xfId="37305" xr:uid="{00000000-0005-0000-0000-00009A910000}"/>
    <cellStyle name="Calculation 5 3 22 5 3" xfId="37306" xr:uid="{00000000-0005-0000-0000-00009B910000}"/>
    <cellStyle name="Calculation 5 3 22 5 4" xfId="37307" xr:uid="{00000000-0005-0000-0000-00009C910000}"/>
    <cellStyle name="Calculation 5 3 22 5 5" xfId="37308" xr:uid="{00000000-0005-0000-0000-00009D910000}"/>
    <cellStyle name="Calculation 5 3 22 5 6" xfId="37309" xr:uid="{00000000-0005-0000-0000-00009E910000}"/>
    <cellStyle name="Calculation 5 3 22 6" xfId="37310" xr:uid="{00000000-0005-0000-0000-00009F910000}"/>
    <cellStyle name="Calculation 5 3 22 6 2" xfId="37311" xr:uid="{00000000-0005-0000-0000-0000A0910000}"/>
    <cellStyle name="Calculation 5 3 22 6 3" xfId="37312" xr:uid="{00000000-0005-0000-0000-0000A1910000}"/>
    <cellStyle name="Calculation 5 3 22 6 4" xfId="37313" xr:uid="{00000000-0005-0000-0000-0000A2910000}"/>
    <cellStyle name="Calculation 5 3 22 6 5" xfId="37314" xr:uid="{00000000-0005-0000-0000-0000A3910000}"/>
    <cellStyle name="Calculation 5 3 22 6 6" xfId="37315" xr:uid="{00000000-0005-0000-0000-0000A4910000}"/>
    <cellStyle name="Calculation 5 3 22 7" xfId="37316" xr:uid="{00000000-0005-0000-0000-0000A5910000}"/>
    <cellStyle name="Calculation 5 3 22 7 2" xfId="37317" xr:uid="{00000000-0005-0000-0000-0000A6910000}"/>
    <cellStyle name="Calculation 5 3 22 7 3" xfId="37318" xr:uid="{00000000-0005-0000-0000-0000A7910000}"/>
    <cellStyle name="Calculation 5 3 22 7 4" xfId="37319" xr:uid="{00000000-0005-0000-0000-0000A8910000}"/>
    <cellStyle name="Calculation 5 3 22 7 5" xfId="37320" xr:uid="{00000000-0005-0000-0000-0000A9910000}"/>
    <cellStyle name="Calculation 5 3 22 7 6" xfId="37321" xr:uid="{00000000-0005-0000-0000-0000AA910000}"/>
    <cellStyle name="Calculation 5 3 22 8" xfId="37322" xr:uid="{00000000-0005-0000-0000-0000AB910000}"/>
    <cellStyle name="Calculation 5 3 22 9" xfId="37323" xr:uid="{00000000-0005-0000-0000-0000AC910000}"/>
    <cellStyle name="Calculation 5 3 23" xfId="37324" xr:uid="{00000000-0005-0000-0000-0000AD910000}"/>
    <cellStyle name="Calculation 5 3 23 10" xfId="37325" xr:uid="{00000000-0005-0000-0000-0000AE910000}"/>
    <cellStyle name="Calculation 5 3 23 2" xfId="37326" xr:uid="{00000000-0005-0000-0000-0000AF910000}"/>
    <cellStyle name="Calculation 5 3 23 2 2" xfId="37327" xr:uid="{00000000-0005-0000-0000-0000B0910000}"/>
    <cellStyle name="Calculation 5 3 23 2 3" xfId="37328" xr:uid="{00000000-0005-0000-0000-0000B1910000}"/>
    <cellStyle name="Calculation 5 3 23 2 4" xfId="37329" xr:uid="{00000000-0005-0000-0000-0000B2910000}"/>
    <cellStyle name="Calculation 5 3 23 2 5" xfId="37330" xr:uid="{00000000-0005-0000-0000-0000B3910000}"/>
    <cellStyle name="Calculation 5 3 23 2 6" xfId="37331" xr:uid="{00000000-0005-0000-0000-0000B4910000}"/>
    <cellStyle name="Calculation 5 3 23 3" xfId="37332" xr:uid="{00000000-0005-0000-0000-0000B5910000}"/>
    <cellStyle name="Calculation 5 3 23 3 2" xfId="37333" xr:uid="{00000000-0005-0000-0000-0000B6910000}"/>
    <cellStyle name="Calculation 5 3 23 3 3" xfId="37334" xr:uid="{00000000-0005-0000-0000-0000B7910000}"/>
    <cellStyle name="Calculation 5 3 23 3 4" xfId="37335" xr:uid="{00000000-0005-0000-0000-0000B8910000}"/>
    <cellStyle name="Calculation 5 3 23 3 5" xfId="37336" xr:uid="{00000000-0005-0000-0000-0000B9910000}"/>
    <cellStyle name="Calculation 5 3 23 3 6" xfId="37337" xr:uid="{00000000-0005-0000-0000-0000BA910000}"/>
    <cellStyle name="Calculation 5 3 23 4" xfId="37338" xr:uid="{00000000-0005-0000-0000-0000BB910000}"/>
    <cellStyle name="Calculation 5 3 23 4 2" xfId="37339" xr:uid="{00000000-0005-0000-0000-0000BC910000}"/>
    <cellStyle name="Calculation 5 3 23 4 3" xfId="37340" xr:uid="{00000000-0005-0000-0000-0000BD910000}"/>
    <cellStyle name="Calculation 5 3 23 4 4" xfId="37341" xr:uid="{00000000-0005-0000-0000-0000BE910000}"/>
    <cellStyle name="Calculation 5 3 23 4 5" xfId="37342" xr:uid="{00000000-0005-0000-0000-0000BF910000}"/>
    <cellStyle name="Calculation 5 3 23 4 6" xfId="37343" xr:uid="{00000000-0005-0000-0000-0000C0910000}"/>
    <cellStyle name="Calculation 5 3 23 5" xfId="37344" xr:uid="{00000000-0005-0000-0000-0000C1910000}"/>
    <cellStyle name="Calculation 5 3 23 5 2" xfId="37345" xr:uid="{00000000-0005-0000-0000-0000C2910000}"/>
    <cellStyle name="Calculation 5 3 23 5 3" xfId="37346" xr:uid="{00000000-0005-0000-0000-0000C3910000}"/>
    <cellStyle name="Calculation 5 3 23 5 4" xfId="37347" xr:uid="{00000000-0005-0000-0000-0000C4910000}"/>
    <cellStyle name="Calculation 5 3 23 5 5" xfId="37348" xr:uid="{00000000-0005-0000-0000-0000C5910000}"/>
    <cellStyle name="Calculation 5 3 23 5 6" xfId="37349" xr:uid="{00000000-0005-0000-0000-0000C6910000}"/>
    <cellStyle name="Calculation 5 3 23 6" xfId="37350" xr:uid="{00000000-0005-0000-0000-0000C7910000}"/>
    <cellStyle name="Calculation 5 3 23 6 2" xfId="37351" xr:uid="{00000000-0005-0000-0000-0000C8910000}"/>
    <cellStyle name="Calculation 5 3 23 6 3" xfId="37352" xr:uid="{00000000-0005-0000-0000-0000C9910000}"/>
    <cellStyle name="Calculation 5 3 23 6 4" xfId="37353" xr:uid="{00000000-0005-0000-0000-0000CA910000}"/>
    <cellStyle name="Calculation 5 3 23 6 5" xfId="37354" xr:uid="{00000000-0005-0000-0000-0000CB910000}"/>
    <cellStyle name="Calculation 5 3 23 6 6" xfId="37355" xr:uid="{00000000-0005-0000-0000-0000CC910000}"/>
    <cellStyle name="Calculation 5 3 23 7" xfId="37356" xr:uid="{00000000-0005-0000-0000-0000CD910000}"/>
    <cellStyle name="Calculation 5 3 23 7 2" xfId="37357" xr:uid="{00000000-0005-0000-0000-0000CE910000}"/>
    <cellStyle name="Calculation 5 3 23 7 3" xfId="37358" xr:uid="{00000000-0005-0000-0000-0000CF910000}"/>
    <cellStyle name="Calculation 5 3 23 7 4" xfId="37359" xr:uid="{00000000-0005-0000-0000-0000D0910000}"/>
    <cellStyle name="Calculation 5 3 23 7 5" xfId="37360" xr:uid="{00000000-0005-0000-0000-0000D1910000}"/>
    <cellStyle name="Calculation 5 3 23 7 6" xfId="37361" xr:uid="{00000000-0005-0000-0000-0000D2910000}"/>
    <cellStyle name="Calculation 5 3 23 8" xfId="37362" xr:uid="{00000000-0005-0000-0000-0000D3910000}"/>
    <cellStyle name="Calculation 5 3 23 9" xfId="37363" xr:uid="{00000000-0005-0000-0000-0000D4910000}"/>
    <cellStyle name="Calculation 5 3 24" xfId="37364" xr:uid="{00000000-0005-0000-0000-0000D5910000}"/>
    <cellStyle name="Calculation 5 3 24 10" xfId="37365" xr:uid="{00000000-0005-0000-0000-0000D6910000}"/>
    <cellStyle name="Calculation 5 3 24 2" xfId="37366" xr:uid="{00000000-0005-0000-0000-0000D7910000}"/>
    <cellStyle name="Calculation 5 3 24 2 2" xfId="37367" xr:uid="{00000000-0005-0000-0000-0000D8910000}"/>
    <cellStyle name="Calculation 5 3 24 2 3" xfId="37368" xr:uid="{00000000-0005-0000-0000-0000D9910000}"/>
    <cellStyle name="Calculation 5 3 24 2 4" xfId="37369" xr:uid="{00000000-0005-0000-0000-0000DA910000}"/>
    <cellStyle name="Calculation 5 3 24 2 5" xfId="37370" xr:uid="{00000000-0005-0000-0000-0000DB910000}"/>
    <cellStyle name="Calculation 5 3 24 2 6" xfId="37371" xr:uid="{00000000-0005-0000-0000-0000DC910000}"/>
    <cellStyle name="Calculation 5 3 24 3" xfId="37372" xr:uid="{00000000-0005-0000-0000-0000DD910000}"/>
    <cellStyle name="Calculation 5 3 24 3 2" xfId="37373" xr:uid="{00000000-0005-0000-0000-0000DE910000}"/>
    <cellStyle name="Calculation 5 3 24 3 3" xfId="37374" xr:uid="{00000000-0005-0000-0000-0000DF910000}"/>
    <cellStyle name="Calculation 5 3 24 3 4" xfId="37375" xr:uid="{00000000-0005-0000-0000-0000E0910000}"/>
    <cellStyle name="Calculation 5 3 24 3 5" xfId="37376" xr:uid="{00000000-0005-0000-0000-0000E1910000}"/>
    <cellStyle name="Calculation 5 3 24 3 6" xfId="37377" xr:uid="{00000000-0005-0000-0000-0000E2910000}"/>
    <cellStyle name="Calculation 5 3 24 4" xfId="37378" xr:uid="{00000000-0005-0000-0000-0000E3910000}"/>
    <cellStyle name="Calculation 5 3 24 4 2" xfId="37379" xr:uid="{00000000-0005-0000-0000-0000E4910000}"/>
    <cellStyle name="Calculation 5 3 24 4 3" xfId="37380" xr:uid="{00000000-0005-0000-0000-0000E5910000}"/>
    <cellStyle name="Calculation 5 3 24 4 4" xfId="37381" xr:uid="{00000000-0005-0000-0000-0000E6910000}"/>
    <cellStyle name="Calculation 5 3 24 4 5" xfId="37382" xr:uid="{00000000-0005-0000-0000-0000E7910000}"/>
    <cellStyle name="Calculation 5 3 24 4 6" xfId="37383" xr:uid="{00000000-0005-0000-0000-0000E8910000}"/>
    <cellStyle name="Calculation 5 3 24 5" xfId="37384" xr:uid="{00000000-0005-0000-0000-0000E9910000}"/>
    <cellStyle name="Calculation 5 3 24 5 2" xfId="37385" xr:uid="{00000000-0005-0000-0000-0000EA910000}"/>
    <cellStyle name="Calculation 5 3 24 5 3" xfId="37386" xr:uid="{00000000-0005-0000-0000-0000EB910000}"/>
    <cellStyle name="Calculation 5 3 24 5 4" xfId="37387" xr:uid="{00000000-0005-0000-0000-0000EC910000}"/>
    <cellStyle name="Calculation 5 3 24 5 5" xfId="37388" xr:uid="{00000000-0005-0000-0000-0000ED910000}"/>
    <cellStyle name="Calculation 5 3 24 5 6" xfId="37389" xr:uid="{00000000-0005-0000-0000-0000EE910000}"/>
    <cellStyle name="Calculation 5 3 24 6" xfId="37390" xr:uid="{00000000-0005-0000-0000-0000EF910000}"/>
    <cellStyle name="Calculation 5 3 24 6 2" xfId="37391" xr:uid="{00000000-0005-0000-0000-0000F0910000}"/>
    <cellStyle name="Calculation 5 3 24 6 3" xfId="37392" xr:uid="{00000000-0005-0000-0000-0000F1910000}"/>
    <cellStyle name="Calculation 5 3 24 6 4" xfId="37393" xr:uid="{00000000-0005-0000-0000-0000F2910000}"/>
    <cellStyle name="Calculation 5 3 24 6 5" xfId="37394" xr:uid="{00000000-0005-0000-0000-0000F3910000}"/>
    <cellStyle name="Calculation 5 3 24 6 6" xfId="37395" xr:uid="{00000000-0005-0000-0000-0000F4910000}"/>
    <cellStyle name="Calculation 5 3 24 7" xfId="37396" xr:uid="{00000000-0005-0000-0000-0000F5910000}"/>
    <cellStyle name="Calculation 5 3 24 7 2" xfId="37397" xr:uid="{00000000-0005-0000-0000-0000F6910000}"/>
    <cellStyle name="Calculation 5 3 24 7 3" xfId="37398" xr:uid="{00000000-0005-0000-0000-0000F7910000}"/>
    <cellStyle name="Calculation 5 3 24 7 4" xfId="37399" xr:uid="{00000000-0005-0000-0000-0000F8910000}"/>
    <cellStyle name="Calculation 5 3 24 7 5" xfId="37400" xr:uid="{00000000-0005-0000-0000-0000F9910000}"/>
    <cellStyle name="Calculation 5 3 24 7 6" xfId="37401" xr:uid="{00000000-0005-0000-0000-0000FA910000}"/>
    <cellStyle name="Calculation 5 3 24 8" xfId="37402" xr:uid="{00000000-0005-0000-0000-0000FB910000}"/>
    <cellStyle name="Calculation 5 3 24 9" xfId="37403" xr:uid="{00000000-0005-0000-0000-0000FC910000}"/>
    <cellStyle name="Calculation 5 3 25" xfId="37404" xr:uid="{00000000-0005-0000-0000-0000FD910000}"/>
    <cellStyle name="Calculation 5 3 25 10" xfId="37405" xr:uid="{00000000-0005-0000-0000-0000FE910000}"/>
    <cellStyle name="Calculation 5 3 25 2" xfId="37406" xr:uid="{00000000-0005-0000-0000-0000FF910000}"/>
    <cellStyle name="Calculation 5 3 25 2 2" xfId="37407" xr:uid="{00000000-0005-0000-0000-000000920000}"/>
    <cellStyle name="Calculation 5 3 25 2 3" xfId="37408" xr:uid="{00000000-0005-0000-0000-000001920000}"/>
    <cellStyle name="Calculation 5 3 25 2 4" xfId="37409" xr:uid="{00000000-0005-0000-0000-000002920000}"/>
    <cellStyle name="Calculation 5 3 25 2 5" xfId="37410" xr:uid="{00000000-0005-0000-0000-000003920000}"/>
    <cellStyle name="Calculation 5 3 25 2 6" xfId="37411" xr:uid="{00000000-0005-0000-0000-000004920000}"/>
    <cellStyle name="Calculation 5 3 25 3" xfId="37412" xr:uid="{00000000-0005-0000-0000-000005920000}"/>
    <cellStyle name="Calculation 5 3 25 3 2" xfId="37413" xr:uid="{00000000-0005-0000-0000-000006920000}"/>
    <cellStyle name="Calculation 5 3 25 3 3" xfId="37414" xr:uid="{00000000-0005-0000-0000-000007920000}"/>
    <cellStyle name="Calculation 5 3 25 3 4" xfId="37415" xr:uid="{00000000-0005-0000-0000-000008920000}"/>
    <cellStyle name="Calculation 5 3 25 3 5" xfId="37416" xr:uid="{00000000-0005-0000-0000-000009920000}"/>
    <cellStyle name="Calculation 5 3 25 3 6" xfId="37417" xr:uid="{00000000-0005-0000-0000-00000A920000}"/>
    <cellStyle name="Calculation 5 3 25 4" xfId="37418" xr:uid="{00000000-0005-0000-0000-00000B920000}"/>
    <cellStyle name="Calculation 5 3 25 4 2" xfId="37419" xr:uid="{00000000-0005-0000-0000-00000C920000}"/>
    <cellStyle name="Calculation 5 3 25 4 3" xfId="37420" xr:uid="{00000000-0005-0000-0000-00000D920000}"/>
    <cellStyle name="Calculation 5 3 25 4 4" xfId="37421" xr:uid="{00000000-0005-0000-0000-00000E920000}"/>
    <cellStyle name="Calculation 5 3 25 4 5" xfId="37422" xr:uid="{00000000-0005-0000-0000-00000F920000}"/>
    <cellStyle name="Calculation 5 3 25 4 6" xfId="37423" xr:uid="{00000000-0005-0000-0000-000010920000}"/>
    <cellStyle name="Calculation 5 3 25 5" xfId="37424" xr:uid="{00000000-0005-0000-0000-000011920000}"/>
    <cellStyle name="Calculation 5 3 25 5 2" xfId="37425" xr:uid="{00000000-0005-0000-0000-000012920000}"/>
    <cellStyle name="Calculation 5 3 25 5 3" xfId="37426" xr:uid="{00000000-0005-0000-0000-000013920000}"/>
    <cellStyle name="Calculation 5 3 25 5 4" xfId="37427" xr:uid="{00000000-0005-0000-0000-000014920000}"/>
    <cellStyle name="Calculation 5 3 25 5 5" xfId="37428" xr:uid="{00000000-0005-0000-0000-000015920000}"/>
    <cellStyle name="Calculation 5 3 25 5 6" xfId="37429" xr:uid="{00000000-0005-0000-0000-000016920000}"/>
    <cellStyle name="Calculation 5 3 25 6" xfId="37430" xr:uid="{00000000-0005-0000-0000-000017920000}"/>
    <cellStyle name="Calculation 5 3 25 6 2" xfId="37431" xr:uid="{00000000-0005-0000-0000-000018920000}"/>
    <cellStyle name="Calculation 5 3 25 6 3" xfId="37432" xr:uid="{00000000-0005-0000-0000-000019920000}"/>
    <cellStyle name="Calculation 5 3 25 6 4" xfId="37433" xr:uid="{00000000-0005-0000-0000-00001A920000}"/>
    <cellStyle name="Calculation 5 3 25 6 5" xfId="37434" xr:uid="{00000000-0005-0000-0000-00001B920000}"/>
    <cellStyle name="Calculation 5 3 25 6 6" xfId="37435" xr:uid="{00000000-0005-0000-0000-00001C920000}"/>
    <cellStyle name="Calculation 5 3 25 7" xfId="37436" xr:uid="{00000000-0005-0000-0000-00001D920000}"/>
    <cellStyle name="Calculation 5 3 25 7 2" xfId="37437" xr:uid="{00000000-0005-0000-0000-00001E920000}"/>
    <cellStyle name="Calculation 5 3 25 7 3" xfId="37438" xr:uid="{00000000-0005-0000-0000-00001F920000}"/>
    <cellStyle name="Calculation 5 3 25 7 4" xfId="37439" xr:uid="{00000000-0005-0000-0000-000020920000}"/>
    <cellStyle name="Calculation 5 3 25 7 5" xfId="37440" xr:uid="{00000000-0005-0000-0000-000021920000}"/>
    <cellStyle name="Calculation 5 3 25 7 6" xfId="37441" xr:uid="{00000000-0005-0000-0000-000022920000}"/>
    <cellStyle name="Calculation 5 3 25 8" xfId="37442" xr:uid="{00000000-0005-0000-0000-000023920000}"/>
    <cellStyle name="Calculation 5 3 25 9" xfId="37443" xr:uid="{00000000-0005-0000-0000-000024920000}"/>
    <cellStyle name="Calculation 5 3 26" xfId="37444" xr:uid="{00000000-0005-0000-0000-000025920000}"/>
    <cellStyle name="Calculation 5 3 26 10" xfId="37445" xr:uid="{00000000-0005-0000-0000-000026920000}"/>
    <cellStyle name="Calculation 5 3 26 2" xfId="37446" xr:uid="{00000000-0005-0000-0000-000027920000}"/>
    <cellStyle name="Calculation 5 3 26 2 2" xfId="37447" xr:uid="{00000000-0005-0000-0000-000028920000}"/>
    <cellStyle name="Calculation 5 3 26 2 3" xfId="37448" xr:uid="{00000000-0005-0000-0000-000029920000}"/>
    <cellStyle name="Calculation 5 3 26 2 4" xfId="37449" xr:uid="{00000000-0005-0000-0000-00002A920000}"/>
    <cellStyle name="Calculation 5 3 26 2 5" xfId="37450" xr:uid="{00000000-0005-0000-0000-00002B920000}"/>
    <cellStyle name="Calculation 5 3 26 2 6" xfId="37451" xr:uid="{00000000-0005-0000-0000-00002C920000}"/>
    <cellStyle name="Calculation 5 3 26 3" xfId="37452" xr:uid="{00000000-0005-0000-0000-00002D920000}"/>
    <cellStyle name="Calculation 5 3 26 3 2" xfId="37453" xr:uid="{00000000-0005-0000-0000-00002E920000}"/>
    <cellStyle name="Calculation 5 3 26 3 3" xfId="37454" xr:uid="{00000000-0005-0000-0000-00002F920000}"/>
    <cellStyle name="Calculation 5 3 26 3 4" xfId="37455" xr:uid="{00000000-0005-0000-0000-000030920000}"/>
    <cellStyle name="Calculation 5 3 26 3 5" xfId="37456" xr:uid="{00000000-0005-0000-0000-000031920000}"/>
    <cellStyle name="Calculation 5 3 26 3 6" xfId="37457" xr:uid="{00000000-0005-0000-0000-000032920000}"/>
    <cellStyle name="Calculation 5 3 26 4" xfId="37458" xr:uid="{00000000-0005-0000-0000-000033920000}"/>
    <cellStyle name="Calculation 5 3 26 4 2" xfId="37459" xr:uid="{00000000-0005-0000-0000-000034920000}"/>
    <cellStyle name="Calculation 5 3 26 4 3" xfId="37460" xr:uid="{00000000-0005-0000-0000-000035920000}"/>
    <cellStyle name="Calculation 5 3 26 4 4" xfId="37461" xr:uid="{00000000-0005-0000-0000-000036920000}"/>
    <cellStyle name="Calculation 5 3 26 4 5" xfId="37462" xr:uid="{00000000-0005-0000-0000-000037920000}"/>
    <cellStyle name="Calculation 5 3 26 4 6" xfId="37463" xr:uid="{00000000-0005-0000-0000-000038920000}"/>
    <cellStyle name="Calculation 5 3 26 5" xfId="37464" xr:uid="{00000000-0005-0000-0000-000039920000}"/>
    <cellStyle name="Calculation 5 3 26 5 2" xfId="37465" xr:uid="{00000000-0005-0000-0000-00003A920000}"/>
    <cellStyle name="Calculation 5 3 26 5 3" xfId="37466" xr:uid="{00000000-0005-0000-0000-00003B920000}"/>
    <cellStyle name="Calculation 5 3 26 5 4" xfId="37467" xr:uid="{00000000-0005-0000-0000-00003C920000}"/>
    <cellStyle name="Calculation 5 3 26 5 5" xfId="37468" xr:uid="{00000000-0005-0000-0000-00003D920000}"/>
    <cellStyle name="Calculation 5 3 26 5 6" xfId="37469" xr:uid="{00000000-0005-0000-0000-00003E920000}"/>
    <cellStyle name="Calculation 5 3 26 6" xfId="37470" xr:uid="{00000000-0005-0000-0000-00003F920000}"/>
    <cellStyle name="Calculation 5 3 26 6 2" xfId="37471" xr:uid="{00000000-0005-0000-0000-000040920000}"/>
    <cellStyle name="Calculation 5 3 26 6 3" xfId="37472" xr:uid="{00000000-0005-0000-0000-000041920000}"/>
    <cellStyle name="Calculation 5 3 26 6 4" xfId="37473" xr:uid="{00000000-0005-0000-0000-000042920000}"/>
    <cellStyle name="Calculation 5 3 26 6 5" xfId="37474" xr:uid="{00000000-0005-0000-0000-000043920000}"/>
    <cellStyle name="Calculation 5 3 26 6 6" xfId="37475" xr:uid="{00000000-0005-0000-0000-000044920000}"/>
    <cellStyle name="Calculation 5 3 26 7" xfId="37476" xr:uid="{00000000-0005-0000-0000-000045920000}"/>
    <cellStyle name="Calculation 5 3 26 7 2" xfId="37477" xr:uid="{00000000-0005-0000-0000-000046920000}"/>
    <cellStyle name="Calculation 5 3 26 7 3" xfId="37478" xr:uid="{00000000-0005-0000-0000-000047920000}"/>
    <cellStyle name="Calculation 5 3 26 7 4" xfId="37479" xr:uid="{00000000-0005-0000-0000-000048920000}"/>
    <cellStyle name="Calculation 5 3 26 7 5" xfId="37480" xr:uid="{00000000-0005-0000-0000-000049920000}"/>
    <cellStyle name="Calculation 5 3 26 7 6" xfId="37481" xr:uid="{00000000-0005-0000-0000-00004A920000}"/>
    <cellStyle name="Calculation 5 3 26 8" xfId="37482" xr:uid="{00000000-0005-0000-0000-00004B920000}"/>
    <cellStyle name="Calculation 5 3 26 9" xfId="37483" xr:uid="{00000000-0005-0000-0000-00004C920000}"/>
    <cellStyle name="Calculation 5 3 27" xfId="37484" xr:uid="{00000000-0005-0000-0000-00004D920000}"/>
    <cellStyle name="Calculation 5 3 27 2" xfId="37485" xr:uid="{00000000-0005-0000-0000-00004E920000}"/>
    <cellStyle name="Calculation 5 3 27 3" xfId="37486" xr:uid="{00000000-0005-0000-0000-00004F920000}"/>
    <cellStyle name="Calculation 5 3 27 4" xfId="37487" xr:uid="{00000000-0005-0000-0000-000050920000}"/>
    <cellStyle name="Calculation 5 3 27 5" xfId="37488" xr:uid="{00000000-0005-0000-0000-000051920000}"/>
    <cellStyle name="Calculation 5 3 27 6" xfId="37489" xr:uid="{00000000-0005-0000-0000-000052920000}"/>
    <cellStyle name="Calculation 5 3 28" xfId="37490" xr:uid="{00000000-0005-0000-0000-000053920000}"/>
    <cellStyle name="Calculation 5 3 28 2" xfId="37491" xr:uid="{00000000-0005-0000-0000-000054920000}"/>
    <cellStyle name="Calculation 5 3 28 3" xfId="37492" xr:uid="{00000000-0005-0000-0000-000055920000}"/>
    <cellStyle name="Calculation 5 3 28 4" xfId="37493" xr:uid="{00000000-0005-0000-0000-000056920000}"/>
    <cellStyle name="Calculation 5 3 28 5" xfId="37494" xr:uid="{00000000-0005-0000-0000-000057920000}"/>
    <cellStyle name="Calculation 5 3 28 6" xfId="37495" xr:uid="{00000000-0005-0000-0000-000058920000}"/>
    <cellStyle name="Calculation 5 3 29" xfId="37496" xr:uid="{00000000-0005-0000-0000-000059920000}"/>
    <cellStyle name="Calculation 5 3 29 2" xfId="37497" xr:uid="{00000000-0005-0000-0000-00005A920000}"/>
    <cellStyle name="Calculation 5 3 29 3" xfId="37498" xr:uid="{00000000-0005-0000-0000-00005B920000}"/>
    <cellStyle name="Calculation 5 3 29 4" xfId="37499" xr:uid="{00000000-0005-0000-0000-00005C920000}"/>
    <cellStyle name="Calculation 5 3 29 5" xfId="37500" xr:uid="{00000000-0005-0000-0000-00005D920000}"/>
    <cellStyle name="Calculation 5 3 29 6" xfId="37501" xr:uid="{00000000-0005-0000-0000-00005E920000}"/>
    <cellStyle name="Calculation 5 3 3" xfId="37502" xr:uid="{00000000-0005-0000-0000-00005F920000}"/>
    <cellStyle name="Calculation 5 3 3 10" xfId="37503" xr:uid="{00000000-0005-0000-0000-000060920000}"/>
    <cellStyle name="Calculation 5 3 3 2" xfId="37504" xr:uid="{00000000-0005-0000-0000-000061920000}"/>
    <cellStyle name="Calculation 5 3 3 2 2" xfId="37505" xr:uid="{00000000-0005-0000-0000-000062920000}"/>
    <cellStyle name="Calculation 5 3 3 2 3" xfId="37506" xr:uid="{00000000-0005-0000-0000-000063920000}"/>
    <cellStyle name="Calculation 5 3 3 2 4" xfId="37507" xr:uid="{00000000-0005-0000-0000-000064920000}"/>
    <cellStyle name="Calculation 5 3 3 2 5" xfId="37508" xr:uid="{00000000-0005-0000-0000-000065920000}"/>
    <cellStyle name="Calculation 5 3 3 2 6" xfId="37509" xr:uid="{00000000-0005-0000-0000-000066920000}"/>
    <cellStyle name="Calculation 5 3 3 3" xfId="37510" xr:uid="{00000000-0005-0000-0000-000067920000}"/>
    <cellStyle name="Calculation 5 3 3 3 2" xfId="37511" xr:uid="{00000000-0005-0000-0000-000068920000}"/>
    <cellStyle name="Calculation 5 3 3 3 3" xfId="37512" xr:uid="{00000000-0005-0000-0000-000069920000}"/>
    <cellStyle name="Calculation 5 3 3 3 4" xfId="37513" xr:uid="{00000000-0005-0000-0000-00006A920000}"/>
    <cellStyle name="Calculation 5 3 3 3 5" xfId="37514" xr:uid="{00000000-0005-0000-0000-00006B920000}"/>
    <cellStyle name="Calculation 5 3 3 3 6" xfId="37515" xr:uid="{00000000-0005-0000-0000-00006C920000}"/>
    <cellStyle name="Calculation 5 3 3 4" xfId="37516" xr:uid="{00000000-0005-0000-0000-00006D920000}"/>
    <cellStyle name="Calculation 5 3 3 4 2" xfId="37517" xr:uid="{00000000-0005-0000-0000-00006E920000}"/>
    <cellStyle name="Calculation 5 3 3 4 3" xfId="37518" xr:uid="{00000000-0005-0000-0000-00006F920000}"/>
    <cellStyle name="Calculation 5 3 3 4 4" xfId="37519" xr:uid="{00000000-0005-0000-0000-000070920000}"/>
    <cellStyle name="Calculation 5 3 3 4 5" xfId="37520" xr:uid="{00000000-0005-0000-0000-000071920000}"/>
    <cellStyle name="Calculation 5 3 3 4 6" xfId="37521" xr:uid="{00000000-0005-0000-0000-000072920000}"/>
    <cellStyle name="Calculation 5 3 3 5" xfId="37522" xr:uid="{00000000-0005-0000-0000-000073920000}"/>
    <cellStyle name="Calculation 5 3 3 5 2" xfId="37523" xr:uid="{00000000-0005-0000-0000-000074920000}"/>
    <cellStyle name="Calculation 5 3 3 5 3" xfId="37524" xr:uid="{00000000-0005-0000-0000-000075920000}"/>
    <cellStyle name="Calculation 5 3 3 5 4" xfId="37525" xr:uid="{00000000-0005-0000-0000-000076920000}"/>
    <cellStyle name="Calculation 5 3 3 5 5" xfId="37526" xr:uid="{00000000-0005-0000-0000-000077920000}"/>
    <cellStyle name="Calculation 5 3 3 5 6" xfId="37527" xr:uid="{00000000-0005-0000-0000-000078920000}"/>
    <cellStyle name="Calculation 5 3 3 6" xfId="37528" xr:uid="{00000000-0005-0000-0000-000079920000}"/>
    <cellStyle name="Calculation 5 3 3 6 2" xfId="37529" xr:uid="{00000000-0005-0000-0000-00007A920000}"/>
    <cellStyle name="Calculation 5 3 3 6 3" xfId="37530" xr:uid="{00000000-0005-0000-0000-00007B920000}"/>
    <cellStyle name="Calculation 5 3 3 6 4" xfId="37531" xr:uid="{00000000-0005-0000-0000-00007C920000}"/>
    <cellStyle name="Calculation 5 3 3 6 5" xfId="37532" xr:uid="{00000000-0005-0000-0000-00007D920000}"/>
    <cellStyle name="Calculation 5 3 3 6 6" xfId="37533" xr:uid="{00000000-0005-0000-0000-00007E920000}"/>
    <cellStyle name="Calculation 5 3 3 7" xfId="37534" xr:uid="{00000000-0005-0000-0000-00007F920000}"/>
    <cellStyle name="Calculation 5 3 3 7 2" xfId="37535" xr:uid="{00000000-0005-0000-0000-000080920000}"/>
    <cellStyle name="Calculation 5 3 3 7 3" xfId="37536" xr:uid="{00000000-0005-0000-0000-000081920000}"/>
    <cellStyle name="Calculation 5 3 3 7 4" xfId="37537" xr:uid="{00000000-0005-0000-0000-000082920000}"/>
    <cellStyle name="Calculation 5 3 3 7 5" xfId="37538" xr:uid="{00000000-0005-0000-0000-000083920000}"/>
    <cellStyle name="Calculation 5 3 3 7 6" xfId="37539" xr:uid="{00000000-0005-0000-0000-000084920000}"/>
    <cellStyle name="Calculation 5 3 3 8" xfId="37540" xr:uid="{00000000-0005-0000-0000-000085920000}"/>
    <cellStyle name="Calculation 5 3 3 9" xfId="37541" xr:uid="{00000000-0005-0000-0000-000086920000}"/>
    <cellStyle name="Calculation 5 3 30" xfId="37542" xr:uid="{00000000-0005-0000-0000-000087920000}"/>
    <cellStyle name="Calculation 5 3 30 2" xfId="37543" xr:uid="{00000000-0005-0000-0000-000088920000}"/>
    <cellStyle name="Calculation 5 3 30 3" xfId="37544" xr:uid="{00000000-0005-0000-0000-000089920000}"/>
    <cellStyle name="Calculation 5 3 30 4" xfId="37545" xr:uid="{00000000-0005-0000-0000-00008A920000}"/>
    <cellStyle name="Calculation 5 3 30 5" xfId="37546" xr:uid="{00000000-0005-0000-0000-00008B920000}"/>
    <cellStyle name="Calculation 5 3 30 6" xfId="37547" xr:uid="{00000000-0005-0000-0000-00008C920000}"/>
    <cellStyle name="Calculation 5 3 31" xfId="37548" xr:uid="{00000000-0005-0000-0000-00008D920000}"/>
    <cellStyle name="Calculation 5 3 31 2" xfId="37549" xr:uid="{00000000-0005-0000-0000-00008E920000}"/>
    <cellStyle name="Calculation 5 3 31 3" xfId="37550" xr:uid="{00000000-0005-0000-0000-00008F920000}"/>
    <cellStyle name="Calculation 5 3 31 4" xfId="37551" xr:uid="{00000000-0005-0000-0000-000090920000}"/>
    <cellStyle name="Calculation 5 3 31 5" xfId="37552" xr:uid="{00000000-0005-0000-0000-000091920000}"/>
    <cellStyle name="Calculation 5 3 31 6" xfId="37553" xr:uid="{00000000-0005-0000-0000-000092920000}"/>
    <cellStyle name="Calculation 5 3 32" xfId="37554" xr:uid="{00000000-0005-0000-0000-000093920000}"/>
    <cellStyle name="Calculation 5 3 32 2" xfId="37555" xr:uid="{00000000-0005-0000-0000-000094920000}"/>
    <cellStyle name="Calculation 5 3 32 3" xfId="37556" xr:uid="{00000000-0005-0000-0000-000095920000}"/>
    <cellStyle name="Calculation 5 3 32 4" xfId="37557" xr:uid="{00000000-0005-0000-0000-000096920000}"/>
    <cellStyle name="Calculation 5 3 32 5" xfId="37558" xr:uid="{00000000-0005-0000-0000-000097920000}"/>
    <cellStyle name="Calculation 5 3 32 6" xfId="37559" xr:uid="{00000000-0005-0000-0000-000098920000}"/>
    <cellStyle name="Calculation 5 3 33" xfId="37560" xr:uid="{00000000-0005-0000-0000-000099920000}"/>
    <cellStyle name="Calculation 5 3 34" xfId="37561" xr:uid="{00000000-0005-0000-0000-00009A920000}"/>
    <cellStyle name="Calculation 5 3 35" xfId="37562" xr:uid="{00000000-0005-0000-0000-00009B920000}"/>
    <cellStyle name="Calculation 5 3 4" xfId="37563" xr:uid="{00000000-0005-0000-0000-00009C920000}"/>
    <cellStyle name="Calculation 5 3 4 10" xfId="37564" xr:uid="{00000000-0005-0000-0000-00009D920000}"/>
    <cellStyle name="Calculation 5 3 4 2" xfId="37565" xr:uid="{00000000-0005-0000-0000-00009E920000}"/>
    <cellStyle name="Calculation 5 3 4 2 2" xfId="37566" xr:uid="{00000000-0005-0000-0000-00009F920000}"/>
    <cellStyle name="Calculation 5 3 4 2 3" xfId="37567" xr:uid="{00000000-0005-0000-0000-0000A0920000}"/>
    <cellStyle name="Calculation 5 3 4 2 4" xfId="37568" xr:uid="{00000000-0005-0000-0000-0000A1920000}"/>
    <cellStyle name="Calculation 5 3 4 2 5" xfId="37569" xr:uid="{00000000-0005-0000-0000-0000A2920000}"/>
    <cellStyle name="Calculation 5 3 4 2 6" xfId="37570" xr:uid="{00000000-0005-0000-0000-0000A3920000}"/>
    <cellStyle name="Calculation 5 3 4 3" xfId="37571" xr:uid="{00000000-0005-0000-0000-0000A4920000}"/>
    <cellStyle name="Calculation 5 3 4 3 2" xfId="37572" xr:uid="{00000000-0005-0000-0000-0000A5920000}"/>
    <cellStyle name="Calculation 5 3 4 3 3" xfId="37573" xr:uid="{00000000-0005-0000-0000-0000A6920000}"/>
    <cellStyle name="Calculation 5 3 4 3 4" xfId="37574" xr:uid="{00000000-0005-0000-0000-0000A7920000}"/>
    <cellStyle name="Calculation 5 3 4 3 5" xfId="37575" xr:uid="{00000000-0005-0000-0000-0000A8920000}"/>
    <cellStyle name="Calculation 5 3 4 3 6" xfId="37576" xr:uid="{00000000-0005-0000-0000-0000A9920000}"/>
    <cellStyle name="Calculation 5 3 4 4" xfId="37577" xr:uid="{00000000-0005-0000-0000-0000AA920000}"/>
    <cellStyle name="Calculation 5 3 4 4 2" xfId="37578" xr:uid="{00000000-0005-0000-0000-0000AB920000}"/>
    <cellStyle name="Calculation 5 3 4 4 3" xfId="37579" xr:uid="{00000000-0005-0000-0000-0000AC920000}"/>
    <cellStyle name="Calculation 5 3 4 4 4" xfId="37580" xr:uid="{00000000-0005-0000-0000-0000AD920000}"/>
    <cellStyle name="Calculation 5 3 4 4 5" xfId="37581" xr:uid="{00000000-0005-0000-0000-0000AE920000}"/>
    <cellStyle name="Calculation 5 3 4 4 6" xfId="37582" xr:uid="{00000000-0005-0000-0000-0000AF920000}"/>
    <cellStyle name="Calculation 5 3 4 5" xfId="37583" xr:uid="{00000000-0005-0000-0000-0000B0920000}"/>
    <cellStyle name="Calculation 5 3 4 5 2" xfId="37584" xr:uid="{00000000-0005-0000-0000-0000B1920000}"/>
    <cellStyle name="Calculation 5 3 4 5 3" xfId="37585" xr:uid="{00000000-0005-0000-0000-0000B2920000}"/>
    <cellStyle name="Calculation 5 3 4 5 4" xfId="37586" xr:uid="{00000000-0005-0000-0000-0000B3920000}"/>
    <cellStyle name="Calculation 5 3 4 5 5" xfId="37587" xr:uid="{00000000-0005-0000-0000-0000B4920000}"/>
    <cellStyle name="Calculation 5 3 4 5 6" xfId="37588" xr:uid="{00000000-0005-0000-0000-0000B5920000}"/>
    <cellStyle name="Calculation 5 3 4 6" xfId="37589" xr:uid="{00000000-0005-0000-0000-0000B6920000}"/>
    <cellStyle name="Calculation 5 3 4 6 2" xfId="37590" xr:uid="{00000000-0005-0000-0000-0000B7920000}"/>
    <cellStyle name="Calculation 5 3 4 6 3" xfId="37591" xr:uid="{00000000-0005-0000-0000-0000B8920000}"/>
    <cellStyle name="Calculation 5 3 4 6 4" xfId="37592" xr:uid="{00000000-0005-0000-0000-0000B9920000}"/>
    <cellStyle name="Calculation 5 3 4 6 5" xfId="37593" xr:uid="{00000000-0005-0000-0000-0000BA920000}"/>
    <cellStyle name="Calculation 5 3 4 6 6" xfId="37594" xr:uid="{00000000-0005-0000-0000-0000BB920000}"/>
    <cellStyle name="Calculation 5 3 4 7" xfId="37595" xr:uid="{00000000-0005-0000-0000-0000BC920000}"/>
    <cellStyle name="Calculation 5 3 4 7 2" xfId="37596" xr:uid="{00000000-0005-0000-0000-0000BD920000}"/>
    <cellStyle name="Calculation 5 3 4 7 3" xfId="37597" xr:uid="{00000000-0005-0000-0000-0000BE920000}"/>
    <cellStyle name="Calculation 5 3 4 7 4" xfId="37598" xr:uid="{00000000-0005-0000-0000-0000BF920000}"/>
    <cellStyle name="Calculation 5 3 4 7 5" xfId="37599" xr:uid="{00000000-0005-0000-0000-0000C0920000}"/>
    <cellStyle name="Calculation 5 3 4 7 6" xfId="37600" xr:uid="{00000000-0005-0000-0000-0000C1920000}"/>
    <cellStyle name="Calculation 5 3 4 8" xfId="37601" xr:uid="{00000000-0005-0000-0000-0000C2920000}"/>
    <cellStyle name="Calculation 5 3 4 9" xfId="37602" xr:uid="{00000000-0005-0000-0000-0000C3920000}"/>
    <cellStyle name="Calculation 5 3 5" xfId="37603" xr:uid="{00000000-0005-0000-0000-0000C4920000}"/>
    <cellStyle name="Calculation 5 3 5 10" xfId="37604" xr:uid="{00000000-0005-0000-0000-0000C5920000}"/>
    <cellStyle name="Calculation 5 3 5 2" xfId="37605" xr:uid="{00000000-0005-0000-0000-0000C6920000}"/>
    <cellStyle name="Calculation 5 3 5 2 2" xfId="37606" xr:uid="{00000000-0005-0000-0000-0000C7920000}"/>
    <cellStyle name="Calculation 5 3 5 2 3" xfId="37607" xr:uid="{00000000-0005-0000-0000-0000C8920000}"/>
    <cellStyle name="Calculation 5 3 5 2 4" xfId="37608" xr:uid="{00000000-0005-0000-0000-0000C9920000}"/>
    <cellStyle name="Calculation 5 3 5 2 5" xfId="37609" xr:uid="{00000000-0005-0000-0000-0000CA920000}"/>
    <cellStyle name="Calculation 5 3 5 2 6" xfId="37610" xr:uid="{00000000-0005-0000-0000-0000CB920000}"/>
    <cellStyle name="Calculation 5 3 5 3" xfId="37611" xr:uid="{00000000-0005-0000-0000-0000CC920000}"/>
    <cellStyle name="Calculation 5 3 5 3 2" xfId="37612" xr:uid="{00000000-0005-0000-0000-0000CD920000}"/>
    <cellStyle name="Calculation 5 3 5 3 3" xfId="37613" xr:uid="{00000000-0005-0000-0000-0000CE920000}"/>
    <cellStyle name="Calculation 5 3 5 3 4" xfId="37614" xr:uid="{00000000-0005-0000-0000-0000CF920000}"/>
    <cellStyle name="Calculation 5 3 5 3 5" xfId="37615" xr:uid="{00000000-0005-0000-0000-0000D0920000}"/>
    <cellStyle name="Calculation 5 3 5 3 6" xfId="37616" xr:uid="{00000000-0005-0000-0000-0000D1920000}"/>
    <cellStyle name="Calculation 5 3 5 4" xfId="37617" xr:uid="{00000000-0005-0000-0000-0000D2920000}"/>
    <cellStyle name="Calculation 5 3 5 4 2" xfId="37618" xr:uid="{00000000-0005-0000-0000-0000D3920000}"/>
    <cellStyle name="Calculation 5 3 5 4 3" xfId="37619" xr:uid="{00000000-0005-0000-0000-0000D4920000}"/>
    <cellStyle name="Calculation 5 3 5 4 4" xfId="37620" xr:uid="{00000000-0005-0000-0000-0000D5920000}"/>
    <cellStyle name="Calculation 5 3 5 4 5" xfId="37621" xr:uid="{00000000-0005-0000-0000-0000D6920000}"/>
    <cellStyle name="Calculation 5 3 5 4 6" xfId="37622" xr:uid="{00000000-0005-0000-0000-0000D7920000}"/>
    <cellStyle name="Calculation 5 3 5 5" xfId="37623" xr:uid="{00000000-0005-0000-0000-0000D8920000}"/>
    <cellStyle name="Calculation 5 3 5 5 2" xfId="37624" xr:uid="{00000000-0005-0000-0000-0000D9920000}"/>
    <cellStyle name="Calculation 5 3 5 5 3" xfId="37625" xr:uid="{00000000-0005-0000-0000-0000DA920000}"/>
    <cellStyle name="Calculation 5 3 5 5 4" xfId="37626" xr:uid="{00000000-0005-0000-0000-0000DB920000}"/>
    <cellStyle name="Calculation 5 3 5 5 5" xfId="37627" xr:uid="{00000000-0005-0000-0000-0000DC920000}"/>
    <cellStyle name="Calculation 5 3 5 5 6" xfId="37628" xr:uid="{00000000-0005-0000-0000-0000DD920000}"/>
    <cellStyle name="Calculation 5 3 5 6" xfId="37629" xr:uid="{00000000-0005-0000-0000-0000DE920000}"/>
    <cellStyle name="Calculation 5 3 5 6 2" xfId="37630" xr:uid="{00000000-0005-0000-0000-0000DF920000}"/>
    <cellStyle name="Calculation 5 3 5 6 3" xfId="37631" xr:uid="{00000000-0005-0000-0000-0000E0920000}"/>
    <cellStyle name="Calculation 5 3 5 6 4" xfId="37632" xr:uid="{00000000-0005-0000-0000-0000E1920000}"/>
    <cellStyle name="Calculation 5 3 5 6 5" xfId="37633" xr:uid="{00000000-0005-0000-0000-0000E2920000}"/>
    <cellStyle name="Calculation 5 3 5 6 6" xfId="37634" xr:uid="{00000000-0005-0000-0000-0000E3920000}"/>
    <cellStyle name="Calculation 5 3 5 7" xfId="37635" xr:uid="{00000000-0005-0000-0000-0000E4920000}"/>
    <cellStyle name="Calculation 5 3 5 7 2" xfId="37636" xr:uid="{00000000-0005-0000-0000-0000E5920000}"/>
    <cellStyle name="Calculation 5 3 5 7 3" xfId="37637" xr:uid="{00000000-0005-0000-0000-0000E6920000}"/>
    <cellStyle name="Calculation 5 3 5 7 4" xfId="37638" xr:uid="{00000000-0005-0000-0000-0000E7920000}"/>
    <cellStyle name="Calculation 5 3 5 7 5" xfId="37639" xr:uid="{00000000-0005-0000-0000-0000E8920000}"/>
    <cellStyle name="Calculation 5 3 5 7 6" xfId="37640" xr:uid="{00000000-0005-0000-0000-0000E9920000}"/>
    <cellStyle name="Calculation 5 3 5 8" xfId="37641" xr:uid="{00000000-0005-0000-0000-0000EA920000}"/>
    <cellStyle name="Calculation 5 3 5 9" xfId="37642" xr:uid="{00000000-0005-0000-0000-0000EB920000}"/>
    <cellStyle name="Calculation 5 3 6" xfId="37643" xr:uid="{00000000-0005-0000-0000-0000EC920000}"/>
    <cellStyle name="Calculation 5 3 6 10" xfId="37644" xr:uid="{00000000-0005-0000-0000-0000ED920000}"/>
    <cellStyle name="Calculation 5 3 6 2" xfId="37645" xr:uid="{00000000-0005-0000-0000-0000EE920000}"/>
    <cellStyle name="Calculation 5 3 6 2 2" xfId="37646" xr:uid="{00000000-0005-0000-0000-0000EF920000}"/>
    <cellStyle name="Calculation 5 3 6 2 3" xfId="37647" xr:uid="{00000000-0005-0000-0000-0000F0920000}"/>
    <cellStyle name="Calculation 5 3 6 2 4" xfId="37648" xr:uid="{00000000-0005-0000-0000-0000F1920000}"/>
    <cellStyle name="Calculation 5 3 6 2 5" xfId="37649" xr:uid="{00000000-0005-0000-0000-0000F2920000}"/>
    <cellStyle name="Calculation 5 3 6 2 6" xfId="37650" xr:uid="{00000000-0005-0000-0000-0000F3920000}"/>
    <cellStyle name="Calculation 5 3 6 3" xfId="37651" xr:uid="{00000000-0005-0000-0000-0000F4920000}"/>
    <cellStyle name="Calculation 5 3 6 3 2" xfId="37652" xr:uid="{00000000-0005-0000-0000-0000F5920000}"/>
    <cellStyle name="Calculation 5 3 6 3 3" xfId="37653" xr:uid="{00000000-0005-0000-0000-0000F6920000}"/>
    <cellStyle name="Calculation 5 3 6 3 4" xfId="37654" xr:uid="{00000000-0005-0000-0000-0000F7920000}"/>
    <cellStyle name="Calculation 5 3 6 3 5" xfId="37655" xr:uid="{00000000-0005-0000-0000-0000F8920000}"/>
    <cellStyle name="Calculation 5 3 6 3 6" xfId="37656" xr:uid="{00000000-0005-0000-0000-0000F9920000}"/>
    <cellStyle name="Calculation 5 3 6 4" xfId="37657" xr:uid="{00000000-0005-0000-0000-0000FA920000}"/>
    <cellStyle name="Calculation 5 3 6 4 2" xfId="37658" xr:uid="{00000000-0005-0000-0000-0000FB920000}"/>
    <cellStyle name="Calculation 5 3 6 4 3" xfId="37659" xr:uid="{00000000-0005-0000-0000-0000FC920000}"/>
    <cellStyle name="Calculation 5 3 6 4 4" xfId="37660" xr:uid="{00000000-0005-0000-0000-0000FD920000}"/>
    <cellStyle name="Calculation 5 3 6 4 5" xfId="37661" xr:uid="{00000000-0005-0000-0000-0000FE920000}"/>
    <cellStyle name="Calculation 5 3 6 4 6" xfId="37662" xr:uid="{00000000-0005-0000-0000-0000FF920000}"/>
    <cellStyle name="Calculation 5 3 6 5" xfId="37663" xr:uid="{00000000-0005-0000-0000-000000930000}"/>
    <cellStyle name="Calculation 5 3 6 5 2" xfId="37664" xr:uid="{00000000-0005-0000-0000-000001930000}"/>
    <cellStyle name="Calculation 5 3 6 5 3" xfId="37665" xr:uid="{00000000-0005-0000-0000-000002930000}"/>
    <cellStyle name="Calculation 5 3 6 5 4" xfId="37666" xr:uid="{00000000-0005-0000-0000-000003930000}"/>
    <cellStyle name="Calculation 5 3 6 5 5" xfId="37667" xr:uid="{00000000-0005-0000-0000-000004930000}"/>
    <cellStyle name="Calculation 5 3 6 5 6" xfId="37668" xr:uid="{00000000-0005-0000-0000-000005930000}"/>
    <cellStyle name="Calculation 5 3 6 6" xfId="37669" xr:uid="{00000000-0005-0000-0000-000006930000}"/>
    <cellStyle name="Calculation 5 3 6 6 2" xfId="37670" xr:uid="{00000000-0005-0000-0000-000007930000}"/>
    <cellStyle name="Calculation 5 3 6 6 3" xfId="37671" xr:uid="{00000000-0005-0000-0000-000008930000}"/>
    <cellStyle name="Calculation 5 3 6 6 4" xfId="37672" xr:uid="{00000000-0005-0000-0000-000009930000}"/>
    <cellStyle name="Calculation 5 3 6 6 5" xfId="37673" xr:uid="{00000000-0005-0000-0000-00000A930000}"/>
    <cellStyle name="Calculation 5 3 6 6 6" xfId="37674" xr:uid="{00000000-0005-0000-0000-00000B930000}"/>
    <cellStyle name="Calculation 5 3 6 7" xfId="37675" xr:uid="{00000000-0005-0000-0000-00000C930000}"/>
    <cellStyle name="Calculation 5 3 6 7 2" xfId="37676" xr:uid="{00000000-0005-0000-0000-00000D930000}"/>
    <cellStyle name="Calculation 5 3 6 7 3" xfId="37677" xr:uid="{00000000-0005-0000-0000-00000E930000}"/>
    <cellStyle name="Calculation 5 3 6 7 4" xfId="37678" xr:uid="{00000000-0005-0000-0000-00000F930000}"/>
    <cellStyle name="Calculation 5 3 6 7 5" xfId="37679" xr:uid="{00000000-0005-0000-0000-000010930000}"/>
    <cellStyle name="Calculation 5 3 6 7 6" xfId="37680" xr:uid="{00000000-0005-0000-0000-000011930000}"/>
    <cellStyle name="Calculation 5 3 6 8" xfId="37681" xr:uid="{00000000-0005-0000-0000-000012930000}"/>
    <cellStyle name="Calculation 5 3 6 9" xfId="37682" xr:uid="{00000000-0005-0000-0000-000013930000}"/>
    <cellStyle name="Calculation 5 3 7" xfId="37683" xr:uid="{00000000-0005-0000-0000-000014930000}"/>
    <cellStyle name="Calculation 5 3 7 10" xfId="37684" xr:uid="{00000000-0005-0000-0000-000015930000}"/>
    <cellStyle name="Calculation 5 3 7 2" xfId="37685" xr:uid="{00000000-0005-0000-0000-000016930000}"/>
    <cellStyle name="Calculation 5 3 7 2 2" xfId="37686" xr:uid="{00000000-0005-0000-0000-000017930000}"/>
    <cellStyle name="Calculation 5 3 7 2 3" xfId="37687" xr:uid="{00000000-0005-0000-0000-000018930000}"/>
    <cellStyle name="Calculation 5 3 7 2 4" xfId="37688" xr:uid="{00000000-0005-0000-0000-000019930000}"/>
    <cellStyle name="Calculation 5 3 7 2 5" xfId="37689" xr:uid="{00000000-0005-0000-0000-00001A930000}"/>
    <cellStyle name="Calculation 5 3 7 2 6" xfId="37690" xr:uid="{00000000-0005-0000-0000-00001B930000}"/>
    <cellStyle name="Calculation 5 3 7 3" xfId="37691" xr:uid="{00000000-0005-0000-0000-00001C930000}"/>
    <cellStyle name="Calculation 5 3 7 3 2" xfId="37692" xr:uid="{00000000-0005-0000-0000-00001D930000}"/>
    <cellStyle name="Calculation 5 3 7 3 3" xfId="37693" xr:uid="{00000000-0005-0000-0000-00001E930000}"/>
    <cellStyle name="Calculation 5 3 7 3 4" xfId="37694" xr:uid="{00000000-0005-0000-0000-00001F930000}"/>
    <cellStyle name="Calculation 5 3 7 3 5" xfId="37695" xr:uid="{00000000-0005-0000-0000-000020930000}"/>
    <cellStyle name="Calculation 5 3 7 3 6" xfId="37696" xr:uid="{00000000-0005-0000-0000-000021930000}"/>
    <cellStyle name="Calculation 5 3 7 4" xfId="37697" xr:uid="{00000000-0005-0000-0000-000022930000}"/>
    <cellStyle name="Calculation 5 3 7 4 2" xfId="37698" xr:uid="{00000000-0005-0000-0000-000023930000}"/>
    <cellStyle name="Calculation 5 3 7 4 3" xfId="37699" xr:uid="{00000000-0005-0000-0000-000024930000}"/>
    <cellStyle name="Calculation 5 3 7 4 4" xfId="37700" xr:uid="{00000000-0005-0000-0000-000025930000}"/>
    <cellStyle name="Calculation 5 3 7 4 5" xfId="37701" xr:uid="{00000000-0005-0000-0000-000026930000}"/>
    <cellStyle name="Calculation 5 3 7 4 6" xfId="37702" xr:uid="{00000000-0005-0000-0000-000027930000}"/>
    <cellStyle name="Calculation 5 3 7 5" xfId="37703" xr:uid="{00000000-0005-0000-0000-000028930000}"/>
    <cellStyle name="Calculation 5 3 7 5 2" xfId="37704" xr:uid="{00000000-0005-0000-0000-000029930000}"/>
    <cellStyle name="Calculation 5 3 7 5 3" xfId="37705" xr:uid="{00000000-0005-0000-0000-00002A930000}"/>
    <cellStyle name="Calculation 5 3 7 5 4" xfId="37706" xr:uid="{00000000-0005-0000-0000-00002B930000}"/>
    <cellStyle name="Calculation 5 3 7 5 5" xfId="37707" xr:uid="{00000000-0005-0000-0000-00002C930000}"/>
    <cellStyle name="Calculation 5 3 7 5 6" xfId="37708" xr:uid="{00000000-0005-0000-0000-00002D930000}"/>
    <cellStyle name="Calculation 5 3 7 6" xfId="37709" xr:uid="{00000000-0005-0000-0000-00002E930000}"/>
    <cellStyle name="Calculation 5 3 7 6 2" xfId="37710" xr:uid="{00000000-0005-0000-0000-00002F930000}"/>
    <cellStyle name="Calculation 5 3 7 6 3" xfId="37711" xr:uid="{00000000-0005-0000-0000-000030930000}"/>
    <cellStyle name="Calculation 5 3 7 6 4" xfId="37712" xr:uid="{00000000-0005-0000-0000-000031930000}"/>
    <cellStyle name="Calculation 5 3 7 6 5" xfId="37713" xr:uid="{00000000-0005-0000-0000-000032930000}"/>
    <cellStyle name="Calculation 5 3 7 6 6" xfId="37714" xr:uid="{00000000-0005-0000-0000-000033930000}"/>
    <cellStyle name="Calculation 5 3 7 7" xfId="37715" xr:uid="{00000000-0005-0000-0000-000034930000}"/>
    <cellStyle name="Calculation 5 3 7 7 2" xfId="37716" xr:uid="{00000000-0005-0000-0000-000035930000}"/>
    <cellStyle name="Calculation 5 3 7 7 3" xfId="37717" xr:uid="{00000000-0005-0000-0000-000036930000}"/>
    <cellStyle name="Calculation 5 3 7 7 4" xfId="37718" xr:uid="{00000000-0005-0000-0000-000037930000}"/>
    <cellStyle name="Calculation 5 3 7 7 5" xfId="37719" xr:uid="{00000000-0005-0000-0000-000038930000}"/>
    <cellStyle name="Calculation 5 3 7 7 6" xfId="37720" xr:uid="{00000000-0005-0000-0000-000039930000}"/>
    <cellStyle name="Calculation 5 3 7 8" xfId="37721" xr:uid="{00000000-0005-0000-0000-00003A930000}"/>
    <cellStyle name="Calculation 5 3 7 9" xfId="37722" xr:uid="{00000000-0005-0000-0000-00003B930000}"/>
    <cellStyle name="Calculation 5 3 8" xfId="37723" xr:uid="{00000000-0005-0000-0000-00003C930000}"/>
    <cellStyle name="Calculation 5 3 8 10" xfId="37724" xr:uid="{00000000-0005-0000-0000-00003D930000}"/>
    <cellStyle name="Calculation 5 3 8 2" xfId="37725" xr:uid="{00000000-0005-0000-0000-00003E930000}"/>
    <cellStyle name="Calculation 5 3 8 2 2" xfId="37726" xr:uid="{00000000-0005-0000-0000-00003F930000}"/>
    <cellStyle name="Calculation 5 3 8 2 3" xfId="37727" xr:uid="{00000000-0005-0000-0000-000040930000}"/>
    <cellStyle name="Calculation 5 3 8 2 4" xfId="37728" xr:uid="{00000000-0005-0000-0000-000041930000}"/>
    <cellStyle name="Calculation 5 3 8 2 5" xfId="37729" xr:uid="{00000000-0005-0000-0000-000042930000}"/>
    <cellStyle name="Calculation 5 3 8 2 6" xfId="37730" xr:uid="{00000000-0005-0000-0000-000043930000}"/>
    <cellStyle name="Calculation 5 3 8 3" xfId="37731" xr:uid="{00000000-0005-0000-0000-000044930000}"/>
    <cellStyle name="Calculation 5 3 8 3 2" xfId="37732" xr:uid="{00000000-0005-0000-0000-000045930000}"/>
    <cellStyle name="Calculation 5 3 8 3 3" xfId="37733" xr:uid="{00000000-0005-0000-0000-000046930000}"/>
    <cellStyle name="Calculation 5 3 8 3 4" xfId="37734" xr:uid="{00000000-0005-0000-0000-000047930000}"/>
    <cellStyle name="Calculation 5 3 8 3 5" xfId="37735" xr:uid="{00000000-0005-0000-0000-000048930000}"/>
    <cellStyle name="Calculation 5 3 8 3 6" xfId="37736" xr:uid="{00000000-0005-0000-0000-000049930000}"/>
    <cellStyle name="Calculation 5 3 8 4" xfId="37737" xr:uid="{00000000-0005-0000-0000-00004A930000}"/>
    <cellStyle name="Calculation 5 3 8 4 2" xfId="37738" xr:uid="{00000000-0005-0000-0000-00004B930000}"/>
    <cellStyle name="Calculation 5 3 8 4 3" xfId="37739" xr:uid="{00000000-0005-0000-0000-00004C930000}"/>
    <cellStyle name="Calculation 5 3 8 4 4" xfId="37740" xr:uid="{00000000-0005-0000-0000-00004D930000}"/>
    <cellStyle name="Calculation 5 3 8 4 5" xfId="37741" xr:uid="{00000000-0005-0000-0000-00004E930000}"/>
    <cellStyle name="Calculation 5 3 8 4 6" xfId="37742" xr:uid="{00000000-0005-0000-0000-00004F930000}"/>
    <cellStyle name="Calculation 5 3 8 5" xfId="37743" xr:uid="{00000000-0005-0000-0000-000050930000}"/>
    <cellStyle name="Calculation 5 3 8 5 2" xfId="37744" xr:uid="{00000000-0005-0000-0000-000051930000}"/>
    <cellStyle name="Calculation 5 3 8 5 3" xfId="37745" xr:uid="{00000000-0005-0000-0000-000052930000}"/>
    <cellStyle name="Calculation 5 3 8 5 4" xfId="37746" xr:uid="{00000000-0005-0000-0000-000053930000}"/>
    <cellStyle name="Calculation 5 3 8 5 5" xfId="37747" xr:uid="{00000000-0005-0000-0000-000054930000}"/>
    <cellStyle name="Calculation 5 3 8 5 6" xfId="37748" xr:uid="{00000000-0005-0000-0000-000055930000}"/>
    <cellStyle name="Calculation 5 3 8 6" xfId="37749" xr:uid="{00000000-0005-0000-0000-000056930000}"/>
    <cellStyle name="Calculation 5 3 8 6 2" xfId="37750" xr:uid="{00000000-0005-0000-0000-000057930000}"/>
    <cellStyle name="Calculation 5 3 8 6 3" xfId="37751" xr:uid="{00000000-0005-0000-0000-000058930000}"/>
    <cellStyle name="Calculation 5 3 8 6 4" xfId="37752" xr:uid="{00000000-0005-0000-0000-000059930000}"/>
    <cellStyle name="Calculation 5 3 8 6 5" xfId="37753" xr:uid="{00000000-0005-0000-0000-00005A930000}"/>
    <cellStyle name="Calculation 5 3 8 6 6" xfId="37754" xr:uid="{00000000-0005-0000-0000-00005B930000}"/>
    <cellStyle name="Calculation 5 3 8 7" xfId="37755" xr:uid="{00000000-0005-0000-0000-00005C930000}"/>
    <cellStyle name="Calculation 5 3 8 7 2" xfId="37756" xr:uid="{00000000-0005-0000-0000-00005D930000}"/>
    <cellStyle name="Calculation 5 3 8 7 3" xfId="37757" xr:uid="{00000000-0005-0000-0000-00005E930000}"/>
    <cellStyle name="Calculation 5 3 8 7 4" xfId="37758" xr:uid="{00000000-0005-0000-0000-00005F930000}"/>
    <cellStyle name="Calculation 5 3 8 7 5" xfId="37759" xr:uid="{00000000-0005-0000-0000-000060930000}"/>
    <cellStyle name="Calculation 5 3 8 7 6" xfId="37760" xr:uid="{00000000-0005-0000-0000-000061930000}"/>
    <cellStyle name="Calculation 5 3 8 8" xfId="37761" xr:uid="{00000000-0005-0000-0000-000062930000}"/>
    <cellStyle name="Calculation 5 3 8 9" xfId="37762" xr:uid="{00000000-0005-0000-0000-000063930000}"/>
    <cellStyle name="Calculation 5 3 9" xfId="37763" xr:uid="{00000000-0005-0000-0000-000064930000}"/>
    <cellStyle name="Calculation 5 3 9 10" xfId="37764" xr:uid="{00000000-0005-0000-0000-000065930000}"/>
    <cellStyle name="Calculation 5 3 9 2" xfId="37765" xr:uid="{00000000-0005-0000-0000-000066930000}"/>
    <cellStyle name="Calculation 5 3 9 2 2" xfId="37766" xr:uid="{00000000-0005-0000-0000-000067930000}"/>
    <cellStyle name="Calculation 5 3 9 2 3" xfId="37767" xr:uid="{00000000-0005-0000-0000-000068930000}"/>
    <cellStyle name="Calculation 5 3 9 2 4" xfId="37768" xr:uid="{00000000-0005-0000-0000-000069930000}"/>
    <cellStyle name="Calculation 5 3 9 2 5" xfId="37769" xr:uid="{00000000-0005-0000-0000-00006A930000}"/>
    <cellStyle name="Calculation 5 3 9 2 6" xfId="37770" xr:uid="{00000000-0005-0000-0000-00006B930000}"/>
    <cellStyle name="Calculation 5 3 9 3" xfId="37771" xr:uid="{00000000-0005-0000-0000-00006C930000}"/>
    <cellStyle name="Calculation 5 3 9 3 2" xfId="37772" xr:uid="{00000000-0005-0000-0000-00006D930000}"/>
    <cellStyle name="Calculation 5 3 9 3 3" xfId="37773" xr:uid="{00000000-0005-0000-0000-00006E930000}"/>
    <cellStyle name="Calculation 5 3 9 3 4" xfId="37774" xr:uid="{00000000-0005-0000-0000-00006F930000}"/>
    <cellStyle name="Calculation 5 3 9 3 5" xfId="37775" xr:uid="{00000000-0005-0000-0000-000070930000}"/>
    <cellStyle name="Calculation 5 3 9 3 6" xfId="37776" xr:uid="{00000000-0005-0000-0000-000071930000}"/>
    <cellStyle name="Calculation 5 3 9 4" xfId="37777" xr:uid="{00000000-0005-0000-0000-000072930000}"/>
    <cellStyle name="Calculation 5 3 9 4 2" xfId="37778" xr:uid="{00000000-0005-0000-0000-000073930000}"/>
    <cellStyle name="Calculation 5 3 9 4 3" xfId="37779" xr:uid="{00000000-0005-0000-0000-000074930000}"/>
    <cellStyle name="Calculation 5 3 9 4 4" xfId="37780" xr:uid="{00000000-0005-0000-0000-000075930000}"/>
    <cellStyle name="Calculation 5 3 9 4 5" xfId="37781" xr:uid="{00000000-0005-0000-0000-000076930000}"/>
    <cellStyle name="Calculation 5 3 9 4 6" xfId="37782" xr:uid="{00000000-0005-0000-0000-000077930000}"/>
    <cellStyle name="Calculation 5 3 9 5" xfId="37783" xr:uid="{00000000-0005-0000-0000-000078930000}"/>
    <cellStyle name="Calculation 5 3 9 5 2" xfId="37784" xr:uid="{00000000-0005-0000-0000-000079930000}"/>
    <cellStyle name="Calculation 5 3 9 5 3" xfId="37785" xr:uid="{00000000-0005-0000-0000-00007A930000}"/>
    <cellStyle name="Calculation 5 3 9 5 4" xfId="37786" xr:uid="{00000000-0005-0000-0000-00007B930000}"/>
    <cellStyle name="Calculation 5 3 9 5 5" xfId="37787" xr:uid="{00000000-0005-0000-0000-00007C930000}"/>
    <cellStyle name="Calculation 5 3 9 5 6" xfId="37788" xr:uid="{00000000-0005-0000-0000-00007D930000}"/>
    <cellStyle name="Calculation 5 3 9 6" xfId="37789" xr:uid="{00000000-0005-0000-0000-00007E930000}"/>
    <cellStyle name="Calculation 5 3 9 6 2" xfId="37790" xr:uid="{00000000-0005-0000-0000-00007F930000}"/>
    <cellStyle name="Calculation 5 3 9 6 3" xfId="37791" xr:uid="{00000000-0005-0000-0000-000080930000}"/>
    <cellStyle name="Calculation 5 3 9 6 4" xfId="37792" xr:uid="{00000000-0005-0000-0000-000081930000}"/>
    <cellStyle name="Calculation 5 3 9 6 5" xfId="37793" xr:uid="{00000000-0005-0000-0000-000082930000}"/>
    <cellStyle name="Calculation 5 3 9 6 6" xfId="37794" xr:uid="{00000000-0005-0000-0000-000083930000}"/>
    <cellStyle name="Calculation 5 3 9 7" xfId="37795" xr:uid="{00000000-0005-0000-0000-000084930000}"/>
    <cellStyle name="Calculation 5 3 9 7 2" xfId="37796" xr:uid="{00000000-0005-0000-0000-000085930000}"/>
    <cellStyle name="Calculation 5 3 9 7 3" xfId="37797" xr:uid="{00000000-0005-0000-0000-000086930000}"/>
    <cellStyle name="Calculation 5 3 9 7 4" xfId="37798" xr:uid="{00000000-0005-0000-0000-000087930000}"/>
    <cellStyle name="Calculation 5 3 9 7 5" xfId="37799" xr:uid="{00000000-0005-0000-0000-000088930000}"/>
    <cellStyle name="Calculation 5 3 9 7 6" xfId="37800" xr:uid="{00000000-0005-0000-0000-000089930000}"/>
    <cellStyle name="Calculation 5 3 9 8" xfId="37801" xr:uid="{00000000-0005-0000-0000-00008A930000}"/>
    <cellStyle name="Calculation 5 3 9 9" xfId="37802" xr:uid="{00000000-0005-0000-0000-00008B930000}"/>
    <cellStyle name="Calculation 5 30" xfId="37803" xr:uid="{00000000-0005-0000-0000-00008C930000}"/>
    <cellStyle name="Calculation 5 30 2" xfId="37804" xr:uid="{00000000-0005-0000-0000-00008D930000}"/>
    <cellStyle name="Calculation 5 30 3" xfId="37805" xr:uid="{00000000-0005-0000-0000-00008E930000}"/>
    <cellStyle name="Calculation 5 30 4" xfId="37806" xr:uid="{00000000-0005-0000-0000-00008F930000}"/>
    <cellStyle name="Calculation 5 30 5" xfId="37807" xr:uid="{00000000-0005-0000-0000-000090930000}"/>
    <cellStyle name="Calculation 5 30 6" xfId="37808" xr:uid="{00000000-0005-0000-0000-000091930000}"/>
    <cellStyle name="Calculation 5 31" xfId="37809" xr:uid="{00000000-0005-0000-0000-000092930000}"/>
    <cellStyle name="Calculation 5 31 2" xfId="37810" xr:uid="{00000000-0005-0000-0000-000093930000}"/>
    <cellStyle name="Calculation 5 31 3" xfId="37811" xr:uid="{00000000-0005-0000-0000-000094930000}"/>
    <cellStyle name="Calculation 5 31 4" xfId="37812" xr:uid="{00000000-0005-0000-0000-000095930000}"/>
    <cellStyle name="Calculation 5 31 5" xfId="37813" xr:uid="{00000000-0005-0000-0000-000096930000}"/>
    <cellStyle name="Calculation 5 31 6" xfId="37814" xr:uid="{00000000-0005-0000-0000-000097930000}"/>
    <cellStyle name="Calculation 5 32" xfId="37815" xr:uid="{00000000-0005-0000-0000-000098930000}"/>
    <cellStyle name="Calculation 5 33" xfId="37816" xr:uid="{00000000-0005-0000-0000-000099930000}"/>
    <cellStyle name="Calculation 5 34" xfId="37817" xr:uid="{00000000-0005-0000-0000-00009A930000}"/>
    <cellStyle name="Calculation 5 4" xfId="37818" xr:uid="{00000000-0005-0000-0000-00009B930000}"/>
    <cellStyle name="Calculation 5 4 10" xfId="37819" xr:uid="{00000000-0005-0000-0000-00009C930000}"/>
    <cellStyle name="Calculation 5 4 2" xfId="37820" xr:uid="{00000000-0005-0000-0000-00009D930000}"/>
    <cellStyle name="Calculation 5 4 2 2" xfId="37821" xr:uid="{00000000-0005-0000-0000-00009E930000}"/>
    <cellStyle name="Calculation 5 4 2 3" xfId="37822" xr:uid="{00000000-0005-0000-0000-00009F930000}"/>
    <cellStyle name="Calculation 5 4 2 4" xfId="37823" xr:uid="{00000000-0005-0000-0000-0000A0930000}"/>
    <cellStyle name="Calculation 5 4 2 5" xfId="37824" xr:uid="{00000000-0005-0000-0000-0000A1930000}"/>
    <cellStyle name="Calculation 5 4 2 6" xfId="37825" xr:uid="{00000000-0005-0000-0000-0000A2930000}"/>
    <cellStyle name="Calculation 5 4 3" xfId="37826" xr:uid="{00000000-0005-0000-0000-0000A3930000}"/>
    <cellStyle name="Calculation 5 4 3 2" xfId="37827" xr:uid="{00000000-0005-0000-0000-0000A4930000}"/>
    <cellStyle name="Calculation 5 4 3 3" xfId="37828" xr:uid="{00000000-0005-0000-0000-0000A5930000}"/>
    <cellStyle name="Calculation 5 4 3 4" xfId="37829" xr:uid="{00000000-0005-0000-0000-0000A6930000}"/>
    <cellStyle name="Calculation 5 4 3 5" xfId="37830" xr:uid="{00000000-0005-0000-0000-0000A7930000}"/>
    <cellStyle name="Calculation 5 4 3 6" xfId="37831" xr:uid="{00000000-0005-0000-0000-0000A8930000}"/>
    <cellStyle name="Calculation 5 4 4" xfId="37832" xr:uid="{00000000-0005-0000-0000-0000A9930000}"/>
    <cellStyle name="Calculation 5 4 4 2" xfId="37833" xr:uid="{00000000-0005-0000-0000-0000AA930000}"/>
    <cellStyle name="Calculation 5 4 4 3" xfId="37834" xr:uid="{00000000-0005-0000-0000-0000AB930000}"/>
    <cellStyle name="Calculation 5 4 4 4" xfId="37835" xr:uid="{00000000-0005-0000-0000-0000AC930000}"/>
    <cellStyle name="Calculation 5 4 4 5" xfId="37836" xr:uid="{00000000-0005-0000-0000-0000AD930000}"/>
    <cellStyle name="Calculation 5 4 4 6" xfId="37837" xr:uid="{00000000-0005-0000-0000-0000AE930000}"/>
    <cellStyle name="Calculation 5 4 5" xfId="37838" xr:uid="{00000000-0005-0000-0000-0000AF930000}"/>
    <cellStyle name="Calculation 5 4 5 2" xfId="37839" xr:uid="{00000000-0005-0000-0000-0000B0930000}"/>
    <cellStyle name="Calculation 5 4 5 3" xfId="37840" xr:uid="{00000000-0005-0000-0000-0000B1930000}"/>
    <cellStyle name="Calculation 5 4 5 4" xfId="37841" xr:uid="{00000000-0005-0000-0000-0000B2930000}"/>
    <cellStyle name="Calculation 5 4 5 5" xfId="37842" xr:uid="{00000000-0005-0000-0000-0000B3930000}"/>
    <cellStyle name="Calculation 5 4 5 6" xfId="37843" xr:uid="{00000000-0005-0000-0000-0000B4930000}"/>
    <cellStyle name="Calculation 5 4 6" xfId="37844" xr:uid="{00000000-0005-0000-0000-0000B5930000}"/>
    <cellStyle name="Calculation 5 4 6 2" xfId="37845" xr:uid="{00000000-0005-0000-0000-0000B6930000}"/>
    <cellStyle name="Calculation 5 4 6 3" xfId="37846" xr:uid="{00000000-0005-0000-0000-0000B7930000}"/>
    <cellStyle name="Calculation 5 4 6 4" xfId="37847" xr:uid="{00000000-0005-0000-0000-0000B8930000}"/>
    <cellStyle name="Calculation 5 4 6 5" xfId="37848" xr:uid="{00000000-0005-0000-0000-0000B9930000}"/>
    <cellStyle name="Calculation 5 4 6 6" xfId="37849" xr:uid="{00000000-0005-0000-0000-0000BA930000}"/>
    <cellStyle name="Calculation 5 4 7" xfId="37850" xr:uid="{00000000-0005-0000-0000-0000BB930000}"/>
    <cellStyle name="Calculation 5 4 7 2" xfId="37851" xr:uid="{00000000-0005-0000-0000-0000BC930000}"/>
    <cellStyle name="Calculation 5 4 7 3" xfId="37852" xr:uid="{00000000-0005-0000-0000-0000BD930000}"/>
    <cellStyle name="Calculation 5 4 7 4" xfId="37853" xr:uid="{00000000-0005-0000-0000-0000BE930000}"/>
    <cellStyle name="Calculation 5 4 7 5" xfId="37854" xr:uid="{00000000-0005-0000-0000-0000BF930000}"/>
    <cellStyle name="Calculation 5 4 7 6" xfId="37855" xr:uid="{00000000-0005-0000-0000-0000C0930000}"/>
    <cellStyle name="Calculation 5 4 8" xfId="37856" xr:uid="{00000000-0005-0000-0000-0000C1930000}"/>
    <cellStyle name="Calculation 5 4 9" xfId="37857" xr:uid="{00000000-0005-0000-0000-0000C2930000}"/>
    <cellStyle name="Calculation 5 5" xfId="37858" xr:uid="{00000000-0005-0000-0000-0000C3930000}"/>
    <cellStyle name="Calculation 5 5 10" xfId="37859" xr:uid="{00000000-0005-0000-0000-0000C4930000}"/>
    <cellStyle name="Calculation 5 5 2" xfId="37860" xr:uid="{00000000-0005-0000-0000-0000C5930000}"/>
    <cellStyle name="Calculation 5 5 2 2" xfId="37861" xr:uid="{00000000-0005-0000-0000-0000C6930000}"/>
    <cellStyle name="Calculation 5 5 2 3" xfId="37862" xr:uid="{00000000-0005-0000-0000-0000C7930000}"/>
    <cellStyle name="Calculation 5 5 2 4" xfId="37863" xr:uid="{00000000-0005-0000-0000-0000C8930000}"/>
    <cellStyle name="Calculation 5 5 2 5" xfId="37864" xr:uid="{00000000-0005-0000-0000-0000C9930000}"/>
    <cellStyle name="Calculation 5 5 2 6" xfId="37865" xr:uid="{00000000-0005-0000-0000-0000CA930000}"/>
    <cellStyle name="Calculation 5 5 3" xfId="37866" xr:uid="{00000000-0005-0000-0000-0000CB930000}"/>
    <cellStyle name="Calculation 5 5 3 2" xfId="37867" xr:uid="{00000000-0005-0000-0000-0000CC930000}"/>
    <cellStyle name="Calculation 5 5 3 3" xfId="37868" xr:uid="{00000000-0005-0000-0000-0000CD930000}"/>
    <cellStyle name="Calculation 5 5 3 4" xfId="37869" xr:uid="{00000000-0005-0000-0000-0000CE930000}"/>
    <cellStyle name="Calculation 5 5 3 5" xfId="37870" xr:uid="{00000000-0005-0000-0000-0000CF930000}"/>
    <cellStyle name="Calculation 5 5 3 6" xfId="37871" xr:uid="{00000000-0005-0000-0000-0000D0930000}"/>
    <cellStyle name="Calculation 5 5 4" xfId="37872" xr:uid="{00000000-0005-0000-0000-0000D1930000}"/>
    <cellStyle name="Calculation 5 5 4 2" xfId="37873" xr:uid="{00000000-0005-0000-0000-0000D2930000}"/>
    <cellStyle name="Calculation 5 5 4 3" xfId="37874" xr:uid="{00000000-0005-0000-0000-0000D3930000}"/>
    <cellStyle name="Calculation 5 5 4 4" xfId="37875" xr:uid="{00000000-0005-0000-0000-0000D4930000}"/>
    <cellStyle name="Calculation 5 5 4 5" xfId="37876" xr:uid="{00000000-0005-0000-0000-0000D5930000}"/>
    <cellStyle name="Calculation 5 5 4 6" xfId="37877" xr:uid="{00000000-0005-0000-0000-0000D6930000}"/>
    <cellStyle name="Calculation 5 5 5" xfId="37878" xr:uid="{00000000-0005-0000-0000-0000D7930000}"/>
    <cellStyle name="Calculation 5 5 5 2" xfId="37879" xr:uid="{00000000-0005-0000-0000-0000D8930000}"/>
    <cellStyle name="Calculation 5 5 5 3" xfId="37880" xr:uid="{00000000-0005-0000-0000-0000D9930000}"/>
    <cellStyle name="Calculation 5 5 5 4" xfId="37881" xr:uid="{00000000-0005-0000-0000-0000DA930000}"/>
    <cellStyle name="Calculation 5 5 5 5" xfId="37882" xr:uid="{00000000-0005-0000-0000-0000DB930000}"/>
    <cellStyle name="Calculation 5 5 5 6" xfId="37883" xr:uid="{00000000-0005-0000-0000-0000DC930000}"/>
    <cellStyle name="Calculation 5 5 6" xfId="37884" xr:uid="{00000000-0005-0000-0000-0000DD930000}"/>
    <cellStyle name="Calculation 5 5 6 2" xfId="37885" xr:uid="{00000000-0005-0000-0000-0000DE930000}"/>
    <cellStyle name="Calculation 5 5 6 3" xfId="37886" xr:uid="{00000000-0005-0000-0000-0000DF930000}"/>
    <cellStyle name="Calculation 5 5 6 4" xfId="37887" xr:uid="{00000000-0005-0000-0000-0000E0930000}"/>
    <cellStyle name="Calculation 5 5 6 5" xfId="37888" xr:uid="{00000000-0005-0000-0000-0000E1930000}"/>
    <cellStyle name="Calculation 5 5 6 6" xfId="37889" xr:uid="{00000000-0005-0000-0000-0000E2930000}"/>
    <cellStyle name="Calculation 5 5 7" xfId="37890" xr:uid="{00000000-0005-0000-0000-0000E3930000}"/>
    <cellStyle name="Calculation 5 5 7 2" xfId="37891" xr:uid="{00000000-0005-0000-0000-0000E4930000}"/>
    <cellStyle name="Calculation 5 5 7 3" xfId="37892" xr:uid="{00000000-0005-0000-0000-0000E5930000}"/>
    <cellStyle name="Calculation 5 5 7 4" xfId="37893" xr:uid="{00000000-0005-0000-0000-0000E6930000}"/>
    <cellStyle name="Calculation 5 5 7 5" xfId="37894" xr:uid="{00000000-0005-0000-0000-0000E7930000}"/>
    <cellStyle name="Calculation 5 5 7 6" xfId="37895" xr:uid="{00000000-0005-0000-0000-0000E8930000}"/>
    <cellStyle name="Calculation 5 5 8" xfId="37896" xr:uid="{00000000-0005-0000-0000-0000E9930000}"/>
    <cellStyle name="Calculation 5 5 9" xfId="37897" xr:uid="{00000000-0005-0000-0000-0000EA930000}"/>
    <cellStyle name="Calculation 5 6" xfId="37898" xr:uid="{00000000-0005-0000-0000-0000EB930000}"/>
    <cellStyle name="Calculation 5 6 10" xfId="37899" xr:uid="{00000000-0005-0000-0000-0000EC930000}"/>
    <cellStyle name="Calculation 5 6 2" xfId="37900" xr:uid="{00000000-0005-0000-0000-0000ED930000}"/>
    <cellStyle name="Calculation 5 6 2 2" xfId="37901" xr:uid="{00000000-0005-0000-0000-0000EE930000}"/>
    <cellStyle name="Calculation 5 6 2 3" xfId="37902" xr:uid="{00000000-0005-0000-0000-0000EF930000}"/>
    <cellStyle name="Calculation 5 6 2 4" xfId="37903" xr:uid="{00000000-0005-0000-0000-0000F0930000}"/>
    <cellStyle name="Calculation 5 6 2 5" xfId="37904" xr:uid="{00000000-0005-0000-0000-0000F1930000}"/>
    <cellStyle name="Calculation 5 6 2 6" xfId="37905" xr:uid="{00000000-0005-0000-0000-0000F2930000}"/>
    <cellStyle name="Calculation 5 6 3" xfId="37906" xr:uid="{00000000-0005-0000-0000-0000F3930000}"/>
    <cellStyle name="Calculation 5 6 3 2" xfId="37907" xr:uid="{00000000-0005-0000-0000-0000F4930000}"/>
    <cellStyle name="Calculation 5 6 3 3" xfId="37908" xr:uid="{00000000-0005-0000-0000-0000F5930000}"/>
    <cellStyle name="Calculation 5 6 3 4" xfId="37909" xr:uid="{00000000-0005-0000-0000-0000F6930000}"/>
    <cellStyle name="Calculation 5 6 3 5" xfId="37910" xr:uid="{00000000-0005-0000-0000-0000F7930000}"/>
    <cellStyle name="Calculation 5 6 3 6" xfId="37911" xr:uid="{00000000-0005-0000-0000-0000F8930000}"/>
    <cellStyle name="Calculation 5 6 4" xfId="37912" xr:uid="{00000000-0005-0000-0000-0000F9930000}"/>
    <cellStyle name="Calculation 5 6 4 2" xfId="37913" xr:uid="{00000000-0005-0000-0000-0000FA930000}"/>
    <cellStyle name="Calculation 5 6 4 3" xfId="37914" xr:uid="{00000000-0005-0000-0000-0000FB930000}"/>
    <cellStyle name="Calculation 5 6 4 4" xfId="37915" xr:uid="{00000000-0005-0000-0000-0000FC930000}"/>
    <cellStyle name="Calculation 5 6 4 5" xfId="37916" xr:uid="{00000000-0005-0000-0000-0000FD930000}"/>
    <cellStyle name="Calculation 5 6 4 6" xfId="37917" xr:uid="{00000000-0005-0000-0000-0000FE930000}"/>
    <cellStyle name="Calculation 5 6 5" xfId="37918" xr:uid="{00000000-0005-0000-0000-0000FF930000}"/>
    <cellStyle name="Calculation 5 6 5 2" xfId="37919" xr:uid="{00000000-0005-0000-0000-000000940000}"/>
    <cellStyle name="Calculation 5 6 5 3" xfId="37920" xr:uid="{00000000-0005-0000-0000-000001940000}"/>
    <cellStyle name="Calculation 5 6 5 4" xfId="37921" xr:uid="{00000000-0005-0000-0000-000002940000}"/>
    <cellStyle name="Calculation 5 6 5 5" xfId="37922" xr:uid="{00000000-0005-0000-0000-000003940000}"/>
    <cellStyle name="Calculation 5 6 5 6" xfId="37923" xr:uid="{00000000-0005-0000-0000-000004940000}"/>
    <cellStyle name="Calculation 5 6 6" xfId="37924" xr:uid="{00000000-0005-0000-0000-000005940000}"/>
    <cellStyle name="Calculation 5 6 6 2" xfId="37925" xr:uid="{00000000-0005-0000-0000-000006940000}"/>
    <cellStyle name="Calculation 5 6 6 3" xfId="37926" xr:uid="{00000000-0005-0000-0000-000007940000}"/>
    <cellStyle name="Calculation 5 6 6 4" xfId="37927" xr:uid="{00000000-0005-0000-0000-000008940000}"/>
    <cellStyle name="Calculation 5 6 6 5" xfId="37928" xr:uid="{00000000-0005-0000-0000-000009940000}"/>
    <cellStyle name="Calculation 5 6 6 6" xfId="37929" xr:uid="{00000000-0005-0000-0000-00000A940000}"/>
    <cellStyle name="Calculation 5 6 7" xfId="37930" xr:uid="{00000000-0005-0000-0000-00000B940000}"/>
    <cellStyle name="Calculation 5 6 7 2" xfId="37931" xr:uid="{00000000-0005-0000-0000-00000C940000}"/>
    <cellStyle name="Calculation 5 6 7 3" xfId="37932" xr:uid="{00000000-0005-0000-0000-00000D940000}"/>
    <cellStyle name="Calculation 5 6 7 4" xfId="37933" xr:uid="{00000000-0005-0000-0000-00000E940000}"/>
    <cellStyle name="Calculation 5 6 7 5" xfId="37934" xr:uid="{00000000-0005-0000-0000-00000F940000}"/>
    <cellStyle name="Calculation 5 6 7 6" xfId="37935" xr:uid="{00000000-0005-0000-0000-000010940000}"/>
    <cellStyle name="Calculation 5 6 8" xfId="37936" xr:uid="{00000000-0005-0000-0000-000011940000}"/>
    <cellStyle name="Calculation 5 6 9" xfId="37937" xr:uid="{00000000-0005-0000-0000-000012940000}"/>
    <cellStyle name="Calculation 5 7" xfId="37938" xr:uid="{00000000-0005-0000-0000-000013940000}"/>
    <cellStyle name="Calculation 5 7 10" xfId="37939" xr:uid="{00000000-0005-0000-0000-000014940000}"/>
    <cellStyle name="Calculation 5 7 2" xfId="37940" xr:uid="{00000000-0005-0000-0000-000015940000}"/>
    <cellStyle name="Calculation 5 7 2 2" xfId="37941" xr:uid="{00000000-0005-0000-0000-000016940000}"/>
    <cellStyle name="Calculation 5 7 2 3" xfId="37942" xr:uid="{00000000-0005-0000-0000-000017940000}"/>
    <cellStyle name="Calculation 5 7 2 4" xfId="37943" xr:uid="{00000000-0005-0000-0000-000018940000}"/>
    <cellStyle name="Calculation 5 7 2 5" xfId="37944" xr:uid="{00000000-0005-0000-0000-000019940000}"/>
    <cellStyle name="Calculation 5 7 2 6" xfId="37945" xr:uid="{00000000-0005-0000-0000-00001A940000}"/>
    <cellStyle name="Calculation 5 7 3" xfId="37946" xr:uid="{00000000-0005-0000-0000-00001B940000}"/>
    <cellStyle name="Calculation 5 7 3 2" xfId="37947" xr:uid="{00000000-0005-0000-0000-00001C940000}"/>
    <cellStyle name="Calculation 5 7 3 3" xfId="37948" xr:uid="{00000000-0005-0000-0000-00001D940000}"/>
    <cellStyle name="Calculation 5 7 3 4" xfId="37949" xr:uid="{00000000-0005-0000-0000-00001E940000}"/>
    <cellStyle name="Calculation 5 7 3 5" xfId="37950" xr:uid="{00000000-0005-0000-0000-00001F940000}"/>
    <cellStyle name="Calculation 5 7 3 6" xfId="37951" xr:uid="{00000000-0005-0000-0000-000020940000}"/>
    <cellStyle name="Calculation 5 7 4" xfId="37952" xr:uid="{00000000-0005-0000-0000-000021940000}"/>
    <cellStyle name="Calculation 5 7 4 2" xfId="37953" xr:uid="{00000000-0005-0000-0000-000022940000}"/>
    <cellStyle name="Calculation 5 7 4 3" xfId="37954" xr:uid="{00000000-0005-0000-0000-000023940000}"/>
    <cellStyle name="Calculation 5 7 4 4" xfId="37955" xr:uid="{00000000-0005-0000-0000-000024940000}"/>
    <cellStyle name="Calculation 5 7 4 5" xfId="37956" xr:uid="{00000000-0005-0000-0000-000025940000}"/>
    <cellStyle name="Calculation 5 7 4 6" xfId="37957" xr:uid="{00000000-0005-0000-0000-000026940000}"/>
    <cellStyle name="Calculation 5 7 5" xfId="37958" xr:uid="{00000000-0005-0000-0000-000027940000}"/>
    <cellStyle name="Calculation 5 7 5 2" xfId="37959" xr:uid="{00000000-0005-0000-0000-000028940000}"/>
    <cellStyle name="Calculation 5 7 5 3" xfId="37960" xr:uid="{00000000-0005-0000-0000-000029940000}"/>
    <cellStyle name="Calculation 5 7 5 4" xfId="37961" xr:uid="{00000000-0005-0000-0000-00002A940000}"/>
    <cellStyle name="Calculation 5 7 5 5" xfId="37962" xr:uid="{00000000-0005-0000-0000-00002B940000}"/>
    <cellStyle name="Calculation 5 7 5 6" xfId="37963" xr:uid="{00000000-0005-0000-0000-00002C940000}"/>
    <cellStyle name="Calculation 5 7 6" xfId="37964" xr:uid="{00000000-0005-0000-0000-00002D940000}"/>
    <cellStyle name="Calculation 5 7 6 2" xfId="37965" xr:uid="{00000000-0005-0000-0000-00002E940000}"/>
    <cellStyle name="Calculation 5 7 6 3" xfId="37966" xr:uid="{00000000-0005-0000-0000-00002F940000}"/>
    <cellStyle name="Calculation 5 7 6 4" xfId="37967" xr:uid="{00000000-0005-0000-0000-000030940000}"/>
    <cellStyle name="Calculation 5 7 6 5" xfId="37968" xr:uid="{00000000-0005-0000-0000-000031940000}"/>
    <cellStyle name="Calculation 5 7 6 6" xfId="37969" xr:uid="{00000000-0005-0000-0000-000032940000}"/>
    <cellStyle name="Calculation 5 7 7" xfId="37970" xr:uid="{00000000-0005-0000-0000-000033940000}"/>
    <cellStyle name="Calculation 5 7 7 2" xfId="37971" xr:uid="{00000000-0005-0000-0000-000034940000}"/>
    <cellStyle name="Calculation 5 7 7 3" xfId="37972" xr:uid="{00000000-0005-0000-0000-000035940000}"/>
    <cellStyle name="Calculation 5 7 7 4" xfId="37973" xr:uid="{00000000-0005-0000-0000-000036940000}"/>
    <cellStyle name="Calculation 5 7 7 5" xfId="37974" xr:uid="{00000000-0005-0000-0000-000037940000}"/>
    <cellStyle name="Calculation 5 7 7 6" xfId="37975" xr:uid="{00000000-0005-0000-0000-000038940000}"/>
    <cellStyle name="Calculation 5 7 8" xfId="37976" xr:uid="{00000000-0005-0000-0000-000039940000}"/>
    <cellStyle name="Calculation 5 7 9" xfId="37977" xr:uid="{00000000-0005-0000-0000-00003A940000}"/>
    <cellStyle name="Calculation 5 8" xfId="37978" xr:uid="{00000000-0005-0000-0000-00003B940000}"/>
    <cellStyle name="Calculation 5 8 10" xfId="37979" xr:uid="{00000000-0005-0000-0000-00003C940000}"/>
    <cellStyle name="Calculation 5 8 2" xfId="37980" xr:uid="{00000000-0005-0000-0000-00003D940000}"/>
    <cellStyle name="Calculation 5 8 2 2" xfId="37981" xr:uid="{00000000-0005-0000-0000-00003E940000}"/>
    <cellStyle name="Calculation 5 8 2 3" xfId="37982" xr:uid="{00000000-0005-0000-0000-00003F940000}"/>
    <cellStyle name="Calculation 5 8 2 4" xfId="37983" xr:uid="{00000000-0005-0000-0000-000040940000}"/>
    <cellStyle name="Calculation 5 8 2 5" xfId="37984" xr:uid="{00000000-0005-0000-0000-000041940000}"/>
    <cellStyle name="Calculation 5 8 2 6" xfId="37985" xr:uid="{00000000-0005-0000-0000-000042940000}"/>
    <cellStyle name="Calculation 5 8 3" xfId="37986" xr:uid="{00000000-0005-0000-0000-000043940000}"/>
    <cellStyle name="Calculation 5 8 3 2" xfId="37987" xr:uid="{00000000-0005-0000-0000-000044940000}"/>
    <cellStyle name="Calculation 5 8 3 3" xfId="37988" xr:uid="{00000000-0005-0000-0000-000045940000}"/>
    <cellStyle name="Calculation 5 8 3 4" xfId="37989" xr:uid="{00000000-0005-0000-0000-000046940000}"/>
    <cellStyle name="Calculation 5 8 3 5" xfId="37990" xr:uid="{00000000-0005-0000-0000-000047940000}"/>
    <cellStyle name="Calculation 5 8 3 6" xfId="37991" xr:uid="{00000000-0005-0000-0000-000048940000}"/>
    <cellStyle name="Calculation 5 8 4" xfId="37992" xr:uid="{00000000-0005-0000-0000-000049940000}"/>
    <cellStyle name="Calculation 5 8 4 2" xfId="37993" xr:uid="{00000000-0005-0000-0000-00004A940000}"/>
    <cellStyle name="Calculation 5 8 4 3" xfId="37994" xr:uid="{00000000-0005-0000-0000-00004B940000}"/>
    <cellStyle name="Calculation 5 8 4 4" xfId="37995" xr:uid="{00000000-0005-0000-0000-00004C940000}"/>
    <cellStyle name="Calculation 5 8 4 5" xfId="37996" xr:uid="{00000000-0005-0000-0000-00004D940000}"/>
    <cellStyle name="Calculation 5 8 4 6" xfId="37997" xr:uid="{00000000-0005-0000-0000-00004E940000}"/>
    <cellStyle name="Calculation 5 8 5" xfId="37998" xr:uid="{00000000-0005-0000-0000-00004F940000}"/>
    <cellStyle name="Calculation 5 8 5 2" xfId="37999" xr:uid="{00000000-0005-0000-0000-000050940000}"/>
    <cellStyle name="Calculation 5 8 5 3" xfId="38000" xr:uid="{00000000-0005-0000-0000-000051940000}"/>
    <cellStyle name="Calculation 5 8 5 4" xfId="38001" xr:uid="{00000000-0005-0000-0000-000052940000}"/>
    <cellStyle name="Calculation 5 8 5 5" xfId="38002" xr:uid="{00000000-0005-0000-0000-000053940000}"/>
    <cellStyle name="Calculation 5 8 5 6" xfId="38003" xr:uid="{00000000-0005-0000-0000-000054940000}"/>
    <cellStyle name="Calculation 5 8 6" xfId="38004" xr:uid="{00000000-0005-0000-0000-000055940000}"/>
    <cellStyle name="Calculation 5 8 6 2" xfId="38005" xr:uid="{00000000-0005-0000-0000-000056940000}"/>
    <cellStyle name="Calculation 5 8 6 3" xfId="38006" xr:uid="{00000000-0005-0000-0000-000057940000}"/>
    <cellStyle name="Calculation 5 8 6 4" xfId="38007" xr:uid="{00000000-0005-0000-0000-000058940000}"/>
    <cellStyle name="Calculation 5 8 6 5" xfId="38008" xr:uid="{00000000-0005-0000-0000-000059940000}"/>
    <cellStyle name="Calculation 5 8 6 6" xfId="38009" xr:uid="{00000000-0005-0000-0000-00005A940000}"/>
    <cellStyle name="Calculation 5 8 7" xfId="38010" xr:uid="{00000000-0005-0000-0000-00005B940000}"/>
    <cellStyle name="Calculation 5 8 7 2" xfId="38011" xr:uid="{00000000-0005-0000-0000-00005C940000}"/>
    <cellStyle name="Calculation 5 8 7 3" xfId="38012" xr:uid="{00000000-0005-0000-0000-00005D940000}"/>
    <cellStyle name="Calculation 5 8 7 4" xfId="38013" xr:uid="{00000000-0005-0000-0000-00005E940000}"/>
    <cellStyle name="Calculation 5 8 7 5" xfId="38014" xr:uid="{00000000-0005-0000-0000-00005F940000}"/>
    <cellStyle name="Calculation 5 8 7 6" xfId="38015" xr:uid="{00000000-0005-0000-0000-000060940000}"/>
    <cellStyle name="Calculation 5 8 8" xfId="38016" xr:uid="{00000000-0005-0000-0000-000061940000}"/>
    <cellStyle name="Calculation 5 8 9" xfId="38017" xr:uid="{00000000-0005-0000-0000-000062940000}"/>
    <cellStyle name="Calculation 5 9" xfId="38018" xr:uid="{00000000-0005-0000-0000-000063940000}"/>
    <cellStyle name="Calculation 5 9 10" xfId="38019" xr:uid="{00000000-0005-0000-0000-000064940000}"/>
    <cellStyle name="Calculation 5 9 2" xfId="38020" xr:uid="{00000000-0005-0000-0000-000065940000}"/>
    <cellStyle name="Calculation 5 9 2 2" xfId="38021" xr:uid="{00000000-0005-0000-0000-000066940000}"/>
    <cellStyle name="Calculation 5 9 2 3" xfId="38022" xr:uid="{00000000-0005-0000-0000-000067940000}"/>
    <cellStyle name="Calculation 5 9 2 4" xfId="38023" xr:uid="{00000000-0005-0000-0000-000068940000}"/>
    <cellStyle name="Calculation 5 9 2 5" xfId="38024" xr:uid="{00000000-0005-0000-0000-000069940000}"/>
    <cellStyle name="Calculation 5 9 2 6" xfId="38025" xr:uid="{00000000-0005-0000-0000-00006A940000}"/>
    <cellStyle name="Calculation 5 9 3" xfId="38026" xr:uid="{00000000-0005-0000-0000-00006B940000}"/>
    <cellStyle name="Calculation 5 9 3 2" xfId="38027" xr:uid="{00000000-0005-0000-0000-00006C940000}"/>
    <cellStyle name="Calculation 5 9 3 3" xfId="38028" xr:uid="{00000000-0005-0000-0000-00006D940000}"/>
    <cellStyle name="Calculation 5 9 3 4" xfId="38029" xr:uid="{00000000-0005-0000-0000-00006E940000}"/>
    <cellStyle name="Calculation 5 9 3 5" xfId="38030" xr:uid="{00000000-0005-0000-0000-00006F940000}"/>
    <cellStyle name="Calculation 5 9 3 6" xfId="38031" xr:uid="{00000000-0005-0000-0000-000070940000}"/>
    <cellStyle name="Calculation 5 9 4" xfId="38032" xr:uid="{00000000-0005-0000-0000-000071940000}"/>
    <cellStyle name="Calculation 5 9 4 2" xfId="38033" xr:uid="{00000000-0005-0000-0000-000072940000}"/>
    <cellStyle name="Calculation 5 9 4 3" xfId="38034" xr:uid="{00000000-0005-0000-0000-000073940000}"/>
    <cellStyle name="Calculation 5 9 4 4" xfId="38035" xr:uid="{00000000-0005-0000-0000-000074940000}"/>
    <cellStyle name="Calculation 5 9 4 5" xfId="38036" xr:uid="{00000000-0005-0000-0000-000075940000}"/>
    <cellStyle name="Calculation 5 9 4 6" xfId="38037" xr:uid="{00000000-0005-0000-0000-000076940000}"/>
    <cellStyle name="Calculation 5 9 5" xfId="38038" xr:uid="{00000000-0005-0000-0000-000077940000}"/>
    <cellStyle name="Calculation 5 9 5 2" xfId="38039" xr:uid="{00000000-0005-0000-0000-000078940000}"/>
    <cellStyle name="Calculation 5 9 5 3" xfId="38040" xr:uid="{00000000-0005-0000-0000-000079940000}"/>
    <cellStyle name="Calculation 5 9 5 4" xfId="38041" xr:uid="{00000000-0005-0000-0000-00007A940000}"/>
    <cellStyle name="Calculation 5 9 5 5" xfId="38042" xr:uid="{00000000-0005-0000-0000-00007B940000}"/>
    <cellStyle name="Calculation 5 9 5 6" xfId="38043" xr:uid="{00000000-0005-0000-0000-00007C940000}"/>
    <cellStyle name="Calculation 5 9 6" xfId="38044" xr:uid="{00000000-0005-0000-0000-00007D940000}"/>
    <cellStyle name="Calculation 5 9 6 2" xfId="38045" xr:uid="{00000000-0005-0000-0000-00007E940000}"/>
    <cellStyle name="Calculation 5 9 6 3" xfId="38046" xr:uid="{00000000-0005-0000-0000-00007F940000}"/>
    <cellStyle name="Calculation 5 9 6 4" xfId="38047" xr:uid="{00000000-0005-0000-0000-000080940000}"/>
    <cellStyle name="Calculation 5 9 6 5" xfId="38048" xr:uid="{00000000-0005-0000-0000-000081940000}"/>
    <cellStyle name="Calculation 5 9 6 6" xfId="38049" xr:uid="{00000000-0005-0000-0000-000082940000}"/>
    <cellStyle name="Calculation 5 9 7" xfId="38050" xr:uid="{00000000-0005-0000-0000-000083940000}"/>
    <cellStyle name="Calculation 5 9 7 2" xfId="38051" xr:uid="{00000000-0005-0000-0000-000084940000}"/>
    <cellStyle name="Calculation 5 9 7 3" xfId="38052" xr:uid="{00000000-0005-0000-0000-000085940000}"/>
    <cellStyle name="Calculation 5 9 7 4" xfId="38053" xr:uid="{00000000-0005-0000-0000-000086940000}"/>
    <cellStyle name="Calculation 5 9 7 5" xfId="38054" xr:uid="{00000000-0005-0000-0000-000087940000}"/>
    <cellStyle name="Calculation 5 9 7 6" xfId="38055" xr:uid="{00000000-0005-0000-0000-000088940000}"/>
    <cellStyle name="Calculation 5 9 8" xfId="38056" xr:uid="{00000000-0005-0000-0000-000089940000}"/>
    <cellStyle name="Calculation 5 9 9" xfId="38057" xr:uid="{00000000-0005-0000-0000-00008A940000}"/>
    <cellStyle name="Calculation 6" xfId="38058" xr:uid="{00000000-0005-0000-0000-00008B940000}"/>
    <cellStyle name="Calculation 6 10" xfId="38059" xr:uid="{00000000-0005-0000-0000-00008C940000}"/>
    <cellStyle name="Calculation 6 10 10" xfId="38060" xr:uid="{00000000-0005-0000-0000-00008D940000}"/>
    <cellStyle name="Calculation 6 10 2" xfId="38061" xr:uid="{00000000-0005-0000-0000-00008E940000}"/>
    <cellStyle name="Calculation 6 10 2 2" xfId="38062" xr:uid="{00000000-0005-0000-0000-00008F940000}"/>
    <cellStyle name="Calculation 6 10 2 3" xfId="38063" xr:uid="{00000000-0005-0000-0000-000090940000}"/>
    <cellStyle name="Calculation 6 10 2 4" xfId="38064" xr:uid="{00000000-0005-0000-0000-000091940000}"/>
    <cellStyle name="Calculation 6 10 2 5" xfId="38065" xr:uid="{00000000-0005-0000-0000-000092940000}"/>
    <cellStyle name="Calculation 6 10 2 6" xfId="38066" xr:uid="{00000000-0005-0000-0000-000093940000}"/>
    <cellStyle name="Calculation 6 10 3" xfId="38067" xr:uid="{00000000-0005-0000-0000-000094940000}"/>
    <cellStyle name="Calculation 6 10 3 2" xfId="38068" xr:uid="{00000000-0005-0000-0000-000095940000}"/>
    <cellStyle name="Calculation 6 10 3 3" xfId="38069" xr:uid="{00000000-0005-0000-0000-000096940000}"/>
    <cellStyle name="Calculation 6 10 3 4" xfId="38070" xr:uid="{00000000-0005-0000-0000-000097940000}"/>
    <cellStyle name="Calculation 6 10 3 5" xfId="38071" xr:uid="{00000000-0005-0000-0000-000098940000}"/>
    <cellStyle name="Calculation 6 10 3 6" xfId="38072" xr:uid="{00000000-0005-0000-0000-000099940000}"/>
    <cellStyle name="Calculation 6 10 4" xfId="38073" xr:uid="{00000000-0005-0000-0000-00009A940000}"/>
    <cellStyle name="Calculation 6 10 4 2" xfId="38074" xr:uid="{00000000-0005-0000-0000-00009B940000}"/>
    <cellStyle name="Calculation 6 10 4 3" xfId="38075" xr:uid="{00000000-0005-0000-0000-00009C940000}"/>
    <cellStyle name="Calculation 6 10 4 4" xfId="38076" xr:uid="{00000000-0005-0000-0000-00009D940000}"/>
    <cellStyle name="Calculation 6 10 4 5" xfId="38077" xr:uid="{00000000-0005-0000-0000-00009E940000}"/>
    <cellStyle name="Calculation 6 10 4 6" xfId="38078" xr:uid="{00000000-0005-0000-0000-00009F940000}"/>
    <cellStyle name="Calculation 6 10 5" xfId="38079" xr:uid="{00000000-0005-0000-0000-0000A0940000}"/>
    <cellStyle name="Calculation 6 10 5 2" xfId="38080" xr:uid="{00000000-0005-0000-0000-0000A1940000}"/>
    <cellStyle name="Calculation 6 10 5 3" xfId="38081" xr:uid="{00000000-0005-0000-0000-0000A2940000}"/>
    <cellStyle name="Calculation 6 10 5 4" xfId="38082" xr:uid="{00000000-0005-0000-0000-0000A3940000}"/>
    <cellStyle name="Calculation 6 10 5 5" xfId="38083" xr:uid="{00000000-0005-0000-0000-0000A4940000}"/>
    <cellStyle name="Calculation 6 10 5 6" xfId="38084" xr:uid="{00000000-0005-0000-0000-0000A5940000}"/>
    <cellStyle name="Calculation 6 10 6" xfId="38085" xr:uid="{00000000-0005-0000-0000-0000A6940000}"/>
    <cellStyle name="Calculation 6 10 6 2" xfId="38086" xr:uid="{00000000-0005-0000-0000-0000A7940000}"/>
    <cellStyle name="Calculation 6 10 6 3" xfId="38087" xr:uid="{00000000-0005-0000-0000-0000A8940000}"/>
    <cellStyle name="Calculation 6 10 6 4" xfId="38088" xr:uid="{00000000-0005-0000-0000-0000A9940000}"/>
    <cellStyle name="Calculation 6 10 6 5" xfId="38089" xr:uid="{00000000-0005-0000-0000-0000AA940000}"/>
    <cellStyle name="Calculation 6 10 6 6" xfId="38090" xr:uid="{00000000-0005-0000-0000-0000AB940000}"/>
    <cellStyle name="Calculation 6 10 7" xfId="38091" xr:uid="{00000000-0005-0000-0000-0000AC940000}"/>
    <cellStyle name="Calculation 6 10 7 2" xfId="38092" xr:uid="{00000000-0005-0000-0000-0000AD940000}"/>
    <cellStyle name="Calculation 6 10 7 3" xfId="38093" xr:uid="{00000000-0005-0000-0000-0000AE940000}"/>
    <cellStyle name="Calculation 6 10 7 4" xfId="38094" xr:uid="{00000000-0005-0000-0000-0000AF940000}"/>
    <cellStyle name="Calculation 6 10 7 5" xfId="38095" xr:uid="{00000000-0005-0000-0000-0000B0940000}"/>
    <cellStyle name="Calculation 6 10 7 6" xfId="38096" xr:uid="{00000000-0005-0000-0000-0000B1940000}"/>
    <cellStyle name="Calculation 6 10 8" xfId="38097" xr:uid="{00000000-0005-0000-0000-0000B2940000}"/>
    <cellStyle name="Calculation 6 10 9" xfId="38098" xr:uid="{00000000-0005-0000-0000-0000B3940000}"/>
    <cellStyle name="Calculation 6 11" xfId="38099" xr:uid="{00000000-0005-0000-0000-0000B4940000}"/>
    <cellStyle name="Calculation 6 11 10" xfId="38100" xr:uid="{00000000-0005-0000-0000-0000B5940000}"/>
    <cellStyle name="Calculation 6 11 2" xfId="38101" xr:uid="{00000000-0005-0000-0000-0000B6940000}"/>
    <cellStyle name="Calculation 6 11 2 2" xfId="38102" xr:uid="{00000000-0005-0000-0000-0000B7940000}"/>
    <cellStyle name="Calculation 6 11 2 3" xfId="38103" xr:uid="{00000000-0005-0000-0000-0000B8940000}"/>
    <cellStyle name="Calculation 6 11 2 4" xfId="38104" xr:uid="{00000000-0005-0000-0000-0000B9940000}"/>
    <cellStyle name="Calculation 6 11 2 5" xfId="38105" xr:uid="{00000000-0005-0000-0000-0000BA940000}"/>
    <cellStyle name="Calculation 6 11 2 6" xfId="38106" xr:uid="{00000000-0005-0000-0000-0000BB940000}"/>
    <cellStyle name="Calculation 6 11 3" xfId="38107" xr:uid="{00000000-0005-0000-0000-0000BC940000}"/>
    <cellStyle name="Calculation 6 11 3 2" xfId="38108" xr:uid="{00000000-0005-0000-0000-0000BD940000}"/>
    <cellStyle name="Calculation 6 11 3 3" xfId="38109" xr:uid="{00000000-0005-0000-0000-0000BE940000}"/>
    <cellStyle name="Calculation 6 11 3 4" xfId="38110" xr:uid="{00000000-0005-0000-0000-0000BF940000}"/>
    <cellStyle name="Calculation 6 11 3 5" xfId="38111" xr:uid="{00000000-0005-0000-0000-0000C0940000}"/>
    <cellStyle name="Calculation 6 11 3 6" xfId="38112" xr:uid="{00000000-0005-0000-0000-0000C1940000}"/>
    <cellStyle name="Calculation 6 11 4" xfId="38113" xr:uid="{00000000-0005-0000-0000-0000C2940000}"/>
    <cellStyle name="Calculation 6 11 4 2" xfId="38114" xr:uid="{00000000-0005-0000-0000-0000C3940000}"/>
    <cellStyle name="Calculation 6 11 4 3" xfId="38115" xr:uid="{00000000-0005-0000-0000-0000C4940000}"/>
    <cellStyle name="Calculation 6 11 4 4" xfId="38116" xr:uid="{00000000-0005-0000-0000-0000C5940000}"/>
    <cellStyle name="Calculation 6 11 4 5" xfId="38117" xr:uid="{00000000-0005-0000-0000-0000C6940000}"/>
    <cellStyle name="Calculation 6 11 4 6" xfId="38118" xr:uid="{00000000-0005-0000-0000-0000C7940000}"/>
    <cellStyle name="Calculation 6 11 5" xfId="38119" xr:uid="{00000000-0005-0000-0000-0000C8940000}"/>
    <cellStyle name="Calculation 6 11 5 2" xfId="38120" xr:uid="{00000000-0005-0000-0000-0000C9940000}"/>
    <cellStyle name="Calculation 6 11 5 3" xfId="38121" xr:uid="{00000000-0005-0000-0000-0000CA940000}"/>
    <cellStyle name="Calculation 6 11 5 4" xfId="38122" xr:uid="{00000000-0005-0000-0000-0000CB940000}"/>
    <cellStyle name="Calculation 6 11 5 5" xfId="38123" xr:uid="{00000000-0005-0000-0000-0000CC940000}"/>
    <cellStyle name="Calculation 6 11 5 6" xfId="38124" xr:uid="{00000000-0005-0000-0000-0000CD940000}"/>
    <cellStyle name="Calculation 6 11 6" xfId="38125" xr:uid="{00000000-0005-0000-0000-0000CE940000}"/>
    <cellStyle name="Calculation 6 11 6 2" xfId="38126" xr:uid="{00000000-0005-0000-0000-0000CF940000}"/>
    <cellStyle name="Calculation 6 11 6 3" xfId="38127" xr:uid="{00000000-0005-0000-0000-0000D0940000}"/>
    <cellStyle name="Calculation 6 11 6 4" xfId="38128" xr:uid="{00000000-0005-0000-0000-0000D1940000}"/>
    <cellStyle name="Calculation 6 11 6 5" xfId="38129" xr:uid="{00000000-0005-0000-0000-0000D2940000}"/>
    <cellStyle name="Calculation 6 11 6 6" xfId="38130" xr:uid="{00000000-0005-0000-0000-0000D3940000}"/>
    <cellStyle name="Calculation 6 11 7" xfId="38131" xr:uid="{00000000-0005-0000-0000-0000D4940000}"/>
    <cellStyle name="Calculation 6 11 7 2" xfId="38132" xr:uid="{00000000-0005-0000-0000-0000D5940000}"/>
    <cellStyle name="Calculation 6 11 7 3" xfId="38133" xr:uid="{00000000-0005-0000-0000-0000D6940000}"/>
    <cellStyle name="Calculation 6 11 7 4" xfId="38134" xr:uid="{00000000-0005-0000-0000-0000D7940000}"/>
    <cellStyle name="Calculation 6 11 7 5" xfId="38135" xr:uid="{00000000-0005-0000-0000-0000D8940000}"/>
    <cellStyle name="Calculation 6 11 7 6" xfId="38136" xr:uid="{00000000-0005-0000-0000-0000D9940000}"/>
    <cellStyle name="Calculation 6 11 8" xfId="38137" xr:uid="{00000000-0005-0000-0000-0000DA940000}"/>
    <cellStyle name="Calculation 6 11 9" xfId="38138" xr:uid="{00000000-0005-0000-0000-0000DB940000}"/>
    <cellStyle name="Calculation 6 12" xfId="38139" xr:uid="{00000000-0005-0000-0000-0000DC940000}"/>
    <cellStyle name="Calculation 6 12 10" xfId="38140" xr:uid="{00000000-0005-0000-0000-0000DD940000}"/>
    <cellStyle name="Calculation 6 12 2" xfId="38141" xr:uid="{00000000-0005-0000-0000-0000DE940000}"/>
    <cellStyle name="Calculation 6 12 2 2" xfId="38142" xr:uid="{00000000-0005-0000-0000-0000DF940000}"/>
    <cellStyle name="Calculation 6 12 2 3" xfId="38143" xr:uid="{00000000-0005-0000-0000-0000E0940000}"/>
    <cellStyle name="Calculation 6 12 2 4" xfId="38144" xr:uid="{00000000-0005-0000-0000-0000E1940000}"/>
    <cellStyle name="Calculation 6 12 2 5" xfId="38145" xr:uid="{00000000-0005-0000-0000-0000E2940000}"/>
    <cellStyle name="Calculation 6 12 2 6" xfId="38146" xr:uid="{00000000-0005-0000-0000-0000E3940000}"/>
    <cellStyle name="Calculation 6 12 3" xfId="38147" xr:uid="{00000000-0005-0000-0000-0000E4940000}"/>
    <cellStyle name="Calculation 6 12 3 2" xfId="38148" xr:uid="{00000000-0005-0000-0000-0000E5940000}"/>
    <cellStyle name="Calculation 6 12 3 3" xfId="38149" xr:uid="{00000000-0005-0000-0000-0000E6940000}"/>
    <cellStyle name="Calculation 6 12 3 4" xfId="38150" xr:uid="{00000000-0005-0000-0000-0000E7940000}"/>
    <cellStyle name="Calculation 6 12 3 5" xfId="38151" xr:uid="{00000000-0005-0000-0000-0000E8940000}"/>
    <cellStyle name="Calculation 6 12 3 6" xfId="38152" xr:uid="{00000000-0005-0000-0000-0000E9940000}"/>
    <cellStyle name="Calculation 6 12 4" xfId="38153" xr:uid="{00000000-0005-0000-0000-0000EA940000}"/>
    <cellStyle name="Calculation 6 12 4 2" xfId="38154" xr:uid="{00000000-0005-0000-0000-0000EB940000}"/>
    <cellStyle name="Calculation 6 12 4 3" xfId="38155" xr:uid="{00000000-0005-0000-0000-0000EC940000}"/>
    <cellStyle name="Calculation 6 12 4 4" xfId="38156" xr:uid="{00000000-0005-0000-0000-0000ED940000}"/>
    <cellStyle name="Calculation 6 12 4 5" xfId="38157" xr:uid="{00000000-0005-0000-0000-0000EE940000}"/>
    <cellStyle name="Calculation 6 12 4 6" xfId="38158" xr:uid="{00000000-0005-0000-0000-0000EF940000}"/>
    <cellStyle name="Calculation 6 12 5" xfId="38159" xr:uid="{00000000-0005-0000-0000-0000F0940000}"/>
    <cellStyle name="Calculation 6 12 5 2" xfId="38160" xr:uid="{00000000-0005-0000-0000-0000F1940000}"/>
    <cellStyle name="Calculation 6 12 5 3" xfId="38161" xr:uid="{00000000-0005-0000-0000-0000F2940000}"/>
    <cellStyle name="Calculation 6 12 5 4" xfId="38162" xr:uid="{00000000-0005-0000-0000-0000F3940000}"/>
    <cellStyle name="Calculation 6 12 5 5" xfId="38163" xr:uid="{00000000-0005-0000-0000-0000F4940000}"/>
    <cellStyle name="Calculation 6 12 5 6" xfId="38164" xr:uid="{00000000-0005-0000-0000-0000F5940000}"/>
    <cellStyle name="Calculation 6 12 6" xfId="38165" xr:uid="{00000000-0005-0000-0000-0000F6940000}"/>
    <cellStyle name="Calculation 6 12 6 2" xfId="38166" xr:uid="{00000000-0005-0000-0000-0000F7940000}"/>
    <cellStyle name="Calculation 6 12 6 3" xfId="38167" xr:uid="{00000000-0005-0000-0000-0000F8940000}"/>
    <cellStyle name="Calculation 6 12 6 4" xfId="38168" xr:uid="{00000000-0005-0000-0000-0000F9940000}"/>
    <cellStyle name="Calculation 6 12 6 5" xfId="38169" xr:uid="{00000000-0005-0000-0000-0000FA940000}"/>
    <cellStyle name="Calculation 6 12 6 6" xfId="38170" xr:uid="{00000000-0005-0000-0000-0000FB940000}"/>
    <cellStyle name="Calculation 6 12 7" xfId="38171" xr:uid="{00000000-0005-0000-0000-0000FC940000}"/>
    <cellStyle name="Calculation 6 12 7 2" xfId="38172" xr:uid="{00000000-0005-0000-0000-0000FD940000}"/>
    <cellStyle name="Calculation 6 12 7 3" xfId="38173" xr:uid="{00000000-0005-0000-0000-0000FE940000}"/>
    <cellStyle name="Calculation 6 12 7 4" xfId="38174" xr:uid="{00000000-0005-0000-0000-0000FF940000}"/>
    <cellStyle name="Calculation 6 12 7 5" xfId="38175" xr:uid="{00000000-0005-0000-0000-000000950000}"/>
    <cellStyle name="Calculation 6 12 7 6" xfId="38176" xr:uid="{00000000-0005-0000-0000-000001950000}"/>
    <cellStyle name="Calculation 6 12 8" xfId="38177" xr:uid="{00000000-0005-0000-0000-000002950000}"/>
    <cellStyle name="Calculation 6 12 9" xfId="38178" xr:uid="{00000000-0005-0000-0000-000003950000}"/>
    <cellStyle name="Calculation 6 13" xfId="38179" xr:uid="{00000000-0005-0000-0000-000004950000}"/>
    <cellStyle name="Calculation 6 13 10" xfId="38180" xr:uid="{00000000-0005-0000-0000-000005950000}"/>
    <cellStyle name="Calculation 6 13 2" xfId="38181" xr:uid="{00000000-0005-0000-0000-000006950000}"/>
    <cellStyle name="Calculation 6 13 2 2" xfId="38182" xr:uid="{00000000-0005-0000-0000-000007950000}"/>
    <cellStyle name="Calculation 6 13 2 3" xfId="38183" xr:uid="{00000000-0005-0000-0000-000008950000}"/>
    <cellStyle name="Calculation 6 13 2 4" xfId="38184" xr:uid="{00000000-0005-0000-0000-000009950000}"/>
    <cellStyle name="Calculation 6 13 2 5" xfId="38185" xr:uid="{00000000-0005-0000-0000-00000A950000}"/>
    <cellStyle name="Calculation 6 13 2 6" xfId="38186" xr:uid="{00000000-0005-0000-0000-00000B950000}"/>
    <cellStyle name="Calculation 6 13 3" xfId="38187" xr:uid="{00000000-0005-0000-0000-00000C950000}"/>
    <cellStyle name="Calculation 6 13 3 2" xfId="38188" xr:uid="{00000000-0005-0000-0000-00000D950000}"/>
    <cellStyle name="Calculation 6 13 3 3" xfId="38189" xr:uid="{00000000-0005-0000-0000-00000E950000}"/>
    <cellStyle name="Calculation 6 13 3 4" xfId="38190" xr:uid="{00000000-0005-0000-0000-00000F950000}"/>
    <cellStyle name="Calculation 6 13 3 5" xfId="38191" xr:uid="{00000000-0005-0000-0000-000010950000}"/>
    <cellStyle name="Calculation 6 13 3 6" xfId="38192" xr:uid="{00000000-0005-0000-0000-000011950000}"/>
    <cellStyle name="Calculation 6 13 4" xfId="38193" xr:uid="{00000000-0005-0000-0000-000012950000}"/>
    <cellStyle name="Calculation 6 13 4 2" xfId="38194" xr:uid="{00000000-0005-0000-0000-000013950000}"/>
    <cellStyle name="Calculation 6 13 4 3" xfId="38195" xr:uid="{00000000-0005-0000-0000-000014950000}"/>
    <cellStyle name="Calculation 6 13 4 4" xfId="38196" xr:uid="{00000000-0005-0000-0000-000015950000}"/>
    <cellStyle name="Calculation 6 13 4 5" xfId="38197" xr:uid="{00000000-0005-0000-0000-000016950000}"/>
    <cellStyle name="Calculation 6 13 4 6" xfId="38198" xr:uid="{00000000-0005-0000-0000-000017950000}"/>
    <cellStyle name="Calculation 6 13 5" xfId="38199" xr:uid="{00000000-0005-0000-0000-000018950000}"/>
    <cellStyle name="Calculation 6 13 5 2" xfId="38200" xr:uid="{00000000-0005-0000-0000-000019950000}"/>
    <cellStyle name="Calculation 6 13 5 3" xfId="38201" xr:uid="{00000000-0005-0000-0000-00001A950000}"/>
    <cellStyle name="Calculation 6 13 5 4" xfId="38202" xr:uid="{00000000-0005-0000-0000-00001B950000}"/>
    <cellStyle name="Calculation 6 13 5 5" xfId="38203" xr:uid="{00000000-0005-0000-0000-00001C950000}"/>
    <cellStyle name="Calculation 6 13 5 6" xfId="38204" xr:uid="{00000000-0005-0000-0000-00001D950000}"/>
    <cellStyle name="Calculation 6 13 6" xfId="38205" xr:uid="{00000000-0005-0000-0000-00001E950000}"/>
    <cellStyle name="Calculation 6 13 6 2" xfId="38206" xr:uid="{00000000-0005-0000-0000-00001F950000}"/>
    <cellStyle name="Calculation 6 13 6 3" xfId="38207" xr:uid="{00000000-0005-0000-0000-000020950000}"/>
    <cellStyle name="Calculation 6 13 6 4" xfId="38208" xr:uid="{00000000-0005-0000-0000-000021950000}"/>
    <cellStyle name="Calculation 6 13 6 5" xfId="38209" xr:uid="{00000000-0005-0000-0000-000022950000}"/>
    <cellStyle name="Calculation 6 13 6 6" xfId="38210" xr:uid="{00000000-0005-0000-0000-000023950000}"/>
    <cellStyle name="Calculation 6 13 7" xfId="38211" xr:uid="{00000000-0005-0000-0000-000024950000}"/>
    <cellStyle name="Calculation 6 13 7 2" xfId="38212" xr:uid="{00000000-0005-0000-0000-000025950000}"/>
    <cellStyle name="Calculation 6 13 7 3" xfId="38213" xr:uid="{00000000-0005-0000-0000-000026950000}"/>
    <cellStyle name="Calculation 6 13 7 4" xfId="38214" xr:uid="{00000000-0005-0000-0000-000027950000}"/>
    <cellStyle name="Calculation 6 13 7 5" xfId="38215" xr:uid="{00000000-0005-0000-0000-000028950000}"/>
    <cellStyle name="Calculation 6 13 7 6" xfId="38216" xr:uid="{00000000-0005-0000-0000-000029950000}"/>
    <cellStyle name="Calculation 6 13 8" xfId="38217" xr:uid="{00000000-0005-0000-0000-00002A950000}"/>
    <cellStyle name="Calculation 6 13 9" xfId="38218" xr:uid="{00000000-0005-0000-0000-00002B950000}"/>
    <cellStyle name="Calculation 6 14" xfId="38219" xr:uid="{00000000-0005-0000-0000-00002C950000}"/>
    <cellStyle name="Calculation 6 14 10" xfId="38220" xr:uid="{00000000-0005-0000-0000-00002D950000}"/>
    <cellStyle name="Calculation 6 14 2" xfId="38221" xr:uid="{00000000-0005-0000-0000-00002E950000}"/>
    <cellStyle name="Calculation 6 14 2 2" xfId="38222" xr:uid="{00000000-0005-0000-0000-00002F950000}"/>
    <cellStyle name="Calculation 6 14 2 3" xfId="38223" xr:uid="{00000000-0005-0000-0000-000030950000}"/>
    <cellStyle name="Calculation 6 14 2 4" xfId="38224" xr:uid="{00000000-0005-0000-0000-000031950000}"/>
    <cellStyle name="Calculation 6 14 2 5" xfId="38225" xr:uid="{00000000-0005-0000-0000-000032950000}"/>
    <cellStyle name="Calculation 6 14 2 6" xfId="38226" xr:uid="{00000000-0005-0000-0000-000033950000}"/>
    <cellStyle name="Calculation 6 14 3" xfId="38227" xr:uid="{00000000-0005-0000-0000-000034950000}"/>
    <cellStyle name="Calculation 6 14 3 2" xfId="38228" xr:uid="{00000000-0005-0000-0000-000035950000}"/>
    <cellStyle name="Calculation 6 14 3 3" xfId="38229" xr:uid="{00000000-0005-0000-0000-000036950000}"/>
    <cellStyle name="Calculation 6 14 3 4" xfId="38230" xr:uid="{00000000-0005-0000-0000-000037950000}"/>
    <cellStyle name="Calculation 6 14 3 5" xfId="38231" xr:uid="{00000000-0005-0000-0000-000038950000}"/>
    <cellStyle name="Calculation 6 14 3 6" xfId="38232" xr:uid="{00000000-0005-0000-0000-000039950000}"/>
    <cellStyle name="Calculation 6 14 4" xfId="38233" xr:uid="{00000000-0005-0000-0000-00003A950000}"/>
    <cellStyle name="Calculation 6 14 4 2" xfId="38234" xr:uid="{00000000-0005-0000-0000-00003B950000}"/>
    <cellStyle name="Calculation 6 14 4 3" xfId="38235" xr:uid="{00000000-0005-0000-0000-00003C950000}"/>
    <cellStyle name="Calculation 6 14 4 4" xfId="38236" xr:uid="{00000000-0005-0000-0000-00003D950000}"/>
    <cellStyle name="Calculation 6 14 4 5" xfId="38237" xr:uid="{00000000-0005-0000-0000-00003E950000}"/>
    <cellStyle name="Calculation 6 14 4 6" xfId="38238" xr:uid="{00000000-0005-0000-0000-00003F950000}"/>
    <cellStyle name="Calculation 6 14 5" xfId="38239" xr:uid="{00000000-0005-0000-0000-000040950000}"/>
    <cellStyle name="Calculation 6 14 5 2" xfId="38240" xr:uid="{00000000-0005-0000-0000-000041950000}"/>
    <cellStyle name="Calculation 6 14 5 3" xfId="38241" xr:uid="{00000000-0005-0000-0000-000042950000}"/>
    <cellStyle name="Calculation 6 14 5 4" xfId="38242" xr:uid="{00000000-0005-0000-0000-000043950000}"/>
    <cellStyle name="Calculation 6 14 5 5" xfId="38243" xr:uid="{00000000-0005-0000-0000-000044950000}"/>
    <cellStyle name="Calculation 6 14 5 6" xfId="38244" xr:uid="{00000000-0005-0000-0000-000045950000}"/>
    <cellStyle name="Calculation 6 14 6" xfId="38245" xr:uid="{00000000-0005-0000-0000-000046950000}"/>
    <cellStyle name="Calculation 6 14 6 2" xfId="38246" xr:uid="{00000000-0005-0000-0000-000047950000}"/>
    <cellStyle name="Calculation 6 14 6 3" xfId="38247" xr:uid="{00000000-0005-0000-0000-000048950000}"/>
    <cellStyle name="Calculation 6 14 6 4" xfId="38248" xr:uid="{00000000-0005-0000-0000-000049950000}"/>
    <cellStyle name="Calculation 6 14 6 5" xfId="38249" xr:uid="{00000000-0005-0000-0000-00004A950000}"/>
    <cellStyle name="Calculation 6 14 6 6" xfId="38250" xr:uid="{00000000-0005-0000-0000-00004B950000}"/>
    <cellStyle name="Calculation 6 14 7" xfId="38251" xr:uid="{00000000-0005-0000-0000-00004C950000}"/>
    <cellStyle name="Calculation 6 14 7 2" xfId="38252" xr:uid="{00000000-0005-0000-0000-00004D950000}"/>
    <cellStyle name="Calculation 6 14 7 3" xfId="38253" xr:uid="{00000000-0005-0000-0000-00004E950000}"/>
    <cellStyle name="Calculation 6 14 7 4" xfId="38254" xr:uid="{00000000-0005-0000-0000-00004F950000}"/>
    <cellStyle name="Calculation 6 14 7 5" xfId="38255" xr:uid="{00000000-0005-0000-0000-000050950000}"/>
    <cellStyle name="Calculation 6 14 7 6" xfId="38256" xr:uid="{00000000-0005-0000-0000-000051950000}"/>
    <cellStyle name="Calculation 6 14 8" xfId="38257" xr:uid="{00000000-0005-0000-0000-000052950000}"/>
    <cellStyle name="Calculation 6 14 9" xfId="38258" xr:uid="{00000000-0005-0000-0000-000053950000}"/>
    <cellStyle name="Calculation 6 15" xfId="38259" xr:uid="{00000000-0005-0000-0000-000054950000}"/>
    <cellStyle name="Calculation 6 15 10" xfId="38260" xr:uid="{00000000-0005-0000-0000-000055950000}"/>
    <cellStyle name="Calculation 6 15 2" xfId="38261" xr:uid="{00000000-0005-0000-0000-000056950000}"/>
    <cellStyle name="Calculation 6 15 2 2" xfId="38262" xr:uid="{00000000-0005-0000-0000-000057950000}"/>
    <cellStyle name="Calculation 6 15 2 3" xfId="38263" xr:uid="{00000000-0005-0000-0000-000058950000}"/>
    <cellStyle name="Calculation 6 15 2 4" xfId="38264" xr:uid="{00000000-0005-0000-0000-000059950000}"/>
    <cellStyle name="Calculation 6 15 2 5" xfId="38265" xr:uid="{00000000-0005-0000-0000-00005A950000}"/>
    <cellStyle name="Calculation 6 15 2 6" xfId="38266" xr:uid="{00000000-0005-0000-0000-00005B950000}"/>
    <cellStyle name="Calculation 6 15 3" xfId="38267" xr:uid="{00000000-0005-0000-0000-00005C950000}"/>
    <cellStyle name="Calculation 6 15 3 2" xfId="38268" xr:uid="{00000000-0005-0000-0000-00005D950000}"/>
    <cellStyle name="Calculation 6 15 3 3" xfId="38269" xr:uid="{00000000-0005-0000-0000-00005E950000}"/>
    <cellStyle name="Calculation 6 15 3 4" xfId="38270" xr:uid="{00000000-0005-0000-0000-00005F950000}"/>
    <cellStyle name="Calculation 6 15 3 5" xfId="38271" xr:uid="{00000000-0005-0000-0000-000060950000}"/>
    <cellStyle name="Calculation 6 15 3 6" xfId="38272" xr:uid="{00000000-0005-0000-0000-000061950000}"/>
    <cellStyle name="Calculation 6 15 4" xfId="38273" xr:uid="{00000000-0005-0000-0000-000062950000}"/>
    <cellStyle name="Calculation 6 15 4 2" xfId="38274" xr:uid="{00000000-0005-0000-0000-000063950000}"/>
    <cellStyle name="Calculation 6 15 4 3" xfId="38275" xr:uid="{00000000-0005-0000-0000-000064950000}"/>
    <cellStyle name="Calculation 6 15 4 4" xfId="38276" xr:uid="{00000000-0005-0000-0000-000065950000}"/>
    <cellStyle name="Calculation 6 15 4 5" xfId="38277" xr:uid="{00000000-0005-0000-0000-000066950000}"/>
    <cellStyle name="Calculation 6 15 4 6" xfId="38278" xr:uid="{00000000-0005-0000-0000-000067950000}"/>
    <cellStyle name="Calculation 6 15 5" xfId="38279" xr:uid="{00000000-0005-0000-0000-000068950000}"/>
    <cellStyle name="Calculation 6 15 5 2" xfId="38280" xr:uid="{00000000-0005-0000-0000-000069950000}"/>
    <cellStyle name="Calculation 6 15 5 3" xfId="38281" xr:uid="{00000000-0005-0000-0000-00006A950000}"/>
    <cellStyle name="Calculation 6 15 5 4" xfId="38282" xr:uid="{00000000-0005-0000-0000-00006B950000}"/>
    <cellStyle name="Calculation 6 15 5 5" xfId="38283" xr:uid="{00000000-0005-0000-0000-00006C950000}"/>
    <cellStyle name="Calculation 6 15 5 6" xfId="38284" xr:uid="{00000000-0005-0000-0000-00006D950000}"/>
    <cellStyle name="Calculation 6 15 6" xfId="38285" xr:uid="{00000000-0005-0000-0000-00006E950000}"/>
    <cellStyle name="Calculation 6 15 6 2" xfId="38286" xr:uid="{00000000-0005-0000-0000-00006F950000}"/>
    <cellStyle name="Calculation 6 15 6 3" xfId="38287" xr:uid="{00000000-0005-0000-0000-000070950000}"/>
    <cellStyle name="Calculation 6 15 6 4" xfId="38288" xr:uid="{00000000-0005-0000-0000-000071950000}"/>
    <cellStyle name="Calculation 6 15 6 5" xfId="38289" xr:uid="{00000000-0005-0000-0000-000072950000}"/>
    <cellStyle name="Calculation 6 15 6 6" xfId="38290" xr:uid="{00000000-0005-0000-0000-000073950000}"/>
    <cellStyle name="Calculation 6 15 7" xfId="38291" xr:uid="{00000000-0005-0000-0000-000074950000}"/>
    <cellStyle name="Calculation 6 15 7 2" xfId="38292" xr:uid="{00000000-0005-0000-0000-000075950000}"/>
    <cellStyle name="Calculation 6 15 7 3" xfId="38293" xr:uid="{00000000-0005-0000-0000-000076950000}"/>
    <cellStyle name="Calculation 6 15 7 4" xfId="38294" xr:uid="{00000000-0005-0000-0000-000077950000}"/>
    <cellStyle name="Calculation 6 15 7 5" xfId="38295" xr:uid="{00000000-0005-0000-0000-000078950000}"/>
    <cellStyle name="Calculation 6 15 7 6" xfId="38296" xr:uid="{00000000-0005-0000-0000-000079950000}"/>
    <cellStyle name="Calculation 6 15 8" xfId="38297" xr:uid="{00000000-0005-0000-0000-00007A950000}"/>
    <cellStyle name="Calculation 6 15 9" xfId="38298" xr:uid="{00000000-0005-0000-0000-00007B950000}"/>
    <cellStyle name="Calculation 6 16" xfId="38299" xr:uid="{00000000-0005-0000-0000-00007C950000}"/>
    <cellStyle name="Calculation 6 16 10" xfId="38300" xr:uid="{00000000-0005-0000-0000-00007D950000}"/>
    <cellStyle name="Calculation 6 16 2" xfId="38301" xr:uid="{00000000-0005-0000-0000-00007E950000}"/>
    <cellStyle name="Calculation 6 16 2 2" xfId="38302" xr:uid="{00000000-0005-0000-0000-00007F950000}"/>
    <cellStyle name="Calculation 6 16 2 3" xfId="38303" xr:uid="{00000000-0005-0000-0000-000080950000}"/>
    <cellStyle name="Calculation 6 16 2 4" xfId="38304" xr:uid="{00000000-0005-0000-0000-000081950000}"/>
    <cellStyle name="Calculation 6 16 2 5" xfId="38305" xr:uid="{00000000-0005-0000-0000-000082950000}"/>
    <cellStyle name="Calculation 6 16 2 6" xfId="38306" xr:uid="{00000000-0005-0000-0000-000083950000}"/>
    <cellStyle name="Calculation 6 16 3" xfId="38307" xr:uid="{00000000-0005-0000-0000-000084950000}"/>
    <cellStyle name="Calculation 6 16 3 2" xfId="38308" xr:uid="{00000000-0005-0000-0000-000085950000}"/>
    <cellStyle name="Calculation 6 16 3 3" xfId="38309" xr:uid="{00000000-0005-0000-0000-000086950000}"/>
    <cellStyle name="Calculation 6 16 3 4" xfId="38310" xr:uid="{00000000-0005-0000-0000-000087950000}"/>
    <cellStyle name="Calculation 6 16 3 5" xfId="38311" xr:uid="{00000000-0005-0000-0000-000088950000}"/>
    <cellStyle name="Calculation 6 16 3 6" xfId="38312" xr:uid="{00000000-0005-0000-0000-000089950000}"/>
    <cellStyle name="Calculation 6 16 4" xfId="38313" xr:uid="{00000000-0005-0000-0000-00008A950000}"/>
    <cellStyle name="Calculation 6 16 4 2" xfId="38314" xr:uid="{00000000-0005-0000-0000-00008B950000}"/>
    <cellStyle name="Calculation 6 16 4 3" xfId="38315" xr:uid="{00000000-0005-0000-0000-00008C950000}"/>
    <cellStyle name="Calculation 6 16 4 4" xfId="38316" xr:uid="{00000000-0005-0000-0000-00008D950000}"/>
    <cellStyle name="Calculation 6 16 4 5" xfId="38317" xr:uid="{00000000-0005-0000-0000-00008E950000}"/>
    <cellStyle name="Calculation 6 16 4 6" xfId="38318" xr:uid="{00000000-0005-0000-0000-00008F950000}"/>
    <cellStyle name="Calculation 6 16 5" xfId="38319" xr:uid="{00000000-0005-0000-0000-000090950000}"/>
    <cellStyle name="Calculation 6 16 5 2" xfId="38320" xr:uid="{00000000-0005-0000-0000-000091950000}"/>
    <cellStyle name="Calculation 6 16 5 3" xfId="38321" xr:uid="{00000000-0005-0000-0000-000092950000}"/>
    <cellStyle name="Calculation 6 16 5 4" xfId="38322" xr:uid="{00000000-0005-0000-0000-000093950000}"/>
    <cellStyle name="Calculation 6 16 5 5" xfId="38323" xr:uid="{00000000-0005-0000-0000-000094950000}"/>
    <cellStyle name="Calculation 6 16 5 6" xfId="38324" xr:uid="{00000000-0005-0000-0000-000095950000}"/>
    <cellStyle name="Calculation 6 16 6" xfId="38325" xr:uid="{00000000-0005-0000-0000-000096950000}"/>
    <cellStyle name="Calculation 6 16 6 2" xfId="38326" xr:uid="{00000000-0005-0000-0000-000097950000}"/>
    <cellStyle name="Calculation 6 16 6 3" xfId="38327" xr:uid="{00000000-0005-0000-0000-000098950000}"/>
    <cellStyle name="Calculation 6 16 6 4" xfId="38328" xr:uid="{00000000-0005-0000-0000-000099950000}"/>
    <cellStyle name="Calculation 6 16 6 5" xfId="38329" xr:uid="{00000000-0005-0000-0000-00009A950000}"/>
    <cellStyle name="Calculation 6 16 6 6" xfId="38330" xr:uid="{00000000-0005-0000-0000-00009B950000}"/>
    <cellStyle name="Calculation 6 16 7" xfId="38331" xr:uid="{00000000-0005-0000-0000-00009C950000}"/>
    <cellStyle name="Calculation 6 16 7 2" xfId="38332" xr:uid="{00000000-0005-0000-0000-00009D950000}"/>
    <cellStyle name="Calculation 6 16 7 3" xfId="38333" xr:uid="{00000000-0005-0000-0000-00009E950000}"/>
    <cellStyle name="Calculation 6 16 7 4" xfId="38334" xr:uid="{00000000-0005-0000-0000-00009F950000}"/>
    <cellStyle name="Calculation 6 16 7 5" xfId="38335" xr:uid="{00000000-0005-0000-0000-0000A0950000}"/>
    <cellStyle name="Calculation 6 16 7 6" xfId="38336" xr:uid="{00000000-0005-0000-0000-0000A1950000}"/>
    <cellStyle name="Calculation 6 16 8" xfId="38337" xr:uid="{00000000-0005-0000-0000-0000A2950000}"/>
    <cellStyle name="Calculation 6 16 9" xfId="38338" xr:uid="{00000000-0005-0000-0000-0000A3950000}"/>
    <cellStyle name="Calculation 6 17" xfId="38339" xr:uid="{00000000-0005-0000-0000-0000A4950000}"/>
    <cellStyle name="Calculation 6 17 10" xfId="38340" xr:uid="{00000000-0005-0000-0000-0000A5950000}"/>
    <cellStyle name="Calculation 6 17 2" xfId="38341" xr:uid="{00000000-0005-0000-0000-0000A6950000}"/>
    <cellStyle name="Calculation 6 17 2 2" xfId="38342" xr:uid="{00000000-0005-0000-0000-0000A7950000}"/>
    <cellStyle name="Calculation 6 17 2 3" xfId="38343" xr:uid="{00000000-0005-0000-0000-0000A8950000}"/>
    <cellStyle name="Calculation 6 17 2 4" xfId="38344" xr:uid="{00000000-0005-0000-0000-0000A9950000}"/>
    <cellStyle name="Calculation 6 17 2 5" xfId="38345" xr:uid="{00000000-0005-0000-0000-0000AA950000}"/>
    <cellStyle name="Calculation 6 17 2 6" xfId="38346" xr:uid="{00000000-0005-0000-0000-0000AB950000}"/>
    <cellStyle name="Calculation 6 17 3" xfId="38347" xr:uid="{00000000-0005-0000-0000-0000AC950000}"/>
    <cellStyle name="Calculation 6 17 3 2" xfId="38348" xr:uid="{00000000-0005-0000-0000-0000AD950000}"/>
    <cellStyle name="Calculation 6 17 3 3" xfId="38349" xr:uid="{00000000-0005-0000-0000-0000AE950000}"/>
    <cellStyle name="Calculation 6 17 3 4" xfId="38350" xr:uid="{00000000-0005-0000-0000-0000AF950000}"/>
    <cellStyle name="Calculation 6 17 3 5" xfId="38351" xr:uid="{00000000-0005-0000-0000-0000B0950000}"/>
    <cellStyle name="Calculation 6 17 3 6" xfId="38352" xr:uid="{00000000-0005-0000-0000-0000B1950000}"/>
    <cellStyle name="Calculation 6 17 4" xfId="38353" xr:uid="{00000000-0005-0000-0000-0000B2950000}"/>
    <cellStyle name="Calculation 6 17 4 2" xfId="38354" xr:uid="{00000000-0005-0000-0000-0000B3950000}"/>
    <cellStyle name="Calculation 6 17 4 3" xfId="38355" xr:uid="{00000000-0005-0000-0000-0000B4950000}"/>
    <cellStyle name="Calculation 6 17 4 4" xfId="38356" xr:uid="{00000000-0005-0000-0000-0000B5950000}"/>
    <cellStyle name="Calculation 6 17 4 5" xfId="38357" xr:uid="{00000000-0005-0000-0000-0000B6950000}"/>
    <cellStyle name="Calculation 6 17 4 6" xfId="38358" xr:uid="{00000000-0005-0000-0000-0000B7950000}"/>
    <cellStyle name="Calculation 6 17 5" xfId="38359" xr:uid="{00000000-0005-0000-0000-0000B8950000}"/>
    <cellStyle name="Calculation 6 17 5 2" xfId="38360" xr:uid="{00000000-0005-0000-0000-0000B9950000}"/>
    <cellStyle name="Calculation 6 17 5 3" xfId="38361" xr:uid="{00000000-0005-0000-0000-0000BA950000}"/>
    <cellStyle name="Calculation 6 17 5 4" xfId="38362" xr:uid="{00000000-0005-0000-0000-0000BB950000}"/>
    <cellStyle name="Calculation 6 17 5 5" xfId="38363" xr:uid="{00000000-0005-0000-0000-0000BC950000}"/>
    <cellStyle name="Calculation 6 17 5 6" xfId="38364" xr:uid="{00000000-0005-0000-0000-0000BD950000}"/>
    <cellStyle name="Calculation 6 17 6" xfId="38365" xr:uid="{00000000-0005-0000-0000-0000BE950000}"/>
    <cellStyle name="Calculation 6 17 6 2" xfId="38366" xr:uid="{00000000-0005-0000-0000-0000BF950000}"/>
    <cellStyle name="Calculation 6 17 6 3" xfId="38367" xr:uid="{00000000-0005-0000-0000-0000C0950000}"/>
    <cellStyle name="Calculation 6 17 6 4" xfId="38368" xr:uid="{00000000-0005-0000-0000-0000C1950000}"/>
    <cellStyle name="Calculation 6 17 6 5" xfId="38369" xr:uid="{00000000-0005-0000-0000-0000C2950000}"/>
    <cellStyle name="Calculation 6 17 6 6" xfId="38370" xr:uid="{00000000-0005-0000-0000-0000C3950000}"/>
    <cellStyle name="Calculation 6 17 7" xfId="38371" xr:uid="{00000000-0005-0000-0000-0000C4950000}"/>
    <cellStyle name="Calculation 6 17 7 2" xfId="38372" xr:uid="{00000000-0005-0000-0000-0000C5950000}"/>
    <cellStyle name="Calculation 6 17 7 3" xfId="38373" xr:uid="{00000000-0005-0000-0000-0000C6950000}"/>
    <cellStyle name="Calculation 6 17 7 4" xfId="38374" xr:uid="{00000000-0005-0000-0000-0000C7950000}"/>
    <cellStyle name="Calculation 6 17 7 5" xfId="38375" xr:uid="{00000000-0005-0000-0000-0000C8950000}"/>
    <cellStyle name="Calculation 6 17 7 6" xfId="38376" xr:uid="{00000000-0005-0000-0000-0000C9950000}"/>
    <cellStyle name="Calculation 6 17 8" xfId="38377" xr:uid="{00000000-0005-0000-0000-0000CA950000}"/>
    <cellStyle name="Calculation 6 17 9" xfId="38378" xr:uid="{00000000-0005-0000-0000-0000CB950000}"/>
    <cellStyle name="Calculation 6 18" xfId="38379" xr:uid="{00000000-0005-0000-0000-0000CC950000}"/>
    <cellStyle name="Calculation 6 18 10" xfId="38380" xr:uid="{00000000-0005-0000-0000-0000CD950000}"/>
    <cellStyle name="Calculation 6 18 2" xfId="38381" xr:uid="{00000000-0005-0000-0000-0000CE950000}"/>
    <cellStyle name="Calculation 6 18 2 2" xfId="38382" xr:uid="{00000000-0005-0000-0000-0000CF950000}"/>
    <cellStyle name="Calculation 6 18 2 3" xfId="38383" xr:uid="{00000000-0005-0000-0000-0000D0950000}"/>
    <cellStyle name="Calculation 6 18 2 4" xfId="38384" xr:uid="{00000000-0005-0000-0000-0000D1950000}"/>
    <cellStyle name="Calculation 6 18 2 5" xfId="38385" xr:uid="{00000000-0005-0000-0000-0000D2950000}"/>
    <cellStyle name="Calculation 6 18 2 6" xfId="38386" xr:uid="{00000000-0005-0000-0000-0000D3950000}"/>
    <cellStyle name="Calculation 6 18 3" xfId="38387" xr:uid="{00000000-0005-0000-0000-0000D4950000}"/>
    <cellStyle name="Calculation 6 18 3 2" xfId="38388" xr:uid="{00000000-0005-0000-0000-0000D5950000}"/>
    <cellStyle name="Calculation 6 18 3 3" xfId="38389" xr:uid="{00000000-0005-0000-0000-0000D6950000}"/>
    <cellStyle name="Calculation 6 18 3 4" xfId="38390" xr:uid="{00000000-0005-0000-0000-0000D7950000}"/>
    <cellStyle name="Calculation 6 18 3 5" xfId="38391" xr:uid="{00000000-0005-0000-0000-0000D8950000}"/>
    <cellStyle name="Calculation 6 18 3 6" xfId="38392" xr:uid="{00000000-0005-0000-0000-0000D9950000}"/>
    <cellStyle name="Calculation 6 18 4" xfId="38393" xr:uid="{00000000-0005-0000-0000-0000DA950000}"/>
    <cellStyle name="Calculation 6 18 4 2" xfId="38394" xr:uid="{00000000-0005-0000-0000-0000DB950000}"/>
    <cellStyle name="Calculation 6 18 4 3" xfId="38395" xr:uid="{00000000-0005-0000-0000-0000DC950000}"/>
    <cellStyle name="Calculation 6 18 4 4" xfId="38396" xr:uid="{00000000-0005-0000-0000-0000DD950000}"/>
    <cellStyle name="Calculation 6 18 4 5" xfId="38397" xr:uid="{00000000-0005-0000-0000-0000DE950000}"/>
    <cellStyle name="Calculation 6 18 4 6" xfId="38398" xr:uid="{00000000-0005-0000-0000-0000DF950000}"/>
    <cellStyle name="Calculation 6 18 5" xfId="38399" xr:uid="{00000000-0005-0000-0000-0000E0950000}"/>
    <cellStyle name="Calculation 6 18 5 2" xfId="38400" xr:uid="{00000000-0005-0000-0000-0000E1950000}"/>
    <cellStyle name="Calculation 6 18 5 3" xfId="38401" xr:uid="{00000000-0005-0000-0000-0000E2950000}"/>
    <cellStyle name="Calculation 6 18 5 4" xfId="38402" xr:uid="{00000000-0005-0000-0000-0000E3950000}"/>
    <cellStyle name="Calculation 6 18 5 5" xfId="38403" xr:uid="{00000000-0005-0000-0000-0000E4950000}"/>
    <cellStyle name="Calculation 6 18 5 6" xfId="38404" xr:uid="{00000000-0005-0000-0000-0000E5950000}"/>
    <cellStyle name="Calculation 6 18 6" xfId="38405" xr:uid="{00000000-0005-0000-0000-0000E6950000}"/>
    <cellStyle name="Calculation 6 18 6 2" xfId="38406" xr:uid="{00000000-0005-0000-0000-0000E7950000}"/>
    <cellStyle name="Calculation 6 18 6 3" xfId="38407" xr:uid="{00000000-0005-0000-0000-0000E8950000}"/>
    <cellStyle name="Calculation 6 18 6 4" xfId="38408" xr:uid="{00000000-0005-0000-0000-0000E9950000}"/>
    <cellStyle name="Calculation 6 18 6 5" xfId="38409" xr:uid="{00000000-0005-0000-0000-0000EA950000}"/>
    <cellStyle name="Calculation 6 18 6 6" xfId="38410" xr:uid="{00000000-0005-0000-0000-0000EB950000}"/>
    <cellStyle name="Calculation 6 18 7" xfId="38411" xr:uid="{00000000-0005-0000-0000-0000EC950000}"/>
    <cellStyle name="Calculation 6 18 7 2" xfId="38412" xr:uid="{00000000-0005-0000-0000-0000ED950000}"/>
    <cellStyle name="Calculation 6 18 7 3" xfId="38413" xr:uid="{00000000-0005-0000-0000-0000EE950000}"/>
    <cellStyle name="Calculation 6 18 7 4" xfId="38414" xr:uid="{00000000-0005-0000-0000-0000EF950000}"/>
    <cellStyle name="Calculation 6 18 7 5" xfId="38415" xr:uid="{00000000-0005-0000-0000-0000F0950000}"/>
    <cellStyle name="Calculation 6 18 7 6" xfId="38416" xr:uid="{00000000-0005-0000-0000-0000F1950000}"/>
    <cellStyle name="Calculation 6 18 8" xfId="38417" xr:uid="{00000000-0005-0000-0000-0000F2950000}"/>
    <cellStyle name="Calculation 6 18 9" xfId="38418" xr:uid="{00000000-0005-0000-0000-0000F3950000}"/>
    <cellStyle name="Calculation 6 19" xfId="38419" xr:uid="{00000000-0005-0000-0000-0000F4950000}"/>
    <cellStyle name="Calculation 6 19 10" xfId="38420" xr:uid="{00000000-0005-0000-0000-0000F5950000}"/>
    <cellStyle name="Calculation 6 19 2" xfId="38421" xr:uid="{00000000-0005-0000-0000-0000F6950000}"/>
    <cellStyle name="Calculation 6 19 2 2" xfId="38422" xr:uid="{00000000-0005-0000-0000-0000F7950000}"/>
    <cellStyle name="Calculation 6 19 2 3" xfId="38423" xr:uid="{00000000-0005-0000-0000-0000F8950000}"/>
    <cellStyle name="Calculation 6 19 2 4" xfId="38424" xr:uid="{00000000-0005-0000-0000-0000F9950000}"/>
    <cellStyle name="Calculation 6 19 2 5" xfId="38425" xr:uid="{00000000-0005-0000-0000-0000FA950000}"/>
    <cellStyle name="Calculation 6 19 2 6" xfId="38426" xr:uid="{00000000-0005-0000-0000-0000FB950000}"/>
    <cellStyle name="Calculation 6 19 3" xfId="38427" xr:uid="{00000000-0005-0000-0000-0000FC950000}"/>
    <cellStyle name="Calculation 6 19 3 2" xfId="38428" xr:uid="{00000000-0005-0000-0000-0000FD950000}"/>
    <cellStyle name="Calculation 6 19 3 3" xfId="38429" xr:uid="{00000000-0005-0000-0000-0000FE950000}"/>
    <cellStyle name="Calculation 6 19 3 4" xfId="38430" xr:uid="{00000000-0005-0000-0000-0000FF950000}"/>
    <cellStyle name="Calculation 6 19 3 5" xfId="38431" xr:uid="{00000000-0005-0000-0000-000000960000}"/>
    <cellStyle name="Calculation 6 19 3 6" xfId="38432" xr:uid="{00000000-0005-0000-0000-000001960000}"/>
    <cellStyle name="Calculation 6 19 4" xfId="38433" xr:uid="{00000000-0005-0000-0000-000002960000}"/>
    <cellStyle name="Calculation 6 19 4 2" xfId="38434" xr:uid="{00000000-0005-0000-0000-000003960000}"/>
    <cellStyle name="Calculation 6 19 4 3" xfId="38435" xr:uid="{00000000-0005-0000-0000-000004960000}"/>
    <cellStyle name="Calculation 6 19 4 4" xfId="38436" xr:uid="{00000000-0005-0000-0000-000005960000}"/>
    <cellStyle name="Calculation 6 19 4 5" xfId="38437" xr:uid="{00000000-0005-0000-0000-000006960000}"/>
    <cellStyle name="Calculation 6 19 4 6" xfId="38438" xr:uid="{00000000-0005-0000-0000-000007960000}"/>
    <cellStyle name="Calculation 6 19 5" xfId="38439" xr:uid="{00000000-0005-0000-0000-000008960000}"/>
    <cellStyle name="Calculation 6 19 5 2" xfId="38440" xr:uid="{00000000-0005-0000-0000-000009960000}"/>
    <cellStyle name="Calculation 6 19 5 3" xfId="38441" xr:uid="{00000000-0005-0000-0000-00000A960000}"/>
    <cellStyle name="Calculation 6 19 5 4" xfId="38442" xr:uid="{00000000-0005-0000-0000-00000B960000}"/>
    <cellStyle name="Calculation 6 19 5 5" xfId="38443" xr:uid="{00000000-0005-0000-0000-00000C960000}"/>
    <cellStyle name="Calculation 6 19 5 6" xfId="38444" xr:uid="{00000000-0005-0000-0000-00000D960000}"/>
    <cellStyle name="Calculation 6 19 6" xfId="38445" xr:uid="{00000000-0005-0000-0000-00000E960000}"/>
    <cellStyle name="Calculation 6 19 6 2" xfId="38446" xr:uid="{00000000-0005-0000-0000-00000F960000}"/>
    <cellStyle name="Calculation 6 19 6 3" xfId="38447" xr:uid="{00000000-0005-0000-0000-000010960000}"/>
    <cellStyle name="Calculation 6 19 6 4" xfId="38448" xr:uid="{00000000-0005-0000-0000-000011960000}"/>
    <cellStyle name="Calculation 6 19 6 5" xfId="38449" xr:uid="{00000000-0005-0000-0000-000012960000}"/>
    <cellStyle name="Calculation 6 19 6 6" xfId="38450" xr:uid="{00000000-0005-0000-0000-000013960000}"/>
    <cellStyle name="Calculation 6 19 7" xfId="38451" xr:uid="{00000000-0005-0000-0000-000014960000}"/>
    <cellStyle name="Calculation 6 19 7 2" xfId="38452" xr:uid="{00000000-0005-0000-0000-000015960000}"/>
    <cellStyle name="Calculation 6 19 7 3" xfId="38453" xr:uid="{00000000-0005-0000-0000-000016960000}"/>
    <cellStyle name="Calculation 6 19 7 4" xfId="38454" xr:uid="{00000000-0005-0000-0000-000017960000}"/>
    <cellStyle name="Calculation 6 19 7 5" xfId="38455" xr:uid="{00000000-0005-0000-0000-000018960000}"/>
    <cellStyle name="Calculation 6 19 7 6" xfId="38456" xr:uid="{00000000-0005-0000-0000-000019960000}"/>
    <cellStyle name="Calculation 6 19 8" xfId="38457" xr:uid="{00000000-0005-0000-0000-00001A960000}"/>
    <cellStyle name="Calculation 6 19 9" xfId="38458" xr:uid="{00000000-0005-0000-0000-00001B960000}"/>
    <cellStyle name="Calculation 6 2" xfId="38459" xr:uid="{00000000-0005-0000-0000-00001C960000}"/>
    <cellStyle name="Calculation 6 2 10" xfId="38460" xr:uid="{00000000-0005-0000-0000-00001D960000}"/>
    <cellStyle name="Calculation 6 2 10 10" xfId="38461" xr:uid="{00000000-0005-0000-0000-00001E960000}"/>
    <cellStyle name="Calculation 6 2 10 2" xfId="38462" xr:uid="{00000000-0005-0000-0000-00001F960000}"/>
    <cellStyle name="Calculation 6 2 10 2 2" xfId="38463" xr:uid="{00000000-0005-0000-0000-000020960000}"/>
    <cellStyle name="Calculation 6 2 10 2 3" xfId="38464" xr:uid="{00000000-0005-0000-0000-000021960000}"/>
    <cellStyle name="Calculation 6 2 10 2 4" xfId="38465" xr:uid="{00000000-0005-0000-0000-000022960000}"/>
    <cellStyle name="Calculation 6 2 10 2 5" xfId="38466" xr:uid="{00000000-0005-0000-0000-000023960000}"/>
    <cellStyle name="Calculation 6 2 10 2 6" xfId="38467" xr:uid="{00000000-0005-0000-0000-000024960000}"/>
    <cellStyle name="Calculation 6 2 10 3" xfId="38468" xr:uid="{00000000-0005-0000-0000-000025960000}"/>
    <cellStyle name="Calculation 6 2 10 3 2" xfId="38469" xr:uid="{00000000-0005-0000-0000-000026960000}"/>
    <cellStyle name="Calculation 6 2 10 3 3" xfId="38470" xr:uid="{00000000-0005-0000-0000-000027960000}"/>
    <cellStyle name="Calculation 6 2 10 3 4" xfId="38471" xr:uid="{00000000-0005-0000-0000-000028960000}"/>
    <cellStyle name="Calculation 6 2 10 3 5" xfId="38472" xr:uid="{00000000-0005-0000-0000-000029960000}"/>
    <cellStyle name="Calculation 6 2 10 3 6" xfId="38473" xr:uid="{00000000-0005-0000-0000-00002A960000}"/>
    <cellStyle name="Calculation 6 2 10 4" xfId="38474" xr:uid="{00000000-0005-0000-0000-00002B960000}"/>
    <cellStyle name="Calculation 6 2 10 4 2" xfId="38475" xr:uid="{00000000-0005-0000-0000-00002C960000}"/>
    <cellStyle name="Calculation 6 2 10 4 3" xfId="38476" xr:uid="{00000000-0005-0000-0000-00002D960000}"/>
    <cellStyle name="Calculation 6 2 10 4 4" xfId="38477" xr:uid="{00000000-0005-0000-0000-00002E960000}"/>
    <cellStyle name="Calculation 6 2 10 4 5" xfId="38478" xr:uid="{00000000-0005-0000-0000-00002F960000}"/>
    <cellStyle name="Calculation 6 2 10 4 6" xfId="38479" xr:uid="{00000000-0005-0000-0000-000030960000}"/>
    <cellStyle name="Calculation 6 2 10 5" xfId="38480" xr:uid="{00000000-0005-0000-0000-000031960000}"/>
    <cellStyle name="Calculation 6 2 10 5 2" xfId="38481" xr:uid="{00000000-0005-0000-0000-000032960000}"/>
    <cellStyle name="Calculation 6 2 10 5 3" xfId="38482" xr:uid="{00000000-0005-0000-0000-000033960000}"/>
    <cellStyle name="Calculation 6 2 10 5 4" xfId="38483" xr:uid="{00000000-0005-0000-0000-000034960000}"/>
    <cellStyle name="Calculation 6 2 10 5 5" xfId="38484" xr:uid="{00000000-0005-0000-0000-000035960000}"/>
    <cellStyle name="Calculation 6 2 10 5 6" xfId="38485" xr:uid="{00000000-0005-0000-0000-000036960000}"/>
    <cellStyle name="Calculation 6 2 10 6" xfId="38486" xr:uid="{00000000-0005-0000-0000-000037960000}"/>
    <cellStyle name="Calculation 6 2 10 6 2" xfId="38487" xr:uid="{00000000-0005-0000-0000-000038960000}"/>
    <cellStyle name="Calculation 6 2 10 6 3" xfId="38488" xr:uid="{00000000-0005-0000-0000-000039960000}"/>
    <cellStyle name="Calculation 6 2 10 6 4" xfId="38489" xr:uid="{00000000-0005-0000-0000-00003A960000}"/>
    <cellStyle name="Calculation 6 2 10 6 5" xfId="38490" xr:uid="{00000000-0005-0000-0000-00003B960000}"/>
    <cellStyle name="Calculation 6 2 10 6 6" xfId="38491" xr:uid="{00000000-0005-0000-0000-00003C960000}"/>
    <cellStyle name="Calculation 6 2 10 7" xfId="38492" xr:uid="{00000000-0005-0000-0000-00003D960000}"/>
    <cellStyle name="Calculation 6 2 10 7 2" xfId="38493" xr:uid="{00000000-0005-0000-0000-00003E960000}"/>
    <cellStyle name="Calculation 6 2 10 7 3" xfId="38494" xr:uid="{00000000-0005-0000-0000-00003F960000}"/>
    <cellStyle name="Calculation 6 2 10 7 4" xfId="38495" xr:uid="{00000000-0005-0000-0000-000040960000}"/>
    <cellStyle name="Calculation 6 2 10 7 5" xfId="38496" xr:uid="{00000000-0005-0000-0000-000041960000}"/>
    <cellStyle name="Calculation 6 2 10 7 6" xfId="38497" xr:uid="{00000000-0005-0000-0000-000042960000}"/>
    <cellStyle name="Calculation 6 2 10 8" xfId="38498" xr:uid="{00000000-0005-0000-0000-000043960000}"/>
    <cellStyle name="Calculation 6 2 10 9" xfId="38499" xr:uid="{00000000-0005-0000-0000-000044960000}"/>
    <cellStyle name="Calculation 6 2 11" xfId="38500" xr:uid="{00000000-0005-0000-0000-000045960000}"/>
    <cellStyle name="Calculation 6 2 11 10" xfId="38501" xr:uid="{00000000-0005-0000-0000-000046960000}"/>
    <cellStyle name="Calculation 6 2 11 2" xfId="38502" xr:uid="{00000000-0005-0000-0000-000047960000}"/>
    <cellStyle name="Calculation 6 2 11 2 2" xfId="38503" xr:uid="{00000000-0005-0000-0000-000048960000}"/>
    <cellStyle name="Calculation 6 2 11 2 3" xfId="38504" xr:uid="{00000000-0005-0000-0000-000049960000}"/>
    <cellStyle name="Calculation 6 2 11 2 4" xfId="38505" xr:uid="{00000000-0005-0000-0000-00004A960000}"/>
    <cellStyle name="Calculation 6 2 11 2 5" xfId="38506" xr:uid="{00000000-0005-0000-0000-00004B960000}"/>
    <cellStyle name="Calculation 6 2 11 2 6" xfId="38507" xr:uid="{00000000-0005-0000-0000-00004C960000}"/>
    <cellStyle name="Calculation 6 2 11 3" xfId="38508" xr:uid="{00000000-0005-0000-0000-00004D960000}"/>
    <cellStyle name="Calculation 6 2 11 3 2" xfId="38509" xr:uid="{00000000-0005-0000-0000-00004E960000}"/>
    <cellStyle name="Calculation 6 2 11 3 3" xfId="38510" xr:uid="{00000000-0005-0000-0000-00004F960000}"/>
    <cellStyle name="Calculation 6 2 11 3 4" xfId="38511" xr:uid="{00000000-0005-0000-0000-000050960000}"/>
    <cellStyle name="Calculation 6 2 11 3 5" xfId="38512" xr:uid="{00000000-0005-0000-0000-000051960000}"/>
    <cellStyle name="Calculation 6 2 11 3 6" xfId="38513" xr:uid="{00000000-0005-0000-0000-000052960000}"/>
    <cellStyle name="Calculation 6 2 11 4" xfId="38514" xr:uid="{00000000-0005-0000-0000-000053960000}"/>
    <cellStyle name="Calculation 6 2 11 4 2" xfId="38515" xr:uid="{00000000-0005-0000-0000-000054960000}"/>
    <cellStyle name="Calculation 6 2 11 4 3" xfId="38516" xr:uid="{00000000-0005-0000-0000-000055960000}"/>
    <cellStyle name="Calculation 6 2 11 4 4" xfId="38517" xr:uid="{00000000-0005-0000-0000-000056960000}"/>
    <cellStyle name="Calculation 6 2 11 4 5" xfId="38518" xr:uid="{00000000-0005-0000-0000-000057960000}"/>
    <cellStyle name="Calculation 6 2 11 4 6" xfId="38519" xr:uid="{00000000-0005-0000-0000-000058960000}"/>
    <cellStyle name="Calculation 6 2 11 5" xfId="38520" xr:uid="{00000000-0005-0000-0000-000059960000}"/>
    <cellStyle name="Calculation 6 2 11 5 2" xfId="38521" xr:uid="{00000000-0005-0000-0000-00005A960000}"/>
    <cellStyle name="Calculation 6 2 11 5 3" xfId="38522" xr:uid="{00000000-0005-0000-0000-00005B960000}"/>
    <cellStyle name="Calculation 6 2 11 5 4" xfId="38523" xr:uid="{00000000-0005-0000-0000-00005C960000}"/>
    <cellStyle name="Calculation 6 2 11 5 5" xfId="38524" xr:uid="{00000000-0005-0000-0000-00005D960000}"/>
    <cellStyle name="Calculation 6 2 11 5 6" xfId="38525" xr:uid="{00000000-0005-0000-0000-00005E960000}"/>
    <cellStyle name="Calculation 6 2 11 6" xfId="38526" xr:uid="{00000000-0005-0000-0000-00005F960000}"/>
    <cellStyle name="Calculation 6 2 11 6 2" xfId="38527" xr:uid="{00000000-0005-0000-0000-000060960000}"/>
    <cellStyle name="Calculation 6 2 11 6 3" xfId="38528" xr:uid="{00000000-0005-0000-0000-000061960000}"/>
    <cellStyle name="Calculation 6 2 11 6 4" xfId="38529" xr:uid="{00000000-0005-0000-0000-000062960000}"/>
    <cellStyle name="Calculation 6 2 11 6 5" xfId="38530" xr:uid="{00000000-0005-0000-0000-000063960000}"/>
    <cellStyle name="Calculation 6 2 11 6 6" xfId="38531" xr:uid="{00000000-0005-0000-0000-000064960000}"/>
    <cellStyle name="Calculation 6 2 11 7" xfId="38532" xr:uid="{00000000-0005-0000-0000-000065960000}"/>
    <cellStyle name="Calculation 6 2 11 7 2" xfId="38533" xr:uid="{00000000-0005-0000-0000-000066960000}"/>
    <cellStyle name="Calculation 6 2 11 7 3" xfId="38534" xr:uid="{00000000-0005-0000-0000-000067960000}"/>
    <cellStyle name="Calculation 6 2 11 7 4" xfId="38535" xr:uid="{00000000-0005-0000-0000-000068960000}"/>
    <cellStyle name="Calculation 6 2 11 7 5" xfId="38536" xr:uid="{00000000-0005-0000-0000-000069960000}"/>
    <cellStyle name="Calculation 6 2 11 7 6" xfId="38537" xr:uid="{00000000-0005-0000-0000-00006A960000}"/>
    <cellStyle name="Calculation 6 2 11 8" xfId="38538" xr:uid="{00000000-0005-0000-0000-00006B960000}"/>
    <cellStyle name="Calculation 6 2 11 9" xfId="38539" xr:uid="{00000000-0005-0000-0000-00006C960000}"/>
    <cellStyle name="Calculation 6 2 12" xfId="38540" xr:uid="{00000000-0005-0000-0000-00006D960000}"/>
    <cellStyle name="Calculation 6 2 12 10" xfId="38541" xr:uid="{00000000-0005-0000-0000-00006E960000}"/>
    <cellStyle name="Calculation 6 2 12 2" xfId="38542" xr:uid="{00000000-0005-0000-0000-00006F960000}"/>
    <cellStyle name="Calculation 6 2 12 2 2" xfId="38543" xr:uid="{00000000-0005-0000-0000-000070960000}"/>
    <cellStyle name="Calculation 6 2 12 2 3" xfId="38544" xr:uid="{00000000-0005-0000-0000-000071960000}"/>
    <cellStyle name="Calculation 6 2 12 2 4" xfId="38545" xr:uid="{00000000-0005-0000-0000-000072960000}"/>
    <cellStyle name="Calculation 6 2 12 2 5" xfId="38546" xr:uid="{00000000-0005-0000-0000-000073960000}"/>
    <cellStyle name="Calculation 6 2 12 2 6" xfId="38547" xr:uid="{00000000-0005-0000-0000-000074960000}"/>
    <cellStyle name="Calculation 6 2 12 3" xfId="38548" xr:uid="{00000000-0005-0000-0000-000075960000}"/>
    <cellStyle name="Calculation 6 2 12 3 2" xfId="38549" xr:uid="{00000000-0005-0000-0000-000076960000}"/>
    <cellStyle name="Calculation 6 2 12 3 3" xfId="38550" xr:uid="{00000000-0005-0000-0000-000077960000}"/>
    <cellStyle name="Calculation 6 2 12 3 4" xfId="38551" xr:uid="{00000000-0005-0000-0000-000078960000}"/>
    <cellStyle name="Calculation 6 2 12 3 5" xfId="38552" xr:uid="{00000000-0005-0000-0000-000079960000}"/>
    <cellStyle name="Calculation 6 2 12 3 6" xfId="38553" xr:uid="{00000000-0005-0000-0000-00007A960000}"/>
    <cellStyle name="Calculation 6 2 12 4" xfId="38554" xr:uid="{00000000-0005-0000-0000-00007B960000}"/>
    <cellStyle name="Calculation 6 2 12 4 2" xfId="38555" xr:uid="{00000000-0005-0000-0000-00007C960000}"/>
    <cellStyle name="Calculation 6 2 12 4 3" xfId="38556" xr:uid="{00000000-0005-0000-0000-00007D960000}"/>
    <cellStyle name="Calculation 6 2 12 4 4" xfId="38557" xr:uid="{00000000-0005-0000-0000-00007E960000}"/>
    <cellStyle name="Calculation 6 2 12 4 5" xfId="38558" xr:uid="{00000000-0005-0000-0000-00007F960000}"/>
    <cellStyle name="Calculation 6 2 12 4 6" xfId="38559" xr:uid="{00000000-0005-0000-0000-000080960000}"/>
    <cellStyle name="Calculation 6 2 12 5" xfId="38560" xr:uid="{00000000-0005-0000-0000-000081960000}"/>
    <cellStyle name="Calculation 6 2 12 5 2" xfId="38561" xr:uid="{00000000-0005-0000-0000-000082960000}"/>
    <cellStyle name="Calculation 6 2 12 5 3" xfId="38562" xr:uid="{00000000-0005-0000-0000-000083960000}"/>
    <cellStyle name="Calculation 6 2 12 5 4" xfId="38563" xr:uid="{00000000-0005-0000-0000-000084960000}"/>
    <cellStyle name="Calculation 6 2 12 5 5" xfId="38564" xr:uid="{00000000-0005-0000-0000-000085960000}"/>
    <cellStyle name="Calculation 6 2 12 5 6" xfId="38565" xr:uid="{00000000-0005-0000-0000-000086960000}"/>
    <cellStyle name="Calculation 6 2 12 6" xfId="38566" xr:uid="{00000000-0005-0000-0000-000087960000}"/>
    <cellStyle name="Calculation 6 2 12 6 2" xfId="38567" xr:uid="{00000000-0005-0000-0000-000088960000}"/>
    <cellStyle name="Calculation 6 2 12 6 3" xfId="38568" xr:uid="{00000000-0005-0000-0000-000089960000}"/>
    <cellStyle name="Calculation 6 2 12 6 4" xfId="38569" xr:uid="{00000000-0005-0000-0000-00008A960000}"/>
    <cellStyle name="Calculation 6 2 12 6 5" xfId="38570" xr:uid="{00000000-0005-0000-0000-00008B960000}"/>
    <cellStyle name="Calculation 6 2 12 6 6" xfId="38571" xr:uid="{00000000-0005-0000-0000-00008C960000}"/>
    <cellStyle name="Calculation 6 2 12 7" xfId="38572" xr:uid="{00000000-0005-0000-0000-00008D960000}"/>
    <cellStyle name="Calculation 6 2 12 7 2" xfId="38573" xr:uid="{00000000-0005-0000-0000-00008E960000}"/>
    <cellStyle name="Calculation 6 2 12 7 3" xfId="38574" xr:uid="{00000000-0005-0000-0000-00008F960000}"/>
    <cellStyle name="Calculation 6 2 12 7 4" xfId="38575" xr:uid="{00000000-0005-0000-0000-000090960000}"/>
    <cellStyle name="Calculation 6 2 12 7 5" xfId="38576" xr:uid="{00000000-0005-0000-0000-000091960000}"/>
    <cellStyle name="Calculation 6 2 12 7 6" xfId="38577" xr:uid="{00000000-0005-0000-0000-000092960000}"/>
    <cellStyle name="Calculation 6 2 12 8" xfId="38578" xr:uid="{00000000-0005-0000-0000-000093960000}"/>
    <cellStyle name="Calculation 6 2 12 9" xfId="38579" xr:uid="{00000000-0005-0000-0000-000094960000}"/>
    <cellStyle name="Calculation 6 2 13" xfId="38580" xr:uid="{00000000-0005-0000-0000-000095960000}"/>
    <cellStyle name="Calculation 6 2 13 10" xfId="38581" xr:uid="{00000000-0005-0000-0000-000096960000}"/>
    <cellStyle name="Calculation 6 2 13 2" xfId="38582" xr:uid="{00000000-0005-0000-0000-000097960000}"/>
    <cellStyle name="Calculation 6 2 13 2 2" xfId="38583" xr:uid="{00000000-0005-0000-0000-000098960000}"/>
    <cellStyle name="Calculation 6 2 13 2 3" xfId="38584" xr:uid="{00000000-0005-0000-0000-000099960000}"/>
    <cellStyle name="Calculation 6 2 13 2 4" xfId="38585" xr:uid="{00000000-0005-0000-0000-00009A960000}"/>
    <cellStyle name="Calculation 6 2 13 2 5" xfId="38586" xr:uid="{00000000-0005-0000-0000-00009B960000}"/>
    <cellStyle name="Calculation 6 2 13 2 6" xfId="38587" xr:uid="{00000000-0005-0000-0000-00009C960000}"/>
    <cellStyle name="Calculation 6 2 13 3" xfId="38588" xr:uid="{00000000-0005-0000-0000-00009D960000}"/>
    <cellStyle name="Calculation 6 2 13 3 2" xfId="38589" xr:uid="{00000000-0005-0000-0000-00009E960000}"/>
    <cellStyle name="Calculation 6 2 13 3 3" xfId="38590" xr:uid="{00000000-0005-0000-0000-00009F960000}"/>
    <cellStyle name="Calculation 6 2 13 3 4" xfId="38591" xr:uid="{00000000-0005-0000-0000-0000A0960000}"/>
    <cellStyle name="Calculation 6 2 13 3 5" xfId="38592" xr:uid="{00000000-0005-0000-0000-0000A1960000}"/>
    <cellStyle name="Calculation 6 2 13 3 6" xfId="38593" xr:uid="{00000000-0005-0000-0000-0000A2960000}"/>
    <cellStyle name="Calculation 6 2 13 4" xfId="38594" xr:uid="{00000000-0005-0000-0000-0000A3960000}"/>
    <cellStyle name="Calculation 6 2 13 4 2" xfId="38595" xr:uid="{00000000-0005-0000-0000-0000A4960000}"/>
    <cellStyle name="Calculation 6 2 13 4 3" xfId="38596" xr:uid="{00000000-0005-0000-0000-0000A5960000}"/>
    <cellStyle name="Calculation 6 2 13 4 4" xfId="38597" xr:uid="{00000000-0005-0000-0000-0000A6960000}"/>
    <cellStyle name="Calculation 6 2 13 4 5" xfId="38598" xr:uid="{00000000-0005-0000-0000-0000A7960000}"/>
    <cellStyle name="Calculation 6 2 13 4 6" xfId="38599" xr:uid="{00000000-0005-0000-0000-0000A8960000}"/>
    <cellStyle name="Calculation 6 2 13 5" xfId="38600" xr:uid="{00000000-0005-0000-0000-0000A9960000}"/>
    <cellStyle name="Calculation 6 2 13 5 2" xfId="38601" xr:uid="{00000000-0005-0000-0000-0000AA960000}"/>
    <cellStyle name="Calculation 6 2 13 5 3" xfId="38602" xr:uid="{00000000-0005-0000-0000-0000AB960000}"/>
    <cellStyle name="Calculation 6 2 13 5 4" xfId="38603" xr:uid="{00000000-0005-0000-0000-0000AC960000}"/>
    <cellStyle name="Calculation 6 2 13 5 5" xfId="38604" xr:uid="{00000000-0005-0000-0000-0000AD960000}"/>
    <cellStyle name="Calculation 6 2 13 5 6" xfId="38605" xr:uid="{00000000-0005-0000-0000-0000AE960000}"/>
    <cellStyle name="Calculation 6 2 13 6" xfId="38606" xr:uid="{00000000-0005-0000-0000-0000AF960000}"/>
    <cellStyle name="Calculation 6 2 13 6 2" xfId="38607" xr:uid="{00000000-0005-0000-0000-0000B0960000}"/>
    <cellStyle name="Calculation 6 2 13 6 3" xfId="38608" xr:uid="{00000000-0005-0000-0000-0000B1960000}"/>
    <cellStyle name="Calculation 6 2 13 6 4" xfId="38609" xr:uid="{00000000-0005-0000-0000-0000B2960000}"/>
    <cellStyle name="Calculation 6 2 13 6 5" xfId="38610" xr:uid="{00000000-0005-0000-0000-0000B3960000}"/>
    <cellStyle name="Calculation 6 2 13 6 6" xfId="38611" xr:uid="{00000000-0005-0000-0000-0000B4960000}"/>
    <cellStyle name="Calculation 6 2 13 7" xfId="38612" xr:uid="{00000000-0005-0000-0000-0000B5960000}"/>
    <cellStyle name="Calculation 6 2 13 7 2" xfId="38613" xr:uid="{00000000-0005-0000-0000-0000B6960000}"/>
    <cellStyle name="Calculation 6 2 13 7 3" xfId="38614" xr:uid="{00000000-0005-0000-0000-0000B7960000}"/>
    <cellStyle name="Calculation 6 2 13 7 4" xfId="38615" xr:uid="{00000000-0005-0000-0000-0000B8960000}"/>
    <cellStyle name="Calculation 6 2 13 7 5" xfId="38616" xr:uid="{00000000-0005-0000-0000-0000B9960000}"/>
    <cellStyle name="Calculation 6 2 13 7 6" xfId="38617" xr:uid="{00000000-0005-0000-0000-0000BA960000}"/>
    <cellStyle name="Calculation 6 2 13 8" xfId="38618" xr:uid="{00000000-0005-0000-0000-0000BB960000}"/>
    <cellStyle name="Calculation 6 2 13 9" xfId="38619" xr:uid="{00000000-0005-0000-0000-0000BC960000}"/>
    <cellStyle name="Calculation 6 2 14" xfId="38620" xr:uid="{00000000-0005-0000-0000-0000BD960000}"/>
    <cellStyle name="Calculation 6 2 14 10" xfId="38621" xr:uid="{00000000-0005-0000-0000-0000BE960000}"/>
    <cellStyle name="Calculation 6 2 14 2" xfId="38622" xr:uid="{00000000-0005-0000-0000-0000BF960000}"/>
    <cellStyle name="Calculation 6 2 14 2 2" xfId="38623" xr:uid="{00000000-0005-0000-0000-0000C0960000}"/>
    <cellStyle name="Calculation 6 2 14 2 3" xfId="38624" xr:uid="{00000000-0005-0000-0000-0000C1960000}"/>
    <cellStyle name="Calculation 6 2 14 2 4" xfId="38625" xr:uid="{00000000-0005-0000-0000-0000C2960000}"/>
    <cellStyle name="Calculation 6 2 14 2 5" xfId="38626" xr:uid="{00000000-0005-0000-0000-0000C3960000}"/>
    <cellStyle name="Calculation 6 2 14 2 6" xfId="38627" xr:uid="{00000000-0005-0000-0000-0000C4960000}"/>
    <cellStyle name="Calculation 6 2 14 3" xfId="38628" xr:uid="{00000000-0005-0000-0000-0000C5960000}"/>
    <cellStyle name="Calculation 6 2 14 3 2" xfId="38629" xr:uid="{00000000-0005-0000-0000-0000C6960000}"/>
    <cellStyle name="Calculation 6 2 14 3 3" xfId="38630" xr:uid="{00000000-0005-0000-0000-0000C7960000}"/>
    <cellStyle name="Calculation 6 2 14 3 4" xfId="38631" xr:uid="{00000000-0005-0000-0000-0000C8960000}"/>
    <cellStyle name="Calculation 6 2 14 3 5" xfId="38632" xr:uid="{00000000-0005-0000-0000-0000C9960000}"/>
    <cellStyle name="Calculation 6 2 14 3 6" xfId="38633" xr:uid="{00000000-0005-0000-0000-0000CA960000}"/>
    <cellStyle name="Calculation 6 2 14 4" xfId="38634" xr:uid="{00000000-0005-0000-0000-0000CB960000}"/>
    <cellStyle name="Calculation 6 2 14 4 2" xfId="38635" xr:uid="{00000000-0005-0000-0000-0000CC960000}"/>
    <cellStyle name="Calculation 6 2 14 4 3" xfId="38636" xr:uid="{00000000-0005-0000-0000-0000CD960000}"/>
    <cellStyle name="Calculation 6 2 14 4 4" xfId="38637" xr:uid="{00000000-0005-0000-0000-0000CE960000}"/>
    <cellStyle name="Calculation 6 2 14 4 5" xfId="38638" xr:uid="{00000000-0005-0000-0000-0000CF960000}"/>
    <cellStyle name="Calculation 6 2 14 4 6" xfId="38639" xr:uid="{00000000-0005-0000-0000-0000D0960000}"/>
    <cellStyle name="Calculation 6 2 14 5" xfId="38640" xr:uid="{00000000-0005-0000-0000-0000D1960000}"/>
    <cellStyle name="Calculation 6 2 14 5 2" xfId="38641" xr:uid="{00000000-0005-0000-0000-0000D2960000}"/>
    <cellStyle name="Calculation 6 2 14 5 3" xfId="38642" xr:uid="{00000000-0005-0000-0000-0000D3960000}"/>
    <cellStyle name="Calculation 6 2 14 5 4" xfId="38643" xr:uid="{00000000-0005-0000-0000-0000D4960000}"/>
    <cellStyle name="Calculation 6 2 14 5 5" xfId="38644" xr:uid="{00000000-0005-0000-0000-0000D5960000}"/>
    <cellStyle name="Calculation 6 2 14 5 6" xfId="38645" xr:uid="{00000000-0005-0000-0000-0000D6960000}"/>
    <cellStyle name="Calculation 6 2 14 6" xfId="38646" xr:uid="{00000000-0005-0000-0000-0000D7960000}"/>
    <cellStyle name="Calculation 6 2 14 6 2" xfId="38647" xr:uid="{00000000-0005-0000-0000-0000D8960000}"/>
    <cellStyle name="Calculation 6 2 14 6 3" xfId="38648" xr:uid="{00000000-0005-0000-0000-0000D9960000}"/>
    <cellStyle name="Calculation 6 2 14 6 4" xfId="38649" xr:uid="{00000000-0005-0000-0000-0000DA960000}"/>
    <cellStyle name="Calculation 6 2 14 6 5" xfId="38650" xr:uid="{00000000-0005-0000-0000-0000DB960000}"/>
    <cellStyle name="Calculation 6 2 14 6 6" xfId="38651" xr:uid="{00000000-0005-0000-0000-0000DC960000}"/>
    <cellStyle name="Calculation 6 2 14 7" xfId="38652" xr:uid="{00000000-0005-0000-0000-0000DD960000}"/>
    <cellStyle name="Calculation 6 2 14 7 2" xfId="38653" xr:uid="{00000000-0005-0000-0000-0000DE960000}"/>
    <cellStyle name="Calculation 6 2 14 7 3" xfId="38654" xr:uid="{00000000-0005-0000-0000-0000DF960000}"/>
    <cellStyle name="Calculation 6 2 14 7 4" xfId="38655" xr:uid="{00000000-0005-0000-0000-0000E0960000}"/>
    <cellStyle name="Calculation 6 2 14 7 5" xfId="38656" xr:uid="{00000000-0005-0000-0000-0000E1960000}"/>
    <cellStyle name="Calculation 6 2 14 7 6" xfId="38657" xr:uid="{00000000-0005-0000-0000-0000E2960000}"/>
    <cellStyle name="Calculation 6 2 14 8" xfId="38658" xr:uid="{00000000-0005-0000-0000-0000E3960000}"/>
    <cellStyle name="Calculation 6 2 14 9" xfId="38659" xr:uid="{00000000-0005-0000-0000-0000E4960000}"/>
    <cellStyle name="Calculation 6 2 15" xfId="38660" xr:uid="{00000000-0005-0000-0000-0000E5960000}"/>
    <cellStyle name="Calculation 6 2 15 10" xfId="38661" xr:uid="{00000000-0005-0000-0000-0000E6960000}"/>
    <cellStyle name="Calculation 6 2 15 2" xfId="38662" xr:uid="{00000000-0005-0000-0000-0000E7960000}"/>
    <cellStyle name="Calculation 6 2 15 2 2" xfId="38663" xr:uid="{00000000-0005-0000-0000-0000E8960000}"/>
    <cellStyle name="Calculation 6 2 15 2 3" xfId="38664" xr:uid="{00000000-0005-0000-0000-0000E9960000}"/>
    <cellStyle name="Calculation 6 2 15 2 4" xfId="38665" xr:uid="{00000000-0005-0000-0000-0000EA960000}"/>
    <cellStyle name="Calculation 6 2 15 2 5" xfId="38666" xr:uid="{00000000-0005-0000-0000-0000EB960000}"/>
    <cellStyle name="Calculation 6 2 15 2 6" xfId="38667" xr:uid="{00000000-0005-0000-0000-0000EC960000}"/>
    <cellStyle name="Calculation 6 2 15 3" xfId="38668" xr:uid="{00000000-0005-0000-0000-0000ED960000}"/>
    <cellStyle name="Calculation 6 2 15 3 2" xfId="38669" xr:uid="{00000000-0005-0000-0000-0000EE960000}"/>
    <cellStyle name="Calculation 6 2 15 3 3" xfId="38670" xr:uid="{00000000-0005-0000-0000-0000EF960000}"/>
    <cellStyle name="Calculation 6 2 15 3 4" xfId="38671" xr:uid="{00000000-0005-0000-0000-0000F0960000}"/>
    <cellStyle name="Calculation 6 2 15 3 5" xfId="38672" xr:uid="{00000000-0005-0000-0000-0000F1960000}"/>
    <cellStyle name="Calculation 6 2 15 3 6" xfId="38673" xr:uid="{00000000-0005-0000-0000-0000F2960000}"/>
    <cellStyle name="Calculation 6 2 15 4" xfId="38674" xr:uid="{00000000-0005-0000-0000-0000F3960000}"/>
    <cellStyle name="Calculation 6 2 15 4 2" xfId="38675" xr:uid="{00000000-0005-0000-0000-0000F4960000}"/>
    <cellStyle name="Calculation 6 2 15 4 3" xfId="38676" xr:uid="{00000000-0005-0000-0000-0000F5960000}"/>
    <cellStyle name="Calculation 6 2 15 4 4" xfId="38677" xr:uid="{00000000-0005-0000-0000-0000F6960000}"/>
    <cellStyle name="Calculation 6 2 15 4 5" xfId="38678" xr:uid="{00000000-0005-0000-0000-0000F7960000}"/>
    <cellStyle name="Calculation 6 2 15 4 6" xfId="38679" xr:uid="{00000000-0005-0000-0000-0000F8960000}"/>
    <cellStyle name="Calculation 6 2 15 5" xfId="38680" xr:uid="{00000000-0005-0000-0000-0000F9960000}"/>
    <cellStyle name="Calculation 6 2 15 5 2" xfId="38681" xr:uid="{00000000-0005-0000-0000-0000FA960000}"/>
    <cellStyle name="Calculation 6 2 15 5 3" xfId="38682" xr:uid="{00000000-0005-0000-0000-0000FB960000}"/>
    <cellStyle name="Calculation 6 2 15 5 4" xfId="38683" xr:uid="{00000000-0005-0000-0000-0000FC960000}"/>
    <cellStyle name="Calculation 6 2 15 5 5" xfId="38684" xr:uid="{00000000-0005-0000-0000-0000FD960000}"/>
    <cellStyle name="Calculation 6 2 15 5 6" xfId="38685" xr:uid="{00000000-0005-0000-0000-0000FE960000}"/>
    <cellStyle name="Calculation 6 2 15 6" xfId="38686" xr:uid="{00000000-0005-0000-0000-0000FF960000}"/>
    <cellStyle name="Calculation 6 2 15 6 2" xfId="38687" xr:uid="{00000000-0005-0000-0000-000000970000}"/>
    <cellStyle name="Calculation 6 2 15 6 3" xfId="38688" xr:uid="{00000000-0005-0000-0000-000001970000}"/>
    <cellStyle name="Calculation 6 2 15 6 4" xfId="38689" xr:uid="{00000000-0005-0000-0000-000002970000}"/>
    <cellStyle name="Calculation 6 2 15 6 5" xfId="38690" xr:uid="{00000000-0005-0000-0000-000003970000}"/>
    <cellStyle name="Calculation 6 2 15 6 6" xfId="38691" xr:uid="{00000000-0005-0000-0000-000004970000}"/>
    <cellStyle name="Calculation 6 2 15 7" xfId="38692" xr:uid="{00000000-0005-0000-0000-000005970000}"/>
    <cellStyle name="Calculation 6 2 15 7 2" xfId="38693" xr:uid="{00000000-0005-0000-0000-000006970000}"/>
    <cellStyle name="Calculation 6 2 15 7 3" xfId="38694" xr:uid="{00000000-0005-0000-0000-000007970000}"/>
    <cellStyle name="Calculation 6 2 15 7 4" xfId="38695" xr:uid="{00000000-0005-0000-0000-000008970000}"/>
    <cellStyle name="Calculation 6 2 15 7 5" xfId="38696" xr:uid="{00000000-0005-0000-0000-000009970000}"/>
    <cellStyle name="Calculation 6 2 15 7 6" xfId="38697" xr:uid="{00000000-0005-0000-0000-00000A970000}"/>
    <cellStyle name="Calculation 6 2 15 8" xfId="38698" xr:uid="{00000000-0005-0000-0000-00000B970000}"/>
    <cellStyle name="Calculation 6 2 15 9" xfId="38699" xr:uid="{00000000-0005-0000-0000-00000C970000}"/>
    <cellStyle name="Calculation 6 2 16" xfId="38700" xr:uid="{00000000-0005-0000-0000-00000D970000}"/>
    <cellStyle name="Calculation 6 2 16 10" xfId="38701" xr:uid="{00000000-0005-0000-0000-00000E970000}"/>
    <cellStyle name="Calculation 6 2 16 2" xfId="38702" xr:uid="{00000000-0005-0000-0000-00000F970000}"/>
    <cellStyle name="Calculation 6 2 16 2 2" xfId="38703" xr:uid="{00000000-0005-0000-0000-000010970000}"/>
    <cellStyle name="Calculation 6 2 16 2 3" xfId="38704" xr:uid="{00000000-0005-0000-0000-000011970000}"/>
    <cellStyle name="Calculation 6 2 16 2 4" xfId="38705" xr:uid="{00000000-0005-0000-0000-000012970000}"/>
    <cellStyle name="Calculation 6 2 16 2 5" xfId="38706" xr:uid="{00000000-0005-0000-0000-000013970000}"/>
    <cellStyle name="Calculation 6 2 16 2 6" xfId="38707" xr:uid="{00000000-0005-0000-0000-000014970000}"/>
    <cellStyle name="Calculation 6 2 16 3" xfId="38708" xr:uid="{00000000-0005-0000-0000-000015970000}"/>
    <cellStyle name="Calculation 6 2 16 3 2" xfId="38709" xr:uid="{00000000-0005-0000-0000-000016970000}"/>
    <cellStyle name="Calculation 6 2 16 3 3" xfId="38710" xr:uid="{00000000-0005-0000-0000-000017970000}"/>
    <cellStyle name="Calculation 6 2 16 3 4" xfId="38711" xr:uid="{00000000-0005-0000-0000-000018970000}"/>
    <cellStyle name="Calculation 6 2 16 3 5" xfId="38712" xr:uid="{00000000-0005-0000-0000-000019970000}"/>
    <cellStyle name="Calculation 6 2 16 3 6" xfId="38713" xr:uid="{00000000-0005-0000-0000-00001A970000}"/>
    <cellStyle name="Calculation 6 2 16 4" xfId="38714" xr:uid="{00000000-0005-0000-0000-00001B970000}"/>
    <cellStyle name="Calculation 6 2 16 4 2" xfId="38715" xr:uid="{00000000-0005-0000-0000-00001C970000}"/>
    <cellStyle name="Calculation 6 2 16 4 3" xfId="38716" xr:uid="{00000000-0005-0000-0000-00001D970000}"/>
    <cellStyle name="Calculation 6 2 16 4 4" xfId="38717" xr:uid="{00000000-0005-0000-0000-00001E970000}"/>
    <cellStyle name="Calculation 6 2 16 4 5" xfId="38718" xr:uid="{00000000-0005-0000-0000-00001F970000}"/>
    <cellStyle name="Calculation 6 2 16 4 6" xfId="38719" xr:uid="{00000000-0005-0000-0000-000020970000}"/>
    <cellStyle name="Calculation 6 2 16 5" xfId="38720" xr:uid="{00000000-0005-0000-0000-000021970000}"/>
    <cellStyle name="Calculation 6 2 16 5 2" xfId="38721" xr:uid="{00000000-0005-0000-0000-000022970000}"/>
    <cellStyle name="Calculation 6 2 16 5 3" xfId="38722" xr:uid="{00000000-0005-0000-0000-000023970000}"/>
    <cellStyle name="Calculation 6 2 16 5 4" xfId="38723" xr:uid="{00000000-0005-0000-0000-000024970000}"/>
    <cellStyle name="Calculation 6 2 16 5 5" xfId="38724" xr:uid="{00000000-0005-0000-0000-000025970000}"/>
    <cellStyle name="Calculation 6 2 16 5 6" xfId="38725" xr:uid="{00000000-0005-0000-0000-000026970000}"/>
    <cellStyle name="Calculation 6 2 16 6" xfId="38726" xr:uid="{00000000-0005-0000-0000-000027970000}"/>
    <cellStyle name="Calculation 6 2 16 6 2" xfId="38727" xr:uid="{00000000-0005-0000-0000-000028970000}"/>
    <cellStyle name="Calculation 6 2 16 6 3" xfId="38728" xr:uid="{00000000-0005-0000-0000-000029970000}"/>
    <cellStyle name="Calculation 6 2 16 6 4" xfId="38729" xr:uid="{00000000-0005-0000-0000-00002A970000}"/>
    <cellStyle name="Calculation 6 2 16 6 5" xfId="38730" xr:uid="{00000000-0005-0000-0000-00002B970000}"/>
    <cellStyle name="Calculation 6 2 16 6 6" xfId="38731" xr:uid="{00000000-0005-0000-0000-00002C970000}"/>
    <cellStyle name="Calculation 6 2 16 7" xfId="38732" xr:uid="{00000000-0005-0000-0000-00002D970000}"/>
    <cellStyle name="Calculation 6 2 16 7 2" xfId="38733" xr:uid="{00000000-0005-0000-0000-00002E970000}"/>
    <cellStyle name="Calculation 6 2 16 7 3" xfId="38734" xr:uid="{00000000-0005-0000-0000-00002F970000}"/>
    <cellStyle name="Calculation 6 2 16 7 4" xfId="38735" xr:uid="{00000000-0005-0000-0000-000030970000}"/>
    <cellStyle name="Calculation 6 2 16 7 5" xfId="38736" xr:uid="{00000000-0005-0000-0000-000031970000}"/>
    <cellStyle name="Calculation 6 2 16 7 6" xfId="38737" xr:uid="{00000000-0005-0000-0000-000032970000}"/>
    <cellStyle name="Calculation 6 2 16 8" xfId="38738" xr:uid="{00000000-0005-0000-0000-000033970000}"/>
    <cellStyle name="Calculation 6 2 16 9" xfId="38739" xr:uid="{00000000-0005-0000-0000-000034970000}"/>
    <cellStyle name="Calculation 6 2 17" xfId="38740" xr:uid="{00000000-0005-0000-0000-000035970000}"/>
    <cellStyle name="Calculation 6 2 17 10" xfId="38741" xr:uid="{00000000-0005-0000-0000-000036970000}"/>
    <cellStyle name="Calculation 6 2 17 2" xfId="38742" xr:uid="{00000000-0005-0000-0000-000037970000}"/>
    <cellStyle name="Calculation 6 2 17 2 2" xfId="38743" xr:uid="{00000000-0005-0000-0000-000038970000}"/>
    <cellStyle name="Calculation 6 2 17 2 3" xfId="38744" xr:uid="{00000000-0005-0000-0000-000039970000}"/>
    <cellStyle name="Calculation 6 2 17 2 4" xfId="38745" xr:uid="{00000000-0005-0000-0000-00003A970000}"/>
    <cellStyle name="Calculation 6 2 17 2 5" xfId="38746" xr:uid="{00000000-0005-0000-0000-00003B970000}"/>
    <cellStyle name="Calculation 6 2 17 2 6" xfId="38747" xr:uid="{00000000-0005-0000-0000-00003C970000}"/>
    <cellStyle name="Calculation 6 2 17 3" xfId="38748" xr:uid="{00000000-0005-0000-0000-00003D970000}"/>
    <cellStyle name="Calculation 6 2 17 3 2" xfId="38749" xr:uid="{00000000-0005-0000-0000-00003E970000}"/>
    <cellStyle name="Calculation 6 2 17 3 3" xfId="38750" xr:uid="{00000000-0005-0000-0000-00003F970000}"/>
    <cellStyle name="Calculation 6 2 17 3 4" xfId="38751" xr:uid="{00000000-0005-0000-0000-000040970000}"/>
    <cellStyle name="Calculation 6 2 17 3 5" xfId="38752" xr:uid="{00000000-0005-0000-0000-000041970000}"/>
    <cellStyle name="Calculation 6 2 17 3 6" xfId="38753" xr:uid="{00000000-0005-0000-0000-000042970000}"/>
    <cellStyle name="Calculation 6 2 17 4" xfId="38754" xr:uid="{00000000-0005-0000-0000-000043970000}"/>
    <cellStyle name="Calculation 6 2 17 4 2" xfId="38755" xr:uid="{00000000-0005-0000-0000-000044970000}"/>
    <cellStyle name="Calculation 6 2 17 4 3" xfId="38756" xr:uid="{00000000-0005-0000-0000-000045970000}"/>
    <cellStyle name="Calculation 6 2 17 4 4" xfId="38757" xr:uid="{00000000-0005-0000-0000-000046970000}"/>
    <cellStyle name="Calculation 6 2 17 4 5" xfId="38758" xr:uid="{00000000-0005-0000-0000-000047970000}"/>
    <cellStyle name="Calculation 6 2 17 4 6" xfId="38759" xr:uid="{00000000-0005-0000-0000-000048970000}"/>
    <cellStyle name="Calculation 6 2 17 5" xfId="38760" xr:uid="{00000000-0005-0000-0000-000049970000}"/>
    <cellStyle name="Calculation 6 2 17 5 2" xfId="38761" xr:uid="{00000000-0005-0000-0000-00004A970000}"/>
    <cellStyle name="Calculation 6 2 17 5 3" xfId="38762" xr:uid="{00000000-0005-0000-0000-00004B970000}"/>
    <cellStyle name="Calculation 6 2 17 5 4" xfId="38763" xr:uid="{00000000-0005-0000-0000-00004C970000}"/>
    <cellStyle name="Calculation 6 2 17 5 5" xfId="38764" xr:uid="{00000000-0005-0000-0000-00004D970000}"/>
    <cellStyle name="Calculation 6 2 17 5 6" xfId="38765" xr:uid="{00000000-0005-0000-0000-00004E970000}"/>
    <cellStyle name="Calculation 6 2 17 6" xfId="38766" xr:uid="{00000000-0005-0000-0000-00004F970000}"/>
    <cellStyle name="Calculation 6 2 17 6 2" xfId="38767" xr:uid="{00000000-0005-0000-0000-000050970000}"/>
    <cellStyle name="Calculation 6 2 17 6 3" xfId="38768" xr:uid="{00000000-0005-0000-0000-000051970000}"/>
    <cellStyle name="Calculation 6 2 17 6 4" xfId="38769" xr:uid="{00000000-0005-0000-0000-000052970000}"/>
    <cellStyle name="Calculation 6 2 17 6 5" xfId="38770" xr:uid="{00000000-0005-0000-0000-000053970000}"/>
    <cellStyle name="Calculation 6 2 17 6 6" xfId="38771" xr:uid="{00000000-0005-0000-0000-000054970000}"/>
    <cellStyle name="Calculation 6 2 17 7" xfId="38772" xr:uid="{00000000-0005-0000-0000-000055970000}"/>
    <cellStyle name="Calculation 6 2 17 7 2" xfId="38773" xr:uid="{00000000-0005-0000-0000-000056970000}"/>
    <cellStyle name="Calculation 6 2 17 7 3" xfId="38774" xr:uid="{00000000-0005-0000-0000-000057970000}"/>
    <cellStyle name="Calculation 6 2 17 7 4" xfId="38775" xr:uid="{00000000-0005-0000-0000-000058970000}"/>
    <cellStyle name="Calculation 6 2 17 7 5" xfId="38776" xr:uid="{00000000-0005-0000-0000-000059970000}"/>
    <cellStyle name="Calculation 6 2 17 7 6" xfId="38777" xr:uid="{00000000-0005-0000-0000-00005A970000}"/>
    <cellStyle name="Calculation 6 2 17 8" xfId="38778" xr:uid="{00000000-0005-0000-0000-00005B970000}"/>
    <cellStyle name="Calculation 6 2 17 9" xfId="38779" xr:uid="{00000000-0005-0000-0000-00005C970000}"/>
    <cellStyle name="Calculation 6 2 18" xfId="38780" xr:uid="{00000000-0005-0000-0000-00005D970000}"/>
    <cellStyle name="Calculation 6 2 18 10" xfId="38781" xr:uid="{00000000-0005-0000-0000-00005E970000}"/>
    <cellStyle name="Calculation 6 2 18 2" xfId="38782" xr:uid="{00000000-0005-0000-0000-00005F970000}"/>
    <cellStyle name="Calculation 6 2 18 2 2" xfId="38783" xr:uid="{00000000-0005-0000-0000-000060970000}"/>
    <cellStyle name="Calculation 6 2 18 2 3" xfId="38784" xr:uid="{00000000-0005-0000-0000-000061970000}"/>
    <cellStyle name="Calculation 6 2 18 2 4" xfId="38785" xr:uid="{00000000-0005-0000-0000-000062970000}"/>
    <cellStyle name="Calculation 6 2 18 2 5" xfId="38786" xr:uid="{00000000-0005-0000-0000-000063970000}"/>
    <cellStyle name="Calculation 6 2 18 2 6" xfId="38787" xr:uid="{00000000-0005-0000-0000-000064970000}"/>
    <cellStyle name="Calculation 6 2 18 3" xfId="38788" xr:uid="{00000000-0005-0000-0000-000065970000}"/>
    <cellStyle name="Calculation 6 2 18 3 2" xfId="38789" xr:uid="{00000000-0005-0000-0000-000066970000}"/>
    <cellStyle name="Calculation 6 2 18 3 3" xfId="38790" xr:uid="{00000000-0005-0000-0000-000067970000}"/>
    <cellStyle name="Calculation 6 2 18 3 4" xfId="38791" xr:uid="{00000000-0005-0000-0000-000068970000}"/>
    <cellStyle name="Calculation 6 2 18 3 5" xfId="38792" xr:uid="{00000000-0005-0000-0000-000069970000}"/>
    <cellStyle name="Calculation 6 2 18 3 6" xfId="38793" xr:uid="{00000000-0005-0000-0000-00006A970000}"/>
    <cellStyle name="Calculation 6 2 18 4" xfId="38794" xr:uid="{00000000-0005-0000-0000-00006B970000}"/>
    <cellStyle name="Calculation 6 2 18 4 2" xfId="38795" xr:uid="{00000000-0005-0000-0000-00006C970000}"/>
    <cellStyle name="Calculation 6 2 18 4 3" xfId="38796" xr:uid="{00000000-0005-0000-0000-00006D970000}"/>
    <cellStyle name="Calculation 6 2 18 4 4" xfId="38797" xr:uid="{00000000-0005-0000-0000-00006E970000}"/>
    <cellStyle name="Calculation 6 2 18 4 5" xfId="38798" xr:uid="{00000000-0005-0000-0000-00006F970000}"/>
    <cellStyle name="Calculation 6 2 18 4 6" xfId="38799" xr:uid="{00000000-0005-0000-0000-000070970000}"/>
    <cellStyle name="Calculation 6 2 18 5" xfId="38800" xr:uid="{00000000-0005-0000-0000-000071970000}"/>
    <cellStyle name="Calculation 6 2 18 5 2" xfId="38801" xr:uid="{00000000-0005-0000-0000-000072970000}"/>
    <cellStyle name="Calculation 6 2 18 5 3" xfId="38802" xr:uid="{00000000-0005-0000-0000-000073970000}"/>
    <cellStyle name="Calculation 6 2 18 5 4" xfId="38803" xr:uid="{00000000-0005-0000-0000-000074970000}"/>
    <cellStyle name="Calculation 6 2 18 5 5" xfId="38804" xr:uid="{00000000-0005-0000-0000-000075970000}"/>
    <cellStyle name="Calculation 6 2 18 5 6" xfId="38805" xr:uid="{00000000-0005-0000-0000-000076970000}"/>
    <cellStyle name="Calculation 6 2 18 6" xfId="38806" xr:uid="{00000000-0005-0000-0000-000077970000}"/>
    <cellStyle name="Calculation 6 2 18 6 2" xfId="38807" xr:uid="{00000000-0005-0000-0000-000078970000}"/>
    <cellStyle name="Calculation 6 2 18 6 3" xfId="38808" xr:uid="{00000000-0005-0000-0000-000079970000}"/>
    <cellStyle name="Calculation 6 2 18 6 4" xfId="38809" xr:uid="{00000000-0005-0000-0000-00007A970000}"/>
    <cellStyle name="Calculation 6 2 18 6 5" xfId="38810" xr:uid="{00000000-0005-0000-0000-00007B970000}"/>
    <cellStyle name="Calculation 6 2 18 6 6" xfId="38811" xr:uid="{00000000-0005-0000-0000-00007C970000}"/>
    <cellStyle name="Calculation 6 2 18 7" xfId="38812" xr:uid="{00000000-0005-0000-0000-00007D970000}"/>
    <cellStyle name="Calculation 6 2 18 7 2" xfId="38813" xr:uid="{00000000-0005-0000-0000-00007E970000}"/>
    <cellStyle name="Calculation 6 2 18 7 3" xfId="38814" xr:uid="{00000000-0005-0000-0000-00007F970000}"/>
    <cellStyle name="Calculation 6 2 18 7 4" xfId="38815" xr:uid="{00000000-0005-0000-0000-000080970000}"/>
    <cellStyle name="Calculation 6 2 18 7 5" xfId="38816" xr:uid="{00000000-0005-0000-0000-000081970000}"/>
    <cellStyle name="Calculation 6 2 18 7 6" xfId="38817" xr:uid="{00000000-0005-0000-0000-000082970000}"/>
    <cellStyle name="Calculation 6 2 18 8" xfId="38818" xr:uid="{00000000-0005-0000-0000-000083970000}"/>
    <cellStyle name="Calculation 6 2 18 9" xfId="38819" xr:uid="{00000000-0005-0000-0000-000084970000}"/>
    <cellStyle name="Calculation 6 2 19" xfId="38820" xr:uid="{00000000-0005-0000-0000-000085970000}"/>
    <cellStyle name="Calculation 6 2 19 10" xfId="38821" xr:uid="{00000000-0005-0000-0000-000086970000}"/>
    <cellStyle name="Calculation 6 2 19 2" xfId="38822" xr:uid="{00000000-0005-0000-0000-000087970000}"/>
    <cellStyle name="Calculation 6 2 19 2 2" xfId="38823" xr:uid="{00000000-0005-0000-0000-000088970000}"/>
    <cellStyle name="Calculation 6 2 19 2 3" xfId="38824" xr:uid="{00000000-0005-0000-0000-000089970000}"/>
    <cellStyle name="Calculation 6 2 19 2 4" xfId="38825" xr:uid="{00000000-0005-0000-0000-00008A970000}"/>
    <cellStyle name="Calculation 6 2 19 2 5" xfId="38826" xr:uid="{00000000-0005-0000-0000-00008B970000}"/>
    <cellStyle name="Calculation 6 2 19 2 6" xfId="38827" xr:uid="{00000000-0005-0000-0000-00008C970000}"/>
    <cellStyle name="Calculation 6 2 19 3" xfId="38828" xr:uid="{00000000-0005-0000-0000-00008D970000}"/>
    <cellStyle name="Calculation 6 2 19 3 2" xfId="38829" xr:uid="{00000000-0005-0000-0000-00008E970000}"/>
    <cellStyle name="Calculation 6 2 19 3 3" xfId="38830" xr:uid="{00000000-0005-0000-0000-00008F970000}"/>
    <cellStyle name="Calculation 6 2 19 3 4" xfId="38831" xr:uid="{00000000-0005-0000-0000-000090970000}"/>
    <cellStyle name="Calculation 6 2 19 3 5" xfId="38832" xr:uid="{00000000-0005-0000-0000-000091970000}"/>
    <cellStyle name="Calculation 6 2 19 3 6" xfId="38833" xr:uid="{00000000-0005-0000-0000-000092970000}"/>
    <cellStyle name="Calculation 6 2 19 4" xfId="38834" xr:uid="{00000000-0005-0000-0000-000093970000}"/>
    <cellStyle name="Calculation 6 2 19 4 2" xfId="38835" xr:uid="{00000000-0005-0000-0000-000094970000}"/>
    <cellStyle name="Calculation 6 2 19 4 3" xfId="38836" xr:uid="{00000000-0005-0000-0000-000095970000}"/>
    <cellStyle name="Calculation 6 2 19 4 4" xfId="38837" xr:uid="{00000000-0005-0000-0000-000096970000}"/>
    <cellStyle name="Calculation 6 2 19 4 5" xfId="38838" xr:uid="{00000000-0005-0000-0000-000097970000}"/>
    <cellStyle name="Calculation 6 2 19 4 6" xfId="38839" xr:uid="{00000000-0005-0000-0000-000098970000}"/>
    <cellStyle name="Calculation 6 2 19 5" xfId="38840" xr:uid="{00000000-0005-0000-0000-000099970000}"/>
    <cellStyle name="Calculation 6 2 19 5 2" xfId="38841" xr:uid="{00000000-0005-0000-0000-00009A970000}"/>
    <cellStyle name="Calculation 6 2 19 5 3" xfId="38842" xr:uid="{00000000-0005-0000-0000-00009B970000}"/>
    <cellStyle name="Calculation 6 2 19 5 4" xfId="38843" xr:uid="{00000000-0005-0000-0000-00009C970000}"/>
    <cellStyle name="Calculation 6 2 19 5 5" xfId="38844" xr:uid="{00000000-0005-0000-0000-00009D970000}"/>
    <cellStyle name="Calculation 6 2 19 5 6" xfId="38845" xr:uid="{00000000-0005-0000-0000-00009E970000}"/>
    <cellStyle name="Calculation 6 2 19 6" xfId="38846" xr:uid="{00000000-0005-0000-0000-00009F970000}"/>
    <cellStyle name="Calculation 6 2 19 6 2" xfId="38847" xr:uid="{00000000-0005-0000-0000-0000A0970000}"/>
    <cellStyle name="Calculation 6 2 19 6 3" xfId="38848" xr:uid="{00000000-0005-0000-0000-0000A1970000}"/>
    <cellStyle name="Calculation 6 2 19 6 4" xfId="38849" xr:uid="{00000000-0005-0000-0000-0000A2970000}"/>
    <cellStyle name="Calculation 6 2 19 6 5" xfId="38850" xr:uid="{00000000-0005-0000-0000-0000A3970000}"/>
    <cellStyle name="Calculation 6 2 19 6 6" xfId="38851" xr:uid="{00000000-0005-0000-0000-0000A4970000}"/>
    <cellStyle name="Calculation 6 2 19 7" xfId="38852" xr:uid="{00000000-0005-0000-0000-0000A5970000}"/>
    <cellStyle name="Calculation 6 2 19 7 2" xfId="38853" xr:uid="{00000000-0005-0000-0000-0000A6970000}"/>
    <cellStyle name="Calculation 6 2 19 7 3" xfId="38854" xr:uid="{00000000-0005-0000-0000-0000A7970000}"/>
    <cellStyle name="Calculation 6 2 19 7 4" xfId="38855" xr:uid="{00000000-0005-0000-0000-0000A8970000}"/>
    <cellStyle name="Calculation 6 2 19 7 5" xfId="38856" xr:uid="{00000000-0005-0000-0000-0000A9970000}"/>
    <cellStyle name="Calculation 6 2 19 7 6" xfId="38857" xr:uid="{00000000-0005-0000-0000-0000AA970000}"/>
    <cellStyle name="Calculation 6 2 19 8" xfId="38858" xr:uid="{00000000-0005-0000-0000-0000AB970000}"/>
    <cellStyle name="Calculation 6 2 19 9" xfId="38859" xr:uid="{00000000-0005-0000-0000-0000AC970000}"/>
    <cellStyle name="Calculation 6 2 2" xfId="38860" xr:uid="{00000000-0005-0000-0000-0000AD970000}"/>
    <cellStyle name="Calculation 6 2 2 10" xfId="38861" xr:uid="{00000000-0005-0000-0000-0000AE970000}"/>
    <cellStyle name="Calculation 6 2 2 2" xfId="38862" xr:uid="{00000000-0005-0000-0000-0000AF970000}"/>
    <cellStyle name="Calculation 6 2 2 2 2" xfId="38863" xr:uid="{00000000-0005-0000-0000-0000B0970000}"/>
    <cellStyle name="Calculation 6 2 2 2 3" xfId="38864" xr:uid="{00000000-0005-0000-0000-0000B1970000}"/>
    <cellStyle name="Calculation 6 2 2 2 4" xfId="38865" xr:uid="{00000000-0005-0000-0000-0000B2970000}"/>
    <cellStyle name="Calculation 6 2 2 2 5" xfId="38866" xr:uid="{00000000-0005-0000-0000-0000B3970000}"/>
    <cellStyle name="Calculation 6 2 2 2 6" xfId="38867" xr:uid="{00000000-0005-0000-0000-0000B4970000}"/>
    <cellStyle name="Calculation 6 2 2 3" xfId="38868" xr:uid="{00000000-0005-0000-0000-0000B5970000}"/>
    <cellStyle name="Calculation 6 2 2 3 2" xfId="38869" xr:uid="{00000000-0005-0000-0000-0000B6970000}"/>
    <cellStyle name="Calculation 6 2 2 3 3" xfId="38870" xr:uid="{00000000-0005-0000-0000-0000B7970000}"/>
    <cellStyle name="Calculation 6 2 2 3 4" xfId="38871" xr:uid="{00000000-0005-0000-0000-0000B8970000}"/>
    <cellStyle name="Calculation 6 2 2 3 5" xfId="38872" xr:uid="{00000000-0005-0000-0000-0000B9970000}"/>
    <cellStyle name="Calculation 6 2 2 3 6" xfId="38873" xr:uid="{00000000-0005-0000-0000-0000BA970000}"/>
    <cellStyle name="Calculation 6 2 2 4" xfId="38874" xr:uid="{00000000-0005-0000-0000-0000BB970000}"/>
    <cellStyle name="Calculation 6 2 2 4 2" xfId="38875" xr:uid="{00000000-0005-0000-0000-0000BC970000}"/>
    <cellStyle name="Calculation 6 2 2 4 3" xfId="38876" xr:uid="{00000000-0005-0000-0000-0000BD970000}"/>
    <cellStyle name="Calculation 6 2 2 4 4" xfId="38877" xr:uid="{00000000-0005-0000-0000-0000BE970000}"/>
    <cellStyle name="Calculation 6 2 2 4 5" xfId="38878" xr:uid="{00000000-0005-0000-0000-0000BF970000}"/>
    <cellStyle name="Calculation 6 2 2 4 6" xfId="38879" xr:uid="{00000000-0005-0000-0000-0000C0970000}"/>
    <cellStyle name="Calculation 6 2 2 5" xfId="38880" xr:uid="{00000000-0005-0000-0000-0000C1970000}"/>
    <cellStyle name="Calculation 6 2 2 5 2" xfId="38881" xr:uid="{00000000-0005-0000-0000-0000C2970000}"/>
    <cellStyle name="Calculation 6 2 2 5 3" xfId="38882" xr:uid="{00000000-0005-0000-0000-0000C3970000}"/>
    <cellStyle name="Calculation 6 2 2 5 4" xfId="38883" xr:uid="{00000000-0005-0000-0000-0000C4970000}"/>
    <cellStyle name="Calculation 6 2 2 5 5" xfId="38884" xr:uid="{00000000-0005-0000-0000-0000C5970000}"/>
    <cellStyle name="Calculation 6 2 2 5 6" xfId="38885" xr:uid="{00000000-0005-0000-0000-0000C6970000}"/>
    <cellStyle name="Calculation 6 2 2 6" xfId="38886" xr:uid="{00000000-0005-0000-0000-0000C7970000}"/>
    <cellStyle name="Calculation 6 2 2 6 2" xfId="38887" xr:uid="{00000000-0005-0000-0000-0000C8970000}"/>
    <cellStyle name="Calculation 6 2 2 6 3" xfId="38888" xr:uid="{00000000-0005-0000-0000-0000C9970000}"/>
    <cellStyle name="Calculation 6 2 2 6 4" xfId="38889" xr:uid="{00000000-0005-0000-0000-0000CA970000}"/>
    <cellStyle name="Calculation 6 2 2 6 5" xfId="38890" xr:uid="{00000000-0005-0000-0000-0000CB970000}"/>
    <cellStyle name="Calculation 6 2 2 6 6" xfId="38891" xr:uid="{00000000-0005-0000-0000-0000CC970000}"/>
    <cellStyle name="Calculation 6 2 2 7" xfId="38892" xr:uid="{00000000-0005-0000-0000-0000CD970000}"/>
    <cellStyle name="Calculation 6 2 2 7 2" xfId="38893" xr:uid="{00000000-0005-0000-0000-0000CE970000}"/>
    <cellStyle name="Calculation 6 2 2 7 3" xfId="38894" xr:uid="{00000000-0005-0000-0000-0000CF970000}"/>
    <cellStyle name="Calculation 6 2 2 7 4" xfId="38895" xr:uid="{00000000-0005-0000-0000-0000D0970000}"/>
    <cellStyle name="Calculation 6 2 2 7 5" xfId="38896" xr:uid="{00000000-0005-0000-0000-0000D1970000}"/>
    <cellStyle name="Calculation 6 2 2 7 6" xfId="38897" xr:uid="{00000000-0005-0000-0000-0000D2970000}"/>
    <cellStyle name="Calculation 6 2 2 8" xfId="38898" xr:uid="{00000000-0005-0000-0000-0000D3970000}"/>
    <cellStyle name="Calculation 6 2 2 9" xfId="38899" xr:uid="{00000000-0005-0000-0000-0000D4970000}"/>
    <cellStyle name="Calculation 6 2 20" xfId="38900" xr:uid="{00000000-0005-0000-0000-0000D5970000}"/>
    <cellStyle name="Calculation 6 2 20 10" xfId="38901" xr:uid="{00000000-0005-0000-0000-0000D6970000}"/>
    <cellStyle name="Calculation 6 2 20 2" xfId="38902" xr:uid="{00000000-0005-0000-0000-0000D7970000}"/>
    <cellStyle name="Calculation 6 2 20 2 2" xfId="38903" xr:uid="{00000000-0005-0000-0000-0000D8970000}"/>
    <cellStyle name="Calculation 6 2 20 2 3" xfId="38904" xr:uid="{00000000-0005-0000-0000-0000D9970000}"/>
    <cellStyle name="Calculation 6 2 20 2 4" xfId="38905" xr:uid="{00000000-0005-0000-0000-0000DA970000}"/>
    <cellStyle name="Calculation 6 2 20 2 5" xfId="38906" xr:uid="{00000000-0005-0000-0000-0000DB970000}"/>
    <cellStyle name="Calculation 6 2 20 2 6" xfId="38907" xr:uid="{00000000-0005-0000-0000-0000DC970000}"/>
    <cellStyle name="Calculation 6 2 20 3" xfId="38908" xr:uid="{00000000-0005-0000-0000-0000DD970000}"/>
    <cellStyle name="Calculation 6 2 20 3 2" xfId="38909" xr:uid="{00000000-0005-0000-0000-0000DE970000}"/>
    <cellStyle name="Calculation 6 2 20 3 3" xfId="38910" xr:uid="{00000000-0005-0000-0000-0000DF970000}"/>
    <cellStyle name="Calculation 6 2 20 3 4" xfId="38911" xr:uid="{00000000-0005-0000-0000-0000E0970000}"/>
    <cellStyle name="Calculation 6 2 20 3 5" xfId="38912" xr:uid="{00000000-0005-0000-0000-0000E1970000}"/>
    <cellStyle name="Calculation 6 2 20 3 6" xfId="38913" xr:uid="{00000000-0005-0000-0000-0000E2970000}"/>
    <cellStyle name="Calculation 6 2 20 4" xfId="38914" xr:uid="{00000000-0005-0000-0000-0000E3970000}"/>
    <cellStyle name="Calculation 6 2 20 4 2" xfId="38915" xr:uid="{00000000-0005-0000-0000-0000E4970000}"/>
    <cellStyle name="Calculation 6 2 20 4 3" xfId="38916" xr:uid="{00000000-0005-0000-0000-0000E5970000}"/>
    <cellStyle name="Calculation 6 2 20 4 4" xfId="38917" xr:uid="{00000000-0005-0000-0000-0000E6970000}"/>
    <cellStyle name="Calculation 6 2 20 4 5" xfId="38918" xr:uid="{00000000-0005-0000-0000-0000E7970000}"/>
    <cellStyle name="Calculation 6 2 20 4 6" xfId="38919" xr:uid="{00000000-0005-0000-0000-0000E8970000}"/>
    <cellStyle name="Calculation 6 2 20 5" xfId="38920" xr:uid="{00000000-0005-0000-0000-0000E9970000}"/>
    <cellStyle name="Calculation 6 2 20 5 2" xfId="38921" xr:uid="{00000000-0005-0000-0000-0000EA970000}"/>
    <cellStyle name="Calculation 6 2 20 5 3" xfId="38922" xr:uid="{00000000-0005-0000-0000-0000EB970000}"/>
    <cellStyle name="Calculation 6 2 20 5 4" xfId="38923" xr:uid="{00000000-0005-0000-0000-0000EC970000}"/>
    <cellStyle name="Calculation 6 2 20 5 5" xfId="38924" xr:uid="{00000000-0005-0000-0000-0000ED970000}"/>
    <cellStyle name="Calculation 6 2 20 5 6" xfId="38925" xr:uid="{00000000-0005-0000-0000-0000EE970000}"/>
    <cellStyle name="Calculation 6 2 20 6" xfId="38926" xr:uid="{00000000-0005-0000-0000-0000EF970000}"/>
    <cellStyle name="Calculation 6 2 20 6 2" xfId="38927" xr:uid="{00000000-0005-0000-0000-0000F0970000}"/>
    <cellStyle name="Calculation 6 2 20 6 3" xfId="38928" xr:uid="{00000000-0005-0000-0000-0000F1970000}"/>
    <cellStyle name="Calculation 6 2 20 6 4" xfId="38929" xr:uid="{00000000-0005-0000-0000-0000F2970000}"/>
    <cellStyle name="Calculation 6 2 20 6 5" xfId="38930" xr:uid="{00000000-0005-0000-0000-0000F3970000}"/>
    <cellStyle name="Calculation 6 2 20 6 6" xfId="38931" xr:uid="{00000000-0005-0000-0000-0000F4970000}"/>
    <cellStyle name="Calculation 6 2 20 7" xfId="38932" xr:uid="{00000000-0005-0000-0000-0000F5970000}"/>
    <cellStyle name="Calculation 6 2 20 7 2" xfId="38933" xr:uid="{00000000-0005-0000-0000-0000F6970000}"/>
    <cellStyle name="Calculation 6 2 20 7 3" xfId="38934" xr:uid="{00000000-0005-0000-0000-0000F7970000}"/>
    <cellStyle name="Calculation 6 2 20 7 4" xfId="38935" xr:uid="{00000000-0005-0000-0000-0000F8970000}"/>
    <cellStyle name="Calculation 6 2 20 7 5" xfId="38936" xr:uid="{00000000-0005-0000-0000-0000F9970000}"/>
    <cellStyle name="Calculation 6 2 20 7 6" xfId="38937" xr:uid="{00000000-0005-0000-0000-0000FA970000}"/>
    <cellStyle name="Calculation 6 2 20 8" xfId="38938" xr:uid="{00000000-0005-0000-0000-0000FB970000}"/>
    <cellStyle name="Calculation 6 2 20 9" xfId="38939" xr:uid="{00000000-0005-0000-0000-0000FC970000}"/>
    <cellStyle name="Calculation 6 2 21" xfId="38940" xr:uid="{00000000-0005-0000-0000-0000FD970000}"/>
    <cellStyle name="Calculation 6 2 21 10" xfId="38941" xr:uid="{00000000-0005-0000-0000-0000FE970000}"/>
    <cellStyle name="Calculation 6 2 21 2" xfId="38942" xr:uid="{00000000-0005-0000-0000-0000FF970000}"/>
    <cellStyle name="Calculation 6 2 21 2 2" xfId="38943" xr:uid="{00000000-0005-0000-0000-000000980000}"/>
    <cellStyle name="Calculation 6 2 21 2 3" xfId="38944" xr:uid="{00000000-0005-0000-0000-000001980000}"/>
    <cellStyle name="Calculation 6 2 21 2 4" xfId="38945" xr:uid="{00000000-0005-0000-0000-000002980000}"/>
    <cellStyle name="Calculation 6 2 21 2 5" xfId="38946" xr:uid="{00000000-0005-0000-0000-000003980000}"/>
    <cellStyle name="Calculation 6 2 21 2 6" xfId="38947" xr:uid="{00000000-0005-0000-0000-000004980000}"/>
    <cellStyle name="Calculation 6 2 21 3" xfId="38948" xr:uid="{00000000-0005-0000-0000-000005980000}"/>
    <cellStyle name="Calculation 6 2 21 3 2" xfId="38949" xr:uid="{00000000-0005-0000-0000-000006980000}"/>
    <cellStyle name="Calculation 6 2 21 3 3" xfId="38950" xr:uid="{00000000-0005-0000-0000-000007980000}"/>
    <cellStyle name="Calculation 6 2 21 3 4" xfId="38951" xr:uid="{00000000-0005-0000-0000-000008980000}"/>
    <cellStyle name="Calculation 6 2 21 3 5" xfId="38952" xr:uid="{00000000-0005-0000-0000-000009980000}"/>
    <cellStyle name="Calculation 6 2 21 3 6" xfId="38953" xr:uid="{00000000-0005-0000-0000-00000A980000}"/>
    <cellStyle name="Calculation 6 2 21 4" xfId="38954" xr:uid="{00000000-0005-0000-0000-00000B980000}"/>
    <cellStyle name="Calculation 6 2 21 4 2" xfId="38955" xr:uid="{00000000-0005-0000-0000-00000C980000}"/>
    <cellStyle name="Calculation 6 2 21 4 3" xfId="38956" xr:uid="{00000000-0005-0000-0000-00000D980000}"/>
    <cellStyle name="Calculation 6 2 21 4 4" xfId="38957" xr:uid="{00000000-0005-0000-0000-00000E980000}"/>
    <cellStyle name="Calculation 6 2 21 4 5" xfId="38958" xr:uid="{00000000-0005-0000-0000-00000F980000}"/>
    <cellStyle name="Calculation 6 2 21 4 6" xfId="38959" xr:uid="{00000000-0005-0000-0000-000010980000}"/>
    <cellStyle name="Calculation 6 2 21 5" xfId="38960" xr:uid="{00000000-0005-0000-0000-000011980000}"/>
    <cellStyle name="Calculation 6 2 21 5 2" xfId="38961" xr:uid="{00000000-0005-0000-0000-000012980000}"/>
    <cellStyle name="Calculation 6 2 21 5 3" xfId="38962" xr:uid="{00000000-0005-0000-0000-000013980000}"/>
    <cellStyle name="Calculation 6 2 21 5 4" xfId="38963" xr:uid="{00000000-0005-0000-0000-000014980000}"/>
    <cellStyle name="Calculation 6 2 21 5 5" xfId="38964" xr:uid="{00000000-0005-0000-0000-000015980000}"/>
    <cellStyle name="Calculation 6 2 21 5 6" xfId="38965" xr:uid="{00000000-0005-0000-0000-000016980000}"/>
    <cellStyle name="Calculation 6 2 21 6" xfId="38966" xr:uid="{00000000-0005-0000-0000-000017980000}"/>
    <cellStyle name="Calculation 6 2 21 6 2" xfId="38967" xr:uid="{00000000-0005-0000-0000-000018980000}"/>
    <cellStyle name="Calculation 6 2 21 6 3" xfId="38968" xr:uid="{00000000-0005-0000-0000-000019980000}"/>
    <cellStyle name="Calculation 6 2 21 6 4" xfId="38969" xr:uid="{00000000-0005-0000-0000-00001A980000}"/>
    <cellStyle name="Calculation 6 2 21 6 5" xfId="38970" xr:uid="{00000000-0005-0000-0000-00001B980000}"/>
    <cellStyle name="Calculation 6 2 21 6 6" xfId="38971" xr:uid="{00000000-0005-0000-0000-00001C980000}"/>
    <cellStyle name="Calculation 6 2 21 7" xfId="38972" xr:uid="{00000000-0005-0000-0000-00001D980000}"/>
    <cellStyle name="Calculation 6 2 21 7 2" xfId="38973" xr:uid="{00000000-0005-0000-0000-00001E980000}"/>
    <cellStyle name="Calculation 6 2 21 7 3" xfId="38974" xr:uid="{00000000-0005-0000-0000-00001F980000}"/>
    <cellStyle name="Calculation 6 2 21 7 4" xfId="38975" xr:uid="{00000000-0005-0000-0000-000020980000}"/>
    <cellStyle name="Calculation 6 2 21 7 5" xfId="38976" xr:uid="{00000000-0005-0000-0000-000021980000}"/>
    <cellStyle name="Calculation 6 2 21 7 6" xfId="38977" xr:uid="{00000000-0005-0000-0000-000022980000}"/>
    <cellStyle name="Calculation 6 2 21 8" xfId="38978" xr:uid="{00000000-0005-0000-0000-000023980000}"/>
    <cellStyle name="Calculation 6 2 21 9" xfId="38979" xr:uid="{00000000-0005-0000-0000-000024980000}"/>
    <cellStyle name="Calculation 6 2 22" xfId="38980" xr:uid="{00000000-0005-0000-0000-000025980000}"/>
    <cellStyle name="Calculation 6 2 22 10" xfId="38981" xr:uid="{00000000-0005-0000-0000-000026980000}"/>
    <cellStyle name="Calculation 6 2 22 2" xfId="38982" xr:uid="{00000000-0005-0000-0000-000027980000}"/>
    <cellStyle name="Calculation 6 2 22 2 2" xfId="38983" xr:uid="{00000000-0005-0000-0000-000028980000}"/>
    <cellStyle name="Calculation 6 2 22 2 3" xfId="38984" xr:uid="{00000000-0005-0000-0000-000029980000}"/>
    <cellStyle name="Calculation 6 2 22 2 4" xfId="38985" xr:uid="{00000000-0005-0000-0000-00002A980000}"/>
    <cellStyle name="Calculation 6 2 22 2 5" xfId="38986" xr:uid="{00000000-0005-0000-0000-00002B980000}"/>
    <cellStyle name="Calculation 6 2 22 2 6" xfId="38987" xr:uid="{00000000-0005-0000-0000-00002C980000}"/>
    <cellStyle name="Calculation 6 2 22 3" xfId="38988" xr:uid="{00000000-0005-0000-0000-00002D980000}"/>
    <cellStyle name="Calculation 6 2 22 3 2" xfId="38989" xr:uid="{00000000-0005-0000-0000-00002E980000}"/>
    <cellStyle name="Calculation 6 2 22 3 3" xfId="38990" xr:uid="{00000000-0005-0000-0000-00002F980000}"/>
    <cellStyle name="Calculation 6 2 22 3 4" xfId="38991" xr:uid="{00000000-0005-0000-0000-000030980000}"/>
    <cellStyle name="Calculation 6 2 22 3 5" xfId="38992" xr:uid="{00000000-0005-0000-0000-000031980000}"/>
    <cellStyle name="Calculation 6 2 22 3 6" xfId="38993" xr:uid="{00000000-0005-0000-0000-000032980000}"/>
    <cellStyle name="Calculation 6 2 22 4" xfId="38994" xr:uid="{00000000-0005-0000-0000-000033980000}"/>
    <cellStyle name="Calculation 6 2 22 4 2" xfId="38995" xr:uid="{00000000-0005-0000-0000-000034980000}"/>
    <cellStyle name="Calculation 6 2 22 4 3" xfId="38996" xr:uid="{00000000-0005-0000-0000-000035980000}"/>
    <cellStyle name="Calculation 6 2 22 4 4" xfId="38997" xr:uid="{00000000-0005-0000-0000-000036980000}"/>
    <cellStyle name="Calculation 6 2 22 4 5" xfId="38998" xr:uid="{00000000-0005-0000-0000-000037980000}"/>
    <cellStyle name="Calculation 6 2 22 4 6" xfId="38999" xr:uid="{00000000-0005-0000-0000-000038980000}"/>
    <cellStyle name="Calculation 6 2 22 5" xfId="39000" xr:uid="{00000000-0005-0000-0000-000039980000}"/>
    <cellStyle name="Calculation 6 2 22 5 2" xfId="39001" xr:uid="{00000000-0005-0000-0000-00003A980000}"/>
    <cellStyle name="Calculation 6 2 22 5 3" xfId="39002" xr:uid="{00000000-0005-0000-0000-00003B980000}"/>
    <cellStyle name="Calculation 6 2 22 5 4" xfId="39003" xr:uid="{00000000-0005-0000-0000-00003C980000}"/>
    <cellStyle name="Calculation 6 2 22 5 5" xfId="39004" xr:uid="{00000000-0005-0000-0000-00003D980000}"/>
    <cellStyle name="Calculation 6 2 22 5 6" xfId="39005" xr:uid="{00000000-0005-0000-0000-00003E980000}"/>
    <cellStyle name="Calculation 6 2 22 6" xfId="39006" xr:uid="{00000000-0005-0000-0000-00003F980000}"/>
    <cellStyle name="Calculation 6 2 22 6 2" xfId="39007" xr:uid="{00000000-0005-0000-0000-000040980000}"/>
    <cellStyle name="Calculation 6 2 22 6 3" xfId="39008" xr:uid="{00000000-0005-0000-0000-000041980000}"/>
    <cellStyle name="Calculation 6 2 22 6 4" xfId="39009" xr:uid="{00000000-0005-0000-0000-000042980000}"/>
    <cellStyle name="Calculation 6 2 22 6 5" xfId="39010" xr:uid="{00000000-0005-0000-0000-000043980000}"/>
    <cellStyle name="Calculation 6 2 22 6 6" xfId="39011" xr:uid="{00000000-0005-0000-0000-000044980000}"/>
    <cellStyle name="Calculation 6 2 22 7" xfId="39012" xr:uid="{00000000-0005-0000-0000-000045980000}"/>
    <cellStyle name="Calculation 6 2 22 7 2" xfId="39013" xr:uid="{00000000-0005-0000-0000-000046980000}"/>
    <cellStyle name="Calculation 6 2 22 7 3" xfId="39014" xr:uid="{00000000-0005-0000-0000-000047980000}"/>
    <cellStyle name="Calculation 6 2 22 7 4" xfId="39015" xr:uid="{00000000-0005-0000-0000-000048980000}"/>
    <cellStyle name="Calculation 6 2 22 7 5" xfId="39016" xr:uid="{00000000-0005-0000-0000-000049980000}"/>
    <cellStyle name="Calculation 6 2 22 7 6" xfId="39017" xr:uid="{00000000-0005-0000-0000-00004A980000}"/>
    <cellStyle name="Calculation 6 2 22 8" xfId="39018" xr:uid="{00000000-0005-0000-0000-00004B980000}"/>
    <cellStyle name="Calculation 6 2 22 9" xfId="39019" xr:uid="{00000000-0005-0000-0000-00004C980000}"/>
    <cellStyle name="Calculation 6 2 23" xfId="39020" xr:uid="{00000000-0005-0000-0000-00004D980000}"/>
    <cellStyle name="Calculation 6 2 23 10" xfId="39021" xr:uid="{00000000-0005-0000-0000-00004E980000}"/>
    <cellStyle name="Calculation 6 2 23 2" xfId="39022" xr:uid="{00000000-0005-0000-0000-00004F980000}"/>
    <cellStyle name="Calculation 6 2 23 2 2" xfId="39023" xr:uid="{00000000-0005-0000-0000-000050980000}"/>
    <cellStyle name="Calculation 6 2 23 2 3" xfId="39024" xr:uid="{00000000-0005-0000-0000-000051980000}"/>
    <cellStyle name="Calculation 6 2 23 2 4" xfId="39025" xr:uid="{00000000-0005-0000-0000-000052980000}"/>
    <cellStyle name="Calculation 6 2 23 2 5" xfId="39026" xr:uid="{00000000-0005-0000-0000-000053980000}"/>
    <cellStyle name="Calculation 6 2 23 2 6" xfId="39027" xr:uid="{00000000-0005-0000-0000-000054980000}"/>
    <cellStyle name="Calculation 6 2 23 3" xfId="39028" xr:uid="{00000000-0005-0000-0000-000055980000}"/>
    <cellStyle name="Calculation 6 2 23 3 2" xfId="39029" xr:uid="{00000000-0005-0000-0000-000056980000}"/>
    <cellStyle name="Calculation 6 2 23 3 3" xfId="39030" xr:uid="{00000000-0005-0000-0000-000057980000}"/>
    <cellStyle name="Calculation 6 2 23 3 4" xfId="39031" xr:uid="{00000000-0005-0000-0000-000058980000}"/>
    <cellStyle name="Calculation 6 2 23 3 5" xfId="39032" xr:uid="{00000000-0005-0000-0000-000059980000}"/>
    <cellStyle name="Calculation 6 2 23 3 6" xfId="39033" xr:uid="{00000000-0005-0000-0000-00005A980000}"/>
    <cellStyle name="Calculation 6 2 23 4" xfId="39034" xr:uid="{00000000-0005-0000-0000-00005B980000}"/>
    <cellStyle name="Calculation 6 2 23 4 2" xfId="39035" xr:uid="{00000000-0005-0000-0000-00005C980000}"/>
    <cellStyle name="Calculation 6 2 23 4 3" xfId="39036" xr:uid="{00000000-0005-0000-0000-00005D980000}"/>
    <cellStyle name="Calculation 6 2 23 4 4" xfId="39037" xr:uid="{00000000-0005-0000-0000-00005E980000}"/>
    <cellStyle name="Calculation 6 2 23 4 5" xfId="39038" xr:uid="{00000000-0005-0000-0000-00005F980000}"/>
    <cellStyle name="Calculation 6 2 23 4 6" xfId="39039" xr:uid="{00000000-0005-0000-0000-000060980000}"/>
    <cellStyle name="Calculation 6 2 23 5" xfId="39040" xr:uid="{00000000-0005-0000-0000-000061980000}"/>
    <cellStyle name="Calculation 6 2 23 5 2" xfId="39041" xr:uid="{00000000-0005-0000-0000-000062980000}"/>
    <cellStyle name="Calculation 6 2 23 5 3" xfId="39042" xr:uid="{00000000-0005-0000-0000-000063980000}"/>
    <cellStyle name="Calculation 6 2 23 5 4" xfId="39043" xr:uid="{00000000-0005-0000-0000-000064980000}"/>
    <cellStyle name="Calculation 6 2 23 5 5" xfId="39044" xr:uid="{00000000-0005-0000-0000-000065980000}"/>
    <cellStyle name="Calculation 6 2 23 5 6" xfId="39045" xr:uid="{00000000-0005-0000-0000-000066980000}"/>
    <cellStyle name="Calculation 6 2 23 6" xfId="39046" xr:uid="{00000000-0005-0000-0000-000067980000}"/>
    <cellStyle name="Calculation 6 2 23 6 2" xfId="39047" xr:uid="{00000000-0005-0000-0000-000068980000}"/>
    <cellStyle name="Calculation 6 2 23 6 3" xfId="39048" xr:uid="{00000000-0005-0000-0000-000069980000}"/>
    <cellStyle name="Calculation 6 2 23 6 4" xfId="39049" xr:uid="{00000000-0005-0000-0000-00006A980000}"/>
    <cellStyle name="Calculation 6 2 23 6 5" xfId="39050" xr:uid="{00000000-0005-0000-0000-00006B980000}"/>
    <cellStyle name="Calculation 6 2 23 6 6" xfId="39051" xr:uid="{00000000-0005-0000-0000-00006C980000}"/>
    <cellStyle name="Calculation 6 2 23 7" xfId="39052" xr:uid="{00000000-0005-0000-0000-00006D980000}"/>
    <cellStyle name="Calculation 6 2 23 7 2" xfId="39053" xr:uid="{00000000-0005-0000-0000-00006E980000}"/>
    <cellStyle name="Calculation 6 2 23 7 3" xfId="39054" xr:uid="{00000000-0005-0000-0000-00006F980000}"/>
    <cellStyle name="Calculation 6 2 23 7 4" xfId="39055" xr:uid="{00000000-0005-0000-0000-000070980000}"/>
    <cellStyle name="Calculation 6 2 23 7 5" xfId="39056" xr:uid="{00000000-0005-0000-0000-000071980000}"/>
    <cellStyle name="Calculation 6 2 23 7 6" xfId="39057" xr:uid="{00000000-0005-0000-0000-000072980000}"/>
    <cellStyle name="Calculation 6 2 23 8" xfId="39058" xr:uid="{00000000-0005-0000-0000-000073980000}"/>
    <cellStyle name="Calculation 6 2 23 9" xfId="39059" xr:uid="{00000000-0005-0000-0000-000074980000}"/>
    <cellStyle name="Calculation 6 2 24" xfId="39060" xr:uid="{00000000-0005-0000-0000-000075980000}"/>
    <cellStyle name="Calculation 6 2 24 10" xfId="39061" xr:uid="{00000000-0005-0000-0000-000076980000}"/>
    <cellStyle name="Calculation 6 2 24 2" xfId="39062" xr:uid="{00000000-0005-0000-0000-000077980000}"/>
    <cellStyle name="Calculation 6 2 24 2 2" xfId="39063" xr:uid="{00000000-0005-0000-0000-000078980000}"/>
    <cellStyle name="Calculation 6 2 24 2 3" xfId="39064" xr:uid="{00000000-0005-0000-0000-000079980000}"/>
    <cellStyle name="Calculation 6 2 24 2 4" xfId="39065" xr:uid="{00000000-0005-0000-0000-00007A980000}"/>
    <cellStyle name="Calculation 6 2 24 2 5" xfId="39066" xr:uid="{00000000-0005-0000-0000-00007B980000}"/>
    <cellStyle name="Calculation 6 2 24 2 6" xfId="39067" xr:uid="{00000000-0005-0000-0000-00007C980000}"/>
    <cellStyle name="Calculation 6 2 24 3" xfId="39068" xr:uid="{00000000-0005-0000-0000-00007D980000}"/>
    <cellStyle name="Calculation 6 2 24 3 2" xfId="39069" xr:uid="{00000000-0005-0000-0000-00007E980000}"/>
    <cellStyle name="Calculation 6 2 24 3 3" xfId="39070" xr:uid="{00000000-0005-0000-0000-00007F980000}"/>
    <cellStyle name="Calculation 6 2 24 3 4" xfId="39071" xr:uid="{00000000-0005-0000-0000-000080980000}"/>
    <cellStyle name="Calculation 6 2 24 3 5" xfId="39072" xr:uid="{00000000-0005-0000-0000-000081980000}"/>
    <cellStyle name="Calculation 6 2 24 3 6" xfId="39073" xr:uid="{00000000-0005-0000-0000-000082980000}"/>
    <cellStyle name="Calculation 6 2 24 4" xfId="39074" xr:uid="{00000000-0005-0000-0000-000083980000}"/>
    <cellStyle name="Calculation 6 2 24 4 2" xfId="39075" xr:uid="{00000000-0005-0000-0000-000084980000}"/>
    <cellStyle name="Calculation 6 2 24 4 3" xfId="39076" xr:uid="{00000000-0005-0000-0000-000085980000}"/>
    <cellStyle name="Calculation 6 2 24 4 4" xfId="39077" xr:uid="{00000000-0005-0000-0000-000086980000}"/>
    <cellStyle name="Calculation 6 2 24 4 5" xfId="39078" xr:uid="{00000000-0005-0000-0000-000087980000}"/>
    <cellStyle name="Calculation 6 2 24 4 6" xfId="39079" xr:uid="{00000000-0005-0000-0000-000088980000}"/>
    <cellStyle name="Calculation 6 2 24 5" xfId="39080" xr:uid="{00000000-0005-0000-0000-000089980000}"/>
    <cellStyle name="Calculation 6 2 24 5 2" xfId="39081" xr:uid="{00000000-0005-0000-0000-00008A980000}"/>
    <cellStyle name="Calculation 6 2 24 5 3" xfId="39082" xr:uid="{00000000-0005-0000-0000-00008B980000}"/>
    <cellStyle name="Calculation 6 2 24 5 4" xfId="39083" xr:uid="{00000000-0005-0000-0000-00008C980000}"/>
    <cellStyle name="Calculation 6 2 24 5 5" xfId="39084" xr:uid="{00000000-0005-0000-0000-00008D980000}"/>
    <cellStyle name="Calculation 6 2 24 5 6" xfId="39085" xr:uid="{00000000-0005-0000-0000-00008E980000}"/>
    <cellStyle name="Calculation 6 2 24 6" xfId="39086" xr:uid="{00000000-0005-0000-0000-00008F980000}"/>
    <cellStyle name="Calculation 6 2 24 6 2" xfId="39087" xr:uid="{00000000-0005-0000-0000-000090980000}"/>
    <cellStyle name="Calculation 6 2 24 6 3" xfId="39088" xr:uid="{00000000-0005-0000-0000-000091980000}"/>
    <cellStyle name="Calculation 6 2 24 6 4" xfId="39089" xr:uid="{00000000-0005-0000-0000-000092980000}"/>
    <cellStyle name="Calculation 6 2 24 6 5" xfId="39090" xr:uid="{00000000-0005-0000-0000-000093980000}"/>
    <cellStyle name="Calculation 6 2 24 6 6" xfId="39091" xr:uid="{00000000-0005-0000-0000-000094980000}"/>
    <cellStyle name="Calculation 6 2 24 7" xfId="39092" xr:uid="{00000000-0005-0000-0000-000095980000}"/>
    <cellStyle name="Calculation 6 2 24 7 2" xfId="39093" xr:uid="{00000000-0005-0000-0000-000096980000}"/>
    <cellStyle name="Calculation 6 2 24 7 3" xfId="39094" xr:uid="{00000000-0005-0000-0000-000097980000}"/>
    <cellStyle name="Calculation 6 2 24 7 4" xfId="39095" xr:uid="{00000000-0005-0000-0000-000098980000}"/>
    <cellStyle name="Calculation 6 2 24 7 5" xfId="39096" xr:uid="{00000000-0005-0000-0000-000099980000}"/>
    <cellStyle name="Calculation 6 2 24 7 6" xfId="39097" xr:uid="{00000000-0005-0000-0000-00009A980000}"/>
    <cellStyle name="Calculation 6 2 24 8" xfId="39098" xr:uid="{00000000-0005-0000-0000-00009B980000}"/>
    <cellStyle name="Calculation 6 2 24 9" xfId="39099" xr:uid="{00000000-0005-0000-0000-00009C980000}"/>
    <cellStyle name="Calculation 6 2 25" xfId="39100" xr:uid="{00000000-0005-0000-0000-00009D980000}"/>
    <cellStyle name="Calculation 6 2 25 10" xfId="39101" xr:uid="{00000000-0005-0000-0000-00009E980000}"/>
    <cellStyle name="Calculation 6 2 25 2" xfId="39102" xr:uid="{00000000-0005-0000-0000-00009F980000}"/>
    <cellStyle name="Calculation 6 2 25 2 2" xfId="39103" xr:uid="{00000000-0005-0000-0000-0000A0980000}"/>
    <cellStyle name="Calculation 6 2 25 2 3" xfId="39104" xr:uid="{00000000-0005-0000-0000-0000A1980000}"/>
    <cellStyle name="Calculation 6 2 25 2 4" xfId="39105" xr:uid="{00000000-0005-0000-0000-0000A2980000}"/>
    <cellStyle name="Calculation 6 2 25 2 5" xfId="39106" xr:uid="{00000000-0005-0000-0000-0000A3980000}"/>
    <cellStyle name="Calculation 6 2 25 2 6" xfId="39107" xr:uid="{00000000-0005-0000-0000-0000A4980000}"/>
    <cellStyle name="Calculation 6 2 25 3" xfId="39108" xr:uid="{00000000-0005-0000-0000-0000A5980000}"/>
    <cellStyle name="Calculation 6 2 25 3 2" xfId="39109" xr:uid="{00000000-0005-0000-0000-0000A6980000}"/>
    <cellStyle name="Calculation 6 2 25 3 3" xfId="39110" xr:uid="{00000000-0005-0000-0000-0000A7980000}"/>
    <cellStyle name="Calculation 6 2 25 3 4" xfId="39111" xr:uid="{00000000-0005-0000-0000-0000A8980000}"/>
    <cellStyle name="Calculation 6 2 25 3 5" xfId="39112" xr:uid="{00000000-0005-0000-0000-0000A9980000}"/>
    <cellStyle name="Calculation 6 2 25 3 6" xfId="39113" xr:uid="{00000000-0005-0000-0000-0000AA980000}"/>
    <cellStyle name="Calculation 6 2 25 4" xfId="39114" xr:uid="{00000000-0005-0000-0000-0000AB980000}"/>
    <cellStyle name="Calculation 6 2 25 4 2" xfId="39115" xr:uid="{00000000-0005-0000-0000-0000AC980000}"/>
    <cellStyle name="Calculation 6 2 25 4 3" xfId="39116" xr:uid="{00000000-0005-0000-0000-0000AD980000}"/>
    <cellStyle name="Calculation 6 2 25 4 4" xfId="39117" xr:uid="{00000000-0005-0000-0000-0000AE980000}"/>
    <cellStyle name="Calculation 6 2 25 4 5" xfId="39118" xr:uid="{00000000-0005-0000-0000-0000AF980000}"/>
    <cellStyle name="Calculation 6 2 25 4 6" xfId="39119" xr:uid="{00000000-0005-0000-0000-0000B0980000}"/>
    <cellStyle name="Calculation 6 2 25 5" xfId="39120" xr:uid="{00000000-0005-0000-0000-0000B1980000}"/>
    <cellStyle name="Calculation 6 2 25 5 2" xfId="39121" xr:uid="{00000000-0005-0000-0000-0000B2980000}"/>
    <cellStyle name="Calculation 6 2 25 5 3" xfId="39122" xr:uid="{00000000-0005-0000-0000-0000B3980000}"/>
    <cellStyle name="Calculation 6 2 25 5 4" xfId="39123" xr:uid="{00000000-0005-0000-0000-0000B4980000}"/>
    <cellStyle name="Calculation 6 2 25 5 5" xfId="39124" xr:uid="{00000000-0005-0000-0000-0000B5980000}"/>
    <cellStyle name="Calculation 6 2 25 5 6" xfId="39125" xr:uid="{00000000-0005-0000-0000-0000B6980000}"/>
    <cellStyle name="Calculation 6 2 25 6" xfId="39126" xr:uid="{00000000-0005-0000-0000-0000B7980000}"/>
    <cellStyle name="Calculation 6 2 25 6 2" xfId="39127" xr:uid="{00000000-0005-0000-0000-0000B8980000}"/>
    <cellStyle name="Calculation 6 2 25 6 3" xfId="39128" xr:uid="{00000000-0005-0000-0000-0000B9980000}"/>
    <cellStyle name="Calculation 6 2 25 6 4" xfId="39129" xr:uid="{00000000-0005-0000-0000-0000BA980000}"/>
    <cellStyle name="Calculation 6 2 25 6 5" xfId="39130" xr:uid="{00000000-0005-0000-0000-0000BB980000}"/>
    <cellStyle name="Calculation 6 2 25 6 6" xfId="39131" xr:uid="{00000000-0005-0000-0000-0000BC980000}"/>
    <cellStyle name="Calculation 6 2 25 7" xfId="39132" xr:uid="{00000000-0005-0000-0000-0000BD980000}"/>
    <cellStyle name="Calculation 6 2 25 7 2" xfId="39133" xr:uid="{00000000-0005-0000-0000-0000BE980000}"/>
    <cellStyle name="Calculation 6 2 25 7 3" xfId="39134" xr:uid="{00000000-0005-0000-0000-0000BF980000}"/>
    <cellStyle name="Calculation 6 2 25 7 4" xfId="39135" xr:uid="{00000000-0005-0000-0000-0000C0980000}"/>
    <cellStyle name="Calculation 6 2 25 7 5" xfId="39136" xr:uid="{00000000-0005-0000-0000-0000C1980000}"/>
    <cellStyle name="Calculation 6 2 25 7 6" xfId="39137" xr:uid="{00000000-0005-0000-0000-0000C2980000}"/>
    <cellStyle name="Calculation 6 2 25 8" xfId="39138" xr:uid="{00000000-0005-0000-0000-0000C3980000}"/>
    <cellStyle name="Calculation 6 2 25 9" xfId="39139" xr:uid="{00000000-0005-0000-0000-0000C4980000}"/>
    <cellStyle name="Calculation 6 2 26" xfId="39140" xr:uid="{00000000-0005-0000-0000-0000C5980000}"/>
    <cellStyle name="Calculation 6 2 26 10" xfId="39141" xr:uid="{00000000-0005-0000-0000-0000C6980000}"/>
    <cellStyle name="Calculation 6 2 26 2" xfId="39142" xr:uid="{00000000-0005-0000-0000-0000C7980000}"/>
    <cellStyle name="Calculation 6 2 26 2 2" xfId="39143" xr:uid="{00000000-0005-0000-0000-0000C8980000}"/>
    <cellStyle name="Calculation 6 2 26 2 3" xfId="39144" xr:uid="{00000000-0005-0000-0000-0000C9980000}"/>
    <cellStyle name="Calculation 6 2 26 2 4" xfId="39145" xr:uid="{00000000-0005-0000-0000-0000CA980000}"/>
    <cellStyle name="Calculation 6 2 26 2 5" xfId="39146" xr:uid="{00000000-0005-0000-0000-0000CB980000}"/>
    <cellStyle name="Calculation 6 2 26 2 6" xfId="39147" xr:uid="{00000000-0005-0000-0000-0000CC980000}"/>
    <cellStyle name="Calculation 6 2 26 3" xfId="39148" xr:uid="{00000000-0005-0000-0000-0000CD980000}"/>
    <cellStyle name="Calculation 6 2 26 3 2" xfId="39149" xr:uid="{00000000-0005-0000-0000-0000CE980000}"/>
    <cellStyle name="Calculation 6 2 26 3 3" xfId="39150" xr:uid="{00000000-0005-0000-0000-0000CF980000}"/>
    <cellStyle name="Calculation 6 2 26 3 4" xfId="39151" xr:uid="{00000000-0005-0000-0000-0000D0980000}"/>
    <cellStyle name="Calculation 6 2 26 3 5" xfId="39152" xr:uid="{00000000-0005-0000-0000-0000D1980000}"/>
    <cellStyle name="Calculation 6 2 26 3 6" xfId="39153" xr:uid="{00000000-0005-0000-0000-0000D2980000}"/>
    <cellStyle name="Calculation 6 2 26 4" xfId="39154" xr:uid="{00000000-0005-0000-0000-0000D3980000}"/>
    <cellStyle name="Calculation 6 2 26 4 2" xfId="39155" xr:uid="{00000000-0005-0000-0000-0000D4980000}"/>
    <cellStyle name="Calculation 6 2 26 4 3" xfId="39156" xr:uid="{00000000-0005-0000-0000-0000D5980000}"/>
    <cellStyle name="Calculation 6 2 26 4 4" xfId="39157" xr:uid="{00000000-0005-0000-0000-0000D6980000}"/>
    <cellStyle name="Calculation 6 2 26 4 5" xfId="39158" xr:uid="{00000000-0005-0000-0000-0000D7980000}"/>
    <cellStyle name="Calculation 6 2 26 4 6" xfId="39159" xr:uid="{00000000-0005-0000-0000-0000D8980000}"/>
    <cellStyle name="Calculation 6 2 26 5" xfId="39160" xr:uid="{00000000-0005-0000-0000-0000D9980000}"/>
    <cellStyle name="Calculation 6 2 26 5 2" xfId="39161" xr:uid="{00000000-0005-0000-0000-0000DA980000}"/>
    <cellStyle name="Calculation 6 2 26 5 3" xfId="39162" xr:uid="{00000000-0005-0000-0000-0000DB980000}"/>
    <cellStyle name="Calculation 6 2 26 5 4" xfId="39163" xr:uid="{00000000-0005-0000-0000-0000DC980000}"/>
    <cellStyle name="Calculation 6 2 26 5 5" xfId="39164" xr:uid="{00000000-0005-0000-0000-0000DD980000}"/>
    <cellStyle name="Calculation 6 2 26 5 6" xfId="39165" xr:uid="{00000000-0005-0000-0000-0000DE980000}"/>
    <cellStyle name="Calculation 6 2 26 6" xfId="39166" xr:uid="{00000000-0005-0000-0000-0000DF980000}"/>
    <cellStyle name="Calculation 6 2 26 6 2" xfId="39167" xr:uid="{00000000-0005-0000-0000-0000E0980000}"/>
    <cellStyle name="Calculation 6 2 26 6 3" xfId="39168" xr:uid="{00000000-0005-0000-0000-0000E1980000}"/>
    <cellStyle name="Calculation 6 2 26 6 4" xfId="39169" xr:uid="{00000000-0005-0000-0000-0000E2980000}"/>
    <cellStyle name="Calculation 6 2 26 6 5" xfId="39170" xr:uid="{00000000-0005-0000-0000-0000E3980000}"/>
    <cellStyle name="Calculation 6 2 26 6 6" xfId="39171" xr:uid="{00000000-0005-0000-0000-0000E4980000}"/>
    <cellStyle name="Calculation 6 2 26 7" xfId="39172" xr:uid="{00000000-0005-0000-0000-0000E5980000}"/>
    <cellStyle name="Calculation 6 2 26 7 2" xfId="39173" xr:uid="{00000000-0005-0000-0000-0000E6980000}"/>
    <cellStyle name="Calculation 6 2 26 7 3" xfId="39174" xr:uid="{00000000-0005-0000-0000-0000E7980000}"/>
    <cellStyle name="Calculation 6 2 26 7 4" xfId="39175" xr:uid="{00000000-0005-0000-0000-0000E8980000}"/>
    <cellStyle name="Calculation 6 2 26 7 5" xfId="39176" xr:uid="{00000000-0005-0000-0000-0000E9980000}"/>
    <cellStyle name="Calculation 6 2 26 7 6" xfId="39177" xr:uid="{00000000-0005-0000-0000-0000EA980000}"/>
    <cellStyle name="Calculation 6 2 26 8" xfId="39178" xr:uid="{00000000-0005-0000-0000-0000EB980000}"/>
    <cellStyle name="Calculation 6 2 26 9" xfId="39179" xr:uid="{00000000-0005-0000-0000-0000EC980000}"/>
    <cellStyle name="Calculation 6 2 27" xfId="39180" xr:uid="{00000000-0005-0000-0000-0000ED980000}"/>
    <cellStyle name="Calculation 6 2 27 2" xfId="39181" xr:uid="{00000000-0005-0000-0000-0000EE980000}"/>
    <cellStyle name="Calculation 6 2 27 3" xfId="39182" xr:uid="{00000000-0005-0000-0000-0000EF980000}"/>
    <cellStyle name="Calculation 6 2 27 4" xfId="39183" xr:uid="{00000000-0005-0000-0000-0000F0980000}"/>
    <cellStyle name="Calculation 6 2 27 5" xfId="39184" xr:uid="{00000000-0005-0000-0000-0000F1980000}"/>
    <cellStyle name="Calculation 6 2 27 6" xfId="39185" xr:uid="{00000000-0005-0000-0000-0000F2980000}"/>
    <cellStyle name="Calculation 6 2 28" xfId="39186" xr:uid="{00000000-0005-0000-0000-0000F3980000}"/>
    <cellStyle name="Calculation 6 2 28 2" xfId="39187" xr:uid="{00000000-0005-0000-0000-0000F4980000}"/>
    <cellStyle name="Calculation 6 2 28 3" xfId="39188" xr:uid="{00000000-0005-0000-0000-0000F5980000}"/>
    <cellStyle name="Calculation 6 2 28 4" xfId="39189" xr:uid="{00000000-0005-0000-0000-0000F6980000}"/>
    <cellStyle name="Calculation 6 2 28 5" xfId="39190" xr:uid="{00000000-0005-0000-0000-0000F7980000}"/>
    <cellStyle name="Calculation 6 2 28 6" xfId="39191" xr:uid="{00000000-0005-0000-0000-0000F8980000}"/>
    <cellStyle name="Calculation 6 2 29" xfId="39192" xr:uid="{00000000-0005-0000-0000-0000F9980000}"/>
    <cellStyle name="Calculation 6 2 29 2" xfId="39193" xr:uid="{00000000-0005-0000-0000-0000FA980000}"/>
    <cellStyle name="Calculation 6 2 29 3" xfId="39194" xr:uid="{00000000-0005-0000-0000-0000FB980000}"/>
    <cellStyle name="Calculation 6 2 29 4" xfId="39195" xr:uid="{00000000-0005-0000-0000-0000FC980000}"/>
    <cellStyle name="Calculation 6 2 29 5" xfId="39196" xr:uid="{00000000-0005-0000-0000-0000FD980000}"/>
    <cellStyle name="Calculation 6 2 29 6" xfId="39197" xr:uid="{00000000-0005-0000-0000-0000FE980000}"/>
    <cellStyle name="Calculation 6 2 3" xfId="39198" xr:uid="{00000000-0005-0000-0000-0000FF980000}"/>
    <cellStyle name="Calculation 6 2 3 10" xfId="39199" xr:uid="{00000000-0005-0000-0000-000000990000}"/>
    <cellStyle name="Calculation 6 2 3 2" xfId="39200" xr:uid="{00000000-0005-0000-0000-000001990000}"/>
    <cellStyle name="Calculation 6 2 3 2 2" xfId="39201" xr:uid="{00000000-0005-0000-0000-000002990000}"/>
    <cellStyle name="Calculation 6 2 3 2 3" xfId="39202" xr:uid="{00000000-0005-0000-0000-000003990000}"/>
    <cellStyle name="Calculation 6 2 3 2 4" xfId="39203" xr:uid="{00000000-0005-0000-0000-000004990000}"/>
    <cellStyle name="Calculation 6 2 3 2 5" xfId="39204" xr:uid="{00000000-0005-0000-0000-000005990000}"/>
    <cellStyle name="Calculation 6 2 3 2 6" xfId="39205" xr:uid="{00000000-0005-0000-0000-000006990000}"/>
    <cellStyle name="Calculation 6 2 3 3" xfId="39206" xr:uid="{00000000-0005-0000-0000-000007990000}"/>
    <cellStyle name="Calculation 6 2 3 3 2" xfId="39207" xr:uid="{00000000-0005-0000-0000-000008990000}"/>
    <cellStyle name="Calculation 6 2 3 3 3" xfId="39208" xr:uid="{00000000-0005-0000-0000-000009990000}"/>
    <cellStyle name="Calculation 6 2 3 3 4" xfId="39209" xr:uid="{00000000-0005-0000-0000-00000A990000}"/>
    <cellStyle name="Calculation 6 2 3 3 5" xfId="39210" xr:uid="{00000000-0005-0000-0000-00000B990000}"/>
    <cellStyle name="Calculation 6 2 3 3 6" xfId="39211" xr:uid="{00000000-0005-0000-0000-00000C990000}"/>
    <cellStyle name="Calculation 6 2 3 4" xfId="39212" xr:uid="{00000000-0005-0000-0000-00000D990000}"/>
    <cellStyle name="Calculation 6 2 3 4 2" xfId="39213" xr:uid="{00000000-0005-0000-0000-00000E990000}"/>
    <cellStyle name="Calculation 6 2 3 4 3" xfId="39214" xr:uid="{00000000-0005-0000-0000-00000F990000}"/>
    <cellStyle name="Calculation 6 2 3 4 4" xfId="39215" xr:uid="{00000000-0005-0000-0000-000010990000}"/>
    <cellStyle name="Calculation 6 2 3 4 5" xfId="39216" xr:uid="{00000000-0005-0000-0000-000011990000}"/>
    <cellStyle name="Calculation 6 2 3 4 6" xfId="39217" xr:uid="{00000000-0005-0000-0000-000012990000}"/>
    <cellStyle name="Calculation 6 2 3 5" xfId="39218" xr:uid="{00000000-0005-0000-0000-000013990000}"/>
    <cellStyle name="Calculation 6 2 3 5 2" xfId="39219" xr:uid="{00000000-0005-0000-0000-000014990000}"/>
    <cellStyle name="Calculation 6 2 3 5 3" xfId="39220" xr:uid="{00000000-0005-0000-0000-000015990000}"/>
    <cellStyle name="Calculation 6 2 3 5 4" xfId="39221" xr:uid="{00000000-0005-0000-0000-000016990000}"/>
    <cellStyle name="Calculation 6 2 3 5 5" xfId="39222" xr:uid="{00000000-0005-0000-0000-000017990000}"/>
    <cellStyle name="Calculation 6 2 3 5 6" xfId="39223" xr:uid="{00000000-0005-0000-0000-000018990000}"/>
    <cellStyle name="Calculation 6 2 3 6" xfId="39224" xr:uid="{00000000-0005-0000-0000-000019990000}"/>
    <cellStyle name="Calculation 6 2 3 6 2" xfId="39225" xr:uid="{00000000-0005-0000-0000-00001A990000}"/>
    <cellStyle name="Calculation 6 2 3 6 3" xfId="39226" xr:uid="{00000000-0005-0000-0000-00001B990000}"/>
    <cellStyle name="Calculation 6 2 3 6 4" xfId="39227" xr:uid="{00000000-0005-0000-0000-00001C990000}"/>
    <cellStyle name="Calculation 6 2 3 6 5" xfId="39228" xr:uid="{00000000-0005-0000-0000-00001D990000}"/>
    <cellStyle name="Calculation 6 2 3 6 6" xfId="39229" xr:uid="{00000000-0005-0000-0000-00001E990000}"/>
    <cellStyle name="Calculation 6 2 3 7" xfId="39230" xr:uid="{00000000-0005-0000-0000-00001F990000}"/>
    <cellStyle name="Calculation 6 2 3 7 2" xfId="39231" xr:uid="{00000000-0005-0000-0000-000020990000}"/>
    <cellStyle name="Calculation 6 2 3 7 3" xfId="39232" xr:uid="{00000000-0005-0000-0000-000021990000}"/>
    <cellStyle name="Calculation 6 2 3 7 4" xfId="39233" xr:uid="{00000000-0005-0000-0000-000022990000}"/>
    <cellStyle name="Calculation 6 2 3 7 5" xfId="39234" xr:uid="{00000000-0005-0000-0000-000023990000}"/>
    <cellStyle name="Calculation 6 2 3 7 6" xfId="39235" xr:uid="{00000000-0005-0000-0000-000024990000}"/>
    <cellStyle name="Calculation 6 2 3 8" xfId="39236" xr:uid="{00000000-0005-0000-0000-000025990000}"/>
    <cellStyle name="Calculation 6 2 3 9" xfId="39237" xr:uid="{00000000-0005-0000-0000-000026990000}"/>
    <cellStyle name="Calculation 6 2 30" xfId="39238" xr:uid="{00000000-0005-0000-0000-000027990000}"/>
    <cellStyle name="Calculation 6 2 30 2" xfId="39239" xr:uid="{00000000-0005-0000-0000-000028990000}"/>
    <cellStyle name="Calculation 6 2 30 3" xfId="39240" xr:uid="{00000000-0005-0000-0000-000029990000}"/>
    <cellStyle name="Calculation 6 2 30 4" xfId="39241" xr:uid="{00000000-0005-0000-0000-00002A990000}"/>
    <cellStyle name="Calculation 6 2 30 5" xfId="39242" xr:uid="{00000000-0005-0000-0000-00002B990000}"/>
    <cellStyle name="Calculation 6 2 30 6" xfId="39243" xr:uid="{00000000-0005-0000-0000-00002C990000}"/>
    <cellStyle name="Calculation 6 2 31" xfId="39244" xr:uid="{00000000-0005-0000-0000-00002D990000}"/>
    <cellStyle name="Calculation 6 2 31 2" xfId="39245" xr:uid="{00000000-0005-0000-0000-00002E990000}"/>
    <cellStyle name="Calculation 6 2 31 3" xfId="39246" xr:uid="{00000000-0005-0000-0000-00002F990000}"/>
    <cellStyle name="Calculation 6 2 31 4" xfId="39247" xr:uid="{00000000-0005-0000-0000-000030990000}"/>
    <cellStyle name="Calculation 6 2 31 5" xfId="39248" xr:uid="{00000000-0005-0000-0000-000031990000}"/>
    <cellStyle name="Calculation 6 2 31 6" xfId="39249" xr:uid="{00000000-0005-0000-0000-000032990000}"/>
    <cellStyle name="Calculation 6 2 32" xfId="39250" xr:uid="{00000000-0005-0000-0000-000033990000}"/>
    <cellStyle name="Calculation 6 2 32 2" xfId="39251" xr:uid="{00000000-0005-0000-0000-000034990000}"/>
    <cellStyle name="Calculation 6 2 32 3" xfId="39252" xr:uid="{00000000-0005-0000-0000-000035990000}"/>
    <cellStyle name="Calculation 6 2 32 4" xfId="39253" xr:uid="{00000000-0005-0000-0000-000036990000}"/>
    <cellStyle name="Calculation 6 2 32 5" xfId="39254" xr:uid="{00000000-0005-0000-0000-000037990000}"/>
    <cellStyle name="Calculation 6 2 32 6" xfId="39255" xr:uid="{00000000-0005-0000-0000-000038990000}"/>
    <cellStyle name="Calculation 6 2 33" xfId="39256" xr:uid="{00000000-0005-0000-0000-000039990000}"/>
    <cellStyle name="Calculation 6 2 34" xfId="39257" xr:uid="{00000000-0005-0000-0000-00003A990000}"/>
    <cellStyle name="Calculation 6 2 35" xfId="39258" xr:uid="{00000000-0005-0000-0000-00003B990000}"/>
    <cellStyle name="Calculation 6 2 4" xfId="39259" xr:uid="{00000000-0005-0000-0000-00003C990000}"/>
    <cellStyle name="Calculation 6 2 4 10" xfId="39260" xr:uid="{00000000-0005-0000-0000-00003D990000}"/>
    <cellStyle name="Calculation 6 2 4 2" xfId="39261" xr:uid="{00000000-0005-0000-0000-00003E990000}"/>
    <cellStyle name="Calculation 6 2 4 2 2" xfId="39262" xr:uid="{00000000-0005-0000-0000-00003F990000}"/>
    <cellStyle name="Calculation 6 2 4 2 3" xfId="39263" xr:uid="{00000000-0005-0000-0000-000040990000}"/>
    <cellStyle name="Calculation 6 2 4 2 4" xfId="39264" xr:uid="{00000000-0005-0000-0000-000041990000}"/>
    <cellStyle name="Calculation 6 2 4 2 5" xfId="39265" xr:uid="{00000000-0005-0000-0000-000042990000}"/>
    <cellStyle name="Calculation 6 2 4 2 6" xfId="39266" xr:uid="{00000000-0005-0000-0000-000043990000}"/>
    <cellStyle name="Calculation 6 2 4 3" xfId="39267" xr:uid="{00000000-0005-0000-0000-000044990000}"/>
    <cellStyle name="Calculation 6 2 4 3 2" xfId="39268" xr:uid="{00000000-0005-0000-0000-000045990000}"/>
    <cellStyle name="Calculation 6 2 4 3 3" xfId="39269" xr:uid="{00000000-0005-0000-0000-000046990000}"/>
    <cellStyle name="Calculation 6 2 4 3 4" xfId="39270" xr:uid="{00000000-0005-0000-0000-000047990000}"/>
    <cellStyle name="Calculation 6 2 4 3 5" xfId="39271" xr:uid="{00000000-0005-0000-0000-000048990000}"/>
    <cellStyle name="Calculation 6 2 4 3 6" xfId="39272" xr:uid="{00000000-0005-0000-0000-000049990000}"/>
    <cellStyle name="Calculation 6 2 4 4" xfId="39273" xr:uid="{00000000-0005-0000-0000-00004A990000}"/>
    <cellStyle name="Calculation 6 2 4 4 2" xfId="39274" xr:uid="{00000000-0005-0000-0000-00004B990000}"/>
    <cellStyle name="Calculation 6 2 4 4 3" xfId="39275" xr:uid="{00000000-0005-0000-0000-00004C990000}"/>
    <cellStyle name="Calculation 6 2 4 4 4" xfId="39276" xr:uid="{00000000-0005-0000-0000-00004D990000}"/>
    <cellStyle name="Calculation 6 2 4 4 5" xfId="39277" xr:uid="{00000000-0005-0000-0000-00004E990000}"/>
    <cellStyle name="Calculation 6 2 4 4 6" xfId="39278" xr:uid="{00000000-0005-0000-0000-00004F990000}"/>
    <cellStyle name="Calculation 6 2 4 5" xfId="39279" xr:uid="{00000000-0005-0000-0000-000050990000}"/>
    <cellStyle name="Calculation 6 2 4 5 2" xfId="39280" xr:uid="{00000000-0005-0000-0000-000051990000}"/>
    <cellStyle name="Calculation 6 2 4 5 3" xfId="39281" xr:uid="{00000000-0005-0000-0000-000052990000}"/>
    <cellStyle name="Calculation 6 2 4 5 4" xfId="39282" xr:uid="{00000000-0005-0000-0000-000053990000}"/>
    <cellStyle name="Calculation 6 2 4 5 5" xfId="39283" xr:uid="{00000000-0005-0000-0000-000054990000}"/>
    <cellStyle name="Calculation 6 2 4 5 6" xfId="39284" xr:uid="{00000000-0005-0000-0000-000055990000}"/>
    <cellStyle name="Calculation 6 2 4 6" xfId="39285" xr:uid="{00000000-0005-0000-0000-000056990000}"/>
    <cellStyle name="Calculation 6 2 4 6 2" xfId="39286" xr:uid="{00000000-0005-0000-0000-000057990000}"/>
    <cellStyle name="Calculation 6 2 4 6 3" xfId="39287" xr:uid="{00000000-0005-0000-0000-000058990000}"/>
    <cellStyle name="Calculation 6 2 4 6 4" xfId="39288" xr:uid="{00000000-0005-0000-0000-000059990000}"/>
    <cellStyle name="Calculation 6 2 4 6 5" xfId="39289" xr:uid="{00000000-0005-0000-0000-00005A990000}"/>
    <cellStyle name="Calculation 6 2 4 6 6" xfId="39290" xr:uid="{00000000-0005-0000-0000-00005B990000}"/>
    <cellStyle name="Calculation 6 2 4 7" xfId="39291" xr:uid="{00000000-0005-0000-0000-00005C990000}"/>
    <cellStyle name="Calculation 6 2 4 7 2" xfId="39292" xr:uid="{00000000-0005-0000-0000-00005D990000}"/>
    <cellStyle name="Calculation 6 2 4 7 3" xfId="39293" xr:uid="{00000000-0005-0000-0000-00005E990000}"/>
    <cellStyle name="Calculation 6 2 4 7 4" xfId="39294" xr:uid="{00000000-0005-0000-0000-00005F990000}"/>
    <cellStyle name="Calculation 6 2 4 7 5" xfId="39295" xr:uid="{00000000-0005-0000-0000-000060990000}"/>
    <cellStyle name="Calculation 6 2 4 7 6" xfId="39296" xr:uid="{00000000-0005-0000-0000-000061990000}"/>
    <cellStyle name="Calculation 6 2 4 8" xfId="39297" xr:uid="{00000000-0005-0000-0000-000062990000}"/>
    <cellStyle name="Calculation 6 2 4 9" xfId="39298" xr:uid="{00000000-0005-0000-0000-000063990000}"/>
    <cellStyle name="Calculation 6 2 5" xfId="39299" xr:uid="{00000000-0005-0000-0000-000064990000}"/>
    <cellStyle name="Calculation 6 2 5 10" xfId="39300" xr:uid="{00000000-0005-0000-0000-000065990000}"/>
    <cellStyle name="Calculation 6 2 5 2" xfId="39301" xr:uid="{00000000-0005-0000-0000-000066990000}"/>
    <cellStyle name="Calculation 6 2 5 2 2" xfId="39302" xr:uid="{00000000-0005-0000-0000-000067990000}"/>
    <cellStyle name="Calculation 6 2 5 2 3" xfId="39303" xr:uid="{00000000-0005-0000-0000-000068990000}"/>
    <cellStyle name="Calculation 6 2 5 2 4" xfId="39304" xr:uid="{00000000-0005-0000-0000-000069990000}"/>
    <cellStyle name="Calculation 6 2 5 2 5" xfId="39305" xr:uid="{00000000-0005-0000-0000-00006A990000}"/>
    <cellStyle name="Calculation 6 2 5 2 6" xfId="39306" xr:uid="{00000000-0005-0000-0000-00006B990000}"/>
    <cellStyle name="Calculation 6 2 5 3" xfId="39307" xr:uid="{00000000-0005-0000-0000-00006C990000}"/>
    <cellStyle name="Calculation 6 2 5 3 2" xfId="39308" xr:uid="{00000000-0005-0000-0000-00006D990000}"/>
    <cellStyle name="Calculation 6 2 5 3 3" xfId="39309" xr:uid="{00000000-0005-0000-0000-00006E990000}"/>
    <cellStyle name="Calculation 6 2 5 3 4" xfId="39310" xr:uid="{00000000-0005-0000-0000-00006F990000}"/>
    <cellStyle name="Calculation 6 2 5 3 5" xfId="39311" xr:uid="{00000000-0005-0000-0000-000070990000}"/>
    <cellStyle name="Calculation 6 2 5 3 6" xfId="39312" xr:uid="{00000000-0005-0000-0000-000071990000}"/>
    <cellStyle name="Calculation 6 2 5 4" xfId="39313" xr:uid="{00000000-0005-0000-0000-000072990000}"/>
    <cellStyle name="Calculation 6 2 5 4 2" xfId="39314" xr:uid="{00000000-0005-0000-0000-000073990000}"/>
    <cellStyle name="Calculation 6 2 5 4 3" xfId="39315" xr:uid="{00000000-0005-0000-0000-000074990000}"/>
    <cellStyle name="Calculation 6 2 5 4 4" xfId="39316" xr:uid="{00000000-0005-0000-0000-000075990000}"/>
    <cellStyle name="Calculation 6 2 5 4 5" xfId="39317" xr:uid="{00000000-0005-0000-0000-000076990000}"/>
    <cellStyle name="Calculation 6 2 5 4 6" xfId="39318" xr:uid="{00000000-0005-0000-0000-000077990000}"/>
    <cellStyle name="Calculation 6 2 5 5" xfId="39319" xr:uid="{00000000-0005-0000-0000-000078990000}"/>
    <cellStyle name="Calculation 6 2 5 5 2" xfId="39320" xr:uid="{00000000-0005-0000-0000-000079990000}"/>
    <cellStyle name="Calculation 6 2 5 5 3" xfId="39321" xr:uid="{00000000-0005-0000-0000-00007A990000}"/>
    <cellStyle name="Calculation 6 2 5 5 4" xfId="39322" xr:uid="{00000000-0005-0000-0000-00007B990000}"/>
    <cellStyle name="Calculation 6 2 5 5 5" xfId="39323" xr:uid="{00000000-0005-0000-0000-00007C990000}"/>
    <cellStyle name="Calculation 6 2 5 5 6" xfId="39324" xr:uid="{00000000-0005-0000-0000-00007D990000}"/>
    <cellStyle name="Calculation 6 2 5 6" xfId="39325" xr:uid="{00000000-0005-0000-0000-00007E990000}"/>
    <cellStyle name="Calculation 6 2 5 6 2" xfId="39326" xr:uid="{00000000-0005-0000-0000-00007F990000}"/>
    <cellStyle name="Calculation 6 2 5 6 3" xfId="39327" xr:uid="{00000000-0005-0000-0000-000080990000}"/>
    <cellStyle name="Calculation 6 2 5 6 4" xfId="39328" xr:uid="{00000000-0005-0000-0000-000081990000}"/>
    <cellStyle name="Calculation 6 2 5 6 5" xfId="39329" xr:uid="{00000000-0005-0000-0000-000082990000}"/>
    <cellStyle name="Calculation 6 2 5 6 6" xfId="39330" xr:uid="{00000000-0005-0000-0000-000083990000}"/>
    <cellStyle name="Calculation 6 2 5 7" xfId="39331" xr:uid="{00000000-0005-0000-0000-000084990000}"/>
    <cellStyle name="Calculation 6 2 5 7 2" xfId="39332" xr:uid="{00000000-0005-0000-0000-000085990000}"/>
    <cellStyle name="Calculation 6 2 5 7 3" xfId="39333" xr:uid="{00000000-0005-0000-0000-000086990000}"/>
    <cellStyle name="Calculation 6 2 5 7 4" xfId="39334" xr:uid="{00000000-0005-0000-0000-000087990000}"/>
    <cellStyle name="Calculation 6 2 5 7 5" xfId="39335" xr:uid="{00000000-0005-0000-0000-000088990000}"/>
    <cellStyle name="Calculation 6 2 5 7 6" xfId="39336" xr:uid="{00000000-0005-0000-0000-000089990000}"/>
    <cellStyle name="Calculation 6 2 5 8" xfId="39337" xr:uid="{00000000-0005-0000-0000-00008A990000}"/>
    <cellStyle name="Calculation 6 2 5 9" xfId="39338" xr:uid="{00000000-0005-0000-0000-00008B990000}"/>
    <cellStyle name="Calculation 6 2 6" xfId="39339" xr:uid="{00000000-0005-0000-0000-00008C990000}"/>
    <cellStyle name="Calculation 6 2 6 10" xfId="39340" xr:uid="{00000000-0005-0000-0000-00008D990000}"/>
    <cellStyle name="Calculation 6 2 6 2" xfId="39341" xr:uid="{00000000-0005-0000-0000-00008E990000}"/>
    <cellStyle name="Calculation 6 2 6 2 2" xfId="39342" xr:uid="{00000000-0005-0000-0000-00008F990000}"/>
    <cellStyle name="Calculation 6 2 6 2 3" xfId="39343" xr:uid="{00000000-0005-0000-0000-000090990000}"/>
    <cellStyle name="Calculation 6 2 6 2 4" xfId="39344" xr:uid="{00000000-0005-0000-0000-000091990000}"/>
    <cellStyle name="Calculation 6 2 6 2 5" xfId="39345" xr:uid="{00000000-0005-0000-0000-000092990000}"/>
    <cellStyle name="Calculation 6 2 6 2 6" xfId="39346" xr:uid="{00000000-0005-0000-0000-000093990000}"/>
    <cellStyle name="Calculation 6 2 6 3" xfId="39347" xr:uid="{00000000-0005-0000-0000-000094990000}"/>
    <cellStyle name="Calculation 6 2 6 3 2" xfId="39348" xr:uid="{00000000-0005-0000-0000-000095990000}"/>
    <cellStyle name="Calculation 6 2 6 3 3" xfId="39349" xr:uid="{00000000-0005-0000-0000-000096990000}"/>
    <cellStyle name="Calculation 6 2 6 3 4" xfId="39350" xr:uid="{00000000-0005-0000-0000-000097990000}"/>
    <cellStyle name="Calculation 6 2 6 3 5" xfId="39351" xr:uid="{00000000-0005-0000-0000-000098990000}"/>
    <cellStyle name="Calculation 6 2 6 3 6" xfId="39352" xr:uid="{00000000-0005-0000-0000-000099990000}"/>
    <cellStyle name="Calculation 6 2 6 4" xfId="39353" xr:uid="{00000000-0005-0000-0000-00009A990000}"/>
    <cellStyle name="Calculation 6 2 6 4 2" xfId="39354" xr:uid="{00000000-0005-0000-0000-00009B990000}"/>
    <cellStyle name="Calculation 6 2 6 4 3" xfId="39355" xr:uid="{00000000-0005-0000-0000-00009C990000}"/>
    <cellStyle name="Calculation 6 2 6 4 4" xfId="39356" xr:uid="{00000000-0005-0000-0000-00009D990000}"/>
    <cellStyle name="Calculation 6 2 6 4 5" xfId="39357" xr:uid="{00000000-0005-0000-0000-00009E990000}"/>
    <cellStyle name="Calculation 6 2 6 4 6" xfId="39358" xr:uid="{00000000-0005-0000-0000-00009F990000}"/>
    <cellStyle name="Calculation 6 2 6 5" xfId="39359" xr:uid="{00000000-0005-0000-0000-0000A0990000}"/>
    <cellStyle name="Calculation 6 2 6 5 2" xfId="39360" xr:uid="{00000000-0005-0000-0000-0000A1990000}"/>
    <cellStyle name="Calculation 6 2 6 5 3" xfId="39361" xr:uid="{00000000-0005-0000-0000-0000A2990000}"/>
    <cellStyle name="Calculation 6 2 6 5 4" xfId="39362" xr:uid="{00000000-0005-0000-0000-0000A3990000}"/>
    <cellStyle name="Calculation 6 2 6 5 5" xfId="39363" xr:uid="{00000000-0005-0000-0000-0000A4990000}"/>
    <cellStyle name="Calculation 6 2 6 5 6" xfId="39364" xr:uid="{00000000-0005-0000-0000-0000A5990000}"/>
    <cellStyle name="Calculation 6 2 6 6" xfId="39365" xr:uid="{00000000-0005-0000-0000-0000A6990000}"/>
    <cellStyle name="Calculation 6 2 6 6 2" xfId="39366" xr:uid="{00000000-0005-0000-0000-0000A7990000}"/>
    <cellStyle name="Calculation 6 2 6 6 3" xfId="39367" xr:uid="{00000000-0005-0000-0000-0000A8990000}"/>
    <cellStyle name="Calculation 6 2 6 6 4" xfId="39368" xr:uid="{00000000-0005-0000-0000-0000A9990000}"/>
    <cellStyle name="Calculation 6 2 6 6 5" xfId="39369" xr:uid="{00000000-0005-0000-0000-0000AA990000}"/>
    <cellStyle name="Calculation 6 2 6 6 6" xfId="39370" xr:uid="{00000000-0005-0000-0000-0000AB990000}"/>
    <cellStyle name="Calculation 6 2 6 7" xfId="39371" xr:uid="{00000000-0005-0000-0000-0000AC990000}"/>
    <cellStyle name="Calculation 6 2 6 7 2" xfId="39372" xr:uid="{00000000-0005-0000-0000-0000AD990000}"/>
    <cellStyle name="Calculation 6 2 6 7 3" xfId="39373" xr:uid="{00000000-0005-0000-0000-0000AE990000}"/>
    <cellStyle name="Calculation 6 2 6 7 4" xfId="39374" xr:uid="{00000000-0005-0000-0000-0000AF990000}"/>
    <cellStyle name="Calculation 6 2 6 7 5" xfId="39375" xr:uid="{00000000-0005-0000-0000-0000B0990000}"/>
    <cellStyle name="Calculation 6 2 6 7 6" xfId="39376" xr:uid="{00000000-0005-0000-0000-0000B1990000}"/>
    <cellStyle name="Calculation 6 2 6 8" xfId="39377" xr:uid="{00000000-0005-0000-0000-0000B2990000}"/>
    <cellStyle name="Calculation 6 2 6 9" xfId="39378" xr:uid="{00000000-0005-0000-0000-0000B3990000}"/>
    <cellStyle name="Calculation 6 2 7" xfId="39379" xr:uid="{00000000-0005-0000-0000-0000B4990000}"/>
    <cellStyle name="Calculation 6 2 7 10" xfId="39380" xr:uid="{00000000-0005-0000-0000-0000B5990000}"/>
    <cellStyle name="Calculation 6 2 7 2" xfId="39381" xr:uid="{00000000-0005-0000-0000-0000B6990000}"/>
    <cellStyle name="Calculation 6 2 7 2 2" xfId="39382" xr:uid="{00000000-0005-0000-0000-0000B7990000}"/>
    <cellStyle name="Calculation 6 2 7 2 3" xfId="39383" xr:uid="{00000000-0005-0000-0000-0000B8990000}"/>
    <cellStyle name="Calculation 6 2 7 2 4" xfId="39384" xr:uid="{00000000-0005-0000-0000-0000B9990000}"/>
    <cellStyle name="Calculation 6 2 7 2 5" xfId="39385" xr:uid="{00000000-0005-0000-0000-0000BA990000}"/>
    <cellStyle name="Calculation 6 2 7 2 6" xfId="39386" xr:uid="{00000000-0005-0000-0000-0000BB990000}"/>
    <cellStyle name="Calculation 6 2 7 3" xfId="39387" xr:uid="{00000000-0005-0000-0000-0000BC990000}"/>
    <cellStyle name="Calculation 6 2 7 3 2" xfId="39388" xr:uid="{00000000-0005-0000-0000-0000BD990000}"/>
    <cellStyle name="Calculation 6 2 7 3 3" xfId="39389" xr:uid="{00000000-0005-0000-0000-0000BE990000}"/>
    <cellStyle name="Calculation 6 2 7 3 4" xfId="39390" xr:uid="{00000000-0005-0000-0000-0000BF990000}"/>
    <cellStyle name="Calculation 6 2 7 3 5" xfId="39391" xr:uid="{00000000-0005-0000-0000-0000C0990000}"/>
    <cellStyle name="Calculation 6 2 7 3 6" xfId="39392" xr:uid="{00000000-0005-0000-0000-0000C1990000}"/>
    <cellStyle name="Calculation 6 2 7 4" xfId="39393" xr:uid="{00000000-0005-0000-0000-0000C2990000}"/>
    <cellStyle name="Calculation 6 2 7 4 2" xfId="39394" xr:uid="{00000000-0005-0000-0000-0000C3990000}"/>
    <cellStyle name="Calculation 6 2 7 4 3" xfId="39395" xr:uid="{00000000-0005-0000-0000-0000C4990000}"/>
    <cellStyle name="Calculation 6 2 7 4 4" xfId="39396" xr:uid="{00000000-0005-0000-0000-0000C5990000}"/>
    <cellStyle name="Calculation 6 2 7 4 5" xfId="39397" xr:uid="{00000000-0005-0000-0000-0000C6990000}"/>
    <cellStyle name="Calculation 6 2 7 4 6" xfId="39398" xr:uid="{00000000-0005-0000-0000-0000C7990000}"/>
    <cellStyle name="Calculation 6 2 7 5" xfId="39399" xr:uid="{00000000-0005-0000-0000-0000C8990000}"/>
    <cellStyle name="Calculation 6 2 7 5 2" xfId="39400" xr:uid="{00000000-0005-0000-0000-0000C9990000}"/>
    <cellStyle name="Calculation 6 2 7 5 3" xfId="39401" xr:uid="{00000000-0005-0000-0000-0000CA990000}"/>
    <cellStyle name="Calculation 6 2 7 5 4" xfId="39402" xr:uid="{00000000-0005-0000-0000-0000CB990000}"/>
    <cellStyle name="Calculation 6 2 7 5 5" xfId="39403" xr:uid="{00000000-0005-0000-0000-0000CC990000}"/>
    <cellStyle name="Calculation 6 2 7 5 6" xfId="39404" xr:uid="{00000000-0005-0000-0000-0000CD990000}"/>
    <cellStyle name="Calculation 6 2 7 6" xfId="39405" xr:uid="{00000000-0005-0000-0000-0000CE990000}"/>
    <cellStyle name="Calculation 6 2 7 6 2" xfId="39406" xr:uid="{00000000-0005-0000-0000-0000CF990000}"/>
    <cellStyle name="Calculation 6 2 7 6 3" xfId="39407" xr:uid="{00000000-0005-0000-0000-0000D0990000}"/>
    <cellStyle name="Calculation 6 2 7 6 4" xfId="39408" xr:uid="{00000000-0005-0000-0000-0000D1990000}"/>
    <cellStyle name="Calculation 6 2 7 6 5" xfId="39409" xr:uid="{00000000-0005-0000-0000-0000D2990000}"/>
    <cellStyle name="Calculation 6 2 7 6 6" xfId="39410" xr:uid="{00000000-0005-0000-0000-0000D3990000}"/>
    <cellStyle name="Calculation 6 2 7 7" xfId="39411" xr:uid="{00000000-0005-0000-0000-0000D4990000}"/>
    <cellStyle name="Calculation 6 2 7 7 2" xfId="39412" xr:uid="{00000000-0005-0000-0000-0000D5990000}"/>
    <cellStyle name="Calculation 6 2 7 7 3" xfId="39413" xr:uid="{00000000-0005-0000-0000-0000D6990000}"/>
    <cellStyle name="Calculation 6 2 7 7 4" xfId="39414" xr:uid="{00000000-0005-0000-0000-0000D7990000}"/>
    <cellStyle name="Calculation 6 2 7 7 5" xfId="39415" xr:uid="{00000000-0005-0000-0000-0000D8990000}"/>
    <cellStyle name="Calculation 6 2 7 7 6" xfId="39416" xr:uid="{00000000-0005-0000-0000-0000D9990000}"/>
    <cellStyle name="Calculation 6 2 7 8" xfId="39417" xr:uid="{00000000-0005-0000-0000-0000DA990000}"/>
    <cellStyle name="Calculation 6 2 7 9" xfId="39418" xr:uid="{00000000-0005-0000-0000-0000DB990000}"/>
    <cellStyle name="Calculation 6 2 8" xfId="39419" xr:uid="{00000000-0005-0000-0000-0000DC990000}"/>
    <cellStyle name="Calculation 6 2 8 10" xfId="39420" xr:uid="{00000000-0005-0000-0000-0000DD990000}"/>
    <cellStyle name="Calculation 6 2 8 2" xfId="39421" xr:uid="{00000000-0005-0000-0000-0000DE990000}"/>
    <cellStyle name="Calculation 6 2 8 2 2" xfId="39422" xr:uid="{00000000-0005-0000-0000-0000DF990000}"/>
    <cellStyle name="Calculation 6 2 8 2 3" xfId="39423" xr:uid="{00000000-0005-0000-0000-0000E0990000}"/>
    <cellStyle name="Calculation 6 2 8 2 4" xfId="39424" xr:uid="{00000000-0005-0000-0000-0000E1990000}"/>
    <cellStyle name="Calculation 6 2 8 2 5" xfId="39425" xr:uid="{00000000-0005-0000-0000-0000E2990000}"/>
    <cellStyle name="Calculation 6 2 8 2 6" xfId="39426" xr:uid="{00000000-0005-0000-0000-0000E3990000}"/>
    <cellStyle name="Calculation 6 2 8 3" xfId="39427" xr:uid="{00000000-0005-0000-0000-0000E4990000}"/>
    <cellStyle name="Calculation 6 2 8 3 2" xfId="39428" xr:uid="{00000000-0005-0000-0000-0000E5990000}"/>
    <cellStyle name="Calculation 6 2 8 3 3" xfId="39429" xr:uid="{00000000-0005-0000-0000-0000E6990000}"/>
    <cellStyle name="Calculation 6 2 8 3 4" xfId="39430" xr:uid="{00000000-0005-0000-0000-0000E7990000}"/>
    <cellStyle name="Calculation 6 2 8 3 5" xfId="39431" xr:uid="{00000000-0005-0000-0000-0000E8990000}"/>
    <cellStyle name="Calculation 6 2 8 3 6" xfId="39432" xr:uid="{00000000-0005-0000-0000-0000E9990000}"/>
    <cellStyle name="Calculation 6 2 8 4" xfId="39433" xr:uid="{00000000-0005-0000-0000-0000EA990000}"/>
    <cellStyle name="Calculation 6 2 8 4 2" xfId="39434" xr:uid="{00000000-0005-0000-0000-0000EB990000}"/>
    <cellStyle name="Calculation 6 2 8 4 3" xfId="39435" xr:uid="{00000000-0005-0000-0000-0000EC990000}"/>
    <cellStyle name="Calculation 6 2 8 4 4" xfId="39436" xr:uid="{00000000-0005-0000-0000-0000ED990000}"/>
    <cellStyle name="Calculation 6 2 8 4 5" xfId="39437" xr:uid="{00000000-0005-0000-0000-0000EE990000}"/>
    <cellStyle name="Calculation 6 2 8 4 6" xfId="39438" xr:uid="{00000000-0005-0000-0000-0000EF990000}"/>
    <cellStyle name="Calculation 6 2 8 5" xfId="39439" xr:uid="{00000000-0005-0000-0000-0000F0990000}"/>
    <cellStyle name="Calculation 6 2 8 5 2" xfId="39440" xr:uid="{00000000-0005-0000-0000-0000F1990000}"/>
    <cellStyle name="Calculation 6 2 8 5 3" xfId="39441" xr:uid="{00000000-0005-0000-0000-0000F2990000}"/>
    <cellStyle name="Calculation 6 2 8 5 4" xfId="39442" xr:uid="{00000000-0005-0000-0000-0000F3990000}"/>
    <cellStyle name="Calculation 6 2 8 5 5" xfId="39443" xr:uid="{00000000-0005-0000-0000-0000F4990000}"/>
    <cellStyle name="Calculation 6 2 8 5 6" xfId="39444" xr:uid="{00000000-0005-0000-0000-0000F5990000}"/>
    <cellStyle name="Calculation 6 2 8 6" xfId="39445" xr:uid="{00000000-0005-0000-0000-0000F6990000}"/>
    <cellStyle name="Calculation 6 2 8 6 2" xfId="39446" xr:uid="{00000000-0005-0000-0000-0000F7990000}"/>
    <cellStyle name="Calculation 6 2 8 6 3" xfId="39447" xr:uid="{00000000-0005-0000-0000-0000F8990000}"/>
    <cellStyle name="Calculation 6 2 8 6 4" xfId="39448" xr:uid="{00000000-0005-0000-0000-0000F9990000}"/>
    <cellStyle name="Calculation 6 2 8 6 5" xfId="39449" xr:uid="{00000000-0005-0000-0000-0000FA990000}"/>
    <cellStyle name="Calculation 6 2 8 6 6" xfId="39450" xr:uid="{00000000-0005-0000-0000-0000FB990000}"/>
    <cellStyle name="Calculation 6 2 8 7" xfId="39451" xr:uid="{00000000-0005-0000-0000-0000FC990000}"/>
    <cellStyle name="Calculation 6 2 8 7 2" xfId="39452" xr:uid="{00000000-0005-0000-0000-0000FD990000}"/>
    <cellStyle name="Calculation 6 2 8 7 3" xfId="39453" xr:uid="{00000000-0005-0000-0000-0000FE990000}"/>
    <cellStyle name="Calculation 6 2 8 7 4" xfId="39454" xr:uid="{00000000-0005-0000-0000-0000FF990000}"/>
    <cellStyle name="Calculation 6 2 8 7 5" xfId="39455" xr:uid="{00000000-0005-0000-0000-0000009A0000}"/>
    <cellStyle name="Calculation 6 2 8 7 6" xfId="39456" xr:uid="{00000000-0005-0000-0000-0000019A0000}"/>
    <cellStyle name="Calculation 6 2 8 8" xfId="39457" xr:uid="{00000000-0005-0000-0000-0000029A0000}"/>
    <cellStyle name="Calculation 6 2 8 9" xfId="39458" xr:uid="{00000000-0005-0000-0000-0000039A0000}"/>
    <cellStyle name="Calculation 6 2 9" xfId="39459" xr:uid="{00000000-0005-0000-0000-0000049A0000}"/>
    <cellStyle name="Calculation 6 2 9 10" xfId="39460" xr:uid="{00000000-0005-0000-0000-0000059A0000}"/>
    <cellStyle name="Calculation 6 2 9 2" xfId="39461" xr:uid="{00000000-0005-0000-0000-0000069A0000}"/>
    <cellStyle name="Calculation 6 2 9 2 2" xfId="39462" xr:uid="{00000000-0005-0000-0000-0000079A0000}"/>
    <cellStyle name="Calculation 6 2 9 2 3" xfId="39463" xr:uid="{00000000-0005-0000-0000-0000089A0000}"/>
    <cellStyle name="Calculation 6 2 9 2 4" xfId="39464" xr:uid="{00000000-0005-0000-0000-0000099A0000}"/>
    <cellStyle name="Calculation 6 2 9 2 5" xfId="39465" xr:uid="{00000000-0005-0000-0000-00000A9A0000}"/>
    <cellStyle name="Calculation 6 2 9 2 6" xfId="39466" xr:uid="{00000000-0005-0000-0000-00000B9A0000}"/>
    <cellStyle name="Calculation 6 2 9 3" xfId="39467" xr:uid="{00000000-0005-0000-0000-00000C9A0000}"/>
    <cellStyle name="Calculation 6 2 9 3 2" xfId="39468" xr:uid="{00000000-0005-0000-0000-00000D9A0000}"/>
    <cellStyle name="Calculation 6 2 9 3 3" xfId="39469" xr:uid="{00000000-0005-0000-0000-00000E9A0000}"/>
    <cellStyle name="Calculation 6 2 9 3 4" xfId="39470" xr:uid="{00000000-0005-0000-0000-00000F9A0000}"/>
    <cellStyle name="Calculation 6 2 9 3 5" xfId="39471" xr:uid="{00000000-0005-0000-0000-0000109A0000}"/>
    <cellStyle name="Calculation 6 2 9 3 6" xfId="39472" xr:uid="{00000000-0005-0000-0000-0000119A0000}"/>
    <cellStyle name="Calculation 6 2 9 4" xfId="39473" xr:uid="{00000000-0005-0000-0000-0000129A0000}"/>
    <cellStyle name="Calculation 6 2 9 4 2" xfId="39474" xr:uid="{00000000-0005-0000-0000-0000139A0000}"/>
    <cellStyle name="Calculation 6 2 9 4 3" xfId="39475" xr:uid="{00000000-0005-0000-0000-0000149A0000}"/>
    <cellStyle name="Calculation 6 2 9 4 4" xfId="39476" xr:uid="{00000000-0005-0000-0000-0000159A0000}"/>
    <cellStyle name="Calculation 6 2 9 4 5" xfId="39477" xr:uid="{00000000-0005-0000-0000-0000169A0000}"/>
    <cellStyle name="Calculation 6 2 9 4 6" xfId="39478" xr:uid="{00000000-0005-0000-0000-0000179A0000}"/>
    <cellStyle name="Calculation 6 2 9 5" xfId="39479" xr:uid="{00000000-0005-0000-0000-0000189A0000}"/>
    <cellStyle name="Calculation 6 2 9 5 2" xfId="39480" xr:uid="{00000000-0005-0000-0000-0000199A0000}"/>
    <cellStyle name="Calculation 6 2 9 5 3" xfId="39481" xr:uid="{00000000-0005-0000-0000-00001A9A0000}"/>
    <cellStyle name="Calculation 6 2 9 5 4" xfId="39482" xr:uid="{00000000-0005-0000-0000-00001B9A0000}"/>
    <cellStyle name="Calculation 6 2 9 5 5" xfId="39483" xr:uid="{00000000-0005-0000-0000-00001C9A0000}"/>
    <cellStyle name="Calculation 6 2 9 5 6" xfId="39484" xr:uid="{00000000-0005-0000-0000-00001D9A0000}"/>
    <cellStyle name="Calculation 6 2 9 6" xfId="39485" xr:uid="{00000000-0005-0000-0000-00001E9A0000}"/>
    <cellStyle name="Calculation 6 2 9 6 2" xfId="39486" xr:uid="{00000000-0005-0000-0000-00001F9A0000}"/>
    <cellStyle name="Calculation 6 2 9 6 3" xfId="39487" xr:uid="{00000000-0005-0000-0000-0000209A0000}"/>
    <cellStyle name="Calculation 6 2 9 6 4" xfId="39488" xr:uid="{00000000-0005-0000-0000-0000219A0000}"/>
    <cellStyle name="Calculation 6 2 9 6 5" xfId="39489" xr:uid="{00000000-0005-0000-0000-0000229A0000}"/>
    <cellStyle name="Calculation 6 2 9 6 6" xfId="39490" xr:uid="{00000000-0005-0000-0000-0000239A0000}"/>
    <cellStyle name="Calculation 6 2 9 7" xfId="39491" xr:uid="{00000000-0005-0000-0000-0000249A0000}"/>
    <cellStyle name="Calculation 6 2 9 7 2" xfId="39492" xr:uid="{00000000-0005-0000-0000-0000259A0000}"/>
    <cellStyle name="Calculation 6 2 9 7 3" xfId="39493" xr:uid="{00000000-0005-0000-0000-0000269A0000}"/>
    <cellStyle name="Calculation 6 2 9 7 4" xfId="39494" xr:uid="{00000000-0005-0000-0000-0000279A0000}"/>
    <cellStyle name="Calculation 6 2 9 7 5" xfId="39495" xr:uid="{00000000-0005-0000-0000-0000289A0000}"/>
    <cellStyle name="Calculation 6 2 9 7 6" xfId="39496" xr:uid="{00000000-0005-0000-0000-0000299A0000}"/>
    <cellStyle name="Calculation 6 2 9 8" xfId="39497" xr:uid="{00000000-0005-0000-0000-00002A9A0000}"/>
    <cellStyle name="Calculation 6 2 9 9" xfId="39498" xr:uid="{00000000-0005-0000-0000-00002B9A0000}"/>
    <cellStyle name="Calculation 6 20" xfId="39499" xr:uid="{00000000-0005-0000-0000-00002C9A0000}"/>
    <cellStyle name="Calculation 6 20 10" xfId="39500" xr:uid="{00000000-0005-0000-0000-00002D9A0000}"/>
    <cellStyle name="Calculation 6 20 2" xfId="39501" xr:uid="{00000000-0005-0000-0000-00002E9A0000}"/>
    <cellStyle name="Calculation 6 20 2 2" xfId="39502" xr:uid="{00000000-0005-0000-0000-00002F9A0000}"/>
    <cellStyle name="Calculation 6 20 2 3" xfId="39503" xr:uid="{00000000-0005-0000-0000-0000309A0000}"/>
    <cellStyle name="Calculation 6 20 2 4" xfId="39504" xr:uid="{00000000-0005-0000-0000-0000319A0000}"/>
    <cellStyle name="Calculation 6 20 2 5" xfId="39505" xr:uid="{00000000-0005-0000-0000-0000329A0000}"/>
    <cellStyle name="Calculation 6 20 2 6" xfId="39506" xr:uid="{00000000-0005-0000-0000-0000339A0000}"/>
    <cellStyle name="Calculation 6 20 3" xfId="39507" xr:uid="{00000000-0005-0000-0000-0000349A0000}"/>
    <cellStyle name="Calculation 6 20 3 2" xfId="39508" xr:uid="{00000000-0005-0000-0000-0000359A0000}"/>
    <cellStyle name="Calculation 6 20 3 3" xfId="39509" xr:uid="{00000000-0005-0000-0000-0000369A0000}"/>
    <cellStyle name="Calculation 6 20 3 4" xfId="39510" xr:uid="{00000000-0005-0000-0000-0000379A0000}"/>
    <cellStyle name="Calculation 6 20 3 5" xfId="39511" xr:uid="{00000000-0005-0000-0000-0000389A0000}"/>
    <cellStyle name="Calculation 6 20 3 6" xfId="39512" xr:uid="{00000000-0005-0000-0000-0000399A0000}"/>
    <cellStyle name="Calculation 6 20 4" xfId="39513" xr:uid="{00000000-0005-0000-0000-00003A9A0000}"/>
    <cellStyle name="Calculation 6 20 4 2" xfId="39514" xr:uid="{00000000-0005-0000-0000-00003B9A0000}"/>
    <cellStyle name="Calculation 6 20 4 3" xfId="39515" xr:uid="{00000000-0005-0000-0000-00003C9A0000}"/>
    <cellStyle name="Calculation 6 20 4 4" xfId="39516" xr:uid="{00000000-0005-0000-0000-00003D9A0000}"/>
    <cellStyle name="Calculation 6 20 4 5" xfId="39517" xr:uid="{00000000-0005-0000-0000-00003E9A0000}"/>
    <cellStyle name="Calculation 6 20 4 6" xfId="39518" xr:uid="{00000000-0005-0000-0000-00003F9A0000}"/>
    <cellStyle name="Calculation 6 20 5" xfId="39519" xr:uid="{00000000-0005-0000-0000-0000409A0000}"/>
    <cellStyle name="Calculation 6 20 5 2" xfId="39520" xr:uid="{00000000-0005-0000-0000-0000419A0000}"/>
    <cellStyle name="Calculation 6 20 5 3" xfId="39521" xr:uid="{00000000-0005-0000-0000-0000429A0000}"/>
    <cellStyle name="Calculation 6 20 5 4" xfId="39522" xr:uid="{00000000-0005-0000-0000-0000439A0000}"/>
    <cellStyle name="Calculation 6 20 5 5" xfId="39523" xr:uid="{00000000-0005-0000-0000-0000449A0000}"/>
    <cellStyle name="Calculation 6 20 5 6" xfId="39524" xr:uid="{00000000-0005-0000-0000-0000459A0000}"/>
    <cellStyle name="Calculation 6 20 6" xfId="39525" xr:uid="{00000000-0005-0000-0000-0000469A0000}"/>
    <cellStyle name="Calculation 6 20 6 2" xfId="39526" xr:uid="{00000000-0005-0000-0000-0000479A0000}"/>
    <cellStyle name="Calculation 6 20 6 3" xfId="39527" xr:uid="{00000000-0005-0000-0000-0000489A0000}"/>
    <cellStyle name="Calculation 6 20 6 4" xfId="39528" xr:uid="{00000000-0005-0000-0000-0000499A0000}"/>
    <cellStyle name="Calculation 6 20 6 5" xfId="39529" xr:uid="{00000000-0005-0000-0000-00004A9A0000}"/>
    <cellStyle name="Calculation 6 20 6 6" xfId="39530" xr:uid="{00000000-0005-0000-0000-00004B9A0000}"/>
    <cellStyle name="Calculation 6 20 7" xfId="39531" xr:uid="{00000000-0005-0000-0000-00004C9A0000}"/>
    <cellStyle name="Calculation 6 20 7 2" xfId="39532" xr:uid="{00000000-0005-0000-0000-00004D9A0000}"/>
    <cellStyle name="Calculation 6 20 7 3" xfId="39533" xr:uid="{00000000-0005-0000-0000-00004E9A0000}"/>
    <cellStyle name="Calculation 6 20 7 4" xfId="39534" xr:uid="{00000000-0005-0000-0000-00004F9A0000}"/>
    <cellStyle name="Calculation 6 20 7 5" xfId="39535" xr:uid="{00000000-0005-0000-0000-0000509A0000}"/>
    <cellStyle name="Calculation 6 20 7 6" xfId="39536" xr:uid="{00000000-0005-0000-0000-0000519A0000}"/>
    <cellStyle name="Calculation 6 20 8" xfId="39537" xr:uid="{00000000-0005-0000-0000-0000529A0000}"/>
    <cellStyle name="Calculation 6 20 9" xfId="39538" xr:uid="{00000000-0005-0000-0000-0000539A0000}"/>
    <cellStyle name="Calculation 6 21" xfId="39539" xr:uid="{00000000-0005-0000-0000-0000549A0000}"/>
    <cellStyle name="Calculation 6 21 10" xfId="39540" xr:uid="{00000000-0005-0000-0000-0000559A0000}"/>
    <cellStyle name="Calculation 6 21 2" xfId="39541" xr:uid="{00000000-0005-0000-0000-0000569A0000}"/>
    <cellStyle name="Calculation 6 21 2 2" xfId="39542" xr:uid="{00000000-0005-0000-0000-0000579A0000}"/>
    <cellStyle name="Calculation 6 21 2 3" xfId="39543" xr:uid="{00000000-0005-0000-0000-0000589A0000}"/>
    <cellStyle name="Calculation 6 21 2 4" xfId="39544" xr:uid="{00000000-0005-0000-0000-0000599A0000}"/>
    <cellStyle name="Calculation 6 21 2 5" xfId="39545" xr:uid="{00000000-0005-0000-0000-00005A9A0000}"/>
    <cellStyle name="Calculation 6 21 2 6" xfId="39546" xr:uid="{00000000-0005-0000-0000-00005B9A0000}"/>
    <cellStyle name="Calculation 6 21 3" xfId="39547" xr:uid="{00000000-0005-0000-0000-00005C9A0000}"/>
    <cellStyle name="Calculation 6 21 3 2" xfId="39548" xr:uid="{00000000-0005-0000-0000-00005D9A0000}"/>
    <cellStyle name="Calculation 6 21 3 3" xfId="39549" xr:uid="{00000000-0005-0000-0000-00005E9A0000}"/>
    <cellStyle name="Calculation 6 21 3 4" xfId="39550" xr:uid="{00000000-0005-0000-0000-00005F9A0000}"/>
    <cellStyle name="Calculation 6 21 3 5" xfId="39551" xr:uid="{00000000-0005-0000-0000-0000609A0000}"/>
    <cellStyle name="Calculation 6 21 3 6" xfId="39552" xr:uid="{00000000-0005-0000-0000-0000619A0000}"/>
    <cellStyle name="Calculation 6 21 4" xfId="39553" xr:uid="{00000000-0005-0000-0000-0000629A0000}"/>
    <cellStyle name="Calculation 6 21 4 2" xfId="39554" xr:uid="{00000000-0005-0000-0000-0000639A0000}"/>
    <cellStyle name="Calculation 6 21 4 3" xfId="39555" xr:uid="{00000000-0005-0000-0000-0000649A0000}"/>
    <cellStyle name="Calculation 6 21 4 4" xfId="39556" xr:uid="{00000000-0005-0000-0000-0000659A0000}"/>
    <cellStyle name="Calculation 6 21 4 5" xfId="39557" xr:uid="{00000000-0005-0000-0000-0000669A0000}"/>
    <cellStyle name="Calculation 6 21 4 6" xfId="39558" xr:uid="{00000000-0005-0000-0000-0000679A0000}"/>
    <cellStyle name="Calculation 6 21 5" xfId="39559" xr:uid="{00000000-0005-0000-0000-0000689A0000}"/>
    <cellStyle name="Calculation 6 21 5 2" xfId="39560" xr:uid="{00000000-0005-0000-0000-0000699A0000}"/>
    <cellStyle name="Calculation 6 21 5 3" xfId="39561" xr:uid="{00000000-0005-0000-0000-00006A9A0000}"/>
    <cellStyle name="Calculation 6 21 5 4" xfId="39562" xr:uid="{00000000-0005-0000-0000-00006B9A0000}"/>
    <cellStyle name="Calculation 6 21 5 5" xfId="39563" xr:uid="{00000000-0005-0000-0000-00006C9A0000}"/>
    <cellStyle name="Calculation 6 21 5 6" xfId="39564" xr:uid="{00000000-0005-0000-0000-00006D9A0000}"/>
    <cellStyle name="Calculation 6 21 6" xfId="39565" xr:uid="{00000000-0005-0000-0000-00006E9A0000}"/>
    <cellStyle name="Calculation 6 21 6 2" xfId="39566" xr:uid="{00000000-0005-0000-0000-00006F9A0000}"/>
    <cellStyle name="Calculation 6 21 6 3" xfId="39567" xr:uid="{00000000-0005-0000-0000-0000709A0000}"/>
    <cellStyle name="Calculation 6 21 6 4" xfId="39568" xr:uid="{00000000-0005-0000-0000-0000719A0000}"/>
    <cellStyle name="Calculation 6 21 6 5" xfId="39569" xr:uid="{00000000-0005-0000-0000-0000729A0000}"/>
    <cellStyle name="Calculation 6 21 6 6" xfId="39570" xr:uid="{00000000-0005-0000-0000-0000739A0000}"/>
    <cellStyle name="Calculation 6 21 7" xfId="39571" xr:uid="{00000000-0005-0000-0000-0000749A0000}"/>
    <cellStyle name="Calculation 6 21 7 2" xfId="39572" xr:uid="{00000000-0005-0000-0000-0000759A0000}"/>
    <cellStyle name="Calculation 6 21 7 3" xfId="39573" xr:uid="{00000000-0005-0000-0000-0000769A0000}"/>
    <cellStyle name="Calculation 6 21 7 4" xfId="39574" xr:uid="{00000000-0005-0000-0000-0000779A0000}"/>
    <cellStyle name="Calculation 6 21 7 5" xfId="39575" xr:uid="{00000000-0005-0000-0000-0000789A0000}"/>
    <cellStyle name="Calculation 6 21 7 6" xfId="39576" xr:uid="{00000000-0005-0000-0000-0000799A0000}"/>
    <cellStyle name="Calculation 6 21 8" xfId="39577" xr:uid="{00000000-0005-0000-0000-00007A9A0000}"/>
    <cellStyle name="Calculation 6 21 9" xfId="39578" xr:uid="{00000000-0005-0000-0000-00007B9A0000}"/>
    <cellStyle name="Calculation 6 22" xfId="39579" xr:uid="{00000000-0005-0000-0000-00007C9A0000}"/>
    <cellStyle name="Calculation 6 22 10" xfId="39580" xr:uid="{00000000-0005-0000-0000-00007D9A0000}"/>
    <cellStyle name="Calculation 6 22 2" xfId="39581" xr:uid="{00000000-0005-0000-0000-00007E9A0000}"/>
    <cellStyle name="Calculation 6 22 2 2" xfId="39582" xr:uid="{00000000-0005-0000-0000-00007F9A0000}"/>
    <cellStyle name="Calculation 6 22 2 3" xfId="39583" xr:uid="{00000000-0005-0000-0000-0000809A0000}"/>
    <cellStyle name="Calculation 6 22 2 4" xfId="39584" xr:uid="{00000000-0005-0000-0000-0000819A0000}"/>
    <cellStyle name="Calculation 6 22 2 5" xfId="39585" xr:uid="{00000000-0005-0000-0000-0000829A0000}"/>
    <cellStyle name="Calculation 6 22 2 6" xfId="39586" xr:uid="{00000000-0005-0000-0000-0000839A0000}"/>
    <cellStyle name="Calculation 6 22 3" xfId="39587" xr:uid="{00000000-0005-0000-0000-0000849A0000}"/>
    <cellStyle name="Calculation 6 22 3 2" xfId="39588" xr:uid="{00000000-0005-0000-0000-0000859A0000}"/>
    <cellStyle name="Calculation 6 22 3 3" xfId="39589" xr:uid="{00000000-0005-0000-0000-0000869A0000}"/>
    <cellStyle name="Calculation 6 22 3 4" xfId="39590" xr:uid="{00000000-0005-0000-0000-0000879A0000}"/>
    <cellStyle name="Calculation 6 22 3 5" xfId="39591" xr:uid="{00000000-0005-0000-0000-0000889A0000}"/>
    <cellStyle name="Calculation 6 22 3 6" xfId="39592" xr:uid="{00000000-0005-0000-0000-0000899A0000}"/>
    <cellStyle name="Calculation 6 22 4" xfId="39593" xr:uid="{00000000-0005-0000-0000-00008A9A0000}"/>
    <cellStyle name="Calculation 6 22 4 2" xfId="39594" xr:uid="{00000000-0005-0000-0000-00008B9A0000}"/>
    <cellStyle name="Calculation 6 22 4 3" xfId="39595" xr:uid="{00000000-0005-0000-0000-00008C9A0000}"/>
    <cellStyle name="Calculation 6 22 4 4" xfId="39596" xr:uid="{00000000-0005-0000-0000-00008D9A0000}"/>
    <cellStyle name="Calculation 6 22 4 5" xfId="39597" xr:uid="{00000000-0005-0000-0000-00008E9A0000}"/>
    <cellStyle name="Calculation 6 22 4 6" xfId="39598" xr:uid="{00000000-0005-0000-0000-00008F9A0000}"/>
    <cellStyle name="Calculation 6 22 5" xfId="39599" xr:uid="{00000000-0005-0000-0000-0000909A0000}"/>
    <cellStyle name="Calculation 6 22 5 2" xfId="39600" xr:uid="{00000000-0005-0000-0000-0000919A0000}"/>
    <cellStyle name="Calculation 6 22 5 3" xfId="39601" xr:uid="{00000000-0005-0000-0000-0000929A0000}"/>
    <cellStyle name="Calculation 6 22 5 4" xfId="39602" xr:uid="{00000000-0005-0000-0000-0000939A0000}"/>
    <cellStyle name="Calculation 6 22 5 5" xfId="39603" xr:uid="{00000000-0005-0000-0000-0000949A0000}"/>
    <cellStyle name="Calculation 6 22 5 6" xfId="39604" xr:uid="{00000000-0005-0000-0000-0000959A0000}"/>
    <cellStyle name="Calculation 6 22 6" xfId="39605" xr:uid="{00000000-0005-0000-0000-0000969A0000}"/>
    <cellStyle name="Calculation 6 22 6 2" xfId="39606" xr:uid="{00000000-0005-0000-0000-0000979A0000}"/>
    <cellStyle name="Calculation 6 22 6 3" xfId="39607" xr:uid="{00000000-0005-0000-0000-0000989A0000}"/>
    <cellStyle name="Calculation 6 22 6 4" xfId="39608" xr:uid="{00000000-0005-0000-0000-0000999A0000}"/>
    <cellStyle name="Calculation 6 22 6 5" xfId="39609" xr:uid="{00000000-0005-0000-0000-00009A9A0000}"/>
    <cellStyle name="Calculation 6 22 6 6" xfId="39610" xr:uid="{00000000-0005-0000-0000-00009B9A0000}"/>
    <cellStyle name="Calculation 6 22 7" xfId="39611" xr:uid="{00000000-0005-0000-0000-00009C9A0000}"/>
    <cellStyle name="Calculation 6 22 7 2" xfId="39612" xr:uid="{00000000-0005-0000-0000-00009D9A0000}"/>
    <cellStyle name="Calculation 6 22 7 3" xfId="39613" xr:uid="{00000000-0005-0000-0000-00009E9A0000}"/>
    <cellStyle name="Calculation 6 22 7 4" xfId="39614" xr:uid="{00000000-0005-0000-0000-00009F9A0000}"/>
    <cellStyle name="Calculation 6 22 7 5" xfId="39615" xr:uid="{00000000-0005-0000-0000-0000A09A0000}"/>
    <cellStyle name="Calculation 6 22 7 6" xfId="39616" xr:uid="{00000000-0005-0000-0000-0000A19A0000}"/>
    <cellStyle name="Calculation 6 22 8" xfId="39617" xr:uid="{00000000-0005-0000-0000-0000A29A0000}"/>
    <cellStyle name="Calculation 6 22 9" xfId="39618" xr:uid="{00000000-0005-0000-0000-0000A39A0000}"/>
    <cellStyle name="Calculation 6 23" xfId="39619" xr:uid="{00000000-0005-0000-0000-0000A49A0000}"/>
    <cellStyle name="Calculation 6 23 10" xfId="39620" xr:uid="{00000000-0005-0000-0000-0000A59A0000}"/>
    <cellStyle name="Calculation 6 23 2" xfId="39621" xr:uid="{00000000-0005-0000-0000-0000A69A0000}"/>
    <cellStyle name="Calculation 6 23 2 2" xfId="39622" xr:uid="{00000000-0005-0000-0000-0000A79A0000}"/>
    <cellStyle name="Calculation 6 23 2 3" xfId="39623" xr:uid="{00000000-0005-0000-0000-0000A89A0000}"/>
    <cellStyle name="Calculation 6 23 2 4" xfId="39624" xr:uid="{00000000-0005-0000-0000-0000A99A0000}"/>
    <cellStyle name="Calculation 6 23 2 5" xfId="39625" xr:uid="{00000000-0005-0000-0000-0000AA9A0000}"/>
    <cellStyle name="Calculation 6 23 2 6" xfId="39626" xr:uid="{00000000-0005-0000-0000-0000AB9A0000}"/>
    <cellStyle name="Calculation 6 23 3" xfId="39627" xr:uid="{00000000-0005-0000-0000-0000AC9A0000}"/>
    <cellStyle name="Calculation 6 23 3 2" xfId="39628" xr:uid="{00000000-0005-0000-0000-0000AD9A0000}"/>
    <cellStyle name="Calculation 6 23 3 3" xfId="39629" xr:uid="{00000000-0005-0000-0000-0000AE9A0000}"/>
    <cellStyle name="Calculation 6 23 3 4" xfId="39630" xr:uid="{00000000-0005-0000-0000-0000AF9A0000}"/>
    <cellStyle name="Calculation 6 23 3 5" xfId="39631" xr:uid="{00000000-0005-0000-0000-0000B09A0000}"/>
    <cellStyle name="Calculation 6 23 3 6" xfId="39632" xr:uid="{00000000-0005-0000-0000-0000B19A0000}"/>
    <cellStyle name="Calculation 6 23 4" xfId="39633" xr:uid="{00000000-0005-0000-0000-0000B29A0000}"/>
    <cellStyle name="Calculation 6 23 4 2" xfId="39634" xr:uid="{00000000-0005-0000-0000-0000B39A0000}"/>
    <cellStyle name="Calculation 6 23 4 3" xfId="39635" xr:uid="{00000000-0005-0000-0000-0000B49A0000}"/>
    <cellStyle name="Calculation 6 23 4 4" xfId="39636" xr:uid="{00000000-0005-0000-0000-0000B59A0000}"/>
    <cellStyle name="Calculation 6 23 4 5" xfId="39637" xr:uid="{00000000-0005-0000-0000-0000B69A0000}"/>
    <cellStyle name="Calculation 6 23 4 6" xfId="39638" xr:uid="{00000000-0005-0000-0000-0000B79A0000}"/>
    <cellStyle name="Calculation 6 23 5" xfId="39639" xr:uid="{00000000-0005-0000-0000-0000B89A0000}"/>
    <cellStyle name="Calculation 6 23 5 2" xfId="39640" xr:uid="{00000000-0005-0000-0000-0000B99A0000}"/>
    <cellStyle name="Calculation 6 23 5 3" xfId="39641" xr:uid="{00000000-0005-0000-0000-0000BA9A0000}"/>
    <cellStyle name="Calculation 6 23 5 4" xfId="39642" xr:uid="{00000000-0005-0000-0000-0000BB9A0000}"/>
    <cellStyle name="Calculation 6 23 5 5" xfId="39643" xr:uid="{00000000-0005-0000-0000-0000BC9A0000}"/>
    <cellStyle name="Calculation 6 23 5 6" xfId="39644" xr:uid="{00000000-0005-0000-0000-0000BD9A0000}"/>
    <cellStyle name="Calculation 6 23 6" xfId="39645" xr:uid="{00000000-0005-0000-0000-0000BE9A0000}"/>
    <cellStyle name="Calculation 6 23 6 2" xfId="39646" xr:uid="{00000000-0005-0000-0000-0000BF9A0000}"/>
    <cellStyle name="Calculation 6 23 6 3" xfId="39647" xr:uid="{00000000-0005-0000-0000-0000C09A0000}"/>
    <cellStyle name="Calculation 6 23 6 4" xfId="39648" xr:uid="{00000000-0005-0000-0000-0000C19A0000}"/>
    <cellStyle name="Calculation 6 23 6 5" xfId="39649" xr:uid="{00000000-0005-0000-0000-0000C29A0000}"/>
    <cellStyle name="Calculation 6 23 6 6" xfId="39650" xr:uid="{00000000-0005-0000-0000-0000C39A0000}"/>
    <cellStyle name="Calculation 6 23 7" xfId="39651" xr:uid="{00000000-0005-0000-0000-0000C49A0000}"/>
    <cellStyle name="Calculation 6 23 7 2" xfId="39652" xr:uid="{00000000-0005-0000-0000-0000C59A0000}"/>
    <cellStyle name="Calculation 6 23 7 3" xfId="39653" xr:uid="{00000000-0005-0000-0000-0000C69A0000}"/>
    <cellStyle name="Calculation 6 23 7 4" xfId="39654" xr:uid="{00000000-0005-0000-0000-0000C79A0000}"/>
    <cellStyle name="Calculation 6 23 7 5" xfId="39655" xr:uid="{00000000-0005-0000-0000-0000C89A0000}"/>
    <cellStyle name="Calculation 6 23 7 6" xfId="39656" xr:uid="{00000000-0005-0000-0000-0000C99A0000}"/>
    <cellStyle name="Calculation 6 23 8" xfId="39657" xr:uid="{00000000-0005-0000-0000-0000CA9A0000}"/>
    <cellStyle name="Calculation 6 23 9" xfId="39658" xr:uid="{00000000-0005-0000-0000-0000CB9A0000}"/>
    <cellStyle name="Calculation 6 24" xfId="39659" xr:uid="{00000000-0005-0000-0000-0000CC9A0000}"/>
    <cellStyle name="Calculation 6 24 10" xfId="39660" xr:uid="{00000000-0005-0000-0000-0000CD9A0000}"/>
    <cellStyle name="Calculation 6 24 2" xfId="39661" xr:uid="{00000000-0005-0000-0000-0000CE9A0000}"/>
    <cellStyle name="Calculation 6 24 2 2" xfId="39662" xr:uid="{00000000-0005-0000-0000-0000CF9A0000}"/>
    <cellStyle name="Calculation 6 24 2 3" xfId="39663" xr:uid="{00000000-0005-0000-0000-0000D09A0000}"/>
    <cellStyle name="Calculation 6 24 2 4" xfId="39664" xr:uid="{00000000-0005-0000-0000-0000D19A0000}"/>
    <cellStyle name="Calculation 6 24 2 5" xfId="39665" xr:uid="{00000000-0005-0000-0000-0000D29A0000}"/>
    <cellStyle name="Calculation 6 24 2 6" xfId="39666" xr:uid="{00000000-0005-0000-0000-0000D39A0000}"/>
    <cellStyle name="Calculation 6 24 3" xfId="39667" xr:uid="{00000000-0005-0000-0000-0000D49A0000}"/>
    <cellStyle name="Calculation 6 24 3 2" xfId="39668" xr:uid="{00000000-0005-0000-0000-0000D59A0000}"/>
    <cellStyle name="Calculation 6 24 3 3" xfId="39669" xr:uid="{00000000-0005-0000-0000-0000D69A0000}"/>
    <cellStyle name="Calculation 6 24 3 4" xfId="39670" xr:uid="{00000000-0005-0000-0000-0000D79A0000}"/>
    <cellStyle name="Calculation 6 24 3 5" xfId="39671" xr:uid="{00000000-0005-0000-0000-0000D89A0000}"/>
    <cellStyle name="Calculation 6 24 3 6" xfId="39672" xr:uid="{00000000-0005-0000-0000-0000D99A0000}"/>
    <cellStyle name="Calculation 6 24 4" xfId="39673" xr:uid="{00000000-0005-0000-0000-0000DA9A0000}"/>
    <cellStyle name="Calculation 6 24 4 2" xfId="39674" xr:uid="{00000000-0005-0000-0000-0000DB9A0000}"/>
    <cellStyle name="Calculation 6 24 4 3" xfId="39675" xr:uid="{00000000-0005-0000-0000-0000DC9A0000}"/>
    <cellStyle name="Calculation 6 24 4 4" xfId="39676" xr:uid="{00000000-0005-0000-0000-0000DD9A0000}"/>
    <cellStyle name="Calculation 6 24 4 5" xfId="39677" xr:uid="{00000000-0005-0000-0000-0000DE9A0000}"/>
    <cellStyle name="Calculation 6 24 4 6" xfId="39678" xr:uid="{00000000-0005-0000-0000-0000DF9A0000}"/>
    <cellStyle name="Calculation 6 24 5" xfId="39679" xr:uid="{00000000-0005-0000-0000-0000E09A0000}"/>
    <cellStyle name="Calculation 6 24 5 2" xfId="39680" xr:uid="{00000000-0005-0000-0000-0000E19A0000}"/>
    <cellStyle name="Calculation 6 24 5 3" xfId="39681" xr:uid="{00000000-0005-0000-0000-0000E29A0000}"/>
    <cellStyle name="Calculation 6 24 5 4" xfId="39682" xr:uid="{00000000-0005-0000-0000-0000E39A0000}"/>
    <cellStyle name="Calculation 6 24 5 5" xfId="39683" xr:uid="{00000000-0005-0000-0000-0000E49A0000}"/>
    <cellStyle name="Calculation 6 24 5 6" xfId="39684" xr:uid="{00000000-0005-0000-0000-0000E59A0000}"/>
    <cellStyle name="Calculation 6 24 6" xfId="39685" xr:uid="{00000000-0005-0000-0000-0000E69A0000}"/>
    <cellStyle name="Calculation 6 24 6 2" xfId="39686" xr:uid="{00000000-0005-0000-0000-0000E79A0000}"/>
    <cellStyle name="Calculation 6 24 6 3" xfId="39687" xr:uid="{00000000-0005-0000-0000-0000E89A0000}"/>
    <cellStyle name="Calculation 6 24 6 4" xfId="39688" xr:uid="{00000000-0005-0000-0000-0000E99A0000}"/>
    <cellStyle name="Calculation 6 24 6 5" xfId="39689" xr:uid="{00000000-0005-0000-0000-0000EA9A0000}"/>
    <cellStyle name="Calculation 6 24 6 6" xfId="39690" xr:uid="{00000000-0005-0000-0000-0000EB9A0000}"/>
    <cellStyle name="Calculation 6 24 7" xfId="39691" xr:uid="{00000000-0005-0000-0000-0000EC9A0000}"/>
    <cellStyle name="Calculation 6 24 7 2" xfId="39692" xr:uid="{00000000-0005-0000-0000-0000ED9A0000}"/>
    <cellStyle name="Calculation 6 24 7 3" xfId="39693" xr:uid="{00000000-0005-0000-0000-0000EE9A0000}"/>
    <cellStyle name="Calculation 6 24 7 4" xfId="39694" xr:uid="{00000000-0005-0000-0000-0000EF9A0000}"/>
    <cellStyle name="Calculation 6 24 7 5" xfId="39695" xr:uid="{00000000-0005-0000-0000-0000F09A0000}"/>
    <cellStyle name="Calculation 6 24 7 6" xfId="39696" xr:uid="{00000000-0005-0000-0000-0000F19A0000}"/>
    <cellStyle name="Calculation 6 24 8" xfId="39697" xr:uid="{00000000-0005-0000-0000-0000F29A0000}"/>
    <cellStyle name="Calculation 6 24 9" xfId="39698" xr:uid="{00000000-0005-0000-0000-0000F39A0000}"/>
    <cellStyle name="Calculation 6 25" xfId="39699" xr:uid="{00000000-0005-0000-0000-0000F49A0000}"/>
    <cellStyle name="Calculation 6 25 10" xfId="39700" xr:uid="{00000000-0005-0000-0000-0000F59A0000}"/>
    <cellStyle name="Calculation 6 25 2" xfId="39701" xr:uid="{00000000-0005-0000-0000-0000F69A0000}"/>
    <cellStyle name="Calculation 6 25 2 2" xfId="39702" xr:uid="{00000000-0005-0000-0000-0000F79A0000}"/>
    <cellStyle name="Calculation 6 25 2 3" xfId="39703" xr:uid="{00000000-0005-0000-0000-0000F89A0000}"/>
    <cellStyle name="Calculation 6 25 2 4" xfId="39704" xr:uid="{00000000-0005-0000-0000-0000F99A0000}"/>
    <cellStyle name="Calculation 6 25 2 5" xfId="39705" xr:uid="{00000000-0005-0000-0000-0000FA9A0000}"/>
    <cellStyle name="Calculation 6 25 2 6" xfId="39706" xr:uid="{00000000-0005-0000-0000-0000FB9A0000}"/>
    <cellStyle name="Calculation 6 25 3" xfId="39707" xr:uid="{00000000-0005-0000-0000-0000FC9A0000}"/>
    <cellStyle name="Calculation 6 25 3 2" xfId="39708" xr:uid="{00000000-0005-0000-0000-0000FD9A0000}"/>
    <cellStyle name="Calculation 6 25 3 3" xfId="39709" xr:uid="{00000000-0005-0000-0000-0000FE9A0000}"/>
    <cellStyle name="Calculation 6 25 3 4" xfId="39710" xr:uid="{00000000-0005-0000-0000-0000FF9A0000}"/>
    <cellStyle name="Calculation 6 25 3 5" xfId="39711" xr:uid="{00000000-0005-0000-0000-0000009B0000}"/>
    <cellStyle name="Calculation 6 25 3 6" xfId="39712" xr:uid="{00000000-0005-0000-0000-0000019B0000}"/>
    <cellStyle name="Calculation 6 25 4" xfId="39713" xr:uid="{00000000-0005-0000-0000-0000029B0000}"/>
    <cellStyle name="Calculation 6 25 4 2" xfId="39714" xr:uid="{00000000-0005-0000-0000-0000039B0000}"/>
    <cellStyle name="Calculation 6 25 4 3" xfId="39715" xr:uid="{00000000-0005-0000-0000-0000049B0000}"/>
    <cellStyle name="Calculation 6 25 4 4" xfId="39716" xr:uid="{00000000-0005-0000-0000-0000059B0000}"/>
    <cellStyle name="Calculation 6 25 4 5" xfId="39717" xr:uid="{00000000-0005-0000-0000-0000069B0000}"/>
    <cellStyle name="Calculation 6 25 4 6" xfId="39718" xr:uid="{00000000-0005-0000-0000-0000079B0000}"/>
    <cellStyle name="Calculation 6 25 5" xfId="39719" xr:uid="{00000000-0005-0000-0000-0000089B0000}"/>
    <cellStyle name="Calculation 6 25 5 2" xfId="39720" xr:uid="{00000000-0005-0000-0000-0000099B0000}"/>
    <cellStyle name="Calculation 6 25 5 3" xfId="39721" xr:uid="{00000000-0005-0000-0000-00000A9B0000}"/>
    <cellStyle name="Calculation 6 25 5 4" xfId="39722" xr:uid="{00000000-0005-0000-0000-00000B9B0000}"/>
    <cellStyle name="Calculation 6 25 5 5" xfId="39723" xr:uid="{00000000-0005-0000-0000-00000C9B0000}"/>
    <cellStyle name="Calculation 6 25 5 6" xfId="39724" xr:uid="{00000000-0005-0000-0000-00000D9B0000}"/>
    <cellStyle name="Calculation 6 25 6" xfId="39725" xr:uid="{00000000-0005-0000-0000-00000E9B0000}"/>
    <cellStyle name="Calculation 6 25 6 2" xfId="39726" xr:uid="{00000000-0005-0000-0000-00000F9B0000}"/>
    <cellStyle name="Calculation 6 25 6 3" xfId="39727" xr:uid="{00000000-0005-0000-0000-0000109B0000}"/>
    <cellStyle name="Calculation 6 25 6 4" xfId="39728" xr:uid="{00000000-0005-0000-0000-0000119B0000}"/>
    <cellStyle name="Calculation 6 25 6 5" xfId="39729" xr:uid="{00000000-0005-0000-0000-0000129B0000}"/>
    <cellStyle name="Calculation 6 25 6 6" xfId="39730" xr:uid="{00000000-0005-0000-0000-0000139B0000}"/>
    <cellStyle name="Calculation 6 25 7" xfId="39731" xr:uid="{00000000-0005-0000-0000-0000149B0000}"/>
    <cellStyle name="Calculation 6 25 7 2" xfId="39732" xr:uid="{00000000-0005-0000-0000-0000159B0000}"/>
    <cellStyle name="Calculation 6 25 7 3" xfId="39733" xr:uid="{00000000-0005-0000-0000-0000169B0000}"/>
    <cellStyle name="Calculation 6 25 7 4" xfId="39734" xr:uid="{00000000-0005-0000-0000-0000179B0000}"/>
    <cellStyle name="Calculation 6 25 7 5" xfId="39735" xr:uid="{00000000-0005-0000-0000-0000189B0000}"/>
    <cellStyle name="Calculation 6 25 7 6" xfId="39736" xr:uid="{00000000-0005-0000-0000-0000199B0000}"/>
    <cellStyle name="Calculation 6 25 8" xfId="39737" xr:uid="{00000000-0005-0000-0000-00001A9B0000}"/>
    <cellStyle name="Calculation 6 25 9" xfId="39738" xr:uid="{00000000-0005-0000-0000-00001B9B0000}"/>
    <cellStyle name="Calculation 6 26" xfId="39739" xr:uid="{00000000-0005-0000-0000-00001C9B0000}"/>
    <cellStyle name="Calculation 6 26 2" xfId="39740" xr:uid="{00000000-0005-0000-0000-00001D9B0000}"/>
    <cellStyle name="Calculation 6 26 3" xfId="39741" xr:uid="{00000000-0005-0000-0000-00001E9B0000}"/>
    <cellStyle name="Calculation 6 26 4" xfId="39742" xr:uid="{00000000-0005-0000-0000-00001F9B0000}"/>
    <cellStyle name="Calculation 6 26 5" xfId="39743" xr:uid="{00000000-0005-0000-0000-0000209B0000}"/>
    <cellStyle name="Calculation 6 26 6" xfId="39744" xr:uid="{00000000-0005-0000-0000-0000219B0000}"/>
    <cellStyle name="Calculation 6 27" xfId="39745" xr:uid="{00000000-0005-0000-0000-0000229B0000}"/>
    <cellStyle name="Calculation 6 27 2" xfId="39746" xr:uid="{00000000-0005-0000-0000-0000239B0000}"/>
    <cellStyle name="Calculation 6 27 3" xfId="39747" xr:uid="{00000000-0005-0000-0000-0000249B0000}"/>
    <cellStyle name="Calculation 6 27 4" xfId="39748" xr:uid="{00000000-0005-0000-0000-0000259B0000}"/>
    <cellStyle name="Calculation 6 27 5" xfId="39749" xr:uid="{00000000-0005-0000-0000-0000269B0000}"/>
    <cellStyle name="Calculation 6 27 6" xfId="39750" xr:uid="{00000000-0005-0000-0000-0000279B0000}"/>
    <cellStyle name="Calculation 6 28" xfId="39751" xr:uid="{00000000-0005-0000-0000-0000289B0000}"/>
    <cellStyle name="Calculation 6 28 2" xfId="39752" xr:uid="{00000000-0005-0000-0000-0000299B0000}"/>
    <cellStyle name="Calculation 6 28 3" xfId="39753" xr:uid="{00000000-0005-0000-0000-00002A9B0000}"/>
    <cellStyle name="Calculation 6 28 4" xfId="39754" xr:uid="{00000000-0005-0000-0000-00002B9B0000}"/>
    <cellStyle name="Calculation 6 28 5" xfId="39755" xr:uid="{00000000-0005-0000-0000-00002C9B0000}"/>
    <cellStyle name="Calculation 6 28 6" xfId="39756" xr:uid="{00000000-0005-0000-0000-00002D9B0000}"/>
    <cellStyle name="Calculation 6 29" xfId="39757" xr:uid="{00000000-0005-0000-0000-00002E9B0000}"/>
    <cellStyle name="Calculation 6 29 2" xfId="39758" xr:uid="{00000000-0005-0000-0000-00002F9B0000}"/>
    <cellStyle name="Calculation 6 29 3" xfId="39759" xr:uid="{00000000-0005-0000-0000-0000309B0000}"/>
    <cellStyle name="Calculation 6 29 4" xfId="39760" xr:uid="{00000000-0005-0000-0000-0000319B0000}"/>
    <cellStyle name="Calculation 6 29 5" xfId="39761" xr:uid="{00000000-0005-0000-0000-0000329B0000}"/>
    <cellStyle name="Calculation 6 29 6" xfId="39762" xr:uid="{00000000-0005-0000-0000-0000339B0000}"/>
    <cellStyle name="Calculation 6 3" xfId="39763" xr:uid="{00000000-0005-0000-0000-0000349B0000}"/>
    <cellStyle name="Calculation 6 3 10" xfId="39764" xr:uid="{00000000-0005-0000-0000-0000359B0000}"/>
    <cellStyle name="Calculation 6 3 10 10" xfId="39765" xr:uid="{00000000-0005-0000-0000-0000369B0000}"/>
    <cellStyle name="Calculation 6 3 10 2" xfId="39766" xr:uid="{00000000-0005-0000-0000-0000379B0000}"/>
    <cellStyle name="Calculation 6 3 10 2 2" xfId="39767" xr:uid="{00000000-0005-0000-0000-0000389B0000}"/>
    <cellStyle name="Calculation 6 3 10 2 3" xfId="39768" xr:uid="{00000000-0005-0000-0000-0000399B0000}"/>
    <cellStyle name="Calculation 6 3 10 2 4" xfId="39769" xr:uid="{00000000-0005-0000-0000-00003A9B0000}"/>
    <cellStyle name="Calculation 6 3 10 2 5" xfId="39770" xr:uid="{00000000-0005-0000-0000-00003B9B0000}"/>
    <cellStyle name="Calculation 6 3 10 2 6" xfId="39771" xr:uid="{00000000-0005-0000-0000-00003C9B0000}"/>
    <cellStyle name="Calculation 6 3 10 3" xfId="39772" xr:uid="{00000000-0005-0000-0000-00003D9B0000}"/>
    <cellStyle name="Calculation 6 3 10 3 2" xfId="39773" xr:uid="{00000000-0005-0000-0000-00003E9B0000}"/>
    <cellStyle name="Calculation 6 3 10 3 3" xfId="39774" xr:uid="{00000000-0005-0000-0000-00003F9B0000}"/>
    <cellStyle name="Calculation 6 3 10 3 4" xfId="39775" xr:uid="{00000000-0005-0000-0000-0000409B0000}"/>
    <cellStyle name="Calculation 6 3 10 3 5" xfId="39776" xr:uid="{00000000-0005-0000-0000-0000419B0000}"/>
    <cellStyle name="Calculation 6 3 10 3 6" xfId="39777" xr:uid="{00000000-0005-0000-0000-0000429B0000}"/>
    <cellStyle name="Calculation 6 3 10 4" xfId="39778" xr:uid="{00000000-0005-0000-0000-0000439B0000}"/>
    <cellStyle name="Calculation 6 3 10 4 2" xfId="39779" xr:uid="{00000000-0005-0000-0000-0000449B0000}"/>
    <cellStyle name="Calculation 6 3 10 4 3" xfId="39780" xr:uid="{00000000-0005-0000-0000-0000459B0000}"/>
    <cellStyle name="Calculation 6 3 10 4 4" xfId="39781" xr:uid="{00000000-0005-0000-0000-0000469B0000}"/>
    <cellStyle name="Calculation 6 3 10 4 5" xfId="39782" xr:uid="{00000000-0005-0000-0000-0000479B0000}"/>
    <cellStyle name="Calculation 6 3 10 4 6" xfId="39783" xr:uid="{00000000-0005-0000-0000-0000489B0000}"/>
    <cellStyle name="Calculation 6 3 10 5" xfId="39784" xr:uid="{00000000-0005-0000-0000-0000499B0000}"/>
    <cellStyle name="Calculation 6 3 10 5 2" xfId="39785" xr:uid="{00000000-0005-0000-0000-00004A9B0000}"/>
    <cellStyle name="Calculation 6 3 10 5 3" xfId="39786" xr:uid="{00000000-0005-0000-0000-00004B9B0000}"/>
    <cellStyle name="Calculation 6 3 10 5 4" xfId="39787" xr:uid="{00000000-0005-0000-0000-00004C9B0000}"/>
    <cellStyle name="Calculation 6 3 10 5 5" xfId="39788" xr:uid="{00000000-0005-0000-0000-00004D9B0000}"/>
    <cellStyle name="Calculation 6 3 10 5 6" xfId="39789" xr:uid="{00000000-0005-0000-0000-00004E9B0000}"/>
    <cellStyle name="Calculation 6 3 10 6" xfId="39790" xr:uid="{00000000-0005-0000-0000-00004F9B0000}"/>
    <cellStyle name="Calculation 6 3 10 6 2" xfId="39791" xr:uid="{00000000-0005-0000-0000-0000509B0000}"/>
    <cellStyle name="Calculation 6 3 10 6 3" xfId="39792" xr:uid="{00000000-0005-0000-0000-0000519B0000}"/>
    <cellStyle name="Calculation 6 3 10 6 4" xfId="39793" xr:uid="{00000000-0005-0000-0000-0000529B0000}"/>
    <cellStyle name="Calculation 6 3 10 6 5" xfId="39794" xr:uid="{00000000-0005-0000-0000-0000539B0000}"/>
    <cellStyle name="Calculation 6 3 10 6 6" xfId="39795" xr:uid="{00000000-0005-0000-0000-0000549B0000}"/>
    <cellStyle name="Calculation 6 3 10 7" xfId="39796" xr:uid="{00000000-0005-0000-0000-0000559B0000}"/>
    <cellStyle name="Calculation 6 3 10 7 2" xfId="39797" xr:uid="{00000000-0005-0000-0000-0000569B0000}"/>
    <cellStyle name="Calculation 6 3 10 7 3" xfId="39798" xr:uid="{00000000-0005-0000-0000-0000579B0000}"/>
    <cellStyle name="Calculation 6 3 10 7 4" xfId="39799" xr:uid="{00000000-0005-0000-0000-0000589B0000}"/>
    <cellStyle name="Calculation 6 3 10 7 5" xfId="39800" xr:uid="{00000000-0005-0000-0000-0000599B0000}"/>
    <cellStyle name="Calculation 6 3 10 7 6" xfId="39801" xr:uid="{00000000-0005-0000-0000-00005A9B0000}"/>
    <cellStyle name="Calculation 6 3 10 8" xfId="39802" xr:uid="{00000000-0005-0000-0000-00005B9B0000}"/>
    <cellStyle name="Calculation 6 3 10 9" xfId="39803" xr:uid="{00000000-0005-0000-0000-00005C9B0000}"/>
    <cellStyle name="Calculation 6 3 11" xfId="39804" xr:uid="{00000000-0005-0000-0000-00005D9B0000}"/>
    <cellStyle name="Calculation 6 3 11 10" xfId="39805" xr:uid="{00000000-0005-0000-0000-00005E9B0000}"/>
    <cellStyle name="Calculation 6 3 11 2" xfId="39806" xr:uid="{00000000-0005-0000-0000-00005F9B0000}"/>
    <cellStyle name="Calculation 6 3 11 2 2" xfId="39807" xr:uid="{00000000-0005-0000-0000-0000609B0000}"/>
    <cellStyle name="Calculation 6 3 11 2 3" xfId="39808" xr:uid="{00000000-0005-0000-0000-0000619B0000}"/>
    <cellStyle name="Calculation 6 3 11 2 4" xfId="39809" xr:uid="{00000000-0005-0000-0000-0000629B0000}"/>
    <cellStyle name="Calculation 6 3 11 2 5" xfId="39810" xr:uid="{00000000-0005-0000-0000-0000639B0000}"/>
    <cellStyle name="Calculation 6 3 11 2 6" xfId="39811" xr:uid="{00000000-0005-0000-0000-0000649B0000}"/>
    <cellStyle name="Calculation 6 3 11 3" xfId="39812" xr:uid="{00000000-0005-0000-0000-0000659B0000}"/>
    <cellStyle name="Calculation 6 3 11 3 2" xfId="39813" xr:uid="{00000000-0005-0000-0000-0000669B0000}"/>
    <cellStyle name="Calculation 6 3 11 3 3" xfId="39814" xr:uid="{00000000-0005-0000-0000-0000679B0000}"/>
    <cellStyle name="Calculation 6 3 11 3 4" xfId="39815" xr:uid="{00000000-0005-0000-0000-0000689B0000}"/>
    <cellStyle name="Calculation 6 3 11 3 5" xfId="39816" xr:uid="{00000000-0005-0000-0000-0000699B0000}"/>
    <cellStyle name="Calculation 6 3 11 3 6" xfId="39817" xr:uid="{00000000-0005-0000-0000-00006A9B0000}"/>
    <cellStyle name="Calculation 6 3 11 4" xfId="39818" xr:uid="{00000000-0005-0000-0000-00006B9B0000}"/>
    <cellStyle name="Calculation 6 3 11 4 2" xfId="39819" xr:uid="{00000000-0005-0000-0000-00006C9B0000}"/>
    <cellStyle name="Calculation 6 3 11 4 3" xfId="39820" xr:uid="{00000000-0005-0000-0000-00006D9B0000}"/>
    <cellStyle name="Calculation 6 3 11 4 4" xfId="39821" xr:uid="{00000000-0005-0000-0000-00006E9B0000}"/>
    <cellStyle name="Calculation 6 3 11 4 5" xfId="39822" xr:uid="{00000000-0005-0000-0000-00006F9B0000}"/>
    <cellStyle name="Calculation 6 3 11 4 6" xfId="39823" xr:uid="{00000000-0005-0000-0000-0000709B0000}"/>
    <cellStyle name="Calculation 6 3 11 5" xfId="39824" xr:uid="{00000000-0005-0000-0000-0000719B0000}"/>
    <cellStyle name="Calculation 6 3 11 5 2" xfId="39825" xr:uid="{00000000-0005-0000-0000-0000729B0000}"/>
    <cellStyle name="Calculation 6 3 11 5 3" xfId="39826" xr:uid="{00000000-0005-0000-0000-0000739B0000}"/>
    <cellStyle name="Calculation 6 3 11 5 4" xfId="39827" xr:uid="{00000000-0005-0000-0000-0000749B0000}"/>
    <cellStyle name="Calculation 6 3 11 5 5" xfId="39828" xr:uid="{00000000-0005-0000-0000-0000759B0000}"/>
    <cellStyle name="Calculation 6 3 11 5 6" xfId="39829" xr:uid="{00000000-0005-0000-0000-0000769B0000}"/>
    <cellStyle name="Calculation 6 3 11 6" xfId="39830" xr:uid="{00000000-0005-0000-0000-0000779B0000}"/>
    <cellStyle name="Calculation 6 3 11 6 2" xfId="39831" xr:uid="{00000000-0005-0000-0000-0000789B0000}"/>
    <cellStyle name="Calculation 6 3 11 6 3" xfId="39832" xr:uid="{00000000-0005-0000-0000-0000799B0000}"/>
    <cellStyle name="Calculation 6 3 11 6 4" xfId="39833" xr:uid="{00000000-0005-0000-0000-00007A9B0000}"/>
    <cellStyle name="Calculation 6 3 11 6 5" xfId="39834" xr:uid="{00000000-0005-0000-0000-00007B9B0000}"/>
    <cellStyle name="Calculation 6 3 11 6 6" xfId="39835" xr:uid="{00000000-0005-0000-0000-00007C9B0000}"/>
    <cellStyle name="Calculation 6 3 11 7" xfId="39836" xr:uid="{00000000-0005-0000-0000-00007D9B0000}"/>
    <cellStyle name="Calculation 6 3 11 7 2" xfId="39837" xr:uid="{00000000-0005-0000-0000-00007E9B0000}"/>
    <cellStyle name="Calculation 6 3 11 7 3" xfId="39838" xr:uid="{00000000-0005-0000-0000-00007F9B0000}"/>
    <cellStyle name="Calculation 6 3 11 7 4" xfId="39839" xr:uid="{00000000-0005-0000-0000-0000809B0000}"/>
    <cellStyle name="Calculation 6 3 11 7 5" xfId="39840" xr:uid="{00000000-0005-0000-0000-0000819B0000}"/>
    <cellStyle name="Calculation 6 3 11 7 6" xfId="39841" xr:uid="{00000000-0005-0000-0000-0000829B0000}"/>
    <cellStyle name="Calculation 6 3 11 8" xfId="39842" xr:uid="{00000000-0005-0000-0000-0000839B0000}"/>
    <cellStyle name="Calculation 6 3 11 9" xfId="39843" xr:uid="{00000000-0005-0000-0000-0000849B0000}"/>
    <cellStyle name="Calculation 6 3 12" xfId="39844" xr:uid="{00000000-0005-0000-0000-0000859B0000}"/>
    <cellStyle name="Calculation 6 3 12 10" xfId="39845" xr:uid="{00000000-0005-0000-0000-0000869B0000}"/>
    <cellStyle name="Calculation 6 3 12 2" xfId="39846" xr:uid="{00000000-0005-0000-0000-0000879B0000}"/>
    <cellStyle name="Calculation 6 3 12 2 2" xfId="39847" xr:uid="{00000000-0005-0000-0000-0000889B0000}"/>
    <cellStyle name="Calculation 6 3 12 2 3" xfId="39848" xr:uid="{00000000-0005-0000-0000-0000899B0000}"/>
    <cellStyle name="Calculation 6 3 12 2 4" xfId="39849" xr:uid="{00000000-0005-0000-0000-00008A9B0000}"/>
    <cellStyle name="Calculation 6 3 12 2 5" xfId="39850" xr:uid="{00000000-0005-0000-0000-00008B9B0000}"/>
    <cellStyle name="Calculation 6 3 12 2 6" xfId="39851" xr:uid="{00000000-0005-0000-0000-00008C9B0000}"/>
    <cellStyle name="Calculation 6 3 12 3" xfId="39852" xr:uid="{00000000-0005-0000-0000-00008D9B0000}"/>
    <cellStyle name="Calculation 6 3 12 3 2" xfId="39853" xr:uid="{00000000-0005-0000-0000-00008E9B0000}"/>
    <cellStyle name="Calculation 6 3 12 3 3" xfId="39854" xr:uid="{00000000-0005-0000-0000-00008F9B0000}"/>
    <cellStyle name="Calculation 6 3 12 3 4" xfId="39855" xr:uid="{00000000-0005-0000-0000-0000909B0000}"/>
    <cellStyle name="Calculation 6 3 12 3 5" xfId="39856" xr:uid="{00000000-0005-0000-0000-0000919B0000}"/>
    <cellStyle name="Calculation 6 3 12 3 6" xfId="39857" xr:uid="{00000000-0005-0000-0000-0000929B0000}"/>
    <cellStyle name="Calculation 6 3 12 4" xfId="39858" xr:uid="{00000000-0005-0000-0000-0000939B0000}"/>
    <cellStyle name="Calculation 6 3 12 4 2" xfId="39859" xr:uid="{00000000-0005-0000-0000-0000949B0000}"/>
    <cellStyle name="Calculation 6 3 12 4 3" xfId="39860" xr:uid="{00000000-0005-0000-0000-0000959B0000}"/>
    <cellStyle name="Calculation 6 3 12 4 4" xfId="39861" xr:uid="{00000000-0005-0000-0000-0000969B0000}"/>
    <cellStyle name="Calculation 6 3 12 4 5" xfId="39862" xr:uid="{00000000-0005-0000-0000-0000979B0000}"/>
    <cellStyle name="Calculation 6 3 12 4 6" xfId="39863" xr:uid="{00000000-0005-0000-0000-0000989B0000}"/>
    <cellStyle name="Calculation 6 3 12 5" xfId="39864" xr:uid="{00000000-0005-0000-0000-0000999B0000}"/>
    <cellStyle name="Calculation 6 3 12 5 2" xfId="39865" xr:uid="{00000000-0005-0000-0000-00009A9B0000}"/>
    <cellStyle name="Calculation 6 3 12 5 3" xfId="39866" xr:uid="{00000000-0005-0000-0000-00009B9B0000}"/>
    <cellStyle name="Calculation 6 3 12 5 4" xfId="39867" xr:uid="{00000000-0005-0000-0000-00009C9B0000}"/>
    <cellStyle name="Calculation 6 3 12 5 5" xfId="39868" xr:uid="{00000000-0005-0000-0000-00009D9B0000}"/>
    <cellStyle name="Calculation 6 3 12 5 6" xfId="39869" xr:uid="{00000000-0005-0000-0000-00009E9B0000}"/>
    <cellStyle name="Calculation 6 3 12 6" xfId="39870" xr:uid="{00000000-0005-0000-0000-00009F9B0000}"/>
    <cellStyle name="Calculation 6 3 12 6 2" xfId="39871" xr:uid="{00000000-0005-0000-0000-0000A09B0000}"/>
    <cellStyle name="Calculation 6 3 12 6 3" xfId="39872" xr:uid="{00000000-0005-0000-0000-0000A19B0000}"/>
    <cellStyle name="Calculation 6 3 12 6 4" xfId="39873" xr:uid="{00000000-0005-0000-0000-0000A29B0000}"/>
    <cellStyle name="Calculation 6 3 12 6 5" xfId="39874" xr:uid="{00000000-0005-0000-0000-0000A39B0000}"/>
    <cellStyle name="Calculation 6 3 12 6 6" xfId="39875" xr:uid="{00000000-0005-0000-0000-0000A49B0000}"/>
    <cellStyle name="Calculation 6 3 12 7" xfId="39876" xr:uid="{00000000-0005-0000-0000-0000A59B0000}"/>
    <cellStyle name="Calculation 6 3 12 7 2" xfId="39877" xr:uid="{00000000-0005-0000-0000-0000A69B0000}"/>
    <cellStyle name="Calculation 6 3 12 7 3" xfId="39878" xr:uid="{00000000-0005-0000-0000-0000A79B0000}"/>
    <cellStyle name="Calculation 6 3 12 7 4" xfId="39879" xr:uid="{00000000-0005-0000-0000-0000A89B0000}"/>
    <cellStyle name="Calculation 6 3 12 7 5" xfId="39880" xr:uid="{00000000-0005-0000-0000-0000A99B0000}"/>
    <cellStyle name="Calculation 6 3 12 7 6" xfId="39881" xr:uid="{00000000-0005-0000-0000-0000AA9B0000}"/>
    <cellStyle name="Calculation 6 3 12 8" xfId="39882" xr:uid="{00000000-0005-0000-0000-0000AB9B0000}"/>
    <cellStyle name="Calculation 6 3 12 9" xfId="39883" xr:uid="{00000000-0005-0000-0000-0000AC9B0000}"/>
    <cellStyle name="Calculation 6 3 13" xfId="39884" xr:uid="{00000000-0005-0000-0000-0000AD9B0000}"/>
    <cellStyle name="Calculation 6 3 13 10" xfId="39885" xr:uid="{00000000-0005-0000-0000-0000AE9B0000}"/>
    <cellStyle name="Calculation 6 3 13 2" xfId="39886" xr:uid="{00000000-0005-0000-0000-0000AF9B0000}"/>
    <cellStyle name="Calculation 6 3 13 2 2" xfId="39887" xr:uid="{00000000-0005-0000-0000-0000B09B0000}"/>
    <cellStyle name="Calculation 6 3 13 2 3" xfId="39888" xr:uid="{00000000-0005-0000-0000-0000B19B0000}"/>
    <cellStyle name="Calculation 6 3 13 2 4" xfId="39889" xr:uid="{00000000-0005-0000-0000-0000B29B0000}"/>
    <cellStyle name="Calculation 6 3 13 2 5" xfId="39890" xr:uid="{00000000-0005-0000-0000-0000B39B0000}"/>
    <cellStyle name="Calculation 6 3 13 2 6" xfId="39891" xr:uid="{00000000-0005-0000-0000-0000B49B0000}"/>
    <cellStyle name="Calculation 6 3 13 3" xfId="39892" xr:uid="{00000000-0005-0000-0000-0000B59B0000}"/>
    <cellStyle name="Calculation 6 3 13 3 2" xfId="39893" xr:uid="{00000000-0005-0000-0000-0000B69B0000}"/>
    <cellStyle name="Calculation 6 3 13 3 3" xfId="39894" xr:uid="{00000000-0005-0000-0000-0000B79B0000}"/>
    <cellStyle name="Calculation 6 3 13 3 4" xfId="39895" xr:uid="{00000000-0005-0000-0000-0000B89B0000}"/>
    <cellStyle name="Calculation 6 3 13 3 5" xfId="39896" xr:uid="{00000000-0005-0000-0000-0000B99B0000}"/>
    <cellStyle name="Calculation 6 3 13 3 6" xfId="39897" xr:uid="{00000000-0005-0000-0000-0000BA9B0000}"/>
    <cellStyle name="Calculation 6 3 13 4" xfId="39898" xr:uid="{00000000-0005-0000-0000-0000BB9B0000}"/>
    <cellStyle name="Calculation 6 3 13 4 2" xfId="39899" xr:uid="{00000000-0005-0000-0000-0000BC9B0000}"/>
    <cellStyle name="Calculation 6 3 13 4 3" xfId="39900" xr:uid="{00000000-0005-0000-0000-0000BD9B0000}"/>
    <cellStyle name="Calculation 6 3 13 4 4" xfId="39901" xr:uid="{00000000-0005-0000-0000-0000BE9B0000}"/>
    <cellStyle name="Calculation 6 3 13 4 5" xfId="39902" xr:uid="{00000000-0005-0000-0000-0000BF9B0000}"/>
    <cellStyle name="Calculation 6 3 13 4 6" xfId="39903" xr:uid="{00000000-0005-0000-0000-0000C09B0000}"/>
    <cellStyle name="Calculation 6 3 13 5" xfId="39904" xr:uid="{00000000-0005-0000-0000-0000C19B0000}"/>
    <cellStyle name="Calculation 6 3 13 5 2" xfId="39905" xr:uid="{00000000-0005-0000-0000-0000C29B0000}"/>
    <cellStyle name="Calculation 6 3 13 5 3" xfId="39906" xr:uid="{00000000-0005-0000-0000-0000C39B0000}"/>
    <cellStyle name="Calculation 6 3 13 5 4" xfId="39907" xr:uid="{00000000-0005-0000-0000-0000C49B0000}"/>
    <cellStyle name="Calculation 6 3 13 5 5" xfId="39908" xr:uid="{00000000-0005-0000-0000-0000C59B0000}"/>
    <cellStyle name="Calculation 6 3 13 5 6" xfId="39909" xr:uid="{00000000-0005-0000-0000-0000C69B0000}"/>
    <cellStyle name="Calculation 6 3 13 6" xfId="39910" xr:uid="{00000000-0005-0000-0000-0000C79B0000}"/>
    <cellStyle name="Calculation 6 3 13 6 2" xfId="39911" xr:uid="{00000000-0005-0000-0000-0000C89B0000}"/>
    <cellStyle name="Calculation 6 3 13 6 3" xfId="39912" xr:uid="{00000000-0005-0000-0000-0000C99B0000}"/>
    <cellStyle name="Calculation 6 3 13 6 4" xfId="39913" xr:uid="{00000000-0005-0000-0000-0000CA9B0000}"/>
    <cellStyle name="Calculation 6 3 13 6 5" xfId="39914" xr:uid="{00000000-0005-0000-0000-0000CB9B0000}"/>
    <cellStyle name="Calculation 6 3 13 6 6" xfId="39915" xr:uid="{00000000-0005-0000-0000-0000CC9B0000}"/>
    <cellStyle name="Calculation 6 3 13 7" xfId="39916" xr:uid="{00000000-0005-0000-0000-0000CD9B0000}"/>
    <cellStyle name="Calculation 6 3 13 7 2" xfId="39917" xr:uid="{00000000-0005-0000-0000-0000CE9B0000}"/>
    <cellStyle name="Calculation 6 3 13 7 3" xfId="39918" xr:uid="{00000000-0005-0000-0000-0000CF9B0000}"/>
    <cellStyle name="Calculation 6 3 13 7 4" xfId="39919" xr:uid="{00000000-0005-0000-0000-0000D09B0000}"/>
    <cellStyle name="Calculation 6 3 13 7 5" xfId="39920" xr:uid="{00000000-0005-0000-0000-0000D19B0000}"/>
    <cellStyle name="Calculation 6 3 13 7 6" xfId="39921" xr:uid="{00000000-0005-0000-0000-0000D29B0000}"/>
    <cellStyle name="Calculation 6 3 13 8" xfId="39922" xr:uid="{00000000-0005-0000-0000-0000D39B0000}"/>
    <cellStyle name="Calculation 6 3 13 9" xfId="39923" xr:uid="{00000000-0005-0000-0000-0000D49B0000}"/>
    <cellStyle name="Calculation 6 3 14" xfId="39924" xr:uid="{00000000-0005-0000-0000-0000D59B0000}"/>
    <cellStyle name="Calculation 6 3 14 10" xfId="39925" xr:uid="{00000000-0005-0000-0000-0000D69B0000}"/>
    <cellStyle name="Calculation 6 3 14 2" xfId="39926" xr:uid="{00000000-0005-0000-0000-0000D79B0000}"/>
    <cellStyle name="Calculation 6 3 14 2 2" xfId="39927" xr:uid="{00000000-0005-0000-0000-0000D89B0000}"/>
    <cellStyle name="Calculation 6 3 14 2 3" xfId="39928" xr:uid="{00000000-0005-0000-0000-0000D99B0000}"/>
    <cellStyle name="Calculation 6 3 14 2 4" xfId="39929" xr:uid="{00000000-0005-0000-0000-0000DA9B0000}"/>
    <cellStyle name="Calculation 6 3 14 2 5" xfId="39930" xr:uid="{00000000-0005-0000-0000-0000DB9B0000}"/>
    <cellStyle name="Calculation 6 3 14 2 6" xfId="39931" xr:uid="{00000000-0005-0000-0000-0000DC9B0000}"/>
    <cellStyle name="Calculation 6 3 14 3" xfId="39932" xr:uid="{00000000-0005-0000-0000-0000DD9B0000}"/>
    <cellStyle name="Calculation 6 3 14 3 2" xfId="39933" xr:uid="{00000000-0005-0000-0000-0000DE9B0000}"/>
    <cellStyle name="Calculation 6 3 14 3 3" xfId="39934" xr:uid="{00000000-0005-0000-0000-0000DF9B0000}"/>
    <cellStyle name="Calculation 6 3 14 3 4" xfId="39935" xr:uid="{00000000-0005-0000-0000-0000E09B0000}"/>
    <cellStyle name="Calculation 6 3 14 3 5" xfId="39936" xr:uid="{00000000-0005-0000-0000-0000E19B0000}"/>
    <cellStyle name="Calculation 6 3 14 3 6" xfId="39937" xr:uid="{00000000-0005-0000-0000-0000E29B0000}"/>
    <cellStyle name="Calculation 6 3 14 4" xfId="39938" xr:uid="{00000000-0005-0000-0000-0000E39B0000}"/>
    <cellStyle name="Calculation 6 3 14 4 2" xfId="39939" xr:uid="{00000000-0005-0000-0000-0000E49B0000}"/>
    <cellStyle name="Calculation 6 3 14 4 3" xfId="39940" xr:uid="{00000000-0005-0000-0000-0000E59B0000}"/>
    <cellStyle name="Calculation 6 3 14 4 4" xfId="39941" xr:uid="{00000000-0005-0000-0000-0000E69B0000}"/>
    <cellStyle name="Calculation 6 3 14 4 5" xfId="39942" xr:uid="{00000000-0005-0000-0000-0000E79B0000}"/>
    <cellStyle name="Calculation 6 3 14 4 6" xfId="39943" xr:uid="{00000000-0005-0000-0000-0000E89B0000}"/>
    <cellStyle name="Calculation 6 3 14 5" xfId="39944" xr:uid="{00000000-0005-0000-0000-0000E99B0000}"/>
    <cellStyle name="Calculation 6 3 14 5 2" xfId="39945" xr:uid="{00000000-0005-0000-0000-0000EA9B0000}"/>
    <cellStyle name="Calculation 6 3 14 5 3" xfId="39946" xr:uid="{00000000-0005-0000-0000-0000EB9B0000}"/>
    <cellStyle name="Calculation 6 3 14 5 4" xfId="39947" xr:uid="{00000000-0005-0000-0000-0000EC9B0000}"/>
    <cellStyle name="Calculation 6 3 14 5 5" xfId="39948" xr:uid="{00000000-0005-0000-0000-0000ED9B0000}"/>
    <cellStyle name="Calculation 6 3 14 5 6" xfId="39949" xr:uid="{00000000-0005-0000-0000-0000EE9B0000}"/>
    <cellStyle name="Calculation 6 3 14 6" xfId="39950" xr:uid="{00000000-0005-0000-0000-0000EF9B0000}"/>
    <cellStyle name="Calculation 6 3 14 6 2" xfId="39951" xr:uid="{00000000-0005-0000-0000-0000F09B0000}"/>
    <cellStyle name="Calculation 6 3 14 6 3" xfId="39952" xr:uid="{00000000-0005-0000-0000-0000F19B0000}"/>
    <cellStyle name="Calculation 6 3 14 6 4" xfId="39953" xr:uid="{00000000-0005-0000-0000-0000F29B0000}"/>
    <cellStyle name="Calculation 6 3 14 6 5" xfId="39954" xr:uid="{00000000-0005-0000-0000-0000F39B0000}"/>
    <cellStyle name="Calculation 6 3 14 6 6" xfId="39955" xr:uid="{00000000-0005-0000-0000-0000F49B0000}"/>
    <cellStyle name="Calculation 6 3 14 7" xfId="39956" xr:uid="{00000000-0005-0000-0000-0000F59B0000}"/>
    <cellStyle name="Calculation 6 3 14 7 2" xfId="39957" xr:uid="{00000000-0005-0000-0000-0000F69B0000}"/>
    <cellStyle name="Calculation 6 3 14 7 3" xfId="39958" xr:uid="{00000000-0005-0000-0000-0000F79B0000}"/>
    <cellStyle name="Calculation 6 3 14 7 4" xfId="39959" xr:uid="{00000000-0005-0000-0000-0000F89B0000}"/>
    <cellStyle name="Calculation 6 3 14 7 5" xfId="39960" xr:uid="{00000000-0005-0000-0000-0000F99B0000}"/>
    <cellStyle name="Calculation 6 3 14 7 6" xfId="39961" xr:uid="{00000000-0005-0000-0000-0000FA9B0000}"/>
    <cellStyle name="Calculation 6 3 14 8" xfId="39962" xr:uid="{00000000-0005-0000-0000-0000FB9B0000}"/>
    <cellStyle name="Calculation 6 3 14 9" xfId="39963" xr:uid="{00000000-0005-0000-0000-0000FC9B0000}"/>
    <cellStyle name="Calculation 6 3 15" xfId="39964" xr:uid="{00000000-0005-0000-0000-0000FD9B0000}"/>
    <cellStyle name="Calculation 6 3 15 10" xfId="39965" xr:uid="{00000000-0005-0000-0000-0000FE9B0000}"/>
    <cellStyle name="Calculation 6 3 15 2" xfId="39966" xr:uid="{00000000-0005-0000-0000-0000FF9B0000}"/>
    <cellStyle name="Calculation 6 3 15 2 2" xfId="39967" xr:uid="{00000000-0005-0000-0000-0000009C0000}"/>
    <cellStyle name="Calculation 6 3 15 2 3" xfId="39968" xr:uid="{00000000-0005-0000-0000-0000019C0000}"/>
    <cellStyle name="Calculation 6 3 15 2 4" xfId="39969" xr:uid="{00000000-0005-0000-0000-0000029C0000}"/>
    <cellStyle name="Calculation 6 3 15 2 5" xfId="39970" xr:uid="{00000000-0005-0000-0000-0000039C0000}"/>
    <cellStyle name="Calculation 6 3 15 2 6" xfId="39971" xr:uid="{00000000-0005-0000-0000-0000049C0000}"/>
    <cellStyle name="Calculation 6 3 15 3" xfId="39972" xr:uid="{00000000-0005-0000-0000-0000059C0000}"/>
    <cellStyle name="Calculation 6 3 15 3 2" xfId="39973" xr:uid="{00000000-0005-0000-0000-0000069C0000}"/>
    <cellStyle name="Calculation 6 3 15 3 3" xfId="39974" xr:uid="{00000000-0005-0000-0000-0000079C0000}"/>
    <cellStyle name="Calculation 6 3 15 3 4" xfId="39975" xr:uid="{00000000-0005-0000-0000-0000089C0000}"/>
    <cellStyle name="Calculation 6 3 15 3 5" xfId="39976" xr:uid="{00000000-0005-0000-0000-0000099C0000}"/>
    <cellStyle name="Calculation 6 3 15 3 6" xfId="39977" xr:uid="{00000000-0005-0000-0000-00000A9C0000}"/>
    <cellStyle name="Calculation 6 3 15 4" xfId="39978" xr:uid="{00000000-0005-0000-0000-00000B9C0000}"/>
    <cellStyle name="Calculation 6 3 15 4 2" xfId="39979" xr:uid="{00000000-0005-0000-0000-00000C9C0000}"/>
    <cellStyle name="Calculation 6 3 15 4 3" xfId="39980" xr:uid="{00000000-0005-0000-0000-00000D9C0000}"/>
    <cellStyle name="Calculation 6 3 15 4 4" xfId="39981" xr:uid="{00000000-0005-0000-0000-00000E9C0000}"/>
    <cellStyle name="Calculation 6 3 15 4 5" xfId="39982" xr:uid="{00000000-0005-0000-0000-00000F9C0000}"/>
    <cellStyle name="Calculation 6 3 15 4 6" xfId="39983" xr:uid="{00000000-0005-0000-0000-0000109C0000}"/>
    <cellStyle name="Calculation 6 3 15 5" xfId="39984" xr:uid="{00000000-0005-0000-0000-0000119C0000}"/>
    <cellStyle name="Calculation 6 3 15 5 2" xfId="39985" xr:uid="{00000000-0005-0000-0000-0000129C0000}"/>
    <cellStyle name="Calculation 6 3 15 5 3" xfId="39986" xr:uid="{00000000-0005-0000-0000-0000139C0000}"/>
    <cellStyle name="Calculation 6 3 15 5 4" xfId="39987" xr:uid="{00000000-0005-0000-0000-0000149C0000}"/>
    <cellStyle name="Calculation 6 3 15 5 5" xfId="39988" xr:uid="{00000000-0005-0000-0000-0000159C0000}"/>
    <cellStyle name="Calculation 6 3 15 5 6" xfId="39989" xr:uid="{00000000-0005-0000-0000-0000169C0000}"/>
    <cellStyle name="Calculation 6 3 15 6" xfId="39990" xr:uid="{00000000-0005-0000-0000-0000179C0000}"/>
    <cellStyle name="Calculation 6 3 15 6 2" xfId="39991" xr:uid="{00000000-0005-0000-0000-0000189C0000}"/>
    <cellStyle name="Calculation 6 3 15 6 3" xfId="39992" xr:uid="{00000000-0005-0000-0000-0000199C0000}"/>
    <cellStyle name="Calculation 6 3 15 6 4" xfId="39993" xr:uid="{00000000-0005-0000-0000-00001A9C0000}"/>
    <cellStyle name="Calculation 6 3 15 6 5" xfId="39994" xr:uid="{00000000-0005-0000-0000-00001B9C0000}"/>
    <cellStyle name="Calculation 6 3 15 6 6" xfId="39995" xr:uid="{00000000-0005-0000-0000-00001C9C0000}"/>
    <cellStyle name="Calculation 6 3 15 7" xfId="39996" xr:uid="{00000000-0005-0000-0000-00001D9C0000}"/>
    <cellStyle name="Calculation 6 3 15 7 2" xfId="39997" xr:uid="{00000000-0005-0000-0000-00001E9C0000}"/>
    <cellStyle name="Calculation 6 3 15 7 3" xfId="39998" xr:uid="{00000000-0005-0000-0000-00001F9C0000}"/>
    <cellStyle name="Calculation 6 3 15 7 4" xfId="39999" xr:uid="{00000000-0005-0000-0000-0000209C0000}"/>
    <cellStyle name="Calculation 6 3 15 7 5" xfId="40000" xr:uid="{00000000-0005-0000-0000-0000219C0000}"/>
    <cellStyle name="Calculation 6 3 15 7 6" xfId="40001" xr:uid="{00000000-0005-0000-0000-0000229C0000}"/>
    <cellStyle name="Calculation 6 3 15 8" xfId="40002" xr:uid="{00000000-0005-0000-0000-0000239C0000}"/>
    <cellStyle name="Calculation 6 3 15 9" xfId="40003" xr:uid="{00000000-0005-0000-0000-0000249C0000}"/>
    <cellStyle name="Calculation 6 3 16" xfId="40004" xr:uid="{00000000-0005-0000-0000-0000259C0000}"/>
    <cellStyle name="Calculation 6 3 16 10" xfId="40005" xr:uid="{00000000-0005-0000-0000-0000269C0000}"/>
    <cellStyle name="Calculation 6 3 16 2" xfId="40006" xr:uid="{00000000-0005-0000-0000-0000279C0000}"/>
    <cellStyle name="Calculation 6 3 16 2 2" xfId="40007" xr:uid="{00000000-0005-0000-0000-0000289C0000}"/>
    <cellStyle name="Calculation 6 3 16 2 3" xfId="40008" xr:uid="{00000000-0005-0000-0000-0000299C0000}"/>
    <cellStyle name="Calculation 6 3 16 2 4" xfId="40009" xr:uid="{00000000-0005-0000-0000-00002A9C0000}"/>
    <cellStyle name="Calculation 6 3 16 2 5" xfId="40010" xr:uid="{00000000-0005-0000-0000-00002B9C0000}"/>
    <cellStyle name="Calculation 6 3 16 2 6" xfId="40011" xr:uid="{00000000-0005-0000-0000-00002C9C0000}"/>
    <cellStyle name="Calculation 6 3 16 3" xfId="40012" xr:uid="{00000000-0005-0000-0000-00002D9C0000}"/>
    <cellStyle name="Calculation 6 3 16 3 2" xfId="40013" xr:uid="{00000000-0005-0000-0000-00002E9C0000}"/>
    <cellStyle name="Calculation 6 3 16 3 3" xfId="40014" xr:uid="{00000000-0005-0000-0000-00002F9C0000}"/>
    <cellStyle name="Calculation 6 3 16 3 4" xfId="40015" xr:uid="{00000000-0005-0000-0000-0000309C0000}"/>
    <cellStyle name="Calculation 6 3 16 3 5" xfId="40016" xr:uid="{00000000-0005-0000-0000-0000319C0000}"/>
    <cellStyle name="Calculation 6 3 16 3 6" xfId="40017" xr:uid="{00000000-0005-0000-0000-0000329C0000}"/>
    <cellStyle name="Calculation 6 3 16 4" xfId="40018" xr:uid="{00000000-0005-0000-0000-0000339C0000}"/>
    <cellStyle name="Calculation 6 3 16 4 2" xfId="40019" xr:uid="{00000000-0005-0000-0000-0000349C0000}"/>
    <cellStyle name="Calculation 6 3 16 4 3" xfId="40020" xr:uid="{00000000-0005-0000-0000-0000359C0000}"/>
    <cellStyle name="Calculation 6 3 16 4 4" xfId="40021" xr:uid="{00000000-0005-0000-0000-0000369C0000}"/>
    <cellStyle name="Calculation 6 3 16 4 5" xfId="40022" xr:uid="{00000000-0005-0000-0000-0000379C0000}"/>
    <cellStyle name="Calculation 6 3 16 4 6" xfId="40023" xr:uid="{00000000-0005-0000-0000-0000389C0000}"/>
    <cellStyle name="Calculation 6 3 16 5" xfId="40024" xr:uid="{00000000-0005-0000-0000-0000399C0000}"/>
    <cellStyle name="Calculation 6 3 16 5 2" xfId="40025" xr:uid="{00000000-0005-0000-0000-00003A9C0000}"/>
    <cellStyle name="Calculation 6 3 16 5 3" xfId="40026" xr:uid="{00000000-0005-0000-0000-00003B9C0000}"/>
    <cellStyle name="Calculation 6 3 16 5 4" xfId="40027" xr:uid="{00000000-0005-0000-0000-00003C9C0000}"/>
    <cellStyle name="Calculation 6 3 16 5 5" xfId="40028" xr:uid="{00000000-0005-0000-0000-00003D9C0000}"/>
    <cellStyle name="Calculation 6 3 16 5 6" xfId="40029" xr:uid="{00000000-0005-0000-0000-00003E9C0000}"/>
    <cellStyle name="Calculation 6 3 16 6" xfId="40030" xr:uid="{00000000-0005-0000-0000-00003F9C0000}"/>
    <cellStyle name="Calculation 6 3 16 6 2" xfId="40031" xr:uid="{00000000-0005-0000-0000-0000409C0000}"/>
    <cellStyle name="Calculation 6 3 16 6 3" xfId="40032" xr:uid="{00000000-0005-0000-0000-0000419C0000}"/>
    <cellStyle name="Calculation 6 3 16 6 4" xfId="40033" xr:uid="{00000000-0005-0000-0000-0000429C0000}"/>
    <cellStyle name="Calculation 6 3 16 6 5" xfId="40034" xr:uid="{00000000-0005-0000-0000-0000439C0000}"/>
    <cellStyle name="Calculation 6 3 16 6 6" xfId="40035" xr:uid="{00000000-0005-0000-0000-0000449C0000}"/>
    <cellStyle name="Calculation 6 3 16 7" xfId="40036" xr:uid="{00000000-0005-0000-0000-0000459C0000}"/>
    <cellStyle name="Calculation 6 3 16 7 2" xfId="40037" xr:uid="{00000000-0005-0000-0000-0000469C0000}"/>
    <cellStyle name="Calculation 6 3 16 7 3" xfId="40038" xr:uid="{00000000-0005-0000-0000-0000479C0000}"/>
    <cellStyle name="Calculation 6 3 16 7 4" xfId="40039" xr:uid="{00000000-0005-0000-0000-0000489C0000}"/>
    <cellStyle name="Calculation 6 3 16 7 5" xfId="40040" xr:uid="{00000000-0005-0000-0000-0000499C0000}"/>
    <cellStyle name="Calculation 6 3 16 7 6" xfId="40041" xr:uid="{00000000-0005-0000-0000-00004A9C0000}"/>
    <cellStyle name="Calculation 6 3 16 8" xfId="40042" xr:uid="{00000000-0005-0000-0000-00004B9C0000}"/>
    <cellStyle name="Calculation 6 3 16 9" xfId="40043" xr:uid="{00000000-0005-0000-0000-00004C9C0000}"/>
    <cellStyle name="Calculation 6 3 17" xfId="40044" xr:uid="{00000000-0005-0000-0000-00004D9C0000}"/>
    <cellStyle name="Calculation 6 3 17 10" xfId="40045" xr:uid="{00000000-0005-0000-0000-00004E9C0000}"/>
    <cellStyle name="Calculation 6 3 17 2" xfId="40046" xr:uid="{00000000-0005-0000-0000-00004F9C0000}"/>
    <cellStyle name="Calculation 6 3 17 2 2" xfId="40047" xr:uid="{00000000-0005-0000-0000-0000509C0000}"/>
    <cellStyle name="Calculation 6 3 17 2 3" xfId="40048" xr:uid="{00000000-0005-0000-0000-0000519C0000}"/>
    <cellStyle name="Calculation 6 3 17 2 4" xfId="40049" xr:uid="{00000000-0005-0000-0000-0000529C0000}"/>
    <cellStyle name="Calculation 6 3 17 2 5" xfId="40050" xr:uid="{00000000-0005-0000-0000-0000539C0000}"/>
    <cellStyle name="Calculation 6 3 17 2 6" xfId="40051" xr:uid="{00000000-0005-0000-0000-0000549C0000}"/>
    <cellStyle name="Calculation 6 3 17 3" xfId="40052" xr:uid="{00000000-0005-0000-0000-0000559C0000}"/>
    <cellStyle name="Calculation 6 3 17 3 2" xfId="40053" xr:uid="{00000000-0005-0000-0000-0000569C0000}"/>
    <cellStyle name="Calculation 6 3 17 3 3" xfId="40054" xr:uid="{00000000-0005-0000-0000-0000579C0000}"/>
    <cellStyle name="Calculation 6 3 17 3 4" xfId="40055" xr:uid="{00000000-0005-0000-0000-0000589C0000}"/>
    <cellStyle name="Calculation 6 3 17 3 5" xfId="40056" xr:uid="{00000000-0005-0000-0000-0000599C0000}"/>
    <cellStyle name="Calculation 6 3 17 3 6" xfId="40057" xr:uid="{00000000-0005-0000-0000-00005A9C0000}"/>
    <cellStyle name="Calculation 6 3 17 4" xfId="40058" xr:uid="{00000000-0005-0000-0000-00005B9C0000}"/>
    <cellStyle name="Calculation 6 3 17 4 2" xfId="40059" xr:uid="{00000000-0005-0000-0000-00005C9C0000}"/>
    <cellStyle name="Calculation 6 3 17 4 3" xfId="40060" xr:uid="{00000000-0005-0000-0000-00005D9C0000}"/>
    <cellStyle name="Calculation 6 3 17 4 4" xfId="40061" xr:uid="{00000000-0005-0000-0000-00005E9C0000}"/>
    <cellStyle name="Calculation 6 3 17 4 5" xfId="40062" xr:uid="{00000000-0005-0000-0000-00005F9C0000}"/>
    <cellStyle name="Calculation 6 3 17 4 6" xfId="40063" xr:uid="{00000000-0005-0000-0000-0000609C0000}"/>
    <cellStyle name="Calculation 6 3 17 5" xfId="40064" xr:uid="{00000000-0005-0000-0000-0000619C0000}"/>
    <cellStyle name="Calculation 6 3 17 5 2" xfId="40065" xr:uid="{00000000-0005-0000-0000-0000629C0000}"/>
    <cellStyle name="Calculation 6 3 17 5 3" xfId="40066" xr:uid="{00000000-0005-0000-0000-0000639C0000}"/>
    <cellStyle name="Calculation 6 3 17 5 4" xfId="40067" xr:uid="{00000000-0005-0000-0000-0000649C0000}"/>
    <cellStyle name="Calculation 6 3 17 5 5" xfId="40068" xr:uid="{00000000-0005-0000-0000-0000659C0000}"/>
    <cellStyle name="Calculation 6 3 17 5 6" xfId="40069" xr:uid="{00000000-0005-0000-0000-0000669C0000}"/>
    <cellStyle name="Calculation 6 3 17 6" xfId="40070" xr:uid="{00000000-0005-0000-0000-0000679C0000}"/>
    <cellStyle name="Calculation 6 3 17 6 2" xfId="40071" xr:uid="{00000000-0005-0000-0000-0000689C0000}"/>
    <cellStyle name="Calculation 6 3 17 6 3" xfId="40072" xr:uid="{00000000-0005-0000-0000-0000699C0000}"/>
    <cellStyle name="Calculation 6 3 17 6 4" xfId="40073" xr:uid="{00000000-0005-0000-0000-00006A9C0000}"/>
    <cellStyle name="Calculation 6 3 17 6 5" xfId="40074" xr:uid="{00000000-0005-0000-0000-00006B9C0000}"/>
    <cellStyle name="Calculation 6 3 17 6 6" xfId="40075" xr:uid="{00000000-0005-0000-0000-00006C9C0000}"/>
    <cellStyle name="Calculation 6 3 17 7" xfId="40076" xr:uid="{00000000-0005-0000-0000-00006D9C0000}"/>
    <cellStyle name="Calculation 6 3 17 7 2" xfId="40077" xr:uid="{00000000-0005-0000-0000-00006E9C0000}"/>
    <cellStyle name="Calculation 6 3 17 7 3" xfId="40078" xr:uid="{00000000-0005-0000-0000-00006F9C0000}"/>
    <cellStyle name="Calculation 6 3 17 7 4" xfId="40079" xr:uid="{00000000-0005-0000-0000-0000709C0000}"/>
    <cellStyle name="Calculation 6 3 17 7 5" xfId="40080" xr:uid="{00000000-0005-0000-0000-0000719C0000}"/>
    <cellStyle name="Calculation 6 3 17 7 6" xfId="40081" xr:uid="{00000000-0005-0000-0000-0000729C0000}"/>
    <cellStyle name="Calculation 6 3 17 8" xfId="40082" xr:uid="{00000000-0005-0000-0000-0000739C0000}"/>
    <cellStyle name="Calculation 6 3 17 9" xfId="40083" xr:uid="{00000000-0005-0000-0000-0000749C0000}"/>
    <cellStyle name="Calculation 6 3 18" xfId="40084" xr:uid="{00000000-0005-0000-0000-0000759C0000}"/>
    <cellStyle name="Calculation 6 3 18 10" xfId="40085" xr:uid="{00000000-0005-0000-0000-0000769C0000}"/>
    <cellStyle name="Calculation 6 3 18 2" xfId="40086" xr:uid="{00000000-0005-0000-0000-0000779C0000}"/>
    <cellStyle name="Calculation 6 3 18 2 2" xfId="40087" xr:uid="{00000000-0005-0000-0000-0000789C0000}"/>
    <cellStyle name="Calculation 6 3 18 2 3" xfId="40088" xr:uid="{00000000-0005-0000-0000-0000799C0000}"/>
    <cellStyle name="Calculation 6 3 18 2 4" xfId="40089" xr:uid="{00000000-0005-0000-0000-00007A9C0000}"/>
    <cellStyle name="Calculation 6 3 18 2 5" xfId="40090" xr:uid="{00000000-0005-0000-0000-00007B9C0000}"/>
    <cellStyle name="Calculation 6 3 18 2 6" xfId="40091" xr:uid="{00000000-0005-0000-0000-00007C9C0000}"/>
    <cellStyle name="Calculation 6 3 18 3" xfId="40092" xr:uid="{00000000-0005-0000-0000-00007D9C0000}"/>
    <cellStyle name="Calculation 6 3 18 3 2" xfId="40093" xr:uid="{00000000-0005-0000-0000-00007E9C0000}"/>
    <cellStyle name="Calculation 6 3 18 3 3" xfId="40094" xr:uid="{00000000-0005-0000-0000-00007F9C0000}"/>
    <cellStyle name="Calculation 6 3 18 3 4" xfId="40095" xr:uid="{00000000-0005-0000-0000-0000809C0000}"/>
    <cellStyle name="Calculation 6 3 18 3 5" xfId="40096" xr:uid="{00000000-0005-0000-0000-0000819C0000}"/>
    <cellStyle name="Calculation 6 3 18 3 6" xfId="40097" xr:uid="{00000000-0005-0000-0000-0000829C0000}"/>
    <cellStyle name="Calculation 6 3 18 4" xfId="40098" xr:uid="{00000000-0005-0000-0000-0000839C0000}"/>
    <cellStyle name="Calculation 6 3 18 4 2" xfId="40099" xr:uid="{00000000-0005-0000-0000-0000849C0000}"/>
    <cellStyle name="Calculation 6 3 18 4 3" xfId="40100" xr:uid="{00000000-0005-0000-0000-0000859C0000}"/>
    <cellStyle name="Calculation 6 3 18 4 4" xfId="40101" xr:uid="{00000000-0005-0000-0000-0000869C0000}"/>
    <cellStyle name="Calculation 6 3 18 4 5" xfId="40102" xr:uid="{00000000-0005-0000-0000-0000879C0000}"/>
    <cellStyle name="Calculation 6 3 18 4 6" xfId="40103" xr:uid="{00000000-0005-0000-0000-0000889C0000}"/>
    <cellStyle name="Calculation 6 3 18 5" xfId="40104" xr:uid="{00000000-0005-0000-0000-0000899C0000}"/>
    <cellStyle name="Calculation 6 3 18 5 2" xfId="40105" xr:uid="{00000000-0005-0000-0000-00008A9C0000}"/>
    <cellStyle name="Calculation 6 3 18 5 3" xfId="40106" xr:uid="{00000000-0005-0000-0000-00008B9C0000}"/>
    <cellStyle name="Calculation 6 3 18 5 4" xfId="40107" xr:uid="{00000000-0005-0000-0000-00008C9C0000}"/>
    <cellStyle name="Calculation 6 3 18 5 5" xfId="40108" xr:uid="{00000000-0005-0000-0000-00008D9C0000}"/>
    <cellStyle name="Calculation 6 3 18 5 6" xfId="40109" xr:uid="{00000000-0005-0000-0000-00008E9C0000}"/>
    <cellStyle name="Calculation 6 3 18 6" xfId="40110" xr:uid="{00000000-0005-0000-0000-00008F9C0000}"/>
    <cellStyle name="Calculation 6 3 18 6 2" xfId="40111" xr:uid="{00000000-0005-0000-0000-0000909C0000}"/>
    <cellStyle name="Calculation 6 3 18 6 3" xfId="40112" xr:uid="{00000000-0005-0000-0000-0000919C0000}"/>
    <cellStyle name="Calculation 6 3 18 6 4" xfId="40113" xr:uid="{00000000-0005-0000-0000-0000929C0000}"/>
    <cellStyle name="Calculation 6 3 18 6 5" xfId="40114" xr:uid="{00000000-0005-0000-0000-0000939C0000}"/>
    <cellStyle name="Calculation 6 3 18 6 6" xfId="40115" xr:uid="{00000000-0005-0000-0000-0000949C0000}"/>
    <cellStyle name="Calculation 6 3 18 7" xfId="40116" xr:uid="{00000000-0005-0000-0000-0000959C0000}"/>
    <cellStyle name="Calculation 6 3 18 7 2" xfId="40117" xr:uid="{00000000-0005-0000-0000-0000969C0000}"/>
    <cellStyle name="Calculation 6 3 18 7 3" xfId="40118" xr:uid="{00000000-0005-0000-0000-0000979C0000}"/>
    <cellStyle name="Calculation 6 3 18 7 4" xfId="40119" xr:uid="{00000000-0005-0000-0000-0000989C0000}"/>
    <cellStyle name="Calculation 6 3 18 7 5" xfId="40120" xr:uid="{00000000-0005-0000-0000-0000999C0000}"/>
    <cellStyle name="Calculation 6 3 18 7 6" xfId="40121" xr:uid="{00000000-0005-0000-0000-00009A9C0000}"/>
    <cellStyle name="Calculation 6 3 18 8" xfId="40122" xr:uid="{00000000-0005-0000-0000-00009B9C0000}"/>
    <cellStyle name="Calculation 6 3 18 9" xfId="40123" xr:uid="{00000000-0005-0000-0000-00009C9C0000}"/>
    <cellStyle name="Calculation 6 3 19" xfId="40124" xr:uid="{00000000-0005-0000-0000-00009D9C0000}"/>
    <cellStyle name="Calculation 6 3 19 10" xfId="40125" xr:uid="{00000000-0005-0000-0000-00009E9C0000}"/>
    <cellStyle name="Calculation 6 3 19 2" xfId="40126" xr:uid="{00000000-0005-0000-0000-00009F9C0000}"/>
    <cellStyle name="Calculation 6 3 19 2 2" xfId="40127" xr:uid="{00000000-0005-0000-0000-0000A09C0000}"/>
    <cellStyle name="Calculation 6 3 19 2 3" xfId="40128" xr:uid="{00000000-0005-0000-0000-0000A19C0000}"/>
    <cellStyle name="Calculation 6 3 19 2 4" xfId="40129" xr:uid="{00000000-0005-0000-0000-0000A29C0000}"/>
    <cellStyle name="Calculation 6 3 19 2 5" xfId="40130" xr:uid="{00000000-0005-0000-0000-0000A39C0000}"/>
    <cellStyle name="Calculation 6 3 19 2 6" xfId="40131" xr:uid="{00000000-0005-0000-0000-0000A49C0000}"/>
    <cellStyle name="Calculation 6 3 19 3" xfId="40132" xr:uid="{00000000-0005-0000-0000-0000A59C0000}"/>
    <cellStyle name="Calculation 6 3 19 3 2" xfId="40133" xr:uid="{00000000-0005-0000-0000-0000A69C0000}"/>
    <cellStyle name="Calculation 6 3 19 3 3" xfId="40134" xr:uid="{00000000-0005-0000-0000-0000A79C0000}"/>
    <cellStyle name="Calculation 6 3 19 3 4" xfId="40135" xr:uid="{00000000-0005-0000-0000-0000A89C0000}"/>
    <cellStyle name="Calculation 6 3 19 3 5" xfId="40136" xr:uid="{00000000-0005-0000-0000-0000A99C0000}"/>
    <cellStyle name="Calculation 6 3 19 3 6" xfId="40137" xr:uid="{00000000-0005-0000-0000-0000AA9C0000}"/>
    <cellStyle name="Calculation 6 3 19 4" xfId="40138" xr:uid="{00000000-0005-0000-0000-0000AB9C0000}"/>
    <cellStyle name="Calculation 6 3 19 4 2" xfId="40139" xr:uid="{00000000-0005-0000-0000-0000AC9C0000}"/>
    <cellStyle name="Calculation 6 3 19 4 3" xfId="40140" xr:uid="{00000000-0005-0000-0000-0000AD9C0000}"/>
    <cellStyle name="Calculation 6 3 19 4 4" xfId="40141" xr:uid="{00000000-0005-0000-0000-0000AE9C0000}"/>
    <cellStyle name="Calculation 6 3 19 4 5" xfId="40142" xr:uid="{00000000-0005-0000-0000-0000AF9C0000}"/>
    <cellStyle name="Calculation 6 3 19 4 6" xfId="40143" xr:uid="{00000000-0005-0000-0000-0000B09C0000}"/>
    <cellStyle name="Calculation 6 3 19 5" xfId="40144" xr:uid="{00000000-0005-0000-0000-0000B19C0000}"/>
    <cellStyle name="Calculation 6 3 19 5 2" xfId="40145" xr:uid="{00000000-0005-0000-0000-0000B29C0000}"/>
    <cellStyle name="Calculation 6 3 19 5 3" xfId="40146" xr:uid="{00000000-0005-0000-0000-0000B39C0000}"/>
    <cellStyle name="Calculation 6 3 19 5 4" xfId="40147" xr:uid="{00000000-0005-0000-0000-0000B49C0000}"/>
    <cellStyle name="Calculation 6 3 19 5 5" xfId="40148" xr:uid="{00000000-0005-0000-0000-0000B59C0000}"/>
    <cellStyle name="Calculation 6 3 19 5 6" xfId="40149" xr:uid="{00000000-0005-0000-0000-0000B69C0000}"/>
    <cellStyle name="Calculation 6 3 19 6" xfId="40150" xr:uid="{00000000-0005-0000-0000-0000B79C0000}"/>
    <cellStyle name="Calculation 6 3 19 6 2" xfId="40151" xr:uid="{00000000-0005-0000-0000-0000B89C0000}"/>
    <cellStyle name="Calculation 6 3 19 6 3" xfId="40152" xr:uid="{00000000-0005-0000-0000-0000B99C0000}"/>
    <cellStyle name="Calculation 6 3 19 6 4" xfId="40153" xr:uid="{00000000-0005-0000-0000-0000BA9C0000}"/>
    <cellStyle name="Calculation 6 3 19 6 5" xfId="40154" xr:uid="{00000000-0005-0000-0000-0000BB9C0000}"/>
    <cellStyle name="Calculation 6 3 19 6 6" xfId="40155" xr:uid="{00000000-0005-0000-0000-0000BC9C0000}"/>
    <cellStyle name="Calculation 6 3 19 7" xfId="40156" xr:uid="{00000000-0005-0000-0000-0000BD9C0000}"/>
    <cellStyle name="Calculation 6 3 19 7 2" xfId="40157" xr:uid="{00000000-0005-0000-0000-0000BE9C0000}"/>
    <cellStyle name="Calculation 6 3 19 7 3" xfId="40158" xr:uid="{00000000-0005-0000-0000-0000BF9C0000}"/>
    <cellStyle name="Calculation 6 3 19 7 4" xfId="40159" xr:uid="{00000000-0005-0000-0000-0000C09C0000}"/>
    <cellStyle name="Calculation 6 3 19 7 5" xfId="40160" xr:uid="{00000000-0005-0000-0000-0000C19C0000}"/>
    <cellStyle name="Calculation 6 3 19 7 6" xfId="40161" xr:uid="{00000000-0005-0000-0000-0000C29C0000}"/>
    <cellStyle name="Calculation 6 3 19 8" xfId="40162" xr:uid="{00000000-0005-0000-0000-0000C39C0000}"/>
    <cellStyle name="Calculation 6 3 19 9" xfId="40163" xr:uid="{00000000-0005-0000-0000-0000C49C0000}"/>
    <cellStyle name="Calculation 6 3 2" xfId="40164" xr:uid="{00000000-0005-0000-0000-0000C59C0000}"/>
    <cellStyle name="Calculation 6 3 2 10" xfId="40165" xr:uid="{00000000-0005-0000-0000-0000C69C0000}"/>
    <cellStyle name="Calculation 6 3 2 2" xfId="40166" xr:uid="{00000000-0005-0000-0000-0000C79C0000}"/>
    <cellStyle name="Calculation 6 3 2 2 2" xfId="40167" xr:uid="{00000000-0005-0000-0000-0000C89C0000}"/>
    <cellStyle name="Calculation 6 3 2 2 3" xfId="40168" xr:uid="{00000000-0005-0000-0000-0000C99C0000}"/>
    <cellStyle name="Calculation 6 3 2 2 4" xfId="40169" xr:uid="{00000000-0005-0000-0000-0000CA9C0000}"/>
    <cellStyle name="Calculation 6 3 2 2 5" xfId="40170" xr:uid="{00000000-0005-0000-0000-0000CB9C0000}"/>
    <cellStyle name="Calculation 6 3 2 2 6" xfId="40171" xr:uid="{00000000-0005-0000-0000-0000CC9C0000}"/>
    <cellStyle name="Calculation 6 3 2 3" xfId="40172" xr:uid="{00000000-0005-0000-0000-0000CD9C0000}"/>
    <cellStyle name="Calculation 6 3 2 3 2" xfId="40173" xr:uid="{00000000-0005-0000-0000-0000CE9C0000}"/>
    <cellStyle name="Calculation 6 3 2 3 3" xfId="40174" xr:uid="{00000000-0005-0000-0000-0000CF9C0000}"/>
    <cellStyle name="Calculation 6 3 2 3 4" xfId="40175" xr:uid="{00000000-0005-0000-0000-0000D09C0000}"/>
    <cellStyle name="Calculation 6 3 2 3 5" xfId="40176" xr:uid="{00000000-0005-0000-0000-0000D19C0000}"/>
    <cellStyle name="Calculation 6 3 2 3 6" xfId="40177" xr:uid="{00000000-0005-0000-0000-0000D29C0000}"/>
    <cellStyle name="Calculation 6 3 2 4" xfId="40178" xr:uid="{00000000-0005-0000-0000-0000D39C0000}"/>
    <cellStyle name="Calculation 6 3 2 4 2" xfId="40179" xr:uid="{00000000-0005-0000-0000-0000D49C0000}"/>
    <cellStyle name="Calculation 6 3 2 4 3" xfId="40180" xr:uid="{00000000-0005-0000-0000-0000D59C0000}"/>
    <cellStyle name="Calculation 6 3 2 4 4" xfId="40181" xr:uid="{00000000-0005-0000-0000-0000D69C0000}"/>
    <cellStyle name="Calculation 6 3 2 4 5" xfId="40182" xr:uid="{00000000-0005-0000-0000-0000D79C0000}"/>
    <cellStyle name="Calculation 6 3 2 4 6" xfId="40183" xr:uid="{00000000-0005-0000-0000-0000D89C0000}"/>
    <cellStyle name="Calculation 6 3 2 5" xfId="40184" xr:uid="{00000000-0005-0000-0000-0000D99C0000}"/>
    <cellStyle name="Calculation 6 3 2 5 2" xfId="40185" xr:uid="{00000000-0005-0000-0000-0000DA9C0000}"/>
    <cellStyle name="Calculation 6 3 2 5 3" xfId="40186" xr:uid="{00000000-0005-0000-0000-0000DB9C0000}"/>
    <cellStyle name="Calculation 6 3 2 5 4" xfId="40187" xr:uid="{00000000-0005-0000-0000-0000DC9C0000}"/>
    <cellStyle name="Calculation 6 3 2 5 5" xfId="40188" xr:uid="{00000000-0005-0000-0000-0000DD9C0000}"/>
    <cellStyle name="Calculation 6 3 2 5 6" xfId="40189" xr:uid="{00000000-0005-0000-0000-0000DE9C0000}"/>
    <cellStyle name="Calculation 6 3 2 6" xfId="40190" xr:uid="{00000000-0005-0000-0000-0000DF9C0000}"/>
    <cellStyle name="Calculation 6 3 2 6 2" xfId="40191" xr:uid="{00000000-0005-0000-0000-0000E09C0000}"/>
    <cellStyle name="Calculation 6 3 2 6 3" xfId="40192" xr:uid="{00000000-0005-0000-0000-0000E19C0000}"/>
    <cellStyle name="Calculation 6 3 2 6 4" xfId="40193" xr:uid="{00000000-0005-0000-0000-0000E29C0000}"/>
    <cellStyle name="Calculation 6 3 2 6 5" xfId="40194" xr:uid="{00000000-0005-0000-0000-0000E39C0000}"/>
    <cellStyle name="Calculation 6 3 2 6 6" xfId="40195" xr:uid="{00000000-0005-0000-0000-0000E49C0000}"/>
    <cellStyle name="Calculation 6 3 2 7" xfId="40196" xr:uid="{00000000-0005-0000-0000-0000E59C0000}"/>
    <cellStyle name="Calculation 6 3 2 7 2" xfId="40197" xr:uid="{00000000-0005-0000-0000-0000E69C0000}"/>
    <cellStyle name="Calculation 6 3 2 7 3" xfId="40198" xr:uid="{00000000-0005-0000-0000-0000E79C0000}"/>
    <cellStyle name="Calculation 6 3 2 7 4" xfId="40199" xr:uid="{00000000-0005-0000-0000-0000E89C0000}"/>
    <cellStyle name="Calculation 6 3 2 7 5" xfId="40200" xr:uid="{00000000-0005-0000-0000-0000E99C0000}"/>
    <cellStyle name="Calculation 6 3 2 7 6" xfId="40201" xr:uid="{00000000-0005-0000-0000-0000EA9C0000}"/>
    <cellStyle name="Calculation 6 3 2 8" xfId="40202" xr:uid="{00000000-0005-0000-0000-0000EB9C0000}"/>
    <cellStyle name="Calculation 6 3 2 9" xfId="40203" xr:uid="{00000000-0005-0000-0000-0000EC9C0000}"/>
    <cellStyle name="Calculation 6 3 20" xfId="40204" xr:uid="{00000000-0005-0000-0000-0000ED9C0000}"/>
    <cellStyle name="Calculation 6 3 20 10" xfId="40205" xr:uid="{00000000-0005-0000-0000-0000EE9C0000}"/>
    <cellStyle name="Calculation 6 3 20 2" xfId="40206" xr:uid="{00000000-0005-0000-0000-0000EF9C0000}"/>
    <cellStyle name="Calculation 6 3 20 2 2" xfId="40207" xr:uid="{00000000-0005-0000-0000-0000F09C0000}"/>
    <cellStyle name="Calculation 6 3 20 2 3" xfId="40208" xr:uid="{00000000-0005-0000-0000-0000F19C0000}"/>
    <cellStyle name="Calculation 6 3 20 2 4" xfId="40209" xr:uid="{00000000-0005-0000-0000-0000F29C0000}"/>
    <cellStyle name="Calculation 6 3 20 2 5" xfId="40210" xr:uid="{00000000-0005-0000-0000-0000F39C0000}"/>
    <cellStyle name="Calculation 6 3 20 2 6" xfId="40211" xr:uid="{00000000-0005-0000-0000-0000F49C0000}"/>
    <cellStyle name="Calculation 6 3 20 3" xfId="40212" xr:uid="{00000000-0005-0000-0000-0000F59C0000}"/>
    <cellStyle name="Calculation 6 3 20 3 2" xfId="40213" xr:uid="{00000000-0005-0000-0000-0000F69C0000}"/>
    <cellStyle name="Calculation 6 3 20 3 3" xfId="40214" xr:uid="{00000000-0005-0000-0000-0000F79C0000}"/>
    <cellStyle name="Calculation 6 3 20 3 4" xfId="40215" xr:uid="{00000000-0005-0000-0000-0000F89C0000}"/>
    <cellStyle name="Calculation 6 3 20 3 5" xfId="40216" xr:uid="{00000000-0005-0000-0000-0000F99C0000}"/>
    <cellStyle name="Calculation 6 3 20 3 6" xfId="40217" xr:uid="{00000000-0005-0000-0000-0000FA9C0000}"/>
    <cellStyle name="Calculation 6 3 20 4" xfId="40218" xr:uid="{00000000-0005-0000-0000-0000FB9C0000}"/>
    <cellStyle name="Calculation 6 3 20 4 2" xfId="40219" xr:uid="{00000000-0005-0000-0000-0000FC9C0000}"/>
    <cellStyle name="Calculation 6 3 20 4 3" xfId="40220" xr:uid="{00000000-0005-0000-0000-0000FD9C0000}"/>
    <cellStyle name="Calculation 6 3 20 4 4" xfId="40221" xr:uid="{00000000-0005-0000-0000-0000FE9C0000}"/>
    <cellStyle name="Calculation 6 3 20 4 5" xfId="40222" xr:uid="{00000000-0005-0000-0000-0000FF9C0000}"/>
    <cellStyle name="Calculation 6 3 20 4 6" xfId="40223" xr:uid="{00000000-0005-0000-0000-0000009D0000}"/>
    <cellStyle name="Calculation 6 3 20 5" xfId="40224" xr:uid="{00000000-0005-0000-0000-0000019D0000}"/>
    <cellStyle name="Calculation 6 3 20 5 2" xfId="40225" xr:uid="{00000000-0005-0000-0000-0000029D0000}"/>
    <cellStyle name="Calculation 6 3 20 5 3" xfId="40226" xr:uid="{00000000-0005-0000-0000-0000039D0000}"/>
    <cellStyle name="Calculation 6 3 20 5 4" xfId="40227" xr:uid="{00000000-0005-0000-0000-0000049D0000}"/>
    <cellStyle name="Calculation 6 3 20 5 5" xfId="40228" xr:uid="{00000000-0005-0000-0000-0000059D0000}"/>
    <cellStyle name="Calculation 6 3 20 5 6" xfId="40229" xr:uid="{00000000-0005-0000-0000-0000069D0000}"/>
    <cellStyle name="Calculation 6 3 20 6" xfId="40230" xr:uid="{00000000-0005-0000-0000-0000079D0000}"/>
    <cellStyle name="Calculation 6 3 20 6 2" xfId="40231" xr:uid="{00000000-0005-0000-0000-0000089D0000}"/>
    <cellStyle name="Calculation 6 3 20 6 3" xfId="40232" xr:uid="{00000000-0005-0000-0000-0000099D0000}"/>
    <cellStyle name="Calculation 6 3 20 6 4" xfId="40233" xr:uid="{00000000-0005-0000-0000-00000A9D0000}"/>
    <cellStyle name="Calculation 6 3 20 6 5" xfId="40234" xr:uid="{00000000-0005-0000-0000-00000B9D0000}"/>
    <cellStyle name="Calculation 6 3 20 6 6" xfId="40235" xr:uid="{00000000-0005-0000-0000-00000C9D0000}"/>
    <cellStyle name="Calculation 6 3 20 7" xfId="40236" xr:uid="{00000000-0005-0000-0000-00000D9D0000}"/>
    <cellStyle name="Calculation 6 3 20 7 2" xfId="40237" xr:uid="{00000000-0005-0000-0000-00000E9D0000}"/>
    <cellStyle name="Calculation 6 3 20 7 3" xfId="40238" xr:uid="{00000000-0005-0000-0000-00000F9D0000}"/>
    <cellStyle name="Calculation 6 3 20 7 4" xfId="40239" xr:uid="{00000000-0005-0000-0000-0000109D0000}"/>
    <cellStyle name="Calculation 6 3 20 7 5" xfId="40240" xr:uid="{00000000-0005-0000-0000-0000119D0000}"/>
    <cellStyle name="Calculation 6 3 20 7 6" xfId="40241" xr:uid="{00000000-0005-0000-0000-0000129D0000}"/>
    <cellStyle name="Calculation 6 3 20 8" xfId="40242" xr:uid="{00000000-0005-0000-0000-0000139D0000}"/>
    <cellStyle name="Calculation 6 3 20 9" xfId="40243" xr:uid="{00000000-0005-0000-0000-0000149D0000}"/>
    <cellStyle name="Calculation 6 3 21" xfId="40244" xr:uid="{00000000-0005-0000-0000-0000159D0000}"/>
    <cellStyle name="Calculation 6 3 21 10" xfId="40245" xr:uid="{00000000-0005-0000-0000-0000169D0000}"/>
    <cellStyle name="Calculation 6 3 21 2" xfId="40246" xr:uid="{00000000-0005-0000-0000-0000179D0000}"/>
    <cellStyle name="Calculation 6 3 21 2 2" xfId="40247" xr:uid="{00000000-0005-0000-0000-0000189D0000}"/>
    <cellStyle name="Calculation 6 3 21 2 3" xfId="40248" xr:uid="{00000000-0005-0000-0000-0000199D0000}"/>
    <cellStyle name="Calculation 6 3 21 2 4" xfId="40249" xr:uid="{00000000-0005-0000-0000-00001A9D0000}"/>
    <cellStyle name="Calculation 6 3 21 2 5" xfId="40250" xr:uid="{00000000-0005-0000-0000-00001B9D0000}"/>
    <cellStyle name="Calculation 6 3 21 2 6" xfId="40251" xr:uid="{00000000-0005-0000-0000-00001C9D0000}"/>
    <cellStyle name="Calculation 6 3 21 3" xfId="40252" xr:uid="{00000000-0005-0000-0000-00001D9D0000}"/>
    <cellStyle name="Calculation 6 3 21 3 2" xfId="40253" xr:uid="{00000000-0005-0000-0000-00001E9D0000}"/>
    <cellStyle name="Calculation 6 3 21 3 3" xfId="40254" xr:uid="{00000000-0005-0000-0000-00001F9D0000}"/>
    <cellStyle name="Calculation 6 3 21 3 4" xfId="40255" xr:uid="{00000000-0005-0000-0000-0000209D0000}"/>
    <cellStyle name="Calculation 6 3 21 3 5" xfId="40256" xr:uid="{00000000-0005-0000-0000-0000219D0000}"/>
    <cellStyle name="Calculation 6 3 21 3 6" xfId="40257" xr:uid="{00000000-0005-0000-0000-0000229D0000}"/>
    <cellStyle name="Calculation 6 3 21 4" xfId="40258" xr:uid="{00000000-0005-0000-0000-0000239D0000}"/>
    <cellStyle name="Calculation 6 3 21 4 2" xfId="40259" xr:uid="{00000000-0005-0000-0000-0000249D0000}"/>
    <cellStyle name="Calculation 6 3 21 4 3" xfId="40260" xr:uid="{00000000-0005-0000-0000-0000259D0000}"/>
    <cellStyle name="Calculation 6 3 21 4 4" xfId="40261" xr:uid="{00000000-0005-0000-0000-0000269D0000}"/>
    <cellStyle name="Calculation 6 3 21 4 5" xfId="40262" xr:uid="{00000000-0005-0000-0000-0000279D0000}"/>
    <cellStyle name="Calculation 6 3 21 4 6" xfId="40263" xr:uid="{00000000-0005-0000-0000-0000289D0000}"/>
    <cellStyle name="Calculation 6 3 21 5" xfId="40264" xr:uid="{00000000-0005-0000-0000-0000299D0000}"/>
    <cellStyle name="Calculation 6 3 21 5 2" xfId="40265" xr:uid="{00000000-0005-0000-0000-00002A9D0000}"/>
    <cellStyle name="Calculation 6 3 21 5 3" xfId="40266" xr:uid="{00000000-0005-0000-0000-00002B9D0000}"/>
    <cellStyle name="Calculation 6 3 21 5 4" xfId="40267" xr:uid="{00000000-0005-0000-0000-00002C9D0000}"/>
    <cellStyle name="Calculation 6 3 21 5 5" xfId="40268" xr:uid="{00000000-0005-0000-0000-00002D9D0000}"/>
    <cellStyle name="Calculation 6 3 21 5 6" xfId="40269" xr:uid="{00000000-0005-0000-0000-00002E9D0000}"/>
    <cellStyle name="Calculation 6 3 21 6" xfId="40270" xr:uid="{00000000-0005-0000-0000-00002F9D0000}"/>
    <cellStyle name="Calculation 6 3 21 6 2" xfId="40271" xr:uid="{00000000-0005-0000-0000-0000309D0000}"/>
    <cellStyle name="Calculation 6 3 21 6 3" xfId="40272" xr:uid="{00000000-0005-0000-0000-0000319D0000}"/>
    <cellStyle name="Calculation 6 3 21 6 4" xfId="40273" xr:uid="{00000000-0005-0000-0000-0000329D0000}"/>
    <cellStyle name="Calculation 6 3 21 6 5" xfId="40274" xr:uid="{00000000-0005-0000-0000-0000339D0000}"/>
    <cellStyle name="Calculation 6 3 21 6 6" xfId="40275" xr:uid="{00000000-0005-0000-0000-0000349D0000}"/>
    <cellStyle name="Calculation 6 3 21 7" xfId="40276" xr:uid="{00000000-0005-0000-0000-0000359D0000}"/>
    <cellStyle name="Calculation 6 3 21 7 2" xfId="40277" xr:uid="{00000000-0005-0000-0000-0000369D0000}"/>
    <cellStyle name="Calculation 6 3 21 7 3" xfId="40278" xr:uid="{00000000-0005-0000-0000-0000379D0000}"/>
    <cellStyle name="Calculation 6 3 21 7 4" xfId="40279" xr:uid="{00000000-0005-0000-0000-0000389D0000}"/>
    <cellStyle name="Calculation 6 3 21 7 5" xfId="40280" xr:uid="{00000000-0005-0000-0000-0000399D0000}"/>
    <cellStyle name="Calculation 6 3 21 7 6" xfId="40281" xr:uid="{00000000-0005-0000-0000-00003A9D0000}"/>
    <cellStyle name="Calculation 6 3 21 8" xfId="40282" xr:uid="{00000000-0005-0000-0000-00003B9D0000}"/>
    <cellStyle name="Calculation 6 3 21 9" xfId="40283" xr:uid="{00000000-0005-0000-0000-00003C9D0000}"/>
    <cellStyle name="Calculation 6 3 22" xfId="40284" xr:uid="{00000000-0005-0000-0000-00003D9D0000}"/>
    <cellStyle name="Calculation 6 3 22 10" xfId="40285" xr:uid="{00000000-0005-0000-0000-00003E9D0000}"/>
    <cellStyle name="Calculation 6 3 22 2" xfId="40286" xr:uid="{00000000-0005-0000-0000-00003F9D0000}"/>
    <cellStyle name="Calculation 6 3 22 2 2" xfId="40287" xr:uid="{00000000-0005-0000-0000-0000409D0000}"/>
    <cellStyle name="Calculation 6 3 22 2 3" xfId="40288" xr:uid="{00000000-0005-0000-0000-0000419D0000}"/>
    <cellStyle name="Calculation 6 3 22 2 4" xfId="40289" xr:uid="{00000000-0005-0000-0000-0000429D0000}"/>
    <cellStyle name="Calculation 6 3 22 2 5" xfId="40290" xr:uid="{00000000-0005-0000-0000-0000439D0000}"/>
    <cellStyle name="Calculation 6 3 22 2 6" xfId="40291" xr:uid="{00000000-0005-0000-0000-0000449D0000}"/>
    <cellStyle name="Calculation 6 3 22 3" xfId="40292" xr:uid="{00000000-0005-0000-0000-0000459D0000}"/>
    <cellStyle name="Calculation 6 3 22 3 2" xfId="40293" xr:uid="{00000000-0005-0000-0000-0000469D0000}"/>
    <cellStyle name="Calculation 6 3 22 3 3" xfId="40294" xr:uid="{00000000-0005-0000-0000-0000479D0000}"/>
    <cellStyle name="Calculation 6 3 22 3 4" xfId="40295" xr:uid="{00000000-0005-0000-0000-0000489D0000}"/>
    <cellStyle name="Calculation 6 3 22 3 5" xfId="40296" xr:uid="{00000000-0005-0000-0000-0000499D0000}"/>
    <cellStyle name="Calculation 6 3 22 3 6" xfId="40297" xr:uid="{00000000-0005-0000-0000-00004A9D0000}"/>
    <cellStyle name="Calculation 6 3 22 4" xfId="40298" xr:uid="{00000000-0005-0000-0000-00004B9D0000}"/>
    <cellStyle name="Calculation 6 3 22 4 2" xfId="40299" xr:uid="{00000000-0005-0000-0000-00004C9D0000}"/>
    <cellStyle name="Calculation 6 3 22 4 3" xfId="40300" xr:uid="{00000000-0005-0000-0000-00004D9D0000}"/>
    <cellStyle name="Calculation 6 3 22 4 4" xfId="40301" xr:uid="{00000000-0005-0000-0000-00004E9D0000}"/>
    <cellStyle name="Calculation 6 3 22 4 5" xfId="40302" xr:uid="{00000000-0005-0000-0000-00004F9D0000}"/>
    <cellStyle name="Calculation 6 3 22 4 6" xfId="40303" xr:uid="{00000000-0005-0000-0000-0000509D0000}"/>
    <cellStyle name="Calculation 6 3 22 5" xfId="40304" xr:uid="{00000000-0005-0000-0000-0000519D0000}"/>
    <cellStyle name="Calculation 6 3 22 5 2" xfId="40305" xr:uid="{00000000-0005-0000-0000-0000529D0000}"/>
    <cellStyle name="Calculation 6 3 22 5 3" xfId="40306" xr:uid="{00000000-0005-0000-0000-0000539D0000}"/>
    <cellStyle name="Calculation 6 3 22 5 4" xfId="40307" xr:uid="{00000000-0005-0000-0000-0000549D0000}"/>
    <cellStyle name="Calculation 6 3 22 5 5" xfId="40308" xr:uid="{00000000-0005-0000-0000-0000559D0000}"/>
    <cellStyle name="Calculation 6 3 22 5 6" xfId="40309" xr:uid="{00000000-0005-0000-0000-0000569D0000}"/>
    <cellStyle name="Calculation 6 3 22 6" xfId="40310" xr:uid="{00000000-0005-0000-0000-0000579D0000}"/>
    <cellStyle name="Calculation 6 3 22 6 2" xfId="40311" xr:uid="{00000000-0005-0000-0000-0000589D0000}"/>
    <cellStyle name="Calculation 6 3 22 6 3" xfId="40312" xr:uid="{00000000-0005-0000-0000-0000599D0000}"/>
    <cellStyle name="Calculation 6 3 22 6 4" xfId="40313" xr:uid="{00000000-0005-0000-0000-00005A9D0000}"/>
    <cellStyle name="Calculation 6 3 22 6 5" xfId="40314" xr:uid="{00000000-0005-0000-0000-00005B9D0000}"/>
    <cellStyle name="Calculation 6 3 22 6 6" xfId="40315" xr:uid="{00000000-0005-0000-0000-00005C9D0000}"/>
    <cellStyle name="Calculation 6 3 22 7" xfId="40316" xr:uid="{00000000-0005-0000-0000-00005D9D0000}"/>
    <cellStyle name="Calculation 6 3 22 7 2" xfId="40317" xr:uid="{00000000-0005-0000-0000-00005E9D0000}"/>
    <cellStyle name="Calculation 6 3 22 7 3" xfId="40318" xr:uid="{00000000-0005-0000-0000-00005F9D0000}"/>
    <cellStyle name="Calculation 6 3 22 7 4" xfId="40319" xr:uid="{00000000-0005-0000-0000-0000609D0000}"/>
    <cellStyle name="Calculation 6 3 22 7 5" xfId="40320" xr:uid="{00000000-0005-0000-0000-0000619D0000}"/>
    <cellStyle name="Calculation 6 3 22 7 6" xfId="40321" xr:uid="{00000000-0005-0000-0000-0000629D0000}"/>
    <cellStyle name="Calculation 6 3 22 8" xfId="40322" xr:uid="{00000000-0005-0000-0000-0000639D0000}"/>
    <cellStyle name="Calculation 6 3 22 9" xfId="40323" xr:uid="{00000000-0005-0000-0000-0000649D0000}"/>
    <cellStyle name="Calculation 6 3 23" xfId="40324" xr:uid="{00000000-0005-0000-0000-0000659D0000}"/>
    <cellStyle name="Calculation 6 3 23 10" xfId="40325" xr:uid="{00000000-0005-0000-0000-0000669D0000}"/>
    <cellStyle name="Calculation 6 3 23 2" xfId="40326" xr:uid="{00000000-0005-0000-0000-0000679D0000}"/>
    <cellStyle name="Calculation 6 3 23 2 2" xfId="40327" xr:uid="{00000000-0005-0000-0000-0000689D0000}"/>
    <cellStyle name="Calculation 6 3 23 2 3" xfId="40328" xr:uid="{00000000-0005-0000-0000-0000699D0000}"/>
    <cellStyle name="Calculation 6 3 23 2 4" xfId="40329" xr:uid="{00000000-0005-0000-0000-00006A9D0000}"/>
    <cellStyle name="Calculation 6 3 23 2 5" xfId="40330" xr:uid="{00000000-0005-0000-0000-00006B9D0000}"/>
    <cellStyle name="Calculation 6 3 23 2 6" xfId="40331" xr:uid="{00000000-0005-0000-0000-00006C9D0000}"/>
    <cellStyle name="Calculation 6 3 23 3" xfId="40332" xr:uid="{00000000-0005-0000-0000-00006D9D0000}"/>
    <cellStyle name="Calculation 6 3 23 3 2" xfId="40333" xr:uid="{00000000-0005-0000-0000-00006E9D0000}"/>
    <cellStyle name="Calculation 6 3 23 3 3" xfId="40334" xr:uid="{00000000-0005-0000-0000-00006F9D0000}"/>
    <cellStyle name="Calculation 6 3 23 3 4" xfId="40335" xr:uid="{00000000-0005-0000-0000-0000709D0000}"/>
    <cellStyle name="Calculation 6 3 23 3 5" xfId="40336" xr:uid="{00000000-0005-0000-0000-0000719D0000}"/>
    <cellStyle name="Calculation 6 3 23 3 6" xfId="40337" xr:uid="{00000000-0005-0000-0000-0000729D0000}"/>
    <cellStyle name="Calculation 6 3 23 4" xfId="40338" xr:uid="{00000000-0005-0000-0000-0000739D0000}"/>
    <cellStyle name="Calculation 6 3 23 4 2" xfId="40339" xr:uid="{00000000-0005-0000-0000-0000749D0000}"/>
    <cellStyle name="Calculation 6 3 23 4 3" xfId="40340" xr:uid="{00000000-0005-0000-0000-0000759D0000}"/>
    <cellStyle name="Calculation 6 3 23 4 4" xfId="40341" xr:uid="{00000000-0005-0000-0000-0000769D0000}"/>
    <cellStyle name="Calculation 6 3 23 4 5" xfId="40342" xr:uid="{00000000-0005-0000-0000-0000779D0000}"/>
    <cellStyle name="Calculation 6 3 23 4 6" xfId="40343" xr:uid="{00000000-0005-0000-0000-0000789D0000}"/>
    <cellStyle name="Calculation 6 3 23 5" xfId="40344" xr:uid="{00000000-0005-0000-0000-0000799D0000}"/>
    <cellStyle name="Calculation 6 3 23 5 2" xfId="40345" xr:uid="{00000000-0005-0000-0000-00007A9D0000}"/>
    <cellStyle name="Calculation 6 3 23 5 3" xfId="40346" xr:uid="{00000000-0005-0000-0000-00007B9D0000}"/>
    <cellStyle name="Calculation 6 3 23 5 4" xfId="40347" xr:uid="{00000000-0005-0000-0000-00007C9D0000}"/>
    <cellStyle name="Calculation 6 3 23 5 5" xfId="40348" xr:uid="{00000000-0005-0000-0000-00007D9D0000}"/>
    <cellStyle name="Calculation 6 3 23 5 6" xfId="40349" xr:uid="{00000000-0005-0000-0000-00007E9D0000}"/>
    <cellStyle name="Calculation 6 3 23 6" xfId="40350" xr:uid="{00000000-0005-0000-0000-00007F9D0000}"/>
    <cellStyle name="Calculation 6 3 23 6 2" xfId="40351" xr:uid="{00000000-0005-0000-0000-0000809D0000}"/>
    <cellStyle name="Calculation 6 3 23 6 3" xfId="40352" xr:uid="{00000000-0005-0000-0000-0000819D0000}"/>
    <cellStyle name="Calculation 6 3 23 6 4" xfId="40353" xr:uid="{00000000-0005-0000-0000-0000829D0000}"/>
    <cellStyle name="Calculation 6 3 23 6 5" xfId="40354" xr:uid="{00000000-0005-0000-0000-0000839D0000}"/>
    <cellStyle name="Calculation 6 3 23 6 6" xfId="40355" xr:uid="{00000000-0005-0000-0000-0000849D0000}"/>
    <cellStyle name="Calculation 6 3 23 7" xfId="40356" xr:uid="{00000000-0005-0000-0000-0000859D0000}"/>
    <cellStyle name="Calculation 6 3 23 7 2" xfId="40357" xr:uid="{00000000-0005-0000-0000-0000869D0000}"/>
    <cellStyle name="Calculation 6 3 23 7 3" xfId="40358" xr:uid="{00000000-0005-0000-0000-0000879D0000}"/>
    <cellStyle name="Calculation 6 3 23 7 4" xfId="40359" xr:uid="{00000000-0005-0000-0000-0000889D0000}"/>
    <cellStyle name="Calculation 6 3 23 7 5" xfId="40360" xr:uid="{00000000-0005-0000-0000-0000899D0000}"/>
    <cellStyle name="Calculation 6 3 23 7 6" xfId="40361" xr:uid="{00000000-0005-0000-0000-00008A9D0000}"/>
    <cellStyle name="Calculation 6 3 23 8" xfId="40362" xr:uid="{00000000-0005-0000-0000-00008B9D0000}"/>
    <cellStyle name="Calculation 6 3 23 9" xfId="40363" xr:uid="{00000000-0005-0000-0000-00008C9D0000}"/>
    <cellStyle name="Calculation 6 3 24" xfId="40364" xr:uid="{00000000-0005-0000-0000-00008D9D0000}"/>
    <cellStyle name="Calculation 6 3 24 10" xfId="40365" xr:uid="{00000000-0005-0000-0000-00008E9D0000}"/>
    <cellStyle name="Calculation 6 3 24 2" xfId="40366" xr:uid="{00000000-0005-0000-0000-00008F9D0000}"/>
    <cellStyle name="Calculation 6 3 24 2 2" xfId="40367" xr:uid="{00000000-0005-0000-0000-0000909D0000}"/>
    <cellStyle name="Calculation 6 3 24 2 3" xfId="40368" xr:uid="{00000000-0005-0000-0000-0000919D0000}"/>
    <cellStyle name="Calculation 6 3 24 2 4" xfId="40369" xr:uid="{00000000-0005-0000-0000-0000929D0000}"/>
    <cellStyle name="Calculation 6 3 24 2 5" xfId="40370" xr:uid="{00000000-0005-0000-0000-0000939D0000}"/>
    <cellStyle name="Calculation 6 3 24 2 6" xfId="40371" xr:uid="{00000000-0005-0000-0000-0000949D0000}"/>
    <cellStyle name="Calculation 6 3 24 3" xfId="40372" xr:uid="{00000000-0005-0000-0000-0000959D0000}"/>
    <cellStyle name="Calculation 6 3 24 3 2" xfId="40373" xr:uid="{00000000-0005-0000-0000-0000969D0000}"/>
    <cellStyle name="Calculation 6 3 24 3 3" xfId="40374" xr:uid="{00000000-0005-0000-0000-0000979D0000}"/>
    <cellStyle name="Calculation 6 3 24 3 4" xfId="40375" xr:uid="{00000000-0005-0000-0000-0000989D0000}"/>
    <cellStyle name="Calculation 6 3 24 3 5" xfId="40376" xr:uid="{00000000-0005-0000-0000-0000999D0000}"/>
    <cellStyle name="Calculation 6 3 24 3 6" xfId="40377" xr:uid="{00000000-0005-0000-0000-00009A9D0000}"/>
    <cellStyle name="Calculation 6 3 24 4" xfId="40378" xr:uid="{00000000-0005-0000-0000-00009B9D0000}"/>
    <cellStyle name="Calculation 6 3 24 4 2" xfId="40379" xr:uid="{00000000-0005-0000-0000-00009C9D0000}"/>
    <cellStyle name="Calculation 6 3 24 4 3" xfId="40380" xr:uid="{00000000-0005-0000-0000-00009D9D0000}"/>
    <cellStyle name="Calculation 6 3 24 4 4" xfId="40381" xr:uid="{00000000-0005-0000-0000-00009E9D0000}"/>
    <cellStyle name="Calculation 6 3 24 4 5" xfId="40382" xr:uid="{00000000-0005-0000-0000-00009F9D0000}"/>
    <cellStyle name="Calculation 6 3 24 4 6" xfId="40383" xr:uid="{00000000-0005-0000-0000-0000A09D0000}"/>
    <cellStyle name="Calculation 6 3 24 5" xfId="40384" xr:uid="{00000000-0005-0000-0000-0000A19D0000}"/>
    <cellStyle name="Calculation 6 3 24 5 2" xfId="40385" xr:uid="{00000000-0005-0000-0000-0000A29D0000}"/>
    <cellStyle name="Calculation 6 3 24 5 3" xfId="40386" xr:uid="{00000000-0005-0000-0000-0000A39D0000}"/>
    <cellStyle name="Calculation 6 3 24 5 4" xfId="40387" xr:uid="{00000000-0005-0000-0000-0000A49D0000}"/>
    <cellStyle name="Calculation 6 3 24 5 5" xfId="40388" xr:uid="{00000000-0005-0000-0000-0000A59D0000}"/>
    <cellStyle name="Calculation 6 3 24 5 6" xfId="40389" xr:uid="{00000000-0005-0000-0000-0000A69D0000}"/>
    <cellStyle name="Calculation 6 3 24 6" xfId="40390" xr:uid="{00000000-0005-0000-0000-0000A79D0000}"/>
    <cellStyle name="Calculation 6 3 24 6 2" xfId="40391" xr:uid="{00000000-0005-0000-0000-0000A89D0000}"/>
    <cellStyle name="Calculation 6 3 24 6 3" xfId="40392" xr:uid="{00000000-0005-0000-0000-0000A99D0000}"/>
    <cellStyle name="Calculation 6 3 24 6 4" xfId="40393" xr:uid="{00000000-0005-0000-0000-0000AA9D0000}"/>
    <cellStyle name="Calculation 6 3 24 6 5" xfId="40394" xr:uid="{00000000-0005-0000-0000-0000AB9D0000}"/>
    <cellStyle name="Calculation 6 3 24 6 6" xfId="40395" xr:uid="{00000000-0005-0000-0000-0000AC9D0000}"/>
    <cellStyle name="Calculation 6 3 24 7" xfId="40396" xr:uid="{00000000-0005-0000-0000-0000AD9D0000}"/>
    <cellStyle name="Calculation 6 3 24 7 2" xfId="40397" xr:uid="{00000000-0005-0000-0000-0000AE9D0000}"/>
    <cellStyle name="Calculation 6 3 24 7 3" xfId="40398" xr:uid="{00000000-0005-0000-0000-0000AF9D0000}"/>
    <cellStyle name="Calculation 6 3 24 7 4" xfId="40399" xr:uid="{00000000-0005-0000-0000-0000B09D0000}"/>
    <cellStyle name="Calculation 6 3 24 7 5" xfId="40400" xr:uid="{00000000-0005-0000-0000-0000B19D0000}"/>
    <cellStyle name="Calculation 6 3 24 7 6" xfId="40401" xr:uid="{00000000-0005-0000-0000-0000B29D0000}"/>
    <cellStyle name="Calculation 6 3 24 8" xfId="40402" xr:uid="{00000000-0005-0000-0000-0000B39D0000}"/>
    <cellStyle name="Calculation 6 3 24 9" xfId="40403" xr:uid="{00000000-0005-0000-0000-0000B49D0000}"/>
    <cellStyle name="Calculation 6 3 25" xfId="40404" xr:uid="{00000000-0005-0000-0000-0000B59D0000}"/>
    <cellStyle name="Calculation 6 3 25 10" xfId="40405" xr:uid="{00000000-0005-0000-0000-0000B69D0000}"/>
    <cellStyle name="Calculation 6 3 25 2" xfId="40406" xr:uid="{00000000-0005-0000-0000-0000B79D0000}"/>
    <cellStyle name="Calculation 6 3 25 2 2" xfId="40407" xr:uid="{00000000-0005-0000-0000-0000B89D0000}"/>
    <cellStyle name="Calculation 6 3 25 2 3" xfId="40408" xr:uid="{00000000-0005-0000-0000-0000B99D0000}"/>
    <cellStyle name="Calculation 6 3 25 2 4" xfId="40409" xr:uid="{00000000-0005-0000-0000-0000BA9D0000}"/>
    <cellStyle name="Calculation 6 3 25 2 5" xfId="40410" xr:uid="{00000000-0005-0000-0000-0000BB9D0000}"/>
    <cellStyle name="Calculation 6 3 25 2 6" xfId="40411" xr:uid="{00000000-0005-0000-0000-0000BC9D0000}"/>
    <cellStyle name="Calculation 6 3 25 3" xfId="40412" xr:uid="{00000000-0005-0000-0000-0000BD9D0000}"/>
    <cellStyle name="Calculation 6 3 25 3 2" xfId="40413" xr:uid="{00000000-0005-0000-0000-0000BE9D0000}"/>
    <cellStyle name="Calculation 6 3 25 3 3" xfId="40414" xr:uid="{00000000-0005-0000-0000-0000BF9D0000}"/>
    <cellStyle name="Calculation 6 3 25 3 4" xfId="40415" xr:uid="{00000000-0005-0000-0000-0000C09D0000}"/>
    <cellStyle name="Calculation 6 3 25 3 5" xfId="40416" xr:uid="{00000000-0005-0000-0000-0000C19D0000}"/>
    <cellStyle name="Calculation 6 3 25 3 6" xfId="40417" xr:uid="{00000000-0005-0000-0000-0000C29D0000}"/>
    <cellStyle name="Calculation 6 3 25 4" xfId="40418" xr:uid="{00000000-0005-0000-0000-0000C39D0000}"/>
    <cellStyle name="Calculation 6 3 25 4 2" xfId="40419" xr:uid="{00000000-0005-0000-0000-0000C49D0000}"/>
    <cellStyle name="Calculation 6 3 25 4 3" xfId="40420" xr:uid="{00000000-0005-0000-0000-0000C59D0000}"/>
    <cellStyle name="Calculation 6 3 25 4 4" xfId="40421" xr:uid="{00000000-0005-0000-0000-0000C69D0000}"/>
    <cellStyle name="Calculation 6 3 25 4 5" xfId="40422" xr:uid="{00000000-0005-0000-0000-0000C79D0000}"/>
    <cellStyle name="Calculation 6 3 25 4 6" xfId="40423" xr:uid="{00000000-0005-0000-0000-0000C89D0000}"/>
    <cellStyle name="Calculation 6 3 25 5" xfId="40424" xr:uid="{00000000-0005-0000-0000-0000C99D0000}"/>
    <cellStyle name="Calculation 6 3 25 5 2" xfId="40425" xr:uid="{00000000-0005-0000-0000-0000CA9D0000}"/>
    <cellStyle name="Calculation 6 3 25 5 3" xfId="40426" xr:uid="{00000000-0005-0000-0000-0000CB9D0000}"/>
    <cellStyle name="Calculation 6 3 25 5 4" xfId="40427" xr:uid="{00000000-0005-0000-0000-0000CC9D0000}"/>
    <cellStyle name="Calculation 6 3 25 5 5" xfId="40428" xr:uid="{00000000-0005-0000-0000-0000CD9D0000}"/>
    <cellStyle name="Calculation 6 3 25 5 6" xfId="40429" xr:uid="{00000000-0005-0000-0000-0000CE9D0000}"/>
    <cellStyle name="Calculation 6 3 25 6" xfId="40430" xr:uid="{00000000-0005-0000-0000-0000CF9D0000}"/>
    <cellStyle name="Calculation 6 3 25 6 2" xfId="40431" xr:uid="{00000000-0005-0000-0000-0000D09D0000}"/>
    <cellStyle name="Calculation 6 3 25 6 3" xfId="40432" xr:uid="{00000000-0005-0000-0000-0000D19D0000}"/>
    <cellStyle name="Calculation 6 3 25 6 4" xfId="40433" xr:uid="{00000000-0005-0000-0000-0000D29D0000}"/>
    <cellStyle name="Calculation 6 3 25 6 5" xfId="40434" xr:uid="{00000000-0005-0000-0000-0000D39D0000}"/>
    <cellStyle name="Calculation 6 3 25 6 6" xfId="40435" xr:uid="{00000000-0005-0000-0000-0000D49D0000}"/>
    <cellStyle name="Calculation 6 3 25 7" xfId="40436" xr:uid="{00000000-0005-0000-0000-0000D59D0000}"/>
    <cellStyle name="Calculation 6 3 25 7 2" xfId="40437" xr:uid="{00000000-0005-0000-0000-0000D69D0000}"/>
    <cellStyle name="Calculation 6 3 25 7 3" xfId="40438" xr:uid="{00000000-0005-0000-0000-0000D79D0000}"/>
    <cellStyle name="Calculation 6 3 25 7 4" xfId="40439" xr:uid="{00000000-0005-0000-0000-0000D89D0000}"/>
    <cellStyle name="Calculation 6 3 25 7 5" xfId="40440" xr:uid="{00000000-0005-0000-0000-0000D99D0000}"/>
    <cellStyle name="Calculation 6 3 25 7 6" xfId="40441" xr:uid="{00000000-0005-0000-0000-0000DA9D0000}"/>
    <cellStyle name="Calculation 6 3 25 8" xfId="40442" xr:uid="{00000000-0005-0000-0000-0000DB9D0000}"/>
    <cellStyle name="Calculation 6 3 25 9" xfId="40443" xr:uid="{00000000-0005-0000-0000-0000DC9D0000}"/>
    <cellStyle name="Calculation 6 3 26" xfId="40444" xr:uid="{00000000-0005-0000-0000-0000DD9D0000}"/>
    <cellStyle name="Calculation 6 3 26 10" xfId="40445" xr:uid="{00000000-0005-0000-0000-0000DE9D0000}"/>
    <cellStyle name="Calculation 6 3 26 2" xfId="40446" xr:uid="{00000000-0005-0000-0000-0000DF9D0000}"/>
    <cellStyle name="Calculation 6 3 26 2 2" xfId="40447" xr:uid="{00000000-0005-0000-0000-0000E09D0000}"/>
    <cellStyle name="Calculation 6 3 26 2 3" xfId="40448" xr:uid="{00000000-0005-0000-0000-0000E19D0000}"/>
    <cellStyle name="Calculation 6 3 26 2 4" xfId="40449" xr:uid="{00000000-0005-0000-0000-0000E29D0000}"/>
    <cellStyle name="Calculation 6 3 26 2 5" xfId="40450" xr:uid="{00000000-0005-0000-0000-0000E39D0000}"/>
    <cellStyle name="Calculation 6 3 26 2 6" xfId="40451" xr:uid="{00000000-0005-0000-0000-0000E49D0000}"/>
    <cellStyle name="Calculation 6 3 26 3" xfId="40452" xr:uid="{00000000-0005-0000-0000-0000E59D0000}"/>
    <cellStyle name="Calculation 6 3 26 3 2" xfId="40453" xr:uid="{00000000-0005-0000-0000-0000E69D0000}"/>
    <cellStyle name="Calculation 6 3 26 3 3" xfId="40454" xr:uid="{00000000-0005-0000-0000-0000E79D0000}"/>
    <cellStyle name="Calculation 6 3 26 3 4" xfId="40455" xr:uid="{00000000-0005-0000-0000-0000E89D0000}"/>
    <cellStyle name="Calculation 6 3 26 3 5" xfId="40456" xr:uid="{00000000-0005-0000-0000-0000E99D0000}"/>
    <cellStyle name="Calculation 6 3 26 3 6" xfId="40457" xr:uid="{00000000-0005-0000-0000-0000EA9D0000}"/>
    <cellStyle name="Calculation 6 3 26 4" xfId="40458" xr:uid="{00000000-0005-0000-0000-0000EB9D0000}"/>
    <cellStyle name="Calculation 6 3 26 4 2" xfId="40459" xr:uid="{00000000-0005-0000-0000-0000EC9D0000}"/>
    <cellStyle name="Calculation 6 3 26 4 3" xfId="40460" xr:uid="{00000000-0005-0000-0000-0000ED9D0000}"/>
    <cellStyle name="Calculation 6 3 26 4 4" xfId="40461" xr:uid="{00000000-0005-0000-0000-0000EE9D0000}"/>
    <cellStyle name="Calculation 6 3 26 4 5" xfId="40462" xr:uid="{00000000-0005-0000-0000-0000EF9D0000}"/>
    <cellStyle name="Calculation 6 3 26 4 6" xfId="40463" xr:uid="{00000000-0005-0000-0000-0000F09D0000}"/>
    <cellStyle name="Calculation 6 3 26 5" xfId="40464" xr:uid="{00000000-0005-0000-0000-0000F19D0000}"/>
    <cellStyle name="Calculation 6 3 26 5 2" xfId="40465" xr:uid="{00000000-0005-0000-0000-0000F29D0000}"/>
    <cellStyle name="Calculation 6 3 26 5 3" xfId="40466" xr:uid="{00000000-0005-0000-0000-0000F39D0000}"/>
    <cellStyle name="Calculation 6 3 26 5 4" xfId="40467" xr:uid="{00000000-0005-0000-0000-0000F49D0000}"/>
    <cellStyle name="Calculation 6 3 26 5 5" xfId="40468" xr:uid="{00000000-0005-0000-0000-0000F59D0000}"/>
    <cellStyle name="Calculation 6 3 26 5 6" xfId="40469" xr:uid="{00000000-0005-0000-0000-0000F69D0000}"/>
    <cellStyle name="Calculation 6 3 26 6" xfId="40470" xr:uid="{00000000-0005-0000-0000-0000F79D0000}"/>
    <cellStyle name="Calculation 6 3 26 6 2" xfId="40471" xr:uid="{00000000-0005-0000-0000-0000F89D0000}"/>
    <cellStyle name="Calculation 6 3 26 6 3" xfId="40472" xr:uid="{00000000-0005-0000-0000-0000F99D0000}"/>
    <cellStyle name="Calculation 6 3 26 6 4" xfId="40473" xr:uid="{00000000-0005-0000-0000-0000FA9D0000}"/>
    <cellStyle name="Calculation 6 3 26 6 5" xfId="40474" xr:uid="{00000000-0005-0000-0000-0000FB9D0000}"/>
    <cellStyle name="Calculation 6 3 26 6 6" xfId="40475" xr:uid="{00000000-0005-0000-0000-0000FC9D0000}"/>
    <cellStyle name="Calculation 6 3 26 7" xfId="40476" xr:uid="{00000000-0005-0000-0000-0000FD9D0000}"/>
    <cellStyle name="Calculation 6 3 26 7 2" xfId="40477" xr:uid="{00000000-0005-0000-0000-0000FE9D0000}"/>
    <cellStyle name="Calculation 6 3 26 7 3" xfId="40478" xr:uid="{00000000-0005-0000-0000-0000FF9D0000}"/>
    <cellStyle name="Calculation 6 3 26 7 4" xfId="40479" xr:uid="{00000000-0005-0000-0000-0000009E0000}"/>
    <cellStyle name="Calculation 6 3 26 7 5" xfId="40480" xr:uid="{00000000-0005-0000-0000-0000019E0000}"/>
    <cellStyle name="Calculation 6 3 26 7 6" xfId="40481" xr:uid="{00000000-0005-0000-0000-0000029E0000}"/>
    <cellStyle name="Calculation 6 3 26 8" xfId="40482" xr:uid="{00000000-0005-0000-0000-0000039E0000}"/>
    <cellStyle name="Calculation 6 3 26 9" xfId="40483" xr:uid="{00000000-0005-0000-0000-0000049E0000}"/>
    <cellStyle name="Calculation 6 3 27" xfId="40484" xr:uid="{00000000-0005-0000-0000-0000059E0000}"/>
    <cellStyle name="Calculation 6 3 27 2" xfId="40485" xr:uid="{00000000-0005-0000-0000-0000069E0000}"/>
    <cellStyle name="Calculation 6 3 27 3" xfId="40486" xr:uid="{00000000-0005-0000-0000-0000079E0000}"/>
    <cellStyle name="Calculation 6 3 27 4" xfId="40487" xr:uid="{00000000-0005-0000-0000-0000089E0000}"/>
    <cellStyle name="Calculation 6 3 27 5" xfId="40488" xr:uid="{00000000-0005-0000-0000-0000099E0000}"/>
    <cellStyle name="Calculation 6 3 27 6" xfId="40489" xr:uid="{00000000-0005-0000-0000-00000A9E0000}"/>
    <cellStyle name="Calculation 6 3 28" xfId="40490" xr:uid="{00000000-0005-0000-0000-00000B9E0000}"/>
    <cellStyle name="Calculation 6 3 28 2" xfId="40491" xr:uid="{00000000-0005-0000-0000-00000C9E0000}"/>
    <cellStyle name="Calculation 6 3 28 3" xfId="40492" xr:uid="{00000000-0005-0000-0000-00000D9E0000}"/>
    <cellStyle name="Calculation 6 3 28 4" xfId="40493" xr:uid="{00000000-0005-0000-0000-00000E9E0000}"/>
    <cellStyle name="Calculation 6 3 28 5" xfId="40494" xr:uid="{00000000-0005-0000-0000-00000F9E0000}"/>
    <cellStyle name="Calculation 6 3 28 6" xfId="40495" xr:uid="{00000000-0005-0000-0000-0000109E0000}"/>
    <cellStyle name="Calculation 6 3 29" xfId="40496" xr:uid="{00000000-0005-0000-0000-0000119E0000}"/>
    <cellStyle name="Calculation 6 3 29 2" xfId="40497" xr:uid="{00000000-0005-0000-0000-0000129E0000}"/>
    <cellStyle name="Calculation 6 3 29 3" xfId="40498" xr:uid="{00000000-0005-0000-0000-0000139E0000}"/>
    <cellStyle name="Calculation 6 3 29 4" xfId="40499" xr:uid="{00000000-0005-0000-0000-0000149E0000}"/>
    <cellStyle name="Calculation 6 3 29 5" xfId="40500" xr:uid="{00000000-0005-0000-0000-0000159E0000}"/>
    <cellStyle name="Calculation 6 3 29 6" xfId="40501" xr:uid="{00000000-0005-0000-0000-0000169E0000}"/>
    <cellStyle name="Calculation 6 3 3" xfId="40502" xr:uid="{00000000-0005-0000-0000-0000179E0000}"/>
    <cellStyle name="Calculation 6 3 3 10" xfId="40503" xr:uid="{00000000-0005-0000-0000-0000189E0000}"/>
    <cellStyle name="Calculation 6 3 3 2" xfId="40504" xr:uid="{00000000-0005-0000-0000-0000199E0000}"/>
    <cellStyle name="Calculation 6 3 3 2 2" xfId="40505" xr:uid="{00000000-0005-0000-0000-00001A9E0000}"/>
    <cellStyle name="Calculation 6 3 3 2 3" xfId="40506" xr:uid="{00000000-0005-0000-0000-00001B9E0000}"/>
    <cellStyle name="Calculation 6 3 3 2 4" xfId="40507" xr:uid="{00000000-0005-0000-0000-00001C9E0000}"/>
    <cellStyle name="Calculation 6 3 3 2 5" xfId="40508" xr:uid="{00000000-0005-0000-0000-00001D9E0000}"/>
    <cellStyle name="Calculation 6 3 3 2 6" xfId="40509" xr:uid="{00000000-0005-0000-0000-00001E9E0000}"/>
    <cellStyle name="Calculation 6 3 3 3" xfId="40510" xr:uid="{00000000-0005-0000-0000-00001F9E0000}"/>
    <cellStyle name="Calculation 6 3 3 3 2" xfId="40511" xr:uid="{00000000-0005-0000-0000-0000209E0000}"/>
    <cellStyle name="Calculation 6 3 3 3 3" xfId="40512" xr:uid="{00000000-0005-0000-0000-0000219E0000}"/>
    <cellStyle name="Calculation 6 3 3 3 4" xfId="40513" xr:uid="{00000000-0005-0000-0000-0000229E0000}"/>
    <cellStyle name="Calculation 6 3 3 3 5" xfId="40514" xr:uid="{00000000-0005-0000-0000-0000239E0000}"/>
    <cellStyle name="Calculation 6 3 3 3 6" xfId="40515" xr:uid="{00000000-0005-0000-0000-0000249E0000}"/>
    <cellStyle name="Calculation 6 3 3 4" xfId="40516" xr:uid="{00000000-0005-0000-0000-0000259E0000}"/>
    <cellStyle name="Calculation 6 3 3 4 2" xfId="40517" xr:uid="{00000000-0005-0000-0000-0000269E0000}"/>
    <cellStyle name="Calculation 6 3 3 4 3" xfId="40518" xr:uid="{00000000-0005-0000-0000-0000279E0000}"/>
    <cellStyle name="Calculation 6 3 3 4 4" xfId="40519" xr:uid="{00000000-0005-0000-0000-0000289E0000}"/>
    <cellStyle name="Calculation 6 3 3 4 5" xfId="40520" xr:uid="{00000000-0005-0000-0000-0000299E0000}"/>
    <cellStyle name="Calculation 6 3 3 4 6" xfId="40521" xr:uid="{00000000-0005-0000-0000-00002A9E0000}"/>
    <cellStyle name="Calculation 6 3 3 5" xfId="40522" xr:uid="{00000000-0005-0000-0000-00002B9E0000}"/>
    <cellStyle name="Calculation 6 3 3 5 2" xfId="40523" xr:uid="{00000000-0005-0000-0000-00002C9E0000}"/>
    <cellStyle name="Calculation 6 3 3 5 3" xfId="40524" xr:uid="{00000000-0005-0000-0000-00002D9E0000}"/>
    <cellStyle name="Calculation 6 3 3 5 4" xfId="40525" xr:uid="{00000000-0005-0000-0000-00002E9E0000}"/>
    <cellStyle name="Calculation 6 3 3 5 5" xfId="40526" xr:uid="{00000000-0005-0000-0000-00002F9E0000}"/>
    <cellStyle name="Calculation 6 3 3 5 6" xfId="40527" xr:uid="{00000000-0005-0000-0000-0000309E0000}"/>
    <cellStyle name="Calculation 6 3 3 6" xfId="40528" xr:uid="{00000000-0005-0000-0000-0000319E0000}"/>
    <cellStyle name="Calculation 6 3 3 6 2" xfId="40529" xr:uid="{00000000-0005-0000-0000-0000329E0000}"/>
    <cellStyle name="Calculation 6 3 3 6 3" xfId="40530" xr:uid="{00000000-0005-0000-0000-0000339E0000}"/>
    <cellStyle name="Calculation 6 3 3 6 4" xfId="40531" xr:uid="{00000000-0005-0000-0000-0000349E0000}"/>
    <cellStyle name="Calculation 6 3 3 6 5" xfId="40532" xr:uid="{00000000-0005-0000-0000-0000359E0000}"/>
    <cellStyle name="Calculation 6 3 3 6 6" xfId="40533" xr:uid="{00000000-0005-0000-0000-0000369E0000}"/>
    <cellStyle name="Calculation 6 3 3 7" xfId="40534" xr:uid="{00000000-0005-0000-0000-0000379E0000}"/>
    <cellStyle name="Calculation 6 3 3 7 2" xfId="40535" xr:uid="{00000000-0005-0000-0000-0000389E0000}"/>
    <cellStyle name="Calculation 6 3 3 7 3" xfId="40536" xr:uid="{00000000-0005-0000-0000-0000399E0000}"/>
    <cellStyle name="Calculation 6 3 3 7 4" xfId="40537" xr:uid="{00000000-0005-0000-0000-00003A9E0000}"/>
    <cellStyle name="Calculation 6 3 3 7 5" xfId="40538" xr:uid="{00000000-0005-0000-0000-00003B9E0000}"/>
    <cellStyle name="Calculation 6 3 3 7 6" xfId="40539" xr:uid="{00000000-0005-0000-0000-00003C9E0000}"/>
    <cellStyle name="Calculation 6 3 3 8" xfId="40540" xr:uid="{00000000-0005-0000-0000-00003D9E0000}"/>
    <cellStyle name="Calculation 6 3 3 9" xfId="40541" xr:uid="{00000000-0005-0000-0000-00003E9E0000}"/>
    <cellStyle name="Calculation 6 3 30" xfId="40542" xr:uid="{00000000-0005-0000-0000-00003F9E0000}"/>
    <cellStyle name="Calculation 6 3 30 2" xfId="40543" xr:uid="{00000000-0005-0000-0000-0000409E0000}"/>
    <cellStyle name="Calculation 6 3 30 3" xfId="40544" xr:uid="{00000000-0005-0000-0000-0000419E0000}"/>
    <cellStyle name="Calculation 6 3 30 4" xfId="40545" xr:uid="{00000000-0005-0000-0000-0000429E0000}"/>
    <cellStyle name="Calculation 6 3 30 5" xfId="40546" xr:uid="{00000000-0005-0000-0000-0000439E0000}"/>
    <cellStyle name="Calculation 6 3 30 6" xfId="40547" xr:uid="{00000000-0005-0000-0000-0000449E0000}"/>
    <cellStyle name="Calculation 6 3 31" xfId="40548" xr:uid="{00000000-0005-0000-0000-0000459E0000}"/>
    <cellStyle name="Calculation 6 3 31 2" xfId="40549" xr:uid="{00000000-0005-0000-0000-0000469E0000}"/>
    <cellStyle name="Calculation 6 3 31 3" xfId="40550" xr:uid="{00000000-0005-0000-0000-0000479E0000}"/>
    <cellStyle name="Calculation 6 3 31 4" xfId="40551" xr:uid="{00000000-0005-0000-0000-0000489E0000}"/>
    <cellStyle name="Calculation 6 3 31 5" xfId="40552" xr:uid="{00000000-0005-0000-0000-0000499E0000}"/>
    <cellStyle name="Calculation 6 3 31 6" xfId="40553" xr:uid="{00000000-0005-0000-0000-00004A9E0000}"/>
    <cellStyle name="Calculation 6 3 32" xfId="40554" xr:uid="{00000000-0005-0000-0000-00004B9E0000}"/>
    <cellStyle name="Calculation 6 3 32 2" xfId="40555" xr:uid="{00000000-0005-0000-0000-00004C9E0000}"/>
    <cellStyle name="Calculation 6 3 32 3" xfId="40556" xr:uid="{00000000-0005-0000-0000-00004D9E0000}"/>
    <cellStyle name="Calculation 6 3 32 4" xfId="40557" xr:uid="{00000000-0005-0000-0000-00004E9E0000}"/>
    <cellStyle name="Calculation 6 3 32 5" xfId="40558" xr:uid="{00000000-0005-0000-0000-00004F9E0000}"/>
    <cellStyle name="Calculation 6 3 32 6" xfId="40559" xr:uid="{00000000-0005-0000-0000-0000509E0000}"/>
    <cellStyle name="Calculation 6 3 33" xfId="40560" xr:uid="{00000000-0005-0000-0000-0000519E0000}"/>
    <cellStyle name="Calculation 6 3 34" xfId="40561" xr:uid="{00000000-0005-0000-0000-0000529E0000}"/>
    <cellStyle name="Calculation 6 3 35" xfId="40562" xr:uid="{00000000-0005-0000-0000-0000539E0000}"/>
    <cellStyle name="Calculation 6 3 4" xfId="40563" xr:uid="{00000000-0005-0000-0000-0000549E0000}"/>
    <cellStyle name="Calculation 6 3 4 10" xfId="40564" xr:uid="{00000000-0005-0000-0000-0000559E0000}"/>
    <cellStyle name="Calculation 6 3 4 2" xfId="40565" xr:uid="{00000000-0005-0000-0000-0000569E0000}"/>
    <cellStyle name="Calculation 6 3 4 2 2" xfId="40566" xr:uid="{00000000-0005-0000-0000-0000579E0000}"/>
    <cellStyle name="Calculation 6 3 4 2 3" xfId="40567" xr:uid="{00000000-0005-0000-0000-0000589E0000}"/>
    <cellStyle name="Calculation 6 3 4 2 4" xfId="40568" xr:uid="{00000000-0005-0000-0000-0000599E0000}"/>
    <cellStyle name="Calculation 6 3 4 2 5" xfId="40569" xr:uid="{00000000-0005-0000-0000-00005A9E0000}"/>
    <cellStyle name="Calculation 6 3 4 2 6" xfId="40570" xr:uid="{00000000-0005-0000-0000-00005B9E0000}"/>
    <cellStyle name="Calculation 6 3 4 3" xfId="40571" xr:uid="{00000000-0005-0000-0000-00005C9E0000}"/>
    <cellStyle name="Calculation 6 3 4 3 2" xfId="40572" xr:uid="{00000000-0005-0000-0000-00005D9E0000}"/>
    <cellStyle name="Calculation 6 3 4 3 3" xfId="40573" xr:uid="{00000000-0005-0000-0000-00005E9E0000}"/>
    <cellStyle name="Calculation 6 3 4 3 4" xfId="40574" xr:uid="{00000000-0005-0000-0000-00005F9E0000}"/>
    <cellStyle name="Calculation 6 3 4 3 5" xfId="40575" xr:uid="{00000000-0005-0000-0000-0000609E0000}"/>
    <cellStyle name="Calculation 6 3 4 3 6" xfId="40576" xr:uid="{00000000-0005-0000-0000-0000619E0000}"/>
    <cellStyle name="Calculation 6 3 4 4" xfId="40577" xr:uid="{00000000-0005-0000-0000-0000629E0000}"/>
    <cellStyle name="Calculation 6 3 4 4 2" xfId="40578" xr:uid="{00000000-0005-0000-0000-0000639E0000}"/>
    <cellStyle name="Calculation 6 3 4 4 3" xfId="40579" xr:uid="{00000000-0005-0000-0000-0000649E0000}"/>
    <cellStyle name="Calculation 6 3 4 4 4" xfId="40580" xr:uid="{00000000-0005-0000-0000-0000659E0000}"/>
    <cellStyle name="Calculation 6 3 4 4 5" xfId="40581" xr:uid="{00000000-0005-0000-0000-0000669E0000}"/>
    <cellStyle name="Calculation 6 3 4 4 6" xfId="40582" xr:uid="{00000000-0005-0000-0000-0000679E0000}"/>
    <cellStyle name="Calculation 6 3 4 5" xfId="40583" xr:uid="{00000000-0005-0000-0000-0000689E0000}"/>
    <cellStyle name="Calculation 6 3 4 5 2" xfId="40584" xr:uid="{00000000-0005-0000-0000-0000699E0000}"/>
    <cellStyle name="Calculation 6 3 4 5 3" xfId="40585" xr:uid="{00000000-0005-0000-0000-00006A9E0000}"/>
    <cellStyle name="Calculation 6 3 4 5 4" xfId="40586" xr:uid="{00000000-0005-0000-0000-00006B9E0000}"/>
    <cellStyle name="Calculation 6 3 4 5 5" xfId="40587" xr:uid="{00000000-0005-0000-0000-00006C9E0000}"/>
    <cellStyle name="Calculation 6 3 4 5 6" xfId="40588" xr:uid="{00000000-0005-0000-0000-00006D9E0000}"/>
    <cellStyle name="Calculation 6 3 4 6" xfId="40589" xr:uid="{00000000-0005-0000-0000-00006E9E0000}"/>
    <cellStyle name="Calculation 6 3 4 6 2" xfId="40590" xr:uid="{00000000-0005-0000-0000-00006F9E0000}"/>
    <cellStyle name="Calculation 6 3 4 6 3" xfId="40591" xr:uid="{00000000-0005-0000-0000-0000709E0000}"/>
    <cellStyle name="Calculation 6 3 4 6 4" xfId="40592" xr:uid="{00000000-0005-0000-0000-0000719E0000}"/>
    <cellStyle name="Calculation 6 3 4 6 5" xfId="40593" xr:uid="{00000000-0005-0000-0000-0000729E0000}"/>
    <cellStyle name="Calculation 6 3 4 6 6" xfId="40594" xr:uid="{00000000-0005-0000-0000-0000739E0000}"/>
    <cellStyle name="Calculation 6 3 4 7" xfId="40595" xr:uid="{00000000-0005-0000-0000-0000749E0000}"/>
    <cellStyle name="Calculation 6 3 4 7 2" xfId="40596" xr:uid="{00000000-0005-0000-0000-0000759E0000}"/>
    <cellStyle name="Calculation 6 3 4 7 3" xfId="40597" xr:uid="{00000000-0005-0000-0000-0000769E0000}"/>
    <cellStyle name="Calculation 6 3 4 7 4" xfId="40598" xr:uid="{00000000-0005-0000-0000-0000779E0000}"/>
    <cellStyle name="Calculation 6 3 4 7 5" xfId="40599" xr:uid="{00000000-0005-0000-0000-0000789E0000}"/>
    <cellStyle name="Calculation 6 3 4 7 6" xfId="40600" xr:uid="{00000000-0005-0000-0000-0000799E0000}"/>
    <cellStyle name="Calculation 6 3 4 8" xfId="40601" xr:uid="{00000000-0005-0000-0000-00007A9E0000}"/>
    <cellStyle name="Calculation 6 3 4 9" xfId="40602" xr:uid="{00000000-0005-0000-0000-00007B9E0000}"/>
    <cellStyle name="Calculation 6 3 5" xfId="40603" xr:uid="{00000000-0005-0000-0000-00007C9E0000}"/>
    <cellStyle name="Calculation 6 3 5 10" xfId="40604" xr:uid="{00000000-0005-0000-0000-00007D9E0000}"/>
    <cellStyle name="Calculation 6 3 5 2" xfId="40605" xr:uid="{00000000-0005-0000-0000-00007E9E0000}"/>
    <cellStyle name="Calculation 6 3 5 2 2" xfId="40606" xr:uid="{00000000-0005-0000-0000-00007F9E0000}"/>
    <cellStyle name="Calculation 6 3 5 2 3" xfId="40607" xr:uid="{00000000-0005-0000-0000-0000809E0000}"/>
    <cellStyle name="Calculation 6 3 5 2 4" xfId="40608" xr:uid="{00000000-0005-0000-0000-0000819E0000}"/>
    <cellStyle name="Calculation 6 3 5 2 5" xfId="40609" xr:uid="{00000000-0005-0000-0000-0000829E0000}"/>
    <cellStyle name="Calculation 6 3 5 2 6" xfId="40610" xr:uid="{00000000-0005-0000-0000-0000839E0000}"/>
    <cellStyle name="Calculation 6 3 5 3" xfId="40611" xr:uid="{00000000-0005-0000-0000-0000849E0000}"/>
    <cellStyle name="Calculation 6 3 5 3 2" xfId="40612" xr:uid="{00000000-0005-0000-0000-0000859E0000}"/>
    <cellStyle name="Calculation 6 3 5 3 3" xfId="40613" xr:uid="{00000000-0005-0000-0000-0000869E0000}"/>
    <cellStyle name="Calculation 6 3 5 3 4" xfId="40614" xr:uid="{00000000-0005-0000-0000-0000879E0000}"/>
    <cellStyle name="Calculation 6 3 5 3 5" xfId="40615" xr:uid="{00000000-0005-0000-0000-0000889E0000}"/>
    <cellStyle name="Calculation 6 3 5 3 6" xfId="40616" xr:uid="{00000000-0005-0000-0000-0000899E0000}"/>
    <cellStyle name="Calculation 6 3 5 4" xfId="40617" xr:uid="{00000000-0005-0000-0000-00008A9E0000}"/>
    <cellStyle name="Calculation 6 3 5 4 2" xfId="40618" xr:uid="{00000000-0005-0000-0000-00008B9E0000}"/>
    <cellStyle name="Calculation 6 3 5 4 3" xfId="40619" xr:uid="{00000000-0005-0000-0000-00008C9E0000}"/>
    <cellStyle name="Calculation 6 3 5 4 4" xfId="40620" xr:uid="{00000000-0005-0000-0000-00008D9E0000}"/>
    <cellStyle name="Calculation 6 3 5 4 5" xfId="40621" xr:uid="{00000000-0005-0000-0000-00008E9E0000}"/>
    <cellStyle name="Calculation 6 3 5 4 6" xfId="40622" xr:uid="{00000000-0005-0000-0000-00008F9E0000}"/>
    <cellStyle name="Calculation 6 3 5 5" xfId="40623" xr:uid="{00000000-0005-0000-0000-0000909E0000}"/>
    <cellStyle name="Calculation 6 3 5 5 2" xfId="40624" xr:uid="{00000000-0005-0000-0000-0000919E0000}"/>
    <cellStyle name="Calculation 6 3 5 5 3" xfId="40625" xr:uid="{00000000-0005-0000-0000-0000929E0000}"/>
    <cellStyle name="Calculation 6 3 5 5 4" xfId="40626" xr:uid="{00000000-0005-0000-0000-0000939E0000}"/>
    <cellStyle name="Calculation 6 3 5 5 5" xfId="40627" xr:uid="{00000000-0005-0000-0000-0000949E0000}"/>
    <cellStyle name="Calculation 6 3 5 5 6" xfId="40628" xr:uid="{00000000-0005-0000-0000-0000959E0000}"/>
    <cellStyle name="Calculation 6 3 5 6" xfId="40629" xr:uid="{00000000-0005-0000-0000-0000969E0000}"/>
    <cellStyle name="Calculation 6 3 5 6 2" xfId="40630" xr:uid="{00000000-0005-0000-0000-0000979E0000}"/>
    <cellStyle name="Calculation 6 3 5 6 3" xfId="40631" xr:uid="{00000000-0005-0000-0000-0000989E0000}"/>
    <cellStyle name="Calculation 6 3 5 6 4" xfId="40632" xr:uid="{00000000-0005-0000-0000-0000999E0000}"/>
    <cellStyle name="Calculation 6 3 5 6 5" xfId="40633" xr:uid="{00000000-0005-0000-0000-00009A9E0000}"/>
    <cellStyle name="Calculation 6 3 5 6 6" xfId="40634" xr:uid="{00000000-0005-0000-0000-00009B9E0000}"/>
    <cellStyle name="Calculation 6 3 5 7" xfId="40635" xr:uid="{00000000-0005-0000-0000-00009C9E0000}"/>
    <cellStyle name="Calculation 6 3 5 7 2" xfId="40636" xr:uid="{00000000-0005-0000-0000-00009D9E0000}"/>
    <cellStyle name="Calculation 6 3 5 7 3" xfId="40637" xr:uid="{00000000-0005-0000-0000-00009E9E0000}"/>
    <cellStyle name="Calculation 6 3 5 7 4" xfId="40638" xr:uid="{00000000-0005-0000-0000-00009F9E0000}"/>
    <cellStyle name="Calculation 6 3 5 7 5" xfId="40639" xr:uid="{00000000-0005-0000-0000-0000A09E0000}"/>
    <cellStyle name="Calculation 6 3 5 7 6" xfId="40640" xr:uid="{00000000-0005-0000-0000-0000A19E0000}"/>
    <cellStyle name="Calculation 6 3 5 8" xfId="40641" xr:uid="{00000000-0005-0000-0000-0000A29E0000}"/>
    <cellStyle name="Calculation 6 3 5 9" xfId="40642" xr:uid="{00000000-0005-0000-0000-0000A39E0000}"/>
    <cellStyle name="Calculation 6 3 6" xfId="40643" xr:uid="{00000000-0005-0000-0000-0000A49E0000}"/>
    <cellStyle name="Calculation 6 3 6 10" xfId="40644" xr:uid="{00000000-0005-0000-0000-0000A59E0000}"/>
    <cellStyle name="Calculation 6 3 6 2" xfId="40645" xr:uid="{00000000-0005-0000-0000-0000A69E0000}"/>
    <cellStyle name="Calculation 6 3 6 2 2" xfId="40646" xr:uid="{00000000-0005-0000-0000-0000A79E0000}"/>
    <cellStyle name="Calculation 6 3 6 2 3" xfId="40647" xr:uid="{00000000-0005-0000-0000-0000A89E0000}"/>
    <cellStyle name="Calculation 6 3 6 2 4" xfId="40648" xr:uid="{00000000-0005-0000-0000-0000A99E0000}"/>
    <cellStyle name="Calculation 6 3 6 2 5" xfId="40649" xr:uid="{00000000-0005-0000-0000-0000AA9E0000}"/>
    <cellStyle name="Calculation 6 3 6 2 6" xfId="40650" xr:uid="{00000000-0005-0000-0000-0000AB9E0000}"/>
    <cellStyle name="Calculation 6 3 6 3" xfId="40651" xr:uid="{00000000-0005-0000-0000-0000AC9E0000}"/>
    <cellStyle name="Calculation 6 3 6 3 2" xfId="40652" xr:uid="{00000000-0005-0000-0000-0000AD9E0000}"/>
    <cellStyle name="Calculation 6 3 6 3 3" xfId="40653" xr:uid="{00000000-0005-0000-0000-0000AE9E0000}"/>
    <cellStyle name="Calculation 6 3 6 3 4" xfId="40654" xr:uid="{00000000-0005-0000-0000-0000AF9E0000}"/>
    <cellStyle name="Calculation 6 3 6 3 5" xfId="40655" xr:uid="{00000000-0005-0000-0000-0000B09E0000}"/>
    <cellStyle name="Calculation 6 3 6 3 6" xfId="40656" xr:uid="{00000000-0005-0000-0000-0000B19E0000}"/>
    <cellStyle name="Calculation 6 3 6 4" xfId="40657" xr:uid="{00000000-0005-0000-0000-0000B29E0000}"/>
    <cellStyle name="Calculation 6 3 6 4 2" xfId="40658" xr:uid="{00000000-0005-0000-0000-0000B39E0000}"/>
    <cellStyle name="Calculation 6 3 6 4 3" xfId="40659" xr:uid="{00000000-0005-0000-0000-0000B49E0000}"/>
    <cellStyle name="Calculation 6 3 6 4 4" xfId="40660" xr:uid="{00000000-0005-0000-0000-0000B59E0000}"/>
    <cellStyle name="Calculation 6 3 6 4 5" xfId="40661" xr:uid="{00000000-0005-0000-0000-0000B69E0000}"/>
    <cellStyle name="Calculation 6 3 6 4 6" xfId="40662" xr:uid="{00000000-0005-0000-0000-0000B79E0000}"/>
    <cellStyle name="Calculation 6 3 6 5" xfId="40663" xr:uid="{00000000-0005-0000-0000-0000B89E0000}"/>
    <cellStyle name="Calculation 6 3 6 5 2" xfId="40664" xr:uid="{00000000-0005-0000-0000-0000B99E0000}"/>
    <cellStyle name="Calculation 6 3 6 5 3" xfId="40665" xr:uid="{00000000-0005-0000-0000-0000BA9E0000}"/>
    <cellStyle name="Calculation 6 3 6 5 4" xfId="40666" xr:uid="{00000000-0005-0000-0000-0000BB9E0000}"/>
    <cellStyle name="Calculation 6 3 6 5 5" xfId="40667" xr:uid="{00000000-0005-0000-0000-0000BC9E0000}"/>
    <cellStyle name="Calculation 6 3 6 5 6" xfId="40668" xr:uid="{00000000-0005-0000-0000-0000BD9E0000}"/>
    <cellStyle name="Calculation 6 3 6 6" xfId="40669" xr:uid="{00000000-0005-0000-0000-0000BE9E0000}"/>
    <cellStyle name="Calculation 6 3 6 6 2" xfId="40670" xr:uid="{00000000-0005-0000-0000-0000BF9E0000}"/>
    <cellStyle name="Calculation 6 3 6 6 3" xfId="40671" xr:uid="{00000000-0005-0000-0000-0000C09E0000}"/>
    <cellStyle name="Calculation 6 3 6 6 4" xfId="40672" xr:uid="{00000000-0005-0000-0000-0000C19E0000}"/>
    <cellStyle name="Calculation 6 3 6 6 5" xfId="40673" xr:uid="{00000000-0005-0000-0000-0000C29E0000}"/>
    <cellStyle name="Calculation 6 3 6 6 6" xfId="40674" xr:uid="{00000000-0005-0000-0000-0000C39E0000}"/>
    <cellStyle name="Calculation 6 3 6 7" xfId="40675" xr:uid="{00000000-0005-0000-0000-0000C49E0000}"/>
    <cellStyle name="Calculation 6 3 6 7 2" xfId="40676" xr:uid="{00000000-0005-0000-0000-0000C59E0000}"/>
    <cellStyle name="Calculation 6 3 6 7 3" xfId="40677" xr:uid="{00000000-0005-0000-0000-0000C69E0000}"/>
    <cellStyle name="Calculation 6 3 6 7 4" xfId="40678" xr:uid="{00000000-0005-0000-0000-0000C79E0000}"/>
    <cellStyle name="Calculation 6 3 6 7 5" xfId="40679" xr:uid="{00000000-0005-0000-0000-0000C89E0000}"/>
    <cellStyle name="Calculation 6 3 6 7 6" xfId="40680" xr:uid="{00000000-0005-0000-0000-0000C99E0000}"/>
    <cellStyle name="Calculation 6 3 6 8" xfId="40681" xr:uid="{00000000-0005-0000-0000-0000CA9E0000}"/>
    <cellStyle name="Calculation 6 3 6 9" xfId="40682" xr:uid="{00000000-0005-0000-0000-0000CB9E0000}"/>
    <cellStyle name="Calculation 6 3 7" xfId="40683" xr:uid="{00000000-0005-0000-0000-0000CC9E0000}"/>
    <cellStyle name="Calculation 6 3 7 10" xfId="40684" xr:uid="{00000000-0005-0000-0000-0000CD9E0000}"/>
    <cellStyle name="Calculation 6 3 7 2" xfId="40685" xr:uid="{00000000-0005-0000-0000-0000CE9E0000}"/>
    <cellStyle name="Calculation 6 3 7 2 2" xfId="40686" xr:uid="{00000000-0005-0000-0000-0000CF9E0000}"/>
    <cellStyle name="Calculation 6 3 7 2 3" xfId="40687" xr:uid="{00000000-0005-0000-0000-0000D09E0000}"/>
    <cellStyle name="Calculation 6 3 7 2 4" xfId="40688" xr:uid="{00000000-0005-0000-0000-0000D19E0000}"/>
    <cellStyle name="Calculation 6 3 7 2 5" xfId="40689" xr:uid="{00000000-0005-0000-0000-0000D29E0000}"/>
    <cellStyle name="Calculation 6 3 7 2 6" xfId="40690" xr:uid="{00000000-0005-0000-0000-0000D39E0000}"/>
    <cellStyle name="Calculation 6 3 7 3" xfId="40691" xr:uid="{00000000-0005-0000-0000-0000D49E0000}"/>
    <cellStyle name="Calculation 6 3 7 3 2" xfId="40692" xr:uid="{00000000-0005-0000-0000-0000D59E0000}"/>
    <cellStyle name="Calculation 6 3 7 3 3" xfId="40693" xr:uid="{00000000-0005-0000-0000-0000D69E0000}"/>
    <cellStyle name="Calculation 6 3 7 3 4" xfId="40694" xr:uid="{00000000-0005-0000-0000-0000D79E0000}"/>
    <cellStyle name="Calculation 6 3 7 3 5" xfId="40695" xr:uid="{00000000-0005-0000-0000-0000D89E0000}"/>
    <cellStyle name="Calculation 6 3 7 3 6" xfId="40696" xr:uid="{00000000-0005-0000-0000-0000D99E0000}"/>
    <cellStyle name="Calculation 6 3 7 4" xfId="40697" xr:uid="{00000000-0005-0000-0000-0000DA9E0000}"/>
    <cellStyle name="Calculation 6 3 7 4 2" xfId="40698" xr:uid="{00000000-0005-0000-0000-0000DB9E0000}"/>
    <cellStyle name="Calculation 6 3 7 4 3" xfId="40699" xr:uid="{00000000-0005-0000-0000-0000DC9E0000}"/>
    <cellStyle name="Calculation 6 3 7 4 4" xfId="40700" xr:uid="{00000000-0005-0000-0000-0000DD9E0000}"/>
    <cellStyle name="Calculation 6 3 7 4 5" xfId="40701" xr:uid="{00000000-0005-0000-0000-0000DE9E0000}"/>
    <cellStyle name="Calculation 6 3 7 4 6" xfId="40702" xr:uid="{00000000-0005-0000-0000-0000DF9E0000}"/>
    <cellStyle name="Calculation 6 3 7 5" xfId="40703" xr:uid="{00000000-0005-0000-0000-0000E09E0000}"/>
    <cellStyle name="Calculation 6 3 7 5 2" xfId="40704" xr:uid="{00000000-0005-0000-0000-0000E19E0000}"/>
    <cellStyle name="Calculation 6 3 7 5 3" xfId="40705" xr:uid="{00000000-0005-0000-0000-0000E29E0000}"/>
    <cellStyle name="Calculation 6 3 7 5 4" xfId="40706" xr:uid="{00000000-0005-0000-0000-0000E39E0000}"/>
    <cellStyle name="Calculation 6 3 7 5 5" xfId="40707" xr:uid="{00000000-0005-0000-0000-0000E49E0000}"/>
    <cellStyle name="Calculation 6 3 7 5 6" xfId="40708" xr:uid="{00000000-0005-0000-0000-0000E59E0000}"/>
    <cellStyle name="Calculation 6 3 7 6" xfId="40709" xr:uid="{00000000-0005-0000-0000-0000E69E0000}"/>
    <cellStyle name="Calculation 6 3 7 6 2" xfId="40710" xr:uid="{00000000-0005-0000-0000-0000E79E0000}"/>
    <cellStyle name="Calculation 6 3 7 6 3" xfId="40711" xr:uid="{00000000-0005-0000-0000-0000E89E0000}"/>
    <cellStyle name="Calculation 6 3 7 6 4" xfId="40712" xr:uid="{00000000-0005-0000-0000-0000E99E0000}"/>
    <cellStyle name="Calculation 6 3 7 6 5" xfId="40713" xr:uid="{00000000-0005-0000-0000-0000EA9E0000}"/>
    <cellStyle name="Calculation 6 3 7 6 6" xfId="40714" xr:uid="{00000000-0005-0000-0000-0000EB9E0000}"/>
    <cellStyle name="Calculation 6 3 7 7" xfId="40715" xr:uid="{00000000-0005-0000-0000-0000EC9E0000}"/>
    <cellStyle name="Calculation 6 3 7 7 2" xfId="40716" xr:uid="{00000000-0005-0000-0000-0000ED9E0000}"/>
    <cellStyle name="Calculation 6 3 7 7 3" xfId="40717" xr:uid="{00000000-0005-0000-0000-0000EE9E0000}"/>
    <cellStyle name="Calculation 6 3 7 7 4" xfId="40718" xr:uid="{00000000-0005-0000-0000-0000EF9E0000}"/>
    <cellStyle name="Calculation 6 3 7 7 5" xfId="40719" xr:uid="{00000000-0005-0000-0000-0000F09E0000}"/>
    <cellStyle name="Calculation 6 3 7 7 6" xfId="40720" xr:uid="{00000000-0005-0000-0000-0000F19E0000}"/>
    <cellStyle name="Calculation 6 3 7 8" xfId="40721" xr:uid="{00000000-0005-0000-0000-0000F29E0000}"/>
    <cellStyle name="Calculation 6 3 7 9" xfId="40722" xr:uid="{00000000-0005-0000-0000-0000F39E0000}"/>
    <cellStyle name="Calculation 6 3 8" xfId="40723" xr:uid="{00000000-0005-0000-0000-0000F49E0000}"/>
    <cellStyle name="Calculation 6 3 8 10" xfId="40724" xr:uid="{00000000-0005-0000-0000-0000F59E0000}"/>
    <cellStyle name="Calculation 6 3 8 2" xfId="40725" xr:uid="{00000000-0005-0000-0000-0000F69E0000}"/>
    <cellStyle name="Calculation 6 3 8 2 2" xfId="40726" xr:uid="{00000000-0005-0000-0000-0000F79E0000}"/>
    <cellStyle name="Calculation 6 3 8 2 3" xfId="40727" xr:uid="{00000000-0005-0000-0000-0000F89E0000}"/>
    <cellStyle name="Calculation 6 3 8 2 4" xfId="40728" xr:uid="{00000000-0005-0000-0000-0000F99E0000}"/>
    <cellStyle name="Calculation 6 3 8 2 5" xfId="40729" xr:uid="{00000000-0005-0000-0000-0000FA9E0000}"/>
    <cellStyle name="Calculation 6 3 8 2 6" xfId="40730" xr:uid="{00000000-0005-0000-0000-0000FB9E0000}"/>
    <cellStyle name="Calculation 6 3 8 3" xfId="40731" xr:uid="{00000000-0005-0000-0000-0000FC9E0000}"/>
    <cellStyle name="Calculation 6 3 8 3 2" xfId="40732" xr:uid="{00000000-0005-0000-0000-0000FD9E0000}"/>
    <cellStyle name="Calculation 6 3 8 3 3" xfId="40733" xr:uid="{00000000-0005-0000-0000-0000FE9E0000}"/>
    <cellStyle name="Calculation 6 3 8 3 4" xfId="40734" xr:uid="{00000000-0005-0000-0000-0000FF9E0000}"/>
    <cellStyle name="Calculation 6 3 8 3 5" xfId="40735" xr:uid="{00000000-0005-0000-0000-0000009F0000}"/>
    <cellStyle name="Calculation 6 3 8 3 6" xfId="40736" xr:uid="{00000000-0005-0000-0000-0000019F0000}"/>
    <cellStyle name="Calculation 6 3 8 4" xfId="40737" xr:uid="{00000000-0005-0000-0000-0000029F0000}"/>
    <cellStyle name="Calculation 6 3 8 4 2" xfId="40738" xr:uid="{00000000-0005-0000-0000-0000039F0000}"/>
    <cellStyle name="Calculation 6 3 8 4 3" xfId="40739" xr:uid="{00000000-0005-0000-0000-0000049F0000}"/>
    <cellStyle name="Calculation 6 3 8 4 4" xfId="40740" xr:uid="{00000000-0005-0000-0000-0000059F0000}"/>
    <cellStyle name="Calculation 6 3 8 4 5" xfId="40741" xr:uid="{00000000-0005-0000-0000-0000069F0000}"/>
    <cellStyle name="Calculation 6 3 8 4 6" xfId="40742" xr:uid="{00000000-0005-0000-0000-0000079F0000}"/>
    <cellStyle name="Calculation 6 3 8 5" xfId="40743" xr:uid="{00000000-0005-0000-0000-0000089F0000}"/>
    <cellStyle name="Calculation 6 3 8 5 2" xfId="40744" xr:uid="{00000000-0005-0000-0000-0000099F0000}"/>
    <cellStyle name="Calculation 6 3 8 5 3" xfId="40745" xr:uid="{00000000-0005-0000-0000-00000A9F0000}"/>
    <cellStyle name="Calculation 6 3 8 5 4" xfId="40746" xr:uid="{00000000-0005-0000-0000-00000B9F0000}"/>
    <cellStyle name="Calculation 6 3 8 5 5" xfId="40747" xr:uid="{00000000-0005-0000-0000-00000C9F0000}"/>
    <cellStyle name="Calculation 6 3 8 5 6" xfId="40748" xr:uid="{00000000-0005-0000-0000-00000D9F0000}"/>
    <cellStyle name="Calculation 6 3 8 6" xfId="40749" xr:uid="{00000000-0005-0000-0000-00000E9F0000}"/>
    <cellStyle name="Calculation 6 3 8 6 2" xfId="40750" xr:uid="{00000000-0005-0000-0000-00000F9F0000}"/>
    <cellStyle name="Calculation 6 3 8 6 3" xfId="40751" xr:uid="{00000000-0005-0000-0000-0000109F0000}"/>
    <cellStyle name="Calculation 6 3 8 6 4" xfId="40752" xr:uid="{00000000-0005-0000-0000-0000119F0000}"/>
    <cellStyle name="Calculation 6 3 8 6 5" xfId="40753" xr:uid="{00000000-0005-0000-0000-0000129F0000}"/>
    <cellStyle name="Calculation 6 3 8 6 6" xfId="40754" xr:uid="{00000000-0005-0000-0000-0000139F0000}"/>
    <cellStyle name="Calculation 6 3 8 7" xfId="40755" xr:uid="{00000000-0005-0000-0000-0000149F0000}"/>
    <cellStyle name="Calculation 6 3 8 7 2" xfId="40756" xr:uid="{00000000-0005-0000-0000-0000159F0000}"/>
    <cellStyle name="Calculation 6 3 8 7 3" xfId="40757" xr:uid="{00000000-0005-0000-0000-0000169F0000}"/>
    <cellStyle name="Calculation 6 3 8 7 4" xfId="40758" xr:uid="{00000000-0005-0000-0000-0000179F0000}"/>
    <cellStyle name="Calculation 6 3 8 7 5" xfId="40759" xr:uid="{00000000-0005-0000-0000-0000189F0000}"/>
    <cellStyle name="Calculation 6 3 8 7 6" xfId="40760" xr:uid="{00000000-0005-0000-0000-0000199F0000}"/>
    <cellStyle name="Calculation 6 3 8 8" xfId="40761" xr:uid="{00000000-0005-0000-0000-00001A9F0000}"/>
    <cellStyle name="Calculation 6 3 8 9" xfId="40762" xr:uid="{00000000-0005-0000-0000-00001B9F0000}"/>
    <cellStyle name="Calculation 6 3 9" xfId="40763" xr:uid="{00000000-0005-0000-0000-00001C9F0000}"/>
    <cellStyle name="Calculation 6 3 9 10" xfId="40764" xr:uid="{00000000-0005-0000-0000-00001D9F0000}"/>
    <cellStyle name="Calculation 6 3 9 2" xfId="40765" xr:uid="{00000000-0005-0000-0000-00001E9F0000}"/>
    <cellStyle name="Calculation 6 3 9 2 2" xfId="40766" xr:uid="{00000000-0005-0000-0000-00001F9F0000}"/>
    <cellStyle name="Calculation 6 3 9 2 3" xfId="40767" xr:uid="{00000000-0005-0000-0000-0000209F0000}"/>
    <cellStyle name="Calculation 6 3 9 2 4" xfId="40768" xr:uid="{00000000-0005-0000-0000-0000219F0000}"/>
    <cellStyle name="Calculation 6 3 9 2 5" xfId="40769" xr:uid="{00000000-0005-0000-0000-0000229F0000}"/>
    <cellStyle name="Calculation 6 3 9 2 6" xfId="40770" xr:uid="{00000000-0005-0000-0000-0000239F0000}"/>
    <cellStyle name="Calculation 6 3 9 3" xfId="40771" xr:uid="{00000000-0005-0000-0000-0000249F0000}"/>
    <cellStyle name="Calculation 6 3 9 3 2" xfId="40772" xr:uid="{00000000-0005-0000-0000-0000259F0000}"/>
    <cellStyle name="Calculation 6 3 9 3 3" xfId="40773" xr:uid="{00000000-0005-0000-0000-0000269F0000}"/>
    <cellStyle name="Calculation 6 3 9 3 4" xfId="40774" xr:uid="{00000000-0005-0000-0000-0000279F0000}"/>
    <cellStyle name="Calculation 6 3 9 3 5" xfId="40775" xr:uid="{00000000-0005-0000-0000-0000289F0000}"/>
    <cellStyle name="Calculation 6 3 9 3 6" xfId="40776" xr:uid="{00000000-0005-0000-0000-0000299F0000}"/>
    <cellStyle name="Calculation 6 3 9 4" xfId="40777" xr:uid="{00000000-0005-0000-0000-00002A9F0000}"/>
    <cellStyle name="Calculation 6 3 9 4 2" xfId="40778" xr:uid="{00000000-0005-0000-0000-00002B9F0000}"/>
    <cellStyle name="Calculation 6 3 9 4 3" xfId="40779" xr:uid="{00000000-0005-0000-0000-00002C9F0000}"/>
    <cellStyle name="Calculation 6 3 9 4 4" xfId="40780" xr:uid="{00000000-0005-0000-0000-00002D9F0000}"/>
    <cellStyle name="Calculation 6 3 9 4 5" xfId="40781" xr:uid="{00000000-0005-0000-0000-00002E9F0000}"/>
    <cellStyle name="Calculation 6 3 9 4 6" xfId="40782" xr:uid="{00000000-0005-0000-0000-00002F9F0000}"/>
    <cellStyle name="Calculation 6 3 9 5" xfId="40783" xr:uid="{00000000-0005-0000-0000-0000309F0000}"/>
    <cellStyle name="Calculation 6 3 9 5 2" xfId="40784" xr:uid="{00000000-0005-0000-0000-0000319F0000}"/>
    <cellStyle name="Calculation 6 3 9 5 3" xfId="40785" xr:uid="{00000000-0005-0000-0000-0000329F0000}"/>
    <cellStyle name="Calculation 6 3 9 5 4" xfId="40786" xr:uid="{00000000-0005-0000-0000-0000339F0000}"/>
    <cellStyle name="Calculation 6 3 9 5 5" xfId="40787" xr:uid="{00000000-0005-0000-0000-0000349F0000}"/>
    <cellStyle name="Calculation 6 3 9 5 6" xfId="40788" xr:uid="{00000000-0005-0000-0000-0000359F0000}"/>
    <cellStyle name="Calculation 6 3 9 6" xfId="40789" xr:uid="{00000000-0005-0000-0000-0000369F0000}"/>
    <cellStyle name="Calculation 6 3 9 6 2" xfId="40790" xr:uid="{00000000-0005-0000-0000-0000379F0000}"/>
    <cellStyle name="Calculation 6 3 9 6 3" xfId="40791" xr:uid="{00000000-0005-0000-0000-0000389F0000}"/>
    <cellStyle name="Calculation 6 3 9 6 4" xfId="40792" xr:uid="{00000000-0005-0000-0000-0000399F0000}"/>
    <cellStyle name="Calculation 6 3 9 6 5" xfId="40793" xr:uid="{00000000-0005-0000-0000-00003A9F0000}"/>
    <cellStyle name="Calculation 6 3 9 6 6" xfId="40794" xr:uid="{00000000-0005-0000-0000-00003B9F0000}"/>
    <cellStyle name="Calculation 6 3 9 7" xfId="40795" xr:uid="{00000000-0005-0000-0000-00003C9F0000}"/>
    <cellStyle name="Calculation 6 3 9 7 2" xfId="40796" xr:uid="{00000000-0005-0000-0000-00003D9F0000}"/>
    <cellStyle name="Calculation 6 3 9 7 3" xfId="40797" xr:uid="{00000000-0005-0000-0000-00003E9F0000}"/>
    <cellStyle name="Calculation 6 3 9 7 4" xfId="40798" xr:uid="{00000000-0005-0000-0000-00003F9F0000}"/>
    <cellStyle name="Calculation 6 3 9 7 5" xfId="40799" xr:uid="{00000000-0005-0000-0000-0000409F0000}"/>
    <cellStyle name="Calculation 6 3 9 7 6" xfId="40800" xr:uid="{00000000-0005-0000-0000-0000419F0000}"/>
    <cellStyle name="Calculation 6 3 9 8" xfId="40801" xr:uid="{00000000-0005-0000-0000-0000429F0000}"/>
    <cellStyle name="Calculation 6 3 9 9" xfId="40802" xr:uid="{00000000-0005-0000-0000-0000439F0000}"/>
    <cellStyle name="Calculation 6 30" xfId="40803" xr:uid="{00000000-0005-0000-0000-0000449F0000}"/>
    <cellStyle name="Calculation 6 30 2" xfId="40804" xr:uid="{00000000-0005-0000-0000-0000459F0000}"/>
    <cellStyle name="Calculation 6 30 3" xfId="40805" xr:uid="{00000000-0005-0000-0000-0000469F0000}"/>
    <cellStyle name="Calculation 6 30 4" xfId="40806" xr:uid="{00000000-0005-0000-0000-0000479F0000}"/>
    <cellStyle name="Calculation 6 30 5" xfId="40807" xr:uid="{00000000-0005-0000-0000-0000489F0000}"/>
    <cellStyle name="Calculation 6 30 6" xfId="40808" xr:uid="{00000000-0005-0000-0000-0000499F0000}"/>
    <cellStyle name="Calculation 6 31" xfId="40809" xr:uid="{00000000-0005-0000-0000-00004A9F0000}"/>
    <cellStyle name="Calculation 6 31 2" xfId="40810" xr:uid="{00000000-0005-0000-0000-00004B9F0000}"/>
    <cellStyle name="Calculation 6 31 3" xfId="40811" xr:uid="{00000000-0005-0000-0000-00004C9F0000}"/>
    <cellStyle name="Calculation 6 31 4" xfId="40812" xr:uid="{00000000-0005-0000-0000-00004D9F0000}"/>
    <cellStyle name="Calculation 6 31 5" xfId="40813" xr:uid="{00000000-0005-0000-0000-00004E9F0000}"/>
    <cellStyle name="Calculation 6 31 6" xfId="40814" xr:uid="{00000000-0005-0000-0000-00004F9F0000}"/>
    <cellStyle name="Calculation 6 32" xfId="40815" xr:uid="{00000000-0005-0000-0000-0000509F0000}"/>
    <cellStyle name="Calculation 6 33" xfId="40816" xr:uid="{00000000-0005-0000-0000-0000519F0000}"/>
    <cellStyle name="Calculation 6 34" xfId="40817" xr:uid="{00000000-0005-0000-0000-0000529F0000}"/>
    <cellStyle name="Calculation 6 4" xfId="40818" xr:uid="{00000000-0005-0000-0000-0000539F0000}"/>
    <cellStyle name="Calculation 6 4 10" xfId="40819" xr:uid="{00000000-0005-0000-0000-0000549F0000}"/>
    <cellStyle name="Calculation 6 4 2" xfId="40820" xr:uid="{00000000-0005-0000-0000-0000559F0000}"/>
    <cellStyle name="Calculation 6 4 2 2" xfId="40821" xr:uid="{00000000-0005-0000-0000-0000569F0000}"/>
    <cellStyle name="Calculation 6 4 2 3" xfId="40822" xr:uid="{00000000-0005-0000-0000-0000579F0000}"/>
    <cellStyle name="Calculation 6 4 2 4" xfId="40823" xr:uid="{00000000-0005-0000-0000-0000589F0000}"/>
    <cellStyle name="Calculation 6 4 2 5" xfId="40824" xr:uid="{00000000-0005-0000-0000-0000599F0000}"/>
    <cellStyle name="Calculation 6 4 2 6" xfId="40825" xr:uid="{00000000-0005-0000-0000-00005A9F0000}"/>
    <cellStyle name="Calculation 6 4 3" xfId="40826" xr:uid="{00000000-0005-0000-0000-00005B9F0000}"/>
    <cellStyle name="Calculation 6 4 3 2" xfId="40827" xr:uid="{00000000-0005-0000-0000-00005C9F0000}"/>
    <cellStyle name="Calculation 6 4 3 3" xfId="40828" xr:uid="{00000000-0005-0000-0000-00005D9F0000}"/>
    <cellStyle name="Calculation 6 4 3 4" xfId="40829" xr:uid="{00000000-0005-0000-0000-00005E9F0000}"/>
    <cellStyle name="Calculation 6 4 3 5" xfId="40830" xr:uid="{00000000-0005-0000-0000-00005F9F0000}"/>
    <cellStyle name="Calculation 6 4 3 6" xfId="40831" xr:uid="{00000000-0005-0000-0000-0000609F0000}"/>
    <cellStyle name="Calculation 6 4 4" xfId="40832" xr:uid="{00000000-0005-0000-0000-0000619F0000}"/>
    <cellStyle name="Calculation 6 4 4 2" xfId="40833" xr:uid="{00000000-0005-0000-0000-0000629F0000}"/>
    <cellStyle name="Calculation 6 4 4 3" xfId="40834" xr:uid="{00000000-0005-0000-0000-0000639F0000}"/>
    <cellStyle name="Calculation 6 4 4 4" xfId="40835" xr:uid="{00000000-0005-0000-0000-0000649F0000}"/>
    <cellStyle name="Calculation 6 4 4 5" xfId="40836" xr:uid="{00000000-0005-0000-0000-0000659F0000}"/>
    <cellStyle name="Calculation 6 4 4 6" xfId="40837" xr:uid="{00000000-0005-0000-0000-0000669F0000}"/>
    <cellStyle name="Calculation 6 4 5" xfId="40838" xr:uid="{00000000-0005-0000-0000-0000679F0000}"/>
    <cellStyle name="Calculation 6 4 5 2" xfId="40839" xr:uid="{00000000-0005-0000-0000-0000689F0000}"/>
    <cellStyle name="Calculation 6 4 5 3" xfId="40840" xr:uid="{00000000-0005-0000-0000-0000699F0000}"/>
    <cellStyle name="Calculation 6 4 5 4" xfId="40841" xr:uid="{00000000-0005-0000-0000-00006A9F0000}"/>
    <cellStyle name="Calculation 6 4 5 5" xfId="40842" xr:uid="{00000000-0005-0000-0000-00006B9F0000}"/>
    <cellStyle name="Calculation 6 4 5 6" xfId="40843" xr:uid="{00000000-0005-0000-0000-00006C9F0000}"/>
    <cellStyle name="Calculation 6 4 6" xfId="40844" xr:uid="{00000000-0005-0000-0000-00006D9F0000}"/>
    <cellStyle name="Calculation 6 4 6 2" xfId="40845" xr:uid="{00000000-0005-0000-0000-00006E9F0000}"/>
    <cellStyle name="Calculation 6 4 6 3" xfId="40846" xr:uid="{00000000-0005-0000-0000-00006F9F0000}"/>
    <cellStyle name="Calculation 6 4 6 4" xfId="40847" xr:uid="{00000000-0005-0000-0000-0000709F0000}"/>
    <cellStyle name="Calculation 6 4 6 5" xfId="40848" xr:uid="{00000000-0005-0000-0000-0000719F0000}"/>
    <cellStyle name="Calculation 6 4 6 6" xfId="40849" xr:uid="{00000000-0005-0000-0000-0000729F0000}"/>
    <cellStyle name="Calculation 6 4 7" xfId="40850" xr:uid="{00000000-0005-0000-0000-0000739F0000}"/>
    <cellStyle name="Calculation 6 4 7 2" xfId="40851" xr:uid="{00000000-0005-0000-0000-0000749F0000}"/>
    <cellStyle name="Calculation 6 4 7 3" xfId="40852" xr:uid="{00000000-0005-0000-0000-0000759F0000}"/>
    <cellStyle name="Calculation 6 4 7 4" xfId="40853" xr:uid="{00000000-0005-0000-0000-0000769F0000}"/>
    <cellStyle name="Calculation 6 4 7 5" xfId="40854" xr:uid="{00000000-0005-0000-0000-0000779F0000}"/>
    <cellStyle name="Calculation 6 4 7 6" xfId="40855" xr:uid="{00000000-0005-0000-0000-0000789F0000}"/>
    <cellStyle name="Calculation 6 4 8" xfId="40856" xr:uid="{00000000-0005-0000-0000-0000799F0000}"/>
    <cellStyle name="Calculation 6 4 9" xfId="40857" xr:uid="{00000000-0005-0000-0000-00007A9F0000}"/>
    <cellStyle name="Calculation 6 5" xfId="40858" xr:uid="{00000000-0005-0000-0000-00007B9F0000}"/>
    <cellStyle name="Calculation 6 5 10" xfId="40859" xr:uid="{00000000-0005-0000-0000-00007C9F0000}"/>
    <cellStyle name="Calculation 6 5 2" xfId="40860" xr:uid="{00000000-0005-0000-0000-00007D9F0000}"/>
    <cellStyle name="Calculation 6 5 2 2" xfId="40861" xr:uid="{00000000-0005-0000-0000-00007E9F0000}"/>
    <cellStyle name="Calculation 6 5 2 3" xfId="40862" xr:uid="{00000000-0005-0000-0000-00007F9F0000}"/>
    <cellStyle name="Calculation 6 5 2 4" xfId="40863" xr:uid="{00000000-0005-0000-0000-0000809F0000}"/>
    <cellStyle name="Calculation 6 5 2 5" xfId="40864" xr:uid="{00000000-0005-0000-0000-0000819F0000}"/>
    <cellStyle name="Calculation 6 5 2 6" xfId="40865" xr:uid="{00000000-0005-0000-0000-0000829F0000}"/>
    <cellStyle name="Calculation 6 5 3" xfId="40866" xr:uid="{00000000-0005-0000-0000-0000839F0000}"/>
    <cellStyle name="Calculation 6 5 3 2" xfId="40867" xr:uid="{00000000-0005-0000-0000-0000849F0000}"/>
    <cellStyle name="Calculation 6 5 3 3" xfId="40868" xr:uid="{00000000-0005-0000-0000-0000859F0000}"/>
    <cellStyle name="Calculation 6 5 3 4" xfId="40869" xr:uid="{00000000-0005-0000-0000-0000869F0000}"/>
    <cellStyle name="Calculation 6 5 3 5" xfId="40870" xr:uid="{00000000-0005-0000-0000-0000879F0000}"/>
    <cellStyle name="Calculation 6 5 3 6" xfId="40871" xr:uid="{00000000-0005-0000-0000-0000889F0000}"/>
    <cellStyle name="Calculation 6 5 4" xfId="40872" xr:uid="{00000000-0005-0000-0000-0000899F0000}"/>
    <cellStyle name="Calculation 6 5 4 2" xfId="40873" xr:uid="{00000000-0005-0000-0000-00008A9F0000}"/>
    <cellStyle name="Calculation 6 5 4 3" xfId="40874" xr:uid="{00000000-0005-0000-0000-00008B9F0000}"/>
    <cellStyle name="Calculation 6 5 4 4" xfId="40875" xr:uid="{00000000-0005-0000-0000-00008C9F0000}"/>
    <cellStyle name="Calculation 6 5 4 5" xfId="40876" xr:uid="{00000000-0005-0000-0000-00008D9F0000}"/>
    <cellStyle name="Calculation 6 5 4 6" xfId="40877" xr:uid="{00000000-0005-0000-0000-00008E9F0000}"/>
    <cellStyle name="Calculation 6 5 5" xfId="40878" xr:uid="{00000000-0005-0000-0000-00008F9F0000}"/>
    <cellStyle name="Calculation 6 5 5 2" xfId="40879" xr:uid="{00000000-0005-0000-0000-0000909F0000}"/>
    <cellStyle name="Calculation 6 5 5 3" xfId="40880" xr:uid="{00000000-0005-0000-0000-0000919F0000}"/>
    <cellStyle name="Calculation 6 5 5 4" xfId="40881" xr:uid="{00000000-0005-0000-0000-0000929F0000}"/>
    <cellStyle name="Calculation 6 5 5 5" xfId="40882" xr:uid="{00000000-0005-0000-0000-0000939F0000}"/>
    <cellStyle name="Calculation 6 5 5 6" xfId="40883" xr:uid="{00000000-0005-0000-0000-0000949F0000}"/>
    <cellStyle name="Calculation 6 5 6" xfId="40884" xr:uid="{00000000-0005-0000-0000-0000959F0000}"/>
    <cellStyle name="Calculation 6 5 6 2" xfId="40885" xr:uid="{00000000-0005-0000-0000-0000969F0000}"/>
    <cellStyle name="Calculation 6 5 6 3" xfId="40886" xr:uid="{00000000-0005-0000-0000-0000979F0000}"/>
    <cellStyle name="Calculation 6 5 6 4" xfId="40887" xr:uid="{00000000-0005-0000-0000-0000989F0000}"/>
    <cellStyle name="Calculation 6 5 6 5" xfId="40888" xr:uid="{00000000-0005-0000-0000-0000999F0000}"/>
    <cellStyle name="Calculation 6 5 6 6" xfId="40889" xr:uid="{00000000-0005-0000-0000-00009A9F0000}"/>
    <cellStyle name="Calculation 6 5 7" xfId="40890" xr:uid="{00000000-0005-0000-0000-00009B9F0000}"/>
    <cellStyle name="Calculation 6 5 7 2" xfId="40891" xr:uid="{00000000-0005-0000-0000-00009C9F0000}"/>
    <cellStyle name="Calculation 6 5 7 3" xfId="40892" xr:uid="{00000000-0005-0000-0000-00009D9F0000}"/>
    <cellStyle name="Calculation 6 5 7 4" xfId="40893" xr:uid="{00000000-0005-0000-0000-00009E9F0000}"/>
    <cellStyle name="Calculation 6 5 7 5" xfId="40894" xr:uid="{00000000-0005-0000-0000-00009F9F0000}"/>
    <cellStyle name="Calculation 6 5 7 6" xfId="40895" xr:uid="{00000000-0005-0000-0000-0000A09F0000}"/>
    <cellStyle name="Calculation 6 5 8" xfId="40896" xr:uid="{00000000-0005-0000-0000-0000A19F0000}"/>
    <cellStyle name="Calculation 6 5 9" xfId="40897" xr:uid="{00000000-0005-0000-0000-0000A29F0000}"/>
    <cellStyle name="Calculation 6 6" xfId="40898" xr:uid="{00000000-0005-0000-0000-0000A39F0000}"/>
    <cellStyle name="Calculation 6 6 10" xfId="40899" xr:uid="{00000000-0005-0000-0000-0000A49F0000}"/>
    <cellStyle name="Calculation 6 6 2" xfId="40900" xr:uid="{00000000-0005-0000-0000-0000A59F0000}"/>
    <cellStyle name="Calculation 6 6 2 2" xfId="40901" xr:uid="{00000000-0005-0000-0000-0000A69F0000}"/>
    <cellStyle name="Calculation 6 6 2 3" xfId="40902" xr:uid="{00000000-0005-0000-0000-0000A79F0000}"/>
    <cellStyle name="Calculation 6 6 2 4" xfId="40903" xr:uid="{00000000-0005-0000-0000-0000A89F0000}"/>
    <cellStyle name="Calculation 6 6 2 5" xfId="40904" xr:uid="{00000000-0005-0000-0000-0000A99F0000}"/>
    <cellStyle name="Calculation 6 6 2 6" xfId="40905" xr:uid="{00000000-0005-0000-0000-0000AA9F0000}"/>
    <cellStyle name="Calculation 6 6 3" xfId="40906" xr:uid="{00000000-0005-0000-0000-0000AB9F0000}"/>
    <cellStyle name="Calculation 6 6 3 2" xfId="40907" xr:uid="{00000000-0005-0000-0000-0000AC9F0000}"/>
    <cellStyle name="Calculation 6 6 3 3" xfId="40908" xr:uid="{00000000-0005-0000-0000-0000AD9F0000}"/>
    <cellStyle name="Calculation 6 6 3 4" xfId="40909" xr:uid="{00000000-0005-0000-0000-0000AE9F0000}"/>
    <cellStyle name="Calculation 6 6 3 5" xfId="40910" xr:uid="{00000000-0005-0000-0000-0000AF9F0000}"/>
    <cellStyle name="Calculation 6 6 3 6" xfId="40911" xr:uid="{00000000-0005-0000-0000-0000B09F0000}"/>
    <cellStyle name="Calculation 6 6 4" xfId="40912" xr:uid="{00000000-0005-0000-0000-0000B19F0000}"/>
    <cellStyle name="Calculation 6 6 4 2" xfId="40913" xr:uid="{00000000-0005-0000-0000-0000B29F0000}"/>
    <cellStyle name="Calculation 6 6 4 3" xfId="40914" xr:uid="{00000000-0005-0000-0000-0000B39F0000}"/>
    <cellStyle name="Calculation 6 6 4 4" xfId="40915" xr:uid="{00000000-0005-0000-0000-0000B49F0000}"/>
    <cellStyle name="Calculation 6 6 4 5" xfId="40916" xr:uid="{00000000-0005-0000-0000-0000B59F0000}"/>
    <cellStyle name="Calculation 6 6 4 6" xfId="40917" xr:uid="{00000000-0005-0000-0000-0000B69F0000}"/>
    <cellStyle name="Calculation 6 6 5" xfId="40918" xr:uid="{00000000-0005-0000-0000-0000B79F0000}"/>
    <cellStyle name="Calculation 6 6 5 2" xfId="40919" xr:uid="{00000000-0005-0000-0000-0000B89F0000}"/>
    <cellStyle name="Calculation 6 6 5 3" xfId="40920" xr:uid="{00000000-0005-0000-0000-0000B99F0000}"/>
    <cellStyle name="Calculation 6 6 5 4" xfId="40921" xr:uid="{00000000-0005-0000-0000-0000BA9F0000}"/>
    <cellStyle name="Calculation 6 6 5 5" xfId="40922" xr:uid="{00000000-0005-0000-0000-0000BB9F0000}"/>
    <cellStyle name="Calculation 6 6 5 6" xfId="40923" xr:uid="{00000000-0005-0000-0000-0000BC9F0000}"/>
    <cellStyle name="Calculation 6 6 6" xfId="40924" xr:uid="{00000000-0005-0000-0000-0000BD9F0000}"/>
    <cellStyle name="Calculation 6 6 6 2" xfId="40925" xr:uid="{00000000-0005-0000-0000-0000BE9F0000}"/>
    <cellStyle name="Calculation 6 6 6 3" xfId="40926" xr:uid="{00000000-0005-0000-0000-0000BF9F0000}"/>
    <cellStyle name="Calculation 6 6 6 4" xfId="40927" xr:uid="{00000000-0005-0000-0000-0000C09F0000}"/>
    <cellStyle name="Calculation 6 6 6 5" xfId="40928" xr:uid="{00000000-0005-0000-0000-0000C19F0000}"/>
    <cellStyle name="Calculation 6 6 6 6" xfId="40929" xr:uid="{00000000-0005-0000-0000-0000C29F0000}"/>
    <cellStyle name="Calculation 6 6 7" xfId="40930" xr:uid="{00000000-0005-0000-0000-0000C39F0000}"/>
    <cellStyle name="Calculation 6 6 7 2" xfId="40931" xr:uid="{00000000-0005-0000-0000-0000C49F0000}"/>
    <cellStyle name="Calculation 6 6 7 3" xfId="40932" xr:uid="{00000000-0005-0000-0000-0000C59F0000}"/>
    <cellStyle name="Calculation 6 6 7 4" xfId="40933" xr:uid="{00000000-0005-0000-0000-0000C69F0000}"/>
    <cellStyle name="Calculation 6 6 7 5" xfId="40934" xr:uid="{00000000-0005-0000-0000-0000C79F0000}"/>
    <cellStyle name="Calculation 6 6 7 6" xfId="40935" xr:uid="{00000000-0005-0000-0000-0000C89F0000}"/>
    <cellStyle name="Calculation 6 6 8" xfId="40936" xr:uid="{00000000-0005-0000-0000-0000C99F0000}"/>
    <cellStyle name="Calculation 6 6 9" xfId="40937" xr:uid="{00000000-0005-0000-0000-0000CA9F0000}"/>
    <cellStyle name="Calculation 6 7" xfId="40938" xr:uid="{00000000-0005-0000-0000-0000CB9F0000}"/>
    <cellStyle name="Calculation 6 7 10" xfId="40939" xr:uid="{00000000-0005-0000-0000-0000CC9F0000}"/>
    <cellStyle name="Calculation 6 7 2" xfId="40940" xr:uid="{00000000-0005-0000-0000-0000CD9F0000}"/>
    <cellStyle name="Calculation 6 7 2 2" xfId="40941" xr:uid="{00000000-0005-0000-0000-0000CE9F0000}"/>
    <cellStyle name="Calculation 6 7 2 3" xfId="40942" xr:uid="{00000000-0005-0000-0000-0000CF9F0000}"/>
    <cellStyle name="Calculation 6 7 2 4" xfId="40943" xr:uid="{00000000-0005-0000-0000-0000D09F0000}"/>
    <cellStyle name="Calculation 6 7 2 5" xfId="40944" xr:uid="{00000000-0005-0000-0000-0000D19F0000}"/>
    <cellStyle name="Calculation 6 7 2 6" xfId="40945" xr:uid="{00000000-0005-0000-0000-0000D29F0000}"/>
    <cellStyle name="Calculation 6 7 3" xfId="40946" xr:uid="{00000000-0005-0000-0000-0000D39F0000}"/>
    <cellStyle name="Calculation 6 7 3 2" xfId="40947" xr:uid="{00000000-0005-0000-0000-0000D49F0000}"/>
    <cellStyle name="Calculation 6 7 3 3" xfId="40948" xr:uid="{00000000-0005-0000-0000-0000D59F0000}"/>
    <cellStyle name="Calculation 6 7 3 4" xfId="40949" xr:uid="{00000000-0005-0000-0000-0000D69F0000}"/>
    <cellStyle name="Calculation 6 7 3 5" xfId="40950" xr:uid="{00000000-0005-0000-0000-0000D79F0000}"/>
    <cellStyle name="Calculation 6 7 3 6" xfId="40951" xr:uid="{00000000-0005-0000-0000-0000D89F0000}"/>
    <cellStyle name="Calculation 6 7 4" xfId="40952" xr:uid="{00000000-0005-0000-0000-0000D99F0000}"/>
    <cellStyle name="Calculation 6 7 4 2" xfId="40953" xr:uid="{00000000-0005-0000-0000-0000DA9F0000}"/>
    <cellStyle name="Calculation 6 7 4 3" xfId="40954" xr:uid="{00000000-0005-0000-0000-0000DB9F0000}"/>
    <cellStyle name="Calculation 6 7 4 4" xfId="40955" xr:uid="{00000000-0005-0000-0000-0000DC9F0000}"/>
    <cellStyle name="Calculation 6 7 4 5" xfId="40956" xr:uid="{00000000-0005-0000-0000-0000DD9F0000}"/>
    <cellStyle name="Calculation 6 7 4 6" xfId="40957" xr:uid="{00000000-0005-0000-0000-0000DE9F0000}"/>
    <cellStyle name="Calculation 6 7 5" xfId="40958" xr:uid="{00000000-0005-0000-0000-0000DF9F0000}"/>
    <cellStyle name="Calculation 6 7 5 2" xfId="40959" xr:uid="{00000000-0005-0000-0000-0000E09F0000}"/>
    <cellStyle name="Calculation 6 7 5 3" xfId="40960" xr:uid="{00000000-0005-0000-0000-0000E19F0000}"/>
    <cellStyle name="Calculation 6 7 5 4" xfId="40961" xr:uid="{00000000-0005-0000-0000-0000E29F0000}"/>
    <cellStyle name="Calculation 6 7 5 5" xfId="40962" xr:uid="{00000000-0005-0000-0000-0000E39F0000}"/>
    <cellStyle name="Calculation 6 7 5 6" xfId="40963" xr:uid="{00000000-0005-0000-0000-0000E49F0000}"/>
    <cellStyle name="Calculation 6 7 6" xfId="40964" xr:uid="{00000000-0005-0000-0000-0000E59F0000}"/>
    <cellStyle name="Calculation 6 7 6 2" xfId="40965" xr:uid="{00000000-0005-0000-0000-0000E69F0000}"/>
    <cellStyle name="Calculation 6 7 6 3" xfId="40966" xr:uid="{00000000-0005-0000-0000-0000E79F0000}"/>
    <cellStyle name="Calculation 6 7 6 4" xfId="40967" xr:uid="{00000000-0005-0000-0000-0000E89F0000}"/>
    <cellStyle name="Calculation 6 7 6 5" xfId="40968" xr:uid="{00000000-0005-0000-0000-0000E99F0000}"/>
    <cellStyle name="Calculation 6 7 6 6" xfId="40969" xr:uid="{00000000-0005-0000-0000-0000EA9F0000}"/>
    <cellStyle name="Calculation 6 7 7" xfId="40970" xr:uid="{00000000-0005-0000-0000-0000EB9F0000}"/>
    <cellStyle name="Calculation 6 7 7 2" xfId="40971" xr:uid="{00000000-0005-0000-0000-0000EC9F0000}"/>
    <cellStyle name="Calculation 6 7 7 3" xfId="40972" xr:uid="{00000000-0005-0000-0000-0000ED9F0000}"/>
    <cellStyle name="Calculation 6 7 7 4" xfId="40973" xr:uid="{00000000-0005-0000-0000-0000EE9F0000}"/>
    <cellStyle name="Calculation 6 7 7 5" xfId="40974" xr:uid="{00000000-0005-0000-0000-0000EF9F0000}"/>
    <cellStyle name="Calculation 6 7 7 6" xfId="40975" xr:uid="{00000000-0005-0000-0000-0000F09F0000}"/>
    <cellStyle name="Calculation 6 7 8" xfId="40976" xr:uid="{00000000-0005-0000-0000-0000F19F0000}"/>
    <cellStyle name="Calculation 6 7 9" xfId="40977" xr:uid="{00000000-0005-0000-0000-0000F29F0000}"/>
    <cellStyle name="Calculation 6 8" xfId="40978" xr:uid="{00000000-0005-0000-0000-0000F39F0000}"/>
    <cellStyle name="Calculation 6 8 10" xfId="40979" xr:uid="{00000000-0005-0000-0000-0000F49F0000}"/>
    <cellStyle name="Calculation 6 8 2" xfId="40980" xr:uid="{00000000-0005-0000-0000-0000F59F0000}"/>
    <cellStyle name="Calculation 6 8 2 2" xfId="40981" xr:uid="{00000000-0005-0000-0000-0000F69F0000}"/>
    <cellStyle name="Calculation 6 8 2 3" xfId="40982" xr:uid="{00000000-0005-0000-0000-0000F79F0000}"/>
    <cellStyle name="Calculation 6 8 2 4" xfId="40983" xr:uid="{00000000-0005-0000-0000-0000F89F0000}"/>
    <cellStyle name="Calculation 6 8 2 5" xfId="40984" xr:uid="{00000000-0005-0000-0000-0000F99F0000}"/>
    <cellStyle name="Calculation 6 8 2 6" xfId="40985" xr:uid="{00000000-0005-0000-0000-0000FA9F0000}"/>
    <cellStyle name="Calculation 6 8 3" xfId="40986" xr:uid="{00000000-0005-0000-0000-0000FB9F0000}"/>
    <cellStyle name="Calculation 6 8 3 2" xfId="40987" xr:uid="{00000000-0005-0000-0000-0000FC9F0000}"/>
    <cellStyle name="Calculation 6 8 3 3" xfId="40988" xr:uid="{00000000-0005-0000-0000-0000FD9F0000}"/>
    <cellStyle name="Calculation 6 8 3 4" xfId="40989" xr:uid="{00000000-0005-0000-0000-0000FE9F0000}"/>
    <cellStyle name="Calculation 6 8 3 5" xfId="40990" xr:uid="{00000000-0005-0000-0000-0000FF9F0000}"/>
    <cellStyle name="Calculation 6 8 3 6" xfId="40991" xr:uid="{00000000-0005-0000-0000-000000A00000}"/>
    <cellStyle name="Calculation 6 8 4" xfId="40992" xr:uid="{00000000-0005-0000-0000-000001A00000}"/>
    <cellStyle name="Calculation 6 8 4 2" xfId="40993" xr:uid="{00000000-0005-0000-0000-000002A00000}"/>
    <cellStyle name="Calculation 6 8 4 3" xfId="40994" xr:uid="{00000000-0005-0000-0000-000003A00000}"/>
    <cellStyle name="Calculation 6 8 4 4" xfId="40995" xr:uid="{00000000-0005-0000-0000-000004A00000}"/>
    <cellStyle name="Calculation 6 8 4 5" xfId="40996" xr:uid="{00000000-0005-0000-0000-000005A00000}"/>
    <cellStyle name="Calculation 6 8 4 6" xfId="40997" xr:uid="{00000000-0005-0000-0000-000006A00000}"/>
    <cellStyle name="Calculation 6 8 5" xfId="40998" xr:uid="{00000000-0005-0000-0000-000007A00000}"/>
    <cellStyle name="Calculation 6 8 5 2" xfId="40999" xr:uid="{00000000-0005-0000-0000-000008A00000}"/>
    <cellStyle name="Calculation 6 8 5 3" xfId="41000" xr:uid="{00000000-0005-0000-0000-000009A00000}"/>
    <cellStyle name="Calculation 6 8 5 4" xfId="41001" xr:uid="{00000000-0005-0000-0000-00000AA00000}"/>
    <cellStyle name="Calculation 6 8 5 5" xfId="41002" xr:uid="{00000000-0005-0000-0000-00000BA00000}"/>
    <cellStyle name="Calculation 6 8 5 6" xfId="41003" xr:uid="{00000000-0005-0000-0000-00000CA00000}"/>
    <cellStyle name="Calculation 6 8 6" xfId="41004" xr:uid="{00000000-0005-0000-0000-00000DA00000}"/>
    <cellStyle name="Calculation 6 8 6 2" xfId="41005" xr:uid="{00000000-0005-0000-0000-00000EA00000}"/>
    <cellStyle name="Calculation 6 8 6 3" xfId="41006" xr:uid="{00000000-0005-0000-0000-00000FA00000}"/>
    <cellStyle name="Calculation 6 8 6 4" xfId="41007" xr:uid="{00000000-0005-0000-0000-000010A00000}"/>
    <cellStyle name="Calculation 6 8 6 5" xfId="41008" xr:uid="{00000000-0005-0000-0000-000011A00000}"/>
    <cellStyle name="Calculation 6 8 6 6" xfId="41009" xr:uid="{00000000-0005-0000-0000-000012A00000}"/>
    <cellStyle name="Calculation 6 8 7" xfId="41010" xr:uid="{00000000-0005-0000-0000-000013A00000}"/>
    <cellStyle name="Calculation 6 8 7 2" xfId="41011" xr:uid="{00000000-0005-0000-0000-000014A00000}"/>
    <cellStyle name="Calculation 6 8 7 3" xfId="41012" xr:uid="{00000000-0005-0000-0000-000015A00000}"/>
    <cellStyle name="Calculation 6 8 7 4" xfId="41013" xr:uid="{00000000-0005-0000-0000-000016A00000}"/>
    <cellStyle name="Calculation 6 8 7 5" xfId="41014" xr:uid="{00000000-0005-0000-0000-000017A00000}"/>
    <cellStyle name="Calculation 6 8 7 6" xfId="41015" xr:uid="{00000000-0005-0000-0000-000018A00000}"/>
    <cellStyle name="Calculation 6 8 8" xfId="41016" xr:uid="{00000000-0005-0000-0000-000019A00000}"/>
    <cellStyle name="Calculation 6 8 9" xfId="41017" xr:uid="{00000000-0005-0000-0000-00001AA00000}"/>
    <cellStyle name="Calculation 6 9" xfId="41018" xr:uid="{00000000-0005-0000-0000-00001BA00000}"/>
    <cellStyle name="Calculation 6 9 10" xfId="41019" xr:uid="{00000000-0005-0000-0000-00001CA00000}"/>
    <cellStyle name="Calculation 6 9 2" xfId="41020" xr:uid="{00000000-0005-0000-0000-00001DA00000}"/>
    <cellStyle name="Calculation 6 9 2 2" xfId="41021" xr:uid="{00000000-0005-0000-0000-00001EA00000}"/>
    <cellStyle name="Calculation 6 9 2 3" xfId="41022" xr:uid="{00000000-0005-0000-0000-00001FA00000}"/>
    <cellStyle name="Calculation 6 9 2 4" xfId="41023" xr:uid="{00000000-0005-0000-0000-000020A00000}"/>
    <cellStyle name="Calculation 6 9 2 5" xfId="41024" xr:uid="{00000000-0005-0000-0000-000021A00000}"/>
    <cellStyle name="Calculation 6 9 2 6" xfId="41025" xr:uid="{00000000-0005-0000-0000-000022A00000}"/>
    <cellStyle name="Calculation 6 9 3" xfId="41026" xr:uid="{00000000-0005-0000-0000-000023A00000}"/>
    <cellStyle name="Calculation 6 9 3 2" xfId="41027" xr:uid="{00000000-0005-0000-0000-000024A00000}"/>
    <cellStyle name="Calculation 6 9 3 3" xfId="41028" xr:uid="{00000000-0005-0000-0000-000025A00000}"/>
    <cellStyle name="Calculation 6 9 3 4" xfId="41029" xr:uid="{00000000-0005-0000-0000-000026A00000}"/>
    <cellStyle name="Calculation 6 9 3 5" xfId="41030" xr:uid="{00000000-0005-0000-0000-000027A00000}"/>
    <cellStyle name="Calculation 6 9 3 6" xfId="41031" xr:uid="{00000000-0005-0000-0000-000028A00000}"/>
    <cellStyle name="Calculation 6 9 4" xfId="41032" xr:uid="{00000000-0005-0000-0000-000029A00000}"/>
    <cellStyle name="Calculation 6 9 4 2" xfId="41033" xr:uid="{00000000-0005-0000-0000-00002AA00000}"/>
    <cellStyle name="Calculation 6 9 4 3" xfId="41034" xr:uid="{00000000-0005-0000-0000-00002BA00000}"/>
    <cellStyle name="Calculation 6 9 4 4" xfId="41035" xr:uid="{00000000-0005-0000-0000-00002CA00000}"/>
    <cellStyle name="Calculation 6 9 4 5" xfId="41036" xr:uid="{00000000-0005-0000-0000-00002DA00000}"/>
    <cellStyle name="Calculation 6 9 4 6" xfId="41037" xr:uid="{00000000-0005-0000-0000-00002EA00000}"/>
    <cellStyle name="Calculation 6 9 5" xfId="41038" xr:uid="{00000000-0005-0000-0000-00002FA00000}"/>
    <cellStyle name="Calculation 6 9 5 2" xfId="41039" xr:uid="{00000000-0005-0000-0000-000030A00000}"/>
    <cellStyle name="Calculation 6 9 5 3" xfId="41040" xr:uid="{00000000-0005-0000-0000-000031A00000}"/>
    <cellStyle name="Calculation 6 9 5 4" xfId="41041" xr:uid="{00000000-0005-0000-0000-000032A00000}"/>
    <cellStyle name="Calculation 6 9 5 5" xfId="41042" xr:uid="{00000000-0005-0000-0000-000033A00000}"/>
    <cellStyle name="Calculation 6 9 5 6" xfId="41043" xr:uid="{00000000-0005-0000-0000-000034A00000}"/>
    <cellStyle name="Calculation 6 9 6" xfId="41044" xr:uid="{00000000-0005-0000-0000-000035A00000}"/>
    <cellStyle name="Calculation 6 9 6 2" xfId="41045" xr:uid="{00000000-0005-0000-0000-000036A00000}"/>
    <cellStyle name="Calculation 6 9 6 3" xfId="41046" xr:uid="{00000000-0005-0000-0000-000037A00000}"/>
    <cellStyle name="Calculation 6 9 6 4" xfId="41047" xr:uid="{00000000-0005-0000-0000-000038A00000}"/>
    <cellStyle name="Calculation 6 9 6 5" xfId="41048" xr:uid="{00000000-0005-0000-0000-000039A00000}"/>
    <cellStyle name="Calculation 6 9 6 6" xfId="41049" xr:uid="{00000000-0005-0000-0000-00003AA00000}"/>
    <cellStyle name="Calculation 6 9 7" xfId="41050" xr:uid="{00000000-0005-0000-0000-00003BA00000}"/>
    <cellStyle name="Calculation 6 9 7 2" xfId="41051" xr:uid="{00000000-0005-0000-0000-00003CA00000}"/>
    <cellStyle name="Calculation 6 9 7 3" xfId="41052" xr:uid="{00000000-0005-0000-0000-00003DA00000}"/>
    <cellStyle name="Calculation 6 9 7 4" xfId="41053" xr:uid="{00000000-0005-0000-0000-00003EA00000}"/>
    <cellStyle name="Calculation 6 9 7 5" xfId="41054" xr:uid="{00000000-0005-0000-0000-00003FA00000}"/>
    <cellStyle name="Calculation 6 9 7 6" xfId="41055" xr:uid="{00000000-0005-0000-0000-000040A00000}"/>
    <cellStyle name="Calculation 6 9 8" xfId="41056" xr:uid="{00000000-0005-0000-0000-000041A00000}"/>
    <cellStyle name="Calculation 6 9 9" xfId="41057" xr:uid="{00000000-0005-0000-0000-000042A00000}"/>
    <cellStyle name="Calculation 7" xfId="41058" xr:uid="{00000000-0005-0000-0000-000043A00000}"/>
    <cellStyle name="Calculation 7 10" xfId="41059" xr:uid="{00000000-0005-0000-0000-000044A00000}"/>
    <cellStyle name="Calculation 7 10 10" xfId="41060" xr:uid="{00000000-0005-0000-0000-000045A00000}"/>
    <cellStyle name="Calculation 7 10 2" xfId="41061" xr:uid="{00000000-0005-0000-0000-000046A00000}"/>
    <cellStyle name="Calculation 7 10 2 2" xfId="41062" xr:uid="{00000000-0005-0000-0000-000047A00000}"/>
    <cellStyle name="Calculation 7 10 2 3" xfId="41063" xr:uid="{00000000-0005-0000-0000-000048A00000}"/>
    <cellStyle name="Calculation 7 10 2 4" xfId="41064" xr:uid="{00000000-0005-0000-0000-000049A00000}"/>
    <cellStyle name="Calculation 7 10 2 5" xfId="41065" xr:uid="{00000000-0005-0000-0000-00004AA00000}"/>
    <cellStyle name="Calculation 7 10 2 6" xfId="41066" xr:uid="{00000000-0005-0000-0000-00004BA00000}"/>
    <cellStyle name="Calculation 7 10 3" xfId="41067" xr:uid="{00000000-0005-0000-0000-00004CA00000}"/>
    <cellStyle name="Calculation 7 10 3 2" xfId="41068" xr:uid="{00000000-0005-0000-0000-00004DA00000}"/>
    <cellStyle name="Calculation 7 10 3 3" xfId="41069" xr:uid="{00000000-0005-0000-0000-00004EA00000}"/>
    <cellStyle name="Calculation 7 10 3 4" xfId="41070" xr:uid="{00000000-0005-0000-0000-00004FA00000}"/>
    <cellStyle name="Calculation 7 10 3 5" xfId="41071" xr:uid="{00000000-0005-0000-0000-000050A00000}"/>
    <cellStyle name="Calculation 7 10 3 6" xfId="41072" xr:uid="{00000000-0005-0000-0000-000051A00000}"/>
    <cellStyle name="Calculation 7 10 4" xfId="41073" xr:uid="{00000000-0005-0000-0000-000052A00000}"/>
    <cellStyle name="Calculation 7 10 4 2" xfId="41074" xr:uid="{00000000-0005-0000-0000-000053A00000}"/>
    <cellStyle name="Calculation 7 10 4 3" xfId="41075" xr:uid="{00000000-0005-0000-0000-000054A00000}"/>
    <cellStyle name="Calculation 7 10 4 4" xfId="41076" xr:uid="{00000000-0005-0000-0000-000055A00000}"/>
    <cellStyle name="Calculation 7 10 4 5" xfId="41077" xr:uid="{00000000-0005-0000-0000-000056A00000}"/>
    <cellStyle name="Calculation 7 10 4 6" xfId="41078" xr:uid="{00000000-0005-0000-0000-000057A00000}"/>
    <cellStyle name="Calculation 7 10 5" xfId="41079" xr:uid="{00000000-0005-0000-0000-000058A00000}"/>
    <cellStyle name="Calculation 7 10 5 2" xfId="41080" xr:uid="{00000000-0005-0000-0000-000059A00000}"/>
    <cellStyle name="Calculation 7 10 5 3" xfId="41081" xr:uid="{00000000-0005-0000-0000-00005AA00000}"/>
    <cellStyle name="Calculation 7 10 5 4" xfId="41082" xr:uid="{00000000-0005-0000-0000-00005BA00000}"/>
    <cellStyle name="Calculation 7 10 5 5" xfId="41083" xr:uid="{00000000-0005-0000-0000-00005CA00000}"/>
    <cellStyle name="Calculation 7 10 5 6" xfId="41084" xr:uid="{00000000-0005-0000-0000-00005DA00000}"/>
    <cellStyle name="Calculation 7 10 6" xfId="41085" xr:uid="{00000000-0005-0000-0000-00005EA00000}"/>
    <cellStyle name="Calculation 7 10 6 2" xfId="41086" xr:uid="{00000000-0005-0000-0000-00005FA00000}"/>
    <cellStyle name="Calculation 7 10 6 3" xfId="41087" xr:uid="{00000000-0005-0000-0000-000060A00000}"/>
    <cellStyle name="Calculation 7 10 6 4" xfId="41088" xr:uid="{00000000-0005-0000-0000-000061A00000}"/>
    <cellStyle name="Calculation 7 10 6 5" xfId="41089" xr:uid="{00000000-0005-0000-0000-000062A00000}"/>
    <cellStyle name="Calculation 7 10 6 6" xfId="41090" xr:uid="{00000000-0005-0000-0000-000063A00000}"/>
    <cellStyle name="Calculation 7 10 7" xfId="41091" xr:uid="{00000000-0005-0000-0000-000064A00000}"/>
    <cellStyle name="Calculation 7 10 7 2" xfId="41092" xr:uid="{00000000-0005-0000-0000-000065A00000}"/>
    <cellStyle name="Calculation 7 10 7 3" xfId="41093" xr:uid="{00000000-0005-0000-0000-000066A00000}"/>
    <cellStyle name="Calculation 7 10 7 4" xfId="41094" xr:uid="{00000000-0005-0000-0000-000067A00000}"/>
    <cellStyle name="Calculation 7 10 7 5" xfId="41095" xr:uid="{00000000-0005-0000-0000-000068A00000}"/>
    <cellStyle name="Calculation 7 10 7 6" xfId="41096" xr:uid="{00000000-0005-0000-0000-000069A00000}"/>
    <cellStyle name="Calculation 7 10 8" xfId="41097" xr:uid="{00000000-0005-0000-0000-00006AA00000}"/>
    <cellStyle name="Calculation 7 10 9" xfId="41098" xr:uid="{00000000-0005-0000-0000-00006BA00000}"/>
    <cellStyle name="Calculation 7 11" xfId="41099" xr:uid="{00000000-0005-0000-0000-00006CA00000}"/>
    <cellStyle name="Calculation 7 11 10" xfId="41100" xr:uid="{00000000-0005-0000-0000-00006DA00000}"/>
    <cellStyle name="Calculation 7 11 2" xfId="41101" xr:uid="{00000000-0005-0000-0000-00006EA00000}"/>
    <cellStyle name="Calculation 7 11 2 2" xfId="41102" xr:uid="{00000000-0005-0000-0000-00006FA00000}"/>
    <cellStyle name="Calculation 7 11 2 3" xfId="41103" xr:uid="{00000000-0005-0000-0000-000070A00000}"/>
    <cellStyle name="Calculation 7 11 2 4" xfId="41104" xr:uid="{00000000-0005-0000-0000-000071A00000}"/>
    <cellStyle name="Calculation 7 11 2 5" xfId="41105" xr:uid="{00000000-0005-0000-0000-000072A00000}"/>
    <cellStyle name="Calculation 7 11 2 6" xfId="41106" xr:uid="{00000000-0005-0000-0000-000073A00000}"/>
    <cellStyle name="Calculation 7 11 3" xfId="41107" xr:uid="{00000000-0005-0000-0000-000074A00000}"/>
    <cellStyle name="Calculation 7 11 3 2" xfId="41108" xr:uid="{00000000-0005-0000-0000-000075A00000}"/>
    <cellStyle name="Calculation 7 11 3 3" xfId="41109" xr:uid="{00000000-0005-0000-0000-000076A00000}"/>
    <cellStyle name="Calculation 7 11 3 4" xfId="41110" xr:uid="{00000000-0005-0000-0000-000077A00000}"/>
    <cellStyle name="Calculation 7 11 3 5" xfId="41111" xr:uid="{00000000-0005-0000-0000-000078A00000}"/>
    <cellStyle name="Calculation 7 11 3 6" xfId="41112" xr:uid="{00000000-0005-0000-0000-000079A00000}"/>
    <cellStyle name="Calculation 7 11 4" xfId="41113" xr:uid="{00000000-0005-0000-0000-00007AA00000}"/>
    <cellStyle name="Calculation 7 11 4 2" xfId="41114" xr:uid="{00000000-0005-0000-0000-00007BA00000}"/>
    <cellStyle name="Calculation 7 11 4 3" xfId="41115" xr:uid="{00000000-0005-0000-0000-00007CA00000}"/>
    <cellStyle name="Calculation 7 11 4 4" xfId="41116" xr:uid="{00000000-0005-0000-0000-00007DA00000}"/>
    <cellStyle name="Calculation 7 11 4 5" xfId="41117" xr:uid="{00000000-0005-0000-0000-00007EA00000}"/>
    <cellStyle name="Calculation 7 11 4 6" xfId="41118" xr:uid="{00000000-0005-0000-0000-00007FA00000}"/>
    <cellStyle name="Calculation 7 11 5" xfId="41119" xr:uid="{00000000-0005-0000-0000-000080A00000}"/>
    <cellStyle name="Calculation 7 11 5 2" xfId="41120" xr:uid="{00000000-0005-0000-0000-000081A00000}"/>
    <cellStyle name="Calculation 7 11 5 3" xfId="41121" xr:uid="{00000000-0005-0000-0000-000082A00000}"/>
    <cellStyle name="Calculation 7 11 5 4" xfId="41122" xr:uid="{00000000-0005-0000-0000-000083A00000}"/>
    <cellStyle name="Calculation 7 11 5 5" xfId="41123" xr:uid="{00000000-0005-0000-0000-000084A00000}"/>
    <cellStyle name="Calculation 7 11 5 6" xfId="41124" xr:uid="{00000000-0005-0000-0000-000085A00000}"/>
    <cellStyle name="Calculation 7 11 6" xfId="41125" xr:uid="{00000000-0005-0000-0000-000086A00000}"/>
    <cellStyle name="Calculation 7 11 6 2" xfId="41126" xr:uid="{00000000-0005-0000-0000-000087A00000}"/>
    <cellStyle name="Calculation 7 11 6 3" xfId="41127" xr:uid="{00000000-0005-0000-0000-000088A00000}"/>
    <cellStyle name="Calculation 7 11 6 4" xfId="41128" xr:uid="{00000000-0005-0000-0000-000089A00000}"/>
    <cellStyle name="Calculation 7 11 6 5" xfId="41129" xr:uid="{00000000-0005-0000-0000-00008AA00000}"/>
    <cellStyle name="Calculation 7 11 6 6" xfId="41130" xr:uid="{00000000-0005-0000-0000-00008BA00000}"/>
    <cellStyle name="Calculation 7 11 7" xfId="41131" xr:uid="{00000000-0005-0000-0000-00008CA00000}"/>
    <cellStyle name="Calculation 7 11 7 2" xfId="41132" xr:uid="{00000000-0005-0000-0000-00008DA00000}"/>
    <cellStyle name="Calculation 7 11 7 3" xfId="41133" xr:uid="{00000000-0005-0000-0000-00008EA00000}"/>
    <cellStyle name="Calculation 7 11 7 4" xfId="41134" xr:uid="{00000000-0005-0000-0000-00008FA00000}"/>
    <cellStyle name="Calculation 7 11 7 5" xfId="41135" xr:uid="{00000000-0005-0000-0000-000090A00000}"/>
    <cellStyle name="Calculation 7 11 7 6" xfId="41136" xr:uid="{00000000-0005-0000-0000-000091A00000}"/>
    <cellStyle name="Calculation 7 11 8" xfId="41137" xr:uid="{00000000-0005-0000-0000-000092A00000}"/>
    <cellStyle name="Calculation 7 11 9" xfId="41138" xr:uid="{00000000-0005-0000-0000-000093A00000}"/>
    <cellStyle name="Calculation 7 12" xfId="41139" xr:uid="{00000000-0005-0000-0000-000094A00000}"/>
    <cellStyle name="Calculation 7 12 10" xfId="41140" xr:uid="{00000000-0005-0000-0000-000095A00000}"/>
    <cellStyle name="Calculation 7 12 2" xfId="41141" xr:uid="{00000000-0005-0000-0000-000096A00000}"/>
    <cellStyle name="Calculation 7 12 2 2" xfId="41142" xr:uid="{00000000-0005-0000-0000-000097A00000}"/>
    <cellStyle name="Calculation 7 12 2 3" xfId="41143" xr:uid="{00000000-0005-0000-0000-000098A00000}"/>
    <cellStyle name="Calculation 7 12 2 4" xfId="41144" xr:uid="{00000000-0005-0000-0000-000099A00000}"/>
    <cellStyle name="Calculation 7 12 2 5" xfId="41145" xr:uid="{00000000-0005-0000-0000-00009AA00000}"/>
    <cellStyle name="Calculation 7 12 2 6" xfId="41146" xr:uid="{00000000-0005-0000-0000-00009BA00000}"/>
    <cellStyle name="Calculation 7 12 3" xfId="41147" xr:uid="{00000000-0005-0000-0000-00009CA00000}"/>
    <cellStyle name="Calculation 7 12 3 2" xfId="41148" xr:uid="{00000000-0005-0000-0000-00009DA00000}"/>
    <cellStyle name="Calculation 7 12 3 3" xfId="41149" xr:uid="{00000000-0005-0000-0000-00009EA00000}"/>
    <cellStyle name="Calculation 7 12 3 4" xfId="41150" xr:uid="{00000000-0005-0000-0000-00009FA00000}"/>
    <cellStyle name="Calculation 7 12 3 5" xfId="41151" xr:uid="{00000000-0005-0000-0000-0000A0A00000}"/>
    <cellStyle name="Calculation 7 12 3 6" xfId="41152" xr:uid="{00000000-0005-0000-0000-0000A1A00000}"/>
    <cellStyle name="Calculation 7 12 4" xfId="41153" xr:uid="{00000000-0005-0000-0000-0000A2A00000}"/>
    <cellStyle name="Calculation 7 12 4 2" xfId="41154" xr:uid="{00000000-0005-0000-0000-0000A3A00000}"/>
    <cellStyle name="Calculation 7 12 4 3" xfId="41155" xr:uid="{00000000-0005-0000-0000-0000A4A00000}"/>
    <cellStyle name="Calculation 7 12 4 4" xfId="41156" xr:uid="{00000000-0005-0000-0000-0000A5A00000}"/>
    <cellStyle name="Calculation 7 12 4 5" xfId="41157" xr:uid="{00000000-0005-0000-0000-0000A6A00000}"/>
    <cellStyle name="Calculation 7 12 4 6" xfId="41158" xr:uid="{00000000-0005-0000-0000-0000A7A00000}"/>
    <cellStyle name="Calculation 7 12 5" xfId="41159" xr:uid="{00000000-0005-0000-0000-0000A8A00000}"/>
    <cellStyle name="Calculation 7 12 5 2" xfId="41160" xr:uid="{00000000-0005-0000-0000-0000A9A00000}"/>
    <cellStyle name="Calculation 7 12 5 3" xfId="41161" xr:uid="{00000000-0005-0000-0000-0000AAA00000}"/>
    <cellStyle name="Calculation 7 12 5 4" xfId="41162" xr:uid="{00000000-0005-0000-0000-0000ABA00000}"/>
    <cellStyle name="Calculation 7 12 5 5" xfId="41163" xr:uid="{00000000-0005-0000-0000-0000ACA00000}"/>
    <cellStyle name="Calculation 7 12 5 6" xfId="41164" xr:uid="{00000000-0005-0000-0000-0000ADA00000}"/>
    <cellStyle name="Calculation 7 12 6" xfId="41165" xr:uid="{00000000-0005-0000-0000-0000AEA00000}"/>
    <cellStyle name="Calculation 7 12 6 2" xfId="41166" xr:uid="{00000000-0005-0000-0000-0000AFA00000}"/>
    <cellStyle name="Calculation 7 12 6 3" xfId="41167" xr:uid="{00000000-0005-0000-0000-0000B0A00000}"/>
    <cellStyle name="Calculation 7 12 6 4" xfId="41168" xr:uid="{00000000-0005-0000-0000-0000B1A00000}"/>
    <cellStyle name="Calculation 7 12 6 5" xfId="41169" xr:uid="{00000000-0005-0000-0000-0000B2A00000}"/>
    <cellStyle name="Calculation 7 12 6 6" xfId="41170" xr:uid="{00000000-0005-0000-0000-0000B3A00000}"/>
    <cellStyle name="Calculation 7 12 7" xfId="41171" xr:uid="{00000000-0005-0000-0000-0000B4A00000}"/>
    <cellStyle name="Calculation 7 12 7 2" xfId="41172" xr:uid="{00000000-0005-0000-0000-0000B5A00000}"/>
    <cellStyle name="Calculation 7 12 7 3" xfId="41173" xr:uid="{00000000-0005-0000-0000-0000B6A00000}"/>
    <cellStyle name="Calculation 7 12 7 4" xfId="41174" xr:uid="{00000000-0005-0000-0000-0000B7A00000}"/>
    <cellStyle name="Calculation 7 12 7 5" xfId="41175" xr:uid="{00000000-0005-0000-0000-0000B8A00000}"/>
    <cellStyle name="Calculation 7 12 7 6" xfId="41176" xr:uid="{00000000-0005-0000-0000-0000B9A00000}"/>
    <cellStyle name="Calculation 7 12 8" xfId="41177" xr:uid="{00000000-0005-0000-0000-0000BAA00000}"/>
    <cellStyle name="Calculation 7 12 9" xfId="41178" xr:uid="{00000000-0005-0000-0000-0000BBA00000}"/>
    <cellStyle name="Calculation 7 13" xfId="41179" xr:uid="{00000000-0005-0000-0000-0000BCA00000}"/>
    <cellStyle name="Calculation 7 13 10" xfId="41180" xr:uid="{00000000-0005-0000-0000-0000BDA00000}"/>
    <cellStyle name="Calculation 7 13 2" xfId="41181" xr:uid="{00000000-0005-0000-0000-0000BEA00000}"/>
    <cellStyle name="Calculation 7 13 2 2" xfId="41182" xr:uid="{00000000-0005-0000-0000-0000BFA00000}"/>
    <cellStyle name="Calculation 7 13 2 3" xfId="41183" xr:uid="{00000000-0005-0000-0000-0000C0A00000}"/>
    <cellStyle name="Calculation 7 13 2 4" xfId="41184" xr:uid="{00000000-0005-0000-0000-0000C1A00000}"/>
    <cellStyle name="Calculation 7 13 2 5" xfId="41185" xr:uid="{00000000-0005-0000-0000-0000C2A00000}"/>
    <cellStyle name="Calculation 7 13 2 6" xfId="41186" xr:uid="{00000000-0005-0000-0000-0000C3A00000}"/>
    <cellStyle name="Calculation 7 13 3" xfId="41187" xr:uid="{00000000-0005-0000-0000-0000C4A00000}"/>
    <cellStyle name="Calculation 7 13 3 2" xfId="41188" xr:uid="{00000000-0005-0000-0000-0000C5A00000}"/>
    <cellStyle name="Calculation 7 13 3 3" xfId="41189" xr:uid="{00000000-0005-0000-0000-0000C6A00000}"/>
    <cellStyle name="Calculation 7 13 3 4" xfId="41190" xr:uid="{00000000-0005-0000-0000-0000C7A00000}"/>
    <cellStyle name="Calculation 7 13 3 5" xfId="41191" xr:uid="{00000000-0005-0000-0000-0000C8A00000}"/>
    <cellStyle name="Calculation 7 13 3 6" xfId="41192" xr:uid="{00000000-0005-0000-0000-0000C9A00000}"/>
    <cellStyle name="Calculation 7 13 4" xfId="41193" xr:uid="{00000000-0005-0000-0000-0000CAA00000}"/>
    <cellStyle name="Calculation 7 13 4 2" xfId="41194" xr:uid="{00000000-0005-0000-0000-0000CBA00000}"/>
    <cellStyle name="Calculation 7 13 4 3" xfId="41195" xr:uid="{00000000-0005-0000-0000-0000CCA00000}"/>
    <cellStyle name="Calculation 7 13 4 4" xfId="41196" xr:uid="{00000000-0005-0000-0000-0000CDA00000}"/>
    <cellStyle name="Calculation 7 13 4 5" xfId="41197" xr:uid="{00000000-0005-0000-0000-0000CEA00000}"/>
    <cellStyle name="Calculation 7 13 4 6" xfId="41198" xr:uid="{00000000-0005-0000-0000-0000CFA00000}"/>
    <cellStyle name="Calculation 7 13 5" xfId="41199" xr:uid="{00000000-0005-0000-0000-0000D0A00000}"/>
    <cellStyle name="Calculation 7 13 5 2" xfId="41200" xr:uid="{00000000-0005-0000-0000-0000D1A00000}"/>
    <cellStyle name="Calculation 7 13 5 3" xfId="41201" xr:uid="{00000000-0005-0000-0000-0000D2A00000}"/>
    <cellStyle name="Calculation 7 13 5 4" xfId="41202" xr:uid="{00000000-0005-0000-0000-0000D3A00000}"/>
    <cellStyle name="Calculation 7 13 5 5" xfId="41203" xr:uid="{00000000-0005-0000-0000-0000D4A00000}"/>
    <cellStyle name="Calculation 7 13 5 6" xfId="41204" xr:uid="{00000000-0005-0000-0000-0000D5A00000}"/>
    <cellStyle name="Calculation 7 13 6" xfId="41205" xr:uid="{00000000-0005-0000-0000-0000D6A00000}"/>
    <cellStyle name="Calculation 7 13 6 2" xfId="41206" xr:uid="{00000000-0005-0000-0000-0000D7A00000}"/>
    <cellStyle name="Calculation 7 13 6 3" xfId="41207" xr:uid="{00000000-0005-0000-0000-0000D8A00000}"/>
    <cellStyle name="Calculation 7 13 6 4" xfId="41208" xr:uid="{00000000-0005-0000-0000-0000D9A00000}"/>
    <cellStyle name="Calculation 7 13 6 5" xfId="41209" xr:uid="{00000000-0005-0000-0000-0000DAA00000}"/>
    <cellStyle name="Calculation 7 13 6 6" xfId="41210" xr:uid="{00000000-0005-0000-0000-0000DBA00000}"/>
    <cellStyle name="Calculation 7 13 7" xfId="41211" xr:uid="{00000000-0005-0000-0000-0000DCA00000}"/>
    <cellStyle name="Calculation 7 13 7 2" xfId="41212" xr:uid="{00000000-0005-0000-0000-0000DDA00000}"/>
    <cellStyle name="Calculation 7 13 7 3" xfId="41213" xr:uid="{00000000-0005-0000-0000-0000DEA00000}"/>
    <cellStyle name="Calculation 7 13 7 4" xfId="41214" xr:uid="{00000000-0005-0000-0000-0000DFA00000}"/>
    <cellStyle name="Calculation 7 13 7 5" xfId="41215" xr:uid="{00000000-0005-0000-0000-0000E0A00000}"/>
    <cellStyle name="Calculation 7 13 7 6" xfId="41216" xr:uid="{00000000-0005-0000-0000-0000E1A00000}"/>
    <cellStyle name="Calculation 7 13 8" xfId="41217" xr:uid="{00000000-0005-0000-0000-0000E2A00000}"/>
    <cellStyle name="Calculation 7 13 9" xfId="41218" xr:uid="{00000000-0005-0000-0000-0000E3A00000}"/>
    <cellStyle name="Calculation 7 14" xfId="41219" xr:uid="{00000000-0005-0000-0000-0000E4A00000}"/>
    <cellStyle name="Calculation 7 14 10" xfId="41220" xr:uid="{00000000-0005-0000-0000-0000E5A00000}"/>
    <cellStyle name="Calculation 7 14 2" xfId="41221" xr:uid="{00000000-0005-0000-0000-0000E6A00000}"/>
    <cellStyle name="Calculation 7 14 2 2" xfId="41222" xr:uid="{00000000-0005-0000-0000-0000E7A00000}"/>
    <cellStyle name="Calculation 7 14 2 3" xfId="41223" xr:uid="{00000000-0005-0000-0000-0000E8A00000}"/>
    <cellStyle name="Calculation 7 14 2 4" xfId="41224" xr:uid="{00000000-0005-0000-0000-0000E9A00000}"/>
    <cellStyle name="Calculation 7 14 2 5" xfId="41225" xr:uid="{00000000-0005-0000-0000-0000EAA00000}"/>
    <cellStyle name="Calculation 7 14 2 6" xfId="41226" xr:uid="{00000000-0005-0000-0000-0000EBA00000}"/>
    <cellStyle name="Calculation 7 14 3" xfId="41227" xr:uid="{00000000-0005-0000-0000-0000ECA00000}"/>
    <cellStyle name="Calculation 7 14 3 2" xfId="41228" xr:uid="{00000000-0005-0000-0000-0000EDA00000}"/>
    <cellStyle name="Calculation 7 14 3 3" xfId="41229" xr:uid="{00000000-0005-0000-0000-0000EEA00000}"/>
    <cellStyle name="Calculation 7 14 3 4" xfId="41230" xr:uid="{00000000-0005-0000-0000-0000EFA00000}"/>
    <cellStyle name="Calculation 7 14 3 5" xfId="41231" xr:uid="{00000000-0005-0000-0000-0000F0A00000}"/>
    <cellStyle name="Calculation 7 14 3 6" xfId="41232" xr:uid="{00000000-0005-0000-0000-0000F1A00000}"/>
    <cellStyle name="Calculation 7 14 4" xfId="41233" xr:uid="{00000000-0005-0000-0000-0000F2A00000}"/>
    <cellStyle name="Calculation 7 14 4 2" xfId="41234" xr:uid="{00000000-0005-0000-0000-0000F3A00000}"/>
    <cellStyle name="Calculation 7 14 4 3" xfId="41235" xr:uid="{00000000-0005-0000-0000-0000F4A00000}"/>
    <cellStyle name="Calculation 7 14 4 4" xfId="41236" xr:uid="{00000000-0005-0000-0000-0000F5A00000}"/>
    <cellStyle name="Calculation 7 14 4 5" xfId="41237" xr:uid="{00000000-0005-0000-0000-0000F6A00000}"/>
    <cellStyle name="Calculation 7 14 4 6" xfId="41238" xr:uid="{00000000-0005-0000-0000-0000F7A00000}"/>
    <cellStyle name="Calculation 7 14 5" xfId="41239" xr:uid="{00000000-0005-0000-0000-0000F8A00000}"/>
    <cellStyle name="Calculation 7 14 5 2" xfId="41240" xr:uid="{00000000-0005-0000-0000-0000F9A00000}"/>
    <cellStyle name="Calculation 7 14 5 3" xfId="41241" xr:uid="{00000000-0005-0000-0000-0000FAA00000}"/>
    <cellStyle name="Calculation 7 14 5 4" xfId="41242" xr:uid="{00000000-0005-0000-0000-0000FBA00000}"/>
    <cellStyle name="Calculation 7 14 5 5" xfId="41243" xr:uid="{00000000-0005-0000-0000-0000FCA00000}"/>
    <cellStyle name="Calculation 7 14 5 6" xfId="41244" xr:uid="{00000000-0005-0000-0000-0000FDA00000}"/>
    <cellStyle name="Calculation 7 14 6" xfId="41245" xr:uid="{00000000-0005-0000-0000-0000FEA00000}"/>
    <cellStyle name="Calculation 7 14 6 2" xfId="41246" xr:uid="{00000000-0005-0000-0000-0000FFA00000}"/>
    <cellStyle name="Calculation 7 14 6 3" xfId="41247" xr:uid="{00000000-0005-0000-0000-000000A10000}"/>
    <cellStyle name="Calculation 7 14 6 4" xfId="41248" xr:uid="{00000000-0005-0000-0000-000001A10000}"/>
    <cellStyle name="Calculation 7 14 6 5" xfId="41249" xr:uid="{00000000-0005-0000-0000-000002A10000}"/>
    <cellStyle name="Calculation 7 14 6 6" xfId="41250" xr:uid="{00000000-0005-0000-0000-000003A10000}"/>
    <cellStyle name="Calculation 7 14 7" xfId="41251" xr:uid="{00000000-0005-0000-0000-000004A10000}"/>
    <cellStyle name="Calculation 7 14 7 2" xfId="41252" xr:uid="{00000000-0005-0000-0000-000005A10000}"/>
    <cellStyle name="Calculation 7 14 7 3" xfId="41253" xr:uid="{00000000-0005-0000-0000-000006A10000}"/>
    <cellStyle name="Calculation 7 14 7 4" xfId="41254" xr:uid="{00000000-0005-0000-0000-000007A10000}"/>
    <cellStyle name="Calculation 7 14 7 5" xfId="41255" xr:uid="{00000000-0005-0000-0000-000008A10000}"/>
    <cellStyle name="Calculation 7 14 7 6" xfId="41256" xr:uid="{00000000-0005-0000-0000-000009A10000}"/>
    <cellStyle name="Calculation 7 14 8" xfId="41257" xr:uid="{00000000-0005-0000-0000-00000AA10000}"/>
    <cellStyle name="Calculation 7 14 9" xfId="41258" xr:uid="{00000000-0005-0000-0000-00000BA10000}"/>
    <cellStyle name="Calculation 7 15" xfId="41259" xr:uid="{00000000-0005-0000-0000-00000CA10000}"/>
    <cellStyle name="Calculation 7 15 10" xfId="41260" xr:uid="{00000000-0005-0000-0000-00000DA10000}"/>
    <cellStyle name="Calculation 7 15 2" xfId="41261" xr:uid="{00000000-0005-0000-0000-00000EA10000}"/>
    <cellStyle name="Calculation 7 15 2 2" xfId="41262" xr:uid="{00000000-0005-0000-0000-00000FA10000}"/>
    <cellStyle name="Calculation 7 15 2 3" xfId="41263" xr:uid="{00000000-0005-0000-0000-000010A10000}"/>
    <cellStyle name="Calculation 7 15 2 4" xfId="41264" xr:uid="{00000000-0005-0000-0000-000011A10000}"/>
    <cellStyle name="Calculation 7 15 2 5" xfId="41265" xr:uid="{00000000-0005-0000-0000-000012A10000}"/>
    <cellStyle name="Calculation 7 15 2 6" xfId="41266" xr:uid="{00000000-0005-0000-0000-000013A10000}"/>
    <cellStyle name="Calculation 7 15 3" xfId="41267" xr:uid="{00000000-0005-0000-0000-000014A10000}"/>
    <cellStyle name="Calculation 7 15 3 2" xfId="41268" xr:uid="{00000000-0005-0000-0000-000015A10000}"/>
    <cellStyle name="Calculation 7 15 3 3" xfId="41269" xr:uid="{00000000-0005-0000-0000-000016A10000}"/>
    <cellStyle name="Calculation 7 15 3 4" xfId="41270" xr:uid="{00000000-0005-0000-0000-000017A10000}"/>
    <cellStyle name="Calculation 7 15 3 5" xfId="41271" xr:uid="{00000000-0005-0000-0000-000018A10000}"/>
    <cellStyle name="Calculation 7 15 3 6" xfId="41272" xr:uid="{00000000-0005-0000-0000-000019A10000}"/>
    <cellStyle name="Calculation 7 15 4" xfId="41273" xr:uid="{00000000-0005-0000-0000-00001AA10000}"/>
    <cellStyle name="Calculation 7 15 4 2" xfId="41274" xr:uid="{00000000-0005-0000-0000-00001BA10000}"/>
    <cellStyle name="Calculation 7 15 4 3" xfId="41275" xr:uid="{00000000-0005-0000-0000-00001CA10000}"/>
    <cellStyle name="Calculation 7 15 4 4" xfId="41276" xr:uid="{00000000-0005-0000-0000-00001DA10000}"/>
    <cellStyle name="Calculation 7 15 4 5" xfId="41277" xr:uid="{00000000-0005-0000-0000-00001EA10000}"/>
    <cellStyle name="Calculation 7 15 4 6" xfId="41278" xr:uid="{00000000-0005-0000-0000-00001FA10000}"/>
    <cellStyle name="Calculation 7 15 5" xfId="41279" xr:uid="{00000000-0005-0000-0000-000020A10000}"/>
    <cellStyle name="Calculation 7 15 5 2" xfId="41280" xr:uid="{00000000-0005-0000-0000-000021A10000}"/>
    <cellStyle name="Calculation 7 15 5 3" xfId="41281" xr:uid="{00000000-0005-0000-0000-000022A10000}"/>
    <cellStyle name="Calculation 7 15 5 4" xfId="41282" xr:uid="{00000000-0005-0000-0000-000023A10000}"/>
    <cellStyle name="Calculation 7 15 5 5" xfId="41283" xr:uid="{00000000-0005-0000-0000-000024A10000}"/>
    <cellStyle name="Calculation 7 15 5 6" xfId="41284" xr:uid="{00000000-0005-0000-0000-000025A10000}"/>
    <cellStyle name="Calculation 7 15 6" xfId="41285" xr:uid="{00000000-0005-0000-0000-000026A10000}"/>
    <cellStyle name="Calculation 7 15 6 2" xfId="41286" xr:uid="{00000000-0005-0000-0000-000027A10000}"/>
    <cellStyle name="Calculation 7 15 6 3" xfId="41287" xr:uid="{00000000-0005-0000-0000-000028A10000}"/>
    <cellStyle name="Calculation 7 15 6 4" xfId="41288" xr:uid="{00000000-0005-0000-0000-000029A10000}"/>
    <cellStyle name="Calculation 7 15 6 5" xfId="41289" xr:uid="{00000000-0005-0000-0000-00002AA10000}"/>
    <cellStyle name="Calculation 7 15 6 6" xfId="41290" xr:uid="{00000000-0005-0000-0000-00002BA10000}"/>
    <cellStyle name="Calculation 7 15 7" xfId="41291" xr:uid="{00000000-0005-0000-0000-00002CA10000}"/>
    <cellStyle name="Calculation 7 15 7 2" xfId="41292" xr:uid="{00000000-0005-0000-0000-00002DA10000}"/>
    <cellStyle name="Calculation 7 15 7 3" xfId="41293" xr:uid="{00000000-0005-0000-0000-00002EA10000}"/>
    <cellStyle name="Calculation 7 15 7 4" xfId="41294" xr:uid="{00000000-0005-0000-0000-00002FA10000}"/>
    <cellStyle name="Calculation 7 15 7 5" xfId="41295" xr:uid="{00000000-0005-0000-0000-000030A10000}"/>
    <cellStyle name="Calculation 7 15 7 6" xfId="41296" xr:uid="{00000000-0005-0000-0000-000031A10000}"/>
    <cellStyle name="Calculation 7 15 8" xfId="41297" xr:uid="{00000000-0005-0000-0000-000032A10000}"/>
    <cellStyle name="Calculation 7 15 9" xfId="41298" xr:uid="{00000000-0005-0000-0000-000033A10000}"/>
    <cellStyle name="Calculation 7 16" xfId="41299" xr:uid="{00000000-0005-0000-0000-000034A10000}"/>
    <cellStyle name="Calculation 7 16 10" xfId="41300" xr:uid="{00000000-0005-0000-0000-000035A10000}"/>
    <cellStyle name="Calculation 7 16 2" xfId="41301" xr:uid="{00000000-0005-0000-0000-000036A10000}"/>
    <cellStyle name="Calculation 7 16 2 2" xfId="41302" xr:uid="{00000000-0005-0000-0000-000037A10000}"/>
    <cellStyle name="Calculation 7 16 2 3" xfId="41303" xr:uid="{00000000-0005-0000-0000-000038A10000}"/>
    <cellStyle name="Calculation 7 16 2 4" xfId="41304" xr:uid="{00000000-0005-0000-0000-000039A10000}"/>
    <cellStyle name="Calculation 7 16 2 5" xfId="41305" xr:uid="{00000000-0005-0000-0000-00003AA10000}"/>
    <cellStyle name="Calculation 7 16 2 6" xfId="41306" xr:uid="{00000000-0005-0000-0000-00003BA10000}"/>
    <cellStyle name="Calculation 7 16 3" xfId="41307" xr:uid="{00000000-0005-0000-0000-00003CA10000}"/>
    <cellStyle name="Calculation 7 16 3 2" xfId="41308" xr:uid="{00000000-0005-0000-0000-00003DA10000}"/>
    <cellStyle name="Calculation 7 16 3 3" xfId="41309" xr:uid="{00000000-0005-0000-0000-00003EA10000}"/>
    <cellStyle name="Calculation 7 16 3 4" xfId="41310" xr:uid="{00000000-0005-0000-0000-00003FA10000}"/>
    <cellStyle name="Calculation 7 16 3 5" xfId="41311" xr:uid="{00000000-0005-0000-0000-000040A10000}"/>
    <cellStyle name="Calculation 7 16 3 6" xfId="41312" xr:uid="{00000000-0005-0000-0000-000041A10000}"/>
    <cellStyle name="Calculation 7 16 4" xfId="41313" xr:uid="{00000000-0005-0000-0000-000042A10000}"/>
    <cellStyle name="Calculation 7 16 4 2" xfId="41314" xr:uid="{00000000-0005-0000-0000-000043A10000}"/>
    <cellStyle name="Calculation 7 16 4 3" xfId="41315" xr:uid="{00000000-0005-0000-0000-000044A10000}"/>
    <cellStyle name="Calculation 7 16 4 4" xfId="41316" xr:uid="{00000000-0005-0000-0000-000045A10000}"/>
    <cellStyle name="Calculation 7 16 4 5" xfId="41317" xr:uid="{00000000-0005-0000-0000-000046A10000}"/>
    <cellStyle name="Calculation 7 16 4 6" xfId="41318" xr:uid="{00000000-0005-0000-0000-000047A10000}"/>
    <cellStyle name="Calculation 7 16 5" xfId="41319" xr:uid="{00000000-0005-0000-0000-000048A10000}"/>
    <cellStyle name="Calculation 7 16 5 2" xfId="41320" xr:uid="{00000000-0005-0000-0000-000049A10000}"/>
    <cellStyle name="Calculation 7 16 5 3" xfId="41321" xr:uid="{00000000-0005-0000-0000-00004AA10000}"/>
    <cellStyle name="Calculation 7 16 5 4" xfId="41322" xr:uid="{00000000-0005-0000-0000-00004BA10000}"/>
    <cellStyle name="Calculation 7 16 5 5" xfId="41323" xr:uid="{00000000-0005-0000-0000-00004CA10000}"/>
    <cellStyle name="Calculation 7 16 5 6" xfId="41324" xr:uid="{00000000-0005-0000-0000-00004DA10000}"/>
    <cellStyle name="Calculation 7 16 6" xfId="41325" xr:uid="{00000000-0005-0000-0000-00004EA10000}"/>
    <cellStyle name="Calculation 7 16 6 2" xfId="41326" xr:uid="{00000000-0005-0000-0000-00004FA10000}"/>
    <cellStyle name="Calculation 7 16 6 3" xfId="41327" xr:uid="{00000000-0005-0000-0000-000050A10000}"/>
    <cellStyle name="Calculation 7 16 6 4" xfId="41328" xr:uid="{00000000-0005-0000-0000-000051A10000}"/>
    <cellStyle name="Calculation 7 16 6 5" xfId="41329" xr:uid="{00000000-0005-0000-0000-000052A10000}"/>
    <cellStyle name="Calculation 7 16 6 6" xfId="41330" xr:uid="{00000000-0005-0000-0000-000053A10000}"/>
    <cellStyle name="Calculation 7 16 7" xfId="41331" xr:uid="{00000000-0005-0000-0000-000054A10000}"/>
    <cellStyle name="Calculation 7 16 7 2" xfId="41332" xr:uid="{00000000-0005-0000-0000-000055A10000}"/>
    <cellStyle name="Calculation 7 16 7 3" xfId="41333" xr:uid="{00000000-0005-0000-0000-000056A10000}"/>
    <cellStyle name="Calculation 7 16 7 4" xfId="41334" xr:uid="{00000000-0005-0000-0000-000057A10000}"/>
    <cellStyle name="Calculation 7 16 7 5" xfId="41335" xr:uid="{00000000-0005-0000-0000-000058A10000}"/>
    <cellStyle name="Calculation 7 16 7 6" xfId="41336" xr:uid="{00000000-0005-0000-0000-000059A10000}"/>
    <cellStyle name="Calculation 7 16 8" xfId="41337" xr:uid="{00000000-0005-0000-0000-00005AA10000}"/>
    <cellStyle name="Calculation 7 16 9" xfId="41338" xr:uid="{00000000-0005-0000-0000-00005BA10000}"/>
    <cellStyle name="Calculation 7 17" xfId="41339" xr:uid="{00000000-0005-0000-0000-00005CA10000}"/>
    <cellStyle name="Calculation 7 17 10" xfId="41340" xr:uid="{00000000-0005-0000-0000-00005DA10000}"/>
    <cellStyle name="Calculation 7 17 2" xfId="41341" xr:uid="{00000000-0005-0000-0000-00005EA10000}"/>
    <cellStyle name="Calculation 7 17 2 2" xfId="41342" xr:uid="{00000000-0005-0000-0000-00005FA10000}"/>
    <cellStyle name="Calculation 7 17 2 3" xfId="41343" xr:uid="{00000000-0005-0000-0000-000060A10000}"/>
    <cellStyle name="Calculation 7 17 2 4" xfId="41344" xr:uid="{00000000-0005-0000-0000-000061A10000}"/>
    <cellStyle name="Calculation 7 17 2 5" xfId="41345" xr:uid="{00000000-0005-0000-0000-000062A10000}"/>
    <cellStyle name="Calculation 7 17 2 6" xfId="41346" xr:uid="{00000000-0005-0000-0000-000063A10000}"/>
    <cellStyle name="Calculation 7 17 3" xfId="41347" xr:uid="{00000000-0005-0000-0000-000064A10000}"/>
    <cellStyle name="Calculation 7 17 3 2" xfId="41348" xr:uid="{00000000-0005-0000-0000-000065A10000}"/>
    <cellStyle name="Calculation 7 17 3 3" xfId="41349" xr:uid="{00000000-0005-0000-0000-000066A10000}"/>
    <cellStyle name="Calculation 7 17 3 4" xfId="41350" xr:uid="{00000000-0005-0000-0000-000067A10000}"/>
    <cellStyle name="Calculation 7 17 3 5" xfId="41351" xr:uid="{00000000-0005-0000-0000-000068A10000}"/>
    <cellStyle name="Calculation 7 17 3 6" xfId="41352" xr:uid="{00000000-0005-0000-0000-000069A10000}"/>
    <cellStyle name="Calculation 7 17 4" xfId="41353" xr:uid="{00000000-0005-0000-0000-00006AA10000}"/>
    <cellStyle name="Calculation 7 17 4 2" xfId="41354" xr:uid="{00000000-0005-0000-0000-00006BA10000}"/>
    <cellStyle name="Calculation 7 17 4 3" xfId="41355" xr:uid="{00000000-0005-0000-0000-00006CA10000}"/>
    <cellStyle name="Calculation 7 17 4 4" xfId="41356" xr:uid="{00000000-0005-0000-0000-00006DA10000}"/>
    <cellStyle name="Calculation 7 17 4 5" xfId="41357" xr:uid="{00000000-0005-0000-0000-00006EA10000}"/>
    <cellStyle name="Calculation 7 17 4 6" xfId="41358" xr:uid="{00000000-0005-0000-0000-00006FA10000}"/>
    <cellStyle name="Calculation 7 17 5" xfId="41359" xr:uid="{00000000-0005-0000-0000-000070A10000}"/>
    <cellStyle name="Calculation 7 17 5 2" xfId="41360" xr:uid="{00000000-0005-0000-0000-000071A10000}"/>
    <cellStyle name="Calculation 7 17 5 3" xfId="41361" xr:uid="{00000000-0005-0000-0000-000072A10000}"/>
    <cellStyle name="Calculation 7 17 5 4" xfId="41362" xr:uid="{00000000-0005-0000-0000-000073A10000}"/>
    <cellStyle name="Calculation 7 17 5 5" xfId="41363" xr:uid="{00000000-0005-0000-0000-000074A10000}"/>
    <cellStyle name="Calculation 7 17 5 6" xfId="41364" xr:uid="{00000000-0005-0000-0000-000075A10000}"/>
    <cellStyle name="Calculation 7 17 6" xfId="41365" xr:uid="{00000000-0005-0000-0000-000076A10000}"/>
    <cellStyle name="Calculation 7 17 6 2" xfId="41366" xr:uid="{00000000-0005-0000-0000-000077A10000}"/>
    <cellStyle name="Calculation 7 17 6 3" xfId="41367" xr:uid="{00000000-0005-0000-0000-000078A10000}"/>
    <cellStyle name="Calculation 7 17 6 4" xfId="41368" xr:uid="{00000000-0005-0000-0000-000079A10000}"/>
    <cellStyle name="Calculation 7 17 6 5" xfId="41369" xr:uid="{00000000-0005-0000-0000-00007AA10000}"/>
    <cellStyle name="Calculation 7 17 6 6" xfId="41370" xr:uid="{00000000-0005-0000-0000-00007BA10000}"/>
    <cellStyle name="Calculation 7 17 7" xfId="41371" xr:uid="{00000000-0005-0000-0000-00007CA10000}"/>
    <cellStyle name="Calculation 7 17 7 2" xfId="41372" xr:uid="{00000000-0005-0000-0000-00007DA10000}"/>
    <cellStyle name="Calculation 7 17 7 3" xfId="41373" xr:uid="{00000000-0005-0000-0000-00007EA10000}"/>
    <cellStyle name="Calculation 7 17 7 4" xfId="41374" xr:uid="{00000000-0005-0000-0000-00007FA10000}"/>
    <cellStyle name="Calculation 7 17 7 5" xfId="41375" xr:uid="{00000000-0005-0000-0000-000080A10000}"/>
    <cellStyle name="Calculation 7 17 7 6" xfId="41376" xr:uid="{00000000-0005-0000-0000-000081A10000}"/>
    <cellStyle name="Calculation 7 17 8" xfId="41377" xr:uid="{00000000-0005-0000-0000-000082A10000}"/>
    <cellStyle name="Calculation 7 17 9" xfId="41378" xr:uid="{00000000-0005-0000-0000-000083A10000}"/>
    <cellStyle name="Calculation 7 18" xfId="41379" xr:uid="{00000000-0005-0000-0000-000084A10000}"/>
    <cellStyle name="Calculation 7 18 10" xfId="41380" xr:uid="{00000000-0005-0000-0000-000085A10000}"/>
    <cellStyle name="Calculation 7 18 2" xfId="41381" xr:uid="{00000000-0005-0000-0000-000086A10000}"/>
    <cellStyle name="Calculation 7 18 2 2" xfId="41382" xr:uid="{00000000-0005-0000-0000-000087A10000}"/>
    <cellStyle name="Calculation 7 18 2 3" xfId="41383" xr:uid="{00000000-0005-0000-0000-000088A10000}"/>
    <cellStyle name="Calculation 7 18 2 4" xfId="41384" xr:uid="{00000000-0005-0000-0000-000089A10000}"/>
    <cellStyle name="Calculation 7 18 2 5" xfId="41385" xr:uid="{00000000-0005-0000-0000-00008AA10000}"/>
    <cellStyle name="Calculation 7 18 2 6" xfId="41386" xr:uid="{00000000-0005-0000-0000-00008BA10000}"/>
    <cellStyle name="Calculation 7 18 3" xfId="41387" xr:uid="{00000000-0005-0000-0000-00008CA10000}"/>
    <cellStyle name="Calculation 7 18 3 2" xfId="41388" xr:uid="{00000000-0005-0000-0000-00008DA10000}"/>
    <cellStyle name="Calculation 7 18 3 3" xfId="41389" xr:uid="{00000000-0005-0000-0000-00008EA10000}"/>
    <cellStyle name="Calculation 7 18 3 4" xfId="41390" xr:uid="{00000000-0005-0000-0000-00008FA10000}"/>
    <cellStyle name="Calculation 7 18 3 5" xfId="41391" xr:uid="{00000000-0005-0000-0000-000090A10000}"/>
    <cellStyle name="Calculation 7 18 3 6" xfId="41392" xr:uid="{00000000-0005-0000-0000-000091A10000}"/>
    <cellStyle name="Calculation 7 18 4" xfId="41393" xr:uid="{00000000-0005-0000-0000-000092A10000}"/>
    <cellStyle name="Calculation 7 18 4 2" xfId="41394" xr:uid="{00000000-0005-0000-0000-000093A10000}"/>
    <cellStyle name="Calculation 7 18 4 3" xfId="41395" xr:uid="{00000000-0005-0000-0000-000094A10000}"/>
    <cellStyle name="Calculation 7 18 4 4" xfId="41396" xr:uid="{00000000-0005-0000-0000-000095A10000}"/>
    <cellStyle name="Calculation 7 18 4 5" xfId="41397" xr:uid="{00000000-0005-0000-0000-000096A10000}"/>
    <cellStyle name="Calculation 7 18 4 6" xfId="41398" xr:uid="{00000000-0005-0000-0000-000097A10000}"/>
    <cellStyle name="Calculation 7 18 5" xfId="41399" xr:uid="{00000000-0005-0000-0000-000098A10000}"/>
    <cellStyle name="Calculation 7 18 5 2" xfId="41400" xr:uid="{00000000-0005-0000-0000-000099A10000}"/>
    <cellStyle name="Calculation 7 18 5 3" xfId="41401" xr:uid="{00000000-0005-0000-0000-00009AA10000}"/>
    <cellStyle name="Calculation 7 18 5 4" xfId="41402" xr:uid="{00000000-0005-0000-0000-00009BA10000}"/>
    <cellStyle name="Calculation 7 18 5 5" xfId="41403" xr:uid="{00000000-0005-0000-0000-00009CA10000}"/>
    <cellStyle name="Calculation 7 18 5 6" xfId="41404" xr:uid="{00000000-0005-0000-0000-00009DA10000}"/>
    <cellStyle name="Calculation 7 18 6" xfId="41405" xr:uid="{00000000-0005-0000-0000-00009EA10000}"/>
    <cellStyle name="Calculation 7 18 6 2" xfId="41406" xr:uid="{00000000-0005-0000-0000-00009FA10000}"/>
    <cellStyle name="Calculation 7 18 6 3" xfId="41407" xr:uid="{00000000-0005-0000-0000-0000A0A10000}"/>
    <cellStyle name="Calculation 7 18 6 4" xfId="41408" xr:uid="{00000000-0005-0000-0000-0000A1A10000}"/>
    <cellStyle name="Calculation 7 18 6 5" xfId="41409" xr:uid="{00000000-0005-0000-0000-0000A2A10000}"/>
    <cellStyle name="Calculation 7 18 6 6" xfId="41410" xr:uid="{00000000-0005-0000-0000-0000A3A10000}"/>
    <cellStyle name="Calculation 7 18 7" xfId="41411" xr:uid="{00000000-0005-0000-0000-0000A4A10000}"/>
    <cellStyle name="Calculation 7 18 7 2" xfId="41412" xr:uid="{00000000-0005-0000-0000-0000A5A10000}"/>
    <cellStyle name="Calculation 7 18 7 3" xfId="41413" xr:uid="{00000000-0005-0000-0000-0000A6A10000}"/>
    <cellStyle name="Calculation 7 18 7 4" xfId="41414" xr:uid="{00000000-0005-0000-0000-0000A7A10000}"/>
    <cellStyle name="Calculation 7 18 7 5" xfId="41415" xr:uid="{00000000-0005-0000-0000-0000A8A10000}"/>
    <cellStyle name="Calculation 7 18 7 6" xfId="41416" xr:uid="{00000000-0005-0000-0000-0000A9A10000}"/>
    <cellStyle name="Calculation 7 18 8" xfId="41417" xr:uid="{00000000-0005-0000-0000-0000AAA10000}"/>
    <cellStyle name="Calculation 7 18 9" xfId="41418" xr:uid="{00000000-0005-0000-0000-0000ABA10000}"/>
    <cellStyle name="Calculation 7 19" xfId="41419" xr:uid="{00000000-0005-0000-0000-0000ACA10000}"/>
    <cellStyle name="Calculation 7 19 10" xfId="41420" xr:uid="{00000000-0005-0000-0000-0000ADA10000}"/>
    <cellStyle name="Calculation 7 19 2" xfId="41421" xr:uid="{00000000-0005-0000-0000-0000AEA10000}"/>
    <cellStyle name="Calculation 7 19 2 2" xfId="41422" xr:uid="{00000000-0005-0000-0000-0000AFA10000}"/>
    <cellStyle name="Calculation 7 19 2 3" xfId="41423" xr:uid="{00000000-0005-0000-0000-0000B0A10000}"/>
    <cellStyle name="Calculation 7 19 2 4" xfId="41424" xr:uid="{00000000-0005-0000-0000-0000B1A10000}"/>
    <cellStyle name="Calculation 7 19 2 5" xfId="41425" xr:uid="{00000000-0005-0000-0000-0000B2A10000}"/>
    <cellStyle name="Calculation 7 19 2 6" xfId="41426" xr:uid="{00000000-0005-0000-0000-0000B3A10000}"/>
    <cellStyle name="Calculation 7 19 3" xfId="41427" xr:uid="{00000000-0005-0000-0000-0000B4A10000}"/>
    <cellStyle name="Calculation 7 19 3 2" xfId="41428" xr:uid="{00000000-0005-0000-0000-0000B5A10000}"/>
    <cellStyle name="Calculation 7 19 3 3" xfId="41429" xr:uid="{00000000-0005-0000-0000-0000B6A10000}"/>
    <cellStyle name="Calculation 7 19 3 4" xfId="41430" xr:uid="{00000000-0005-0000-0000-0000B7A10000}"/>
    <cellStyle name="Calculation 7 19 3 5" xfId="41431" xr:uid="{00000000-0005-0000-0000-0000B8A10000}"/>
    <cellStyle name="Calculation 7 19 3 6" xfId="41432" xr:uid="{00000000-0005-0000-0000-0000B9A10000}"/>
    <cellStyle name="Calculation 7 19 4" xfId="41433" xr:uid="{00000000-0005-0000-0000-0000BAA10000}"/>
    <cellStyle name="Calculation 7 19 4 2" xfId="41434" xr:uid="{00000000-0005-0000-0000-0000BBA10000}"/>
    <cellStyle name="Calculation 7 19 4 3" xfId="41435" xr:uid="{00000000-0005-0000-0000-0000BCA10000}"/>
    <cellStyle name="Calculation 7 19 4 4" xfId="41436" xr:uid="{00000000-0005-0000-0000-0000BDA10000}"/>
    <cellStyle name="Calculation 7 19 4 5" xfId="41437" xr:uid="{00000000-0005-0000-0000-0000BEA10000}"/>
    <cellStyle name="Calculation 7 19 4 6" xfId="41438" xr:uid="{00000000-0005-0000-0000-0000BFA10000}"/>
    <cellStyle name="Calculation 7 19 5" xfId="41439" xr:uid="{00000000-0005-0000-0000-0000C0A10000}"/>
    <cellStyle name="Calculation 7 19 5 2" xfId="41440" xr:uid="{00000000-0005-0000-0000-0000C1A10000}"/>
    <cellStyle name="Calculation 7 19 5 3" xfId="41441" xr:uid="{00000000-0005-0000-0000-0000C2A10000}"/>
    <cellStyle name="Calculation 7 19 5 4" xfId="41442" xr:uid="{00000000-0005-0000-0000-0000C3A10000}"/>
    <cellStyle name="Calculation 7 19 5 5" xfId="41443" xr:uid="{00000000-0005-0000-0000-0000C4A10000}"/>
    <cellStyle name="Calculation 7 19 5 6" xfId="41444" xr:uid="{00000000-0005-0000-0000-0000C5A10000}"/>
    <cellStyle name="Calculation 7 19 6" xfId="41445" xr:uid="{00000000-0005-0000-0000-0000C6A10000}"/>
    <cellStyle name="Calculation 7 19 6 2" xfId="41446" xr:uid="{00000000-0005-0000-0000-0000C7A10000}"/>
    <cellStyle name="Calculation 7 19 6 3" xfId="41447" xr:uid="{00000000-0005-0000-0000-0000C8A10000}"/>
    <cellStyle name="Calculation 7 19 6 4" xfId="41448" xr:uid="{00000000-0005-0000-0000-0000C9A10000}"/>
    <cellStyle name="Calculation 7 19 6 5" xfId="41449" xr:uid="{00000000-0005-0000-0000-0000CAA10000}"/>
    <cellStyle name="Calculation 7 19 6 6" xfId="41450" xr:uid="{00000000-0005-0000-0000-0000CBA10000}"/>
    <cellStyle name="Calculation 7 19 7" xfId="41451" xr:uid="{00000000-0005-0000-0000-0000CCA10000}"/>
    <cellStyle name="Calculation 7 19 7 2" xfId="41452" xr:uid="{00000000-0005-0000-0000-0000CDA10000}"/>
    <cellStyle name="Calculation 7 19 7 3" xfId="41453" xr:uid="{00000000-0005-0000-0000-0000CEA10000}"/>
    <cellStyle name="Calculation 7 19 7 4" xfId="41454" xr:uid="{00000000-0005-0000-0000-0000CFA10000}"/>
    <cellStyle name="Calculation 7 19 7 5" xfId="41455" xr:uid="{00000000-0005-0000-0000-0000D0A10000}"/>
    <cellStyle name="Calculation 7 19 7 6" xfId="41456" xr:uid="{00000000-0005-0000-0000-0000D1A10000}"/>
    <cellStyle name="Calculation 7 19 8" xfId="41457" xr:uid="{00000000-0005-0000-0000-0000D2A10000}"/>
    <cellStyle name="Calculation 7 19 9" xfId="41458" xr:uid="{00000000-0005-0000-0000-0000D3A10000}"/>
    <cellStyle name="Calculation 7 2" xfId="41459" xr:uid="{00000000-0005-0000-0000-0000D4A10000}"/>
    <cellStyle name="Calculation 7 2 10" xfId="41460" xr:uid="{00000000-0005-0000-0000-0000D5A10000}"/>
    <cellStyle name="Calculation 7 2 10 10" xfId="41461" xr:uid="{00000000-0005-0000-0000-0000D6A10000}"/>
    <cellStyle name="Calculation 7 2 10 2" xfId="41462" xr:uid="{00000000-0005-0000-0000-0000D7A10000}"/>
    <cellStyle name="Calculation 7 2 10 2 2" xfId="41463" xr:uid="{00000000-0005-0000-0000-0000D8A10000}"/>
    <cellStyle name="Calculation 7 2 10 2 3" xfId="41464" xr:uid="{00000000-0005-0000-0000-0000D9A10000}"/>
    <cellStyle name="Calculation 7 2 10 2 4" xfId="41465" xr:uid="{00000000-0005-0000-0000-0000DAA10000}"/>
    <cellStyle name="Calculation 7 2 10 2 5" xfId="41466" xr:uid="{00000000-0005-0000-0000-0000DBA10000}"/>
    <cellStyle name="Calculation 7 2 10 2 6" xfId="41467" xr:uid="{00000000-0005-0000-0000-0000DCA10000}"/>
    <cellStyle name="Calculation 7 2 10 3" xfId="41468" xr:uid="{00000000-0005-0000-0000-0000DDA10000}"/>
    <cellStyle name="Calculation 7 2 10 3 2" xfId="41469" xr:uid="{00000000-0005-0000-0000-0000DEA10000}"/>
    <cellStyle name="Calculation 7 2 10 3 3" xfId="41470" xr:uid="{00000000-0005-0000-0000-0000DFA10000}"/>
    <cellStyle name="Calculation 7 2 10 3 4" xfId="41471" xr:uid="{00000000-0005-0000-0000-0000E0A10000}"/>
    <cellStyle name="Calculation 7 2 10 3 5" xfId="41472" xr:uid="{00000000-0005-0000-0000-0000E1A10000}"/>
    <cellStyle name="Calculation 7 2 10 3 6" xfId="41473" xr:uid="{00000000-0005-0000-0000-0000E2A10000}"/>
    <cellStyle name="Calculation 7 2 10 4" xfId="41474" xr:uid="{00000000-0005-0000-0000-0000E3A10000}"/>
    <cellStyle name="Calculation 7 2 10 4 2" xfId="41475" xr:uid="{00000000-0005-0000-0000-0000E4A10000}"/>
    <cellStyle name="Calculation 7 2 10 4 3" xfId="41476" xr:uid="{00000000-0005-0000-0000-0000E5A10000}"/>
    <cellStyle name="Calculation 7 2 10 4 4" xfId="41477" xr:uid="{00000000-0005-0000-0000-0000E6A10000}"/>
    <cellStyle name="Calculation 7 2 10 4 5" xfId="41478" xr:uid="{00000000-0005-0000-0000-0000E7A10000}"/>
    <cellStyle name="Calculation 7 2 10 4 6" xfId="41479" xr:uid="{00000000-0005-0000-0000-0000E8A10000}"/>
    <cellStyle name="Calculation 7 2 10 5" xfId="41480" xr:uid="{00000000-0005-0000-0000-0000E9A10000}"/>
    <cellStyle name="Calculation 7 2 10 5 2" xfId="41481" xr:uid="{00000000-0005-0000-0000-0000EAA10000}"/>
    <cellStyle name="Calculation 7 2 10 5 3" xfId="41482" xr:uid="{00000000-0005-0000-0000-0000EBA10000}"/>
    <cellStyle name="Calculation 7 2 10 5 4" xfId="41483" xr:uid="{00000000-0005-0000-0000-0000ECA10000}"/>
    <cellStyle name="Calculation 7 2 10 5 5" xfId="41484" xr:uid="{00000000-0005-0000-0000-0000EDA10000}"/>
    <cellStyle name="Calculation 7 2 10 5 6" xfId="41485" xr:uid="{00000000-0005-0000-0000-0000EEA10000}"/>
    <cellStyle name="Calculation 7 2 10 6" xfId="41486" xr:uid="{00000000-0005-0000-0000-0000EFA10000}"/>
    <cellStyle name="Calculation 7 2 10 6 2" xfId="41487" xr:uid="{00000000-0005-0000-0000-0000F0A10000}"/>
    <cellStyle name="Calculation 7 2 10 6 3" xfId="41488" xr:uid="{00000000-0005-0000-0000-0000F1A10000}"/>
    <cellStyle name="Calculation 7 2 10 6 4" xfId="41489" xr:uid="{00000000-0005-0000-0000-0000F2A10000}"/>
    <cellStyle name="Calculation 7 2 10 6 5" xfId="41490" xr:uid="{00000000-0005-0000-0000-0000F3A10000}"/>
    <cellStyle name="Calculation 7 2 10 6 6" xfId="41491" xr:uid="{00000000-0005-0000-0000-0000F4A10000}"/>
    <cellStyle name="Calculation 7 2 10 7" xfId="41492" xr:uid="{00000000-0005-0000-0000-0000F5A10000}"/>
    <cellStyle name="Calculation 7 2 10 7 2" xfId="41493" xr:uid="{00000000-0005-0000-0000-0000F6A10000}"/>
    <cellStyle name="Calculation 7 2 10 7 3" xfId="41494" xr:uid="{00000000-0005-0000-0000-0000F7A10000}"/>
    <cellStyle name="Calculation 7 2 10 7 4" xfId="41495" xr:uid="{00000000-0005-0000-0000-0000F8A10000}"/>
    <cellStyle name="Calculation 7 2 10 7 5" xfId="41496" xr:uid="{00000000-0005-0000-0000-0000F9A10000}"/>
    <cellStyle name="Calculation 7 2 10 7 6" xfId="41497" xr:uid="{00000000-0005-0000-0000-0000FAA10000}"/>
    <cellStyle name="Calculation 7 2 10 8" xfId="41498" xr:uid="{00000000-0005-0000-0000-0000FBA10000}"/>
    <cellStyle name="Calculation 7 2 10 9" xfId="41499" xr:uid="{00000000-0005-0000-0000-0000FCA10000}"/>
    <cellStyle name="Calculation 7 2 11" xfId="41500" xr:uid="{00000000-0005-0000-0000-0000FDA10000}"/>
    <cellStyle name="Calculation 7 2 11 10" xfId="41501" xr:uid="{00000000-0005-0000-0000-0000FEA10000}"/>
    <cellStyle name="Calculation 7 2 11 2" xfId="41502" xr:uid="{00000000-0005-0000-0000-0000FFA10000}"/>
    <cellStyle name="Calculation 7 2 11 2 2" xfId="41503" xr:uid="{00000000-0005-0000-0000-000000A20000}"/>
    <cellStyle name="Calculation 7 2 11 2 3" xfId="41504" xr:uid="{00000000-0005-0000-0000-000001A20000}"/>
    <cellStyle name="Calculation 7 2 11 2 4" xfId="41505" xr:uid="{00000000-0005-0000-0000-000002A20000}"/>
    <cellStyle name="Calculation 7 2 11 2 5" xfId="41506" xr:uid="{00000000-0005-0000-0000-000003A20000}"/>
    <cellStyle name="Calculation 7 2 11 2 6" xfId="41507" xr:uid="{00000000-0005-0000-0000-000004A20000}"/>
    <cellStyle name="Calculation 7 2 11 3" xfId="41508" xr:uid="{00000000-0005-0000-0000-000005A20000}"/>
    <cellStyle name="Calculation 7 2 11 3 2" xfId="41509" xr:uid="{00000000-0005-0000-0000-000006A20000}"/>
    <cellStyle name="Calculation 7 2 11 3 3" xfId="41510" xr:uid="{00000000-0005-0000-0000-000007A20000}"/>
    <cellStyle name="Calculation 7 2 11 3 4" xfId="41511" xr:uid="{00000000-0005-0000-0000-000008A20000}"/>
    <cellStyle name="Calculation 7 2 11 3 5" xfId="41512" xr:uid="{00000000-0005-0000-0000-000009A20000}"/>
    <cellStyle name="Calculation 7 2 11 3 6" xfId="41513" xr:uid="{00000000-0005-0000-0000-00000AA20000}"/>
    <cellStyle name="Calculation 7 2 11 4" xfId="41514" xr:uid="{00000000-0005-0000-0000-00000BA20000}"/>
    <cellStyle name="Calculation 7 2 11 4 2" xfId="41515" xr:uid="{00000000-0005-0000-0000-00000CA20000}"/>
    <cellStyle name="Calculation 7 2 11 4 3" xfId="41516" xr:uid="{00000000-0005-0000-0000-00000DA20000}"/>
    <cellStyle name="Calculation 7 2 11 4 4" xfId="41517" xr:uid="{00000000-0005-0000-0000-00000EA20000}"/>
    <cellStyle name="Calculation 7 2 11 4 5" xfId="41518" xr:uid="{00000000-0005-0000-0000-00000FA20000}"/>
    <cellStyle name="Calculation 7 2 11 4 6" xfId="41519" xr:uid="{00000000-0005-0000-0000-000010A20000}"/>
    <cellStyle name="Calculation 7 2 11 5" xfId="41520" xr:uid="{00000000-0005-0000-0000-000011A20000}"/>
    <cellStyle name="Calculation 7 2 11 5 2" xfId="41521" xr:uid="{00000000-0005-0000-0000-000012A20000}"/>
    <cellStyle name="Calculation 7 2 11 5 3" xfId="41522" xr:uid="{00000000-0005-0000-0000-000013A20000}"/>
    <cellStyle name="Calculation 7 2 11 5 4" xfId="41523" xr:uid="{00000000-0005-0000-0000-000014A20000}"/>
    <cellStyle name="Calculation 7 2 11 5 5" xfId="41524" xr:uid="{00000000-0005-0000-0000-000015A20000}"/>
    <cellStyle name="Calculation 7 2 11 5 6" xfId="41525" xr:uid="{00000000-0005-0000-0000-000016A20000}"/>
    <cellStyle name="Calculation 7 2 11 6" xfId="41526" xr:uid="{00000000-0005-0000-0000-000017A20000}"/>
    <cellStyle name="Calculation 7 2 11 6 2" xfId="41527" xr:uid="{00000000-0005-0000-0000-000018A20000}"/>
    <cellStyle name="Calculation 7 2 11 6 3" xfId="41528" xr:uid="{00000000-0005-0000-0000-000019A20000}"/>
    <cellStyle name="Calculation 7 2 11 6 4" xfId="41529" xr:uid="{00000000-0005-0000-0000-00001AA20000}"/>
    <cellStyle name="Calculation 7 2 11 6 5" xfId="41530" xr:uid="{00000000-0005-0000-0000-00001BA20000}"/>
    <cellStyle name="Calculation 7 2 11 6 6" xfId="41531" xr:uid="{00000000-0005-0000-0000-00001CA20000}"/>
    <cellStyle name="Calculation 7 2 11 7" xfId="41532" xr:uid="{00000000-0005-0000-0000-00001DA20000}"/>
    <cellStyle name="Calculation 7 2 11 7 2" xfId="41533" xr:uid="{00000000-0005-0000-0000-00001EA20000}"/>
    <cellStyle name="Calculation 7 2 11 7 3" xfId="41534" xr:uid="{00000000-0005-0000-0000-00001FA20000}"/>
    <cellStyle name="Calculation 7 2 11 7 4" xfId="41535" xr:uid="{00000000-0005-0000-0000-000020A20000}"/>
    <cellStyle name="Calculation 7 2 11 7 5" xfId="41536" xr:uid="{00000000-0005-0000-0000-000021A20000}"/>
    <cellStyle name="Calculation 7 2 11 7 6" xfId="41537" xr:uid="{00000000-0005-0000-0000-000022A20000}"/>
    <cellStyle name="Calculation 7 2 11 8" xfId="41538" xr:uid="{00000000-0005-0000-0000-000023A20000}"/>
    <cellStyle name="Calculation 7 2 11 9" xfId="41539" xr:uid="{00000000-0005-0000-0000-000024A20000}"/>
    <cellStyle name="Calculation 7 2 12" xfId="41540" xr:uid="{00000000-0005-0000-0000-000025A20000}"/>
    <cellStyle name="Calculation 7 2 12 10" xfId="41541" xr:uid="{00000000-0005-0000-0000-000026A20000}"/>
    <cellStyle name="Calculation 7 2 12 2" xfId="41542" xr:uid="{00000000-0005-0000-0000-000027A20000}"/>
    <cellStyle name="Calculation 7 2 12 2 2" xfId="41543" xr:uid="{00000000-0005-0000-0000-000028A20000}"/>
    <cellStyle name="Calculation 7 2 12 2 3" xfId="41544" xr:uid="{00000000-0005-0000-0000-000029A20000}"/>
    <cellStyle name="Calculation 7 2 12 2 4" xfId="41545" xr:uid="{00000000-0005-0000-0000-00002AA20000}"/>
    <cellStyle name="Calculation 7 2 12 2 5" xfId="41546" xr:uid="{00000000-0005-0000-0000-00002BA20000}"/>
    <cellStyle name="Calculation 7 2 12 2 6" xfId="41547" xr:uid="{00000000-0005-0000-0000-00002CA20000}"/>
    <cellStyle name="Calculation 7 2 12 3" xfId="41548" xr:uid="{00000000-0005-0000-0000-00002DA20000}"/>
    <cellStyle name="Calculation 7 2 12 3 2" xfId="41549" xr:uid="{00000000-0005-0000-0000-00002EA20000}"/>
    <cellStyle name="Calculation 7 2 12 3 3" xfId="41550" xr:uid="{00000000-0005-0000-0000-00002FA20000}"/>
    <cellStyle name="Calculation 7 2 12 3 4" xfId="41551" xr:uid="{00000000-0005-0000-0000-000030A20000}"/>
    <cellStyle name="Calculation 7 2 12 3 5" xfId="41552" xr:uid="{00000000-0005-0000-0000-000031A20000}"/>
    <cellStyle name="Calculation 7 2 12 3 6" xfId="41553" xr:uid="{00000000-0005-0000-0000-000032A20000}"/>
    <cellStyle name="Calculation 7 2 12 4" xfId="41554" xr:uid="{00000000-0005-0000-0000-000033A20000}"/>
    <cellStyle name="Calculation 7 2 12 4 2" xfId="41555" xr:uid="{00000000-0005-0000-0000-000034A20000}"/>
    <cellStyle name="Calculation 7 2 12 4 3" xfId="41556" xr:uid="{00000000-0005-0000-0000-000035A20000}"/>
    <cellStyle name="Calculation 7 2 12 4 4" xfId="41557" xr:uid="{00000000-0005-0000-0000-000036A20000}"/>
    <cellStyle name="Calculation 7 2 12 4 5" xfId="41558" xr:uid="{00000000-0005-0000-0000-000037A20000}"/>
    <cellStyle name="Calculation 7 2 12 4 6" xfId="41559" xr:uid="{00000000-0005-0000-0000-000038A20000}"/>
    <cellStyle name="Calculation 7 2 12 5" xfId="41560" xr:uid="{00000000-0005-0000-0000-000039A20000}"/>
    <cellStyle name="Calculation 7 2 12 5 2" xfId="41561" xr:uid="{00000000-0005-0000-0000-00003AA20000}"/>
    <cellStyle name="Calculation 7 2 12 5 3" xfId="41562" xr:uid="{00000000-0005-0000-0000-00003BA20000}"/>
    <cellStyle name="Calculation 7 2 12 5 4" xfId="41563" xr:uid="{00000000-0005-0000-0000-00003CA20000}"/>
    <cellStyle name="Calculation 7 2 12 5 5" xfId="41564" xr:uid="{00000000-0005-0000-0000-00003DA20000}"/>
    <cellStyle name="Calculation 7 2 12 5 6" xfId="41565" xr:uid="{00000000-0005-0000-0000-00003EA20000}"/>
    <cellStyle name="Calculation 7 2 12 6" xfId="41566" xr:uid="{00000000-0005-0000-0000-00003FA20000}"/>
    <cellStyle name="Calculation 7 2 12 6 2" xfId="41567" xr:uid="{00000000-0005-0000-0000-000040A20000}"/>
    <cellStyle name="Calculation 7 2 12 6 3" xfId="41568" xr:uid="{00000000-0005-0000-0000-000041A20000}"/>
    <cellStyle name="Calculation 7 2 12 6 4" xfId="41569" xr:uid="{00000000-0005-0000-0000-000042A20000}"/>
    <cellStyle name="Calculation 7 2 12 6 5" xfId="41570" xr:uid="{00000000-0005-0000-0000-000043A20000}"/>
    <cellStyle name="Calculation 7 2 12 6 6" xfId="41571" xr:uid="{00000000-0005-0000-0000-000044A20000}"/>
    <cellStyle name="Calculation 7 2 12 7" xfId="41572" xr:uid="{00000000-0005-0000-0000-000045A20000}"/>
    <cellStyle name="Calculation 7 2 12 7 2" xfId="41573" xr:uid="{00000000-0005-0000-0000-000046A20000}"/>
    <cellStyle name="Calculation 7 2 12 7 3" xfId="41574" xr:uid="{00000000-0005-0000-0000-000047A20000}"/>
    <cellStyle name="Calculation 7 2 12 7 4" xfId="41575" xr:uid="{00000000-0005-0000-0000-000048A20000}"/>
    <cellStyle name="Calculation 7 2 12 7 5" xfId="41576" xr:uid="{00000000-0005-0000-0000-000049A20000}"/>
    <cellStyle name="Calculation 7 2 12 7 6" xfId="41577" xr:uid="{00000000-0005-0000-0000-00004AA20000}"/>
    <cellStyle name="Calculation 7 2 12 8" xfId="41578" xr:uid="{00000000-0005-0000-0000-00004BA20000}"/>
    <cellStyle name="Calculation 7 2 12 9" xfId="41579" xr:uid="{00000000-0005-0000-0000-00004CA20000}"/>
    <cellStyle name="Calculation 7 2 13" xfId="41580" xr:uid="{00000000-0005-0000-0000-00004DA20000}"/>
    <cellStyle name="Calculation 7 2 13 10" xfId="41581" xr:uid="{00000000-0005-0000-0000-00004EA20000}"/>
    <cellStyle name="Calculation 7 2 13 2" xfId="41582" xr:uid="{00000000-0005-0000-0000-00004FA20000}"/>
    <cellStyle name="Calculation 7 2 13 2 2" xfId="41583" xr:uid="{00000000-0005-0000-0000-000050A20000}"/>
    <cellStyle name="Calculation 7 2 13 2 3" xfId="41584" xr:uid="{00000000-0005-0000-0000-000051A20000}"/>
    <cellStyle name="Calculation 7 2 13 2 4" xfId="41585" xr:uid="{00000000-0005-0000-0000-000052A20000}"/>
    <cellStyle name="Calculation 7 2 13 2 5" xfId="41586" xr:uid="{00000000-0005-0000-0000-000053A20000}"/>
    <cellStyle name="Calculation 7 2 13 2 6" xfId="41587" xr:uid="{00000000-0005-0000-0000-000054A20000}"/>
    <cellStyle name="Calculation 7 2 13 3" xfId="41588" xr:uid="{00000000-0005-0000-0000-000055A20000}"/>
    <cellStyle name="Calculation 7 2 13 3 2" xfId="41589" xr:uid="{00000000-0005-0000-0000-000056A20000}"/>
    <cellStyle name="Calculation 7 2 13 3 3" xfId="41590" xr:uid="{00000000-0005-0000-0000-000057A20000}"/>
    <cellStyle name="Calculation 7 2 13 3 4" xfId="41591" xr:uid="{00000000-0005-0000-0000-000058A20000}"/>
    <cellStyle name="Calculation 7 2 13 3 5" xfId="41592" xr:uid="{00000000-0005-0000-0000-000059A20000}"/>
    <cellStyle name="Calculation 7 2 13 3 6" xfId="41593" xr:uid="{00000000-0005-0000-0000-00005AA20000}"/>
    <cellStyle name="Calculation 7 2 13 4" xfId="41594" xr:uid="{00000000-0005-0000-0000-00005BA20000}"/>
    <cellStyle name="Calculation 7 2 13 4 2" xfId="41595" xr:uid="{00000000-0005-0000-0000-00005CA20000}"/>
    <cellStyle name="Calculation 7 2 13 4 3" xfId="41596" xr:uid="{00000000-0005-0000-0000-00005DA20000}"/>
    <cellStyle name="Calculation 7 2 13 4 4" xfId="41597" xr:uid="{00000000-0005-0000-0000-00005EA20000}"/>
    <cellStyle name="Calculation 7 2 13 4 5" xfId="41598" xr:uid="{00000000-0005-0000-0000-00005FA20000}"/>
    <cellStyle name="Calculation 7 2 13 4 6" xfId="41599" xr:uid="{00000000-0005-0000-0000-000060A20000}"/>
    <cellStyle name="Calculation 7 2 13 5" xfId="41600" xr:uid="{00000000-0005-0000-0000-000061A20000}"/>
    <cellStyle name="Calculation 7 2 13 5 2" xfId="41601" xr:uid="{00000000-0005-0000-0000-000062A20000}"/>
    <cellStyle name="Calculation 7 2 13 5 3" xfId="41602" xr:uid="{00000000-0005-0000-0000-000063A20000}"/>
    <cellStyle name="Calculation 7 2 13 5 4" xfId="41603" xr:uid="{00000000-0005-0000-0000-000064A20000}"/>
    <cellStyle name="Calculation 7 2 13 5 5" xfId="41604" xr:uid="{00000000-0005-0000-0000-000065A20000}"/>
    <cellStyle name="Calculation 7 2 13 5 6" xfId="41605" xr:uid="{00000000-0005-0000-0000-000066A20000}"/>
    <cellStyle name="Calculation 7 2 13 6" xfId="41606" xr:uid="{00000000-0005-0000-0000-000067A20000}"/>
    <cellStyle name="Calculation 7 2 13 6 2" xfId="41607" xr:uid="{00000000-0005-0000-0000-000068A20000}"/>
    <cellStyle name="Calculation 7 2 13 6 3" xfId="41608" xr:uid="{00000000-0005-0000-0000-000069A20000}"/>
    <cellStyle name="Calculation 7 2 13 6 4" xfId="41609" xr:uid="{00000000-0005-0000-0000-00006AA20000}"/>
    <cellStyle name="Calculation 7 2 13 6 5" xfId="41610" xr:uid="{00000000-0005-0000-0000-00006BA20000}"/>
    <cellStyle name="Calculation 7 2 13 6 6" xfId="41611" xr:uid="{00000000-0005-0000-0000-00006CA20000}"/>
    <cellStyle name="Calculation 7 2 13 7" xfId="41612" xr:uid="{00000000-0005-0000-0000-00006DA20000}"/>
    <cellStyle name="Calculation 7 2 13 7 2" xfId="41613" xr:uid="{00000000-0005-0000-0000-00006EA20000}"/>
    <cellStyle name="Calculation 7 2 13 7 3" xfId="41614" xr:uid="{00000000-0005-0000-0000-00006FA20000}"/>
    <cellStyle name="Calculation 7 2 13 7 4" xfId="41615" xr:uid="{00000000-0005-0000-0000-000070A20000}"/>
    <cellStyle name="Calculation 7 2 13 7 5" xfId="41616" xr:uid="{00000000-0005-0000-0000-000071A20000}"/>
    <cellStyle name="Calculation 7 2 13 7 6" xfId="41617" xr:uid="{00000000-0005-0000-0000-000072A20000}"/>
    <cellStyle name="Calculation 7 2 13 8" xfId="41618" xr:uid="{00000000-0005-0000-0000-000073A20000}"/>
    <cellStyle name="Calculation 7 2 13 9" xfId="41619" xr:uid="{00000000-0005-0000-0000-000074A20000}"/>
    <cellStyle name="Calculation 7 2 14" xfId="41620" xr:uid="{00000000-0005-0000-0000-000075A20000}"/>
    <cellStyle name="Calculation 7 2 14 10" xfId="41621" xr:uid="{00000000-0005-0000-0000-000076A20000}"/>
    <cellStyle name="Calculation 7 2 14 2" xfId="41622" xr:uid="{00000000-0005-0000-0000-000077A20000}"/>
    <cellStyle name="Calculation 7 2 14 2 2" xfId="41623" xr:uid="{00000000-0005-0000-0000-000078A20000}"/>
    <cellStyle name="Calculation 7 2 14 2 3" xfId="41624" xr:uid="{00000000-0005-0000-0000-000079A20000}"/>
    <cellStyle name="Calculation 7 2 14 2 4" xfId="41625" xr:uid="{00000000-0005-0000-0000-00007AA20000}"/>
    <cellStyle name="Calculation 7 2 14 2 5" xfId="41626" xr:uid="{00000000-0005-0000-0000-00007BA20000}"/>
    <cellStyle name="Calculation 7 2 14 2 6" xfId="41627" xr:uid="{00000000-0005-0000-0000-00007CA20000}"/>
    <cellStyle name="Calculation 7 2 14 3" xfId="41628" xr:uid="{00000000-0005-0000-0000-00007DA20000}"/>
    <cellStyle name="Calculation 7 2 14 3 2" xfId="41629" xr:uid="{00000000-0005-0000-0000-00007EA20000}"/>
    <cellStyle name="Calculation 7 2 14 3 3" xfId="41630" xr:uid="{00000000-0005-0000-0000-00007FA20000}"/>
    <cellStyle name="Calculation 7 2 14 3 4" xfId="41631" xr:uid="{00000000-0005-0000-0000-000080A20000}"/>
    <cellStyle name="Calculation 7 2 14 3 5" xfId="41632" xr:uid="{00000000-0005-0000-0000-000081A20000}"/>
    <cellStyle name="Calculation 7 2 14 3 6" xfId="41633" xr:uid="{00000000-0005-0000-0000-000082A20000}"/>
    <cellStyle name="Calculation 7 2 14 4" xfId="41634" xr:uid="{00000000-0005-0000-0000-000083A20000}"/>
    <cellStyle name="Calculation 7 2 14 4 2" xfId="41635" xr:uid="{00000000-0005-0000-0000-000084A20000}"/>
    <cellStyle name="Calculation 7 2 14 4 3" xfId="41636" xr:uid="{00000000-0005-0000-0000-000085A20000}"/>
    <cellStyle name="Calculation 7 2 14 4 4" xfId="41637" xr:uid="{00000000-0005-0000-0000-000086A20000}"/>
    <cellStyle name="Calculation 7 2 14 4 5" xfId="41638" xr:uid="{00000000-0005-0000-0000-000087A20000}"/>
    <cellStyle name="Calculation 7 2 14 4 6" xfId="41639" xr:uid="{00000000-0005-0000-0000-000088A20000}"/>
    <cellStyle name="Calculation 7 2 14 5" xfId="41640" xr:uid="{00000000-0005-0000-0000-000089A20000}"/>
    <cellStyle name="Calculation 7 2 14 5 2" xfId="41641" xr:uid="{00000000-0005-0000-0000-00008AA20000}"/>
    <cellStyle name="Calculation 7 2 14 5 3" xfId="41642" xr:uid="{00000000-0005-0000-0000-00008BA20000}"/>
    <cellStyle name="Calculation 7 2 14 5 4" xfId="41643" xr:uid="{00000000-0005-0000-0000-00008CA20000}"/>
    <cellStyle name="Calculation 7 2 14 5 5" xfId="41644" xr:uid="{00000000-0005-0000-0000-00008DA20000}"/>
    <cellStyle name="Calculation 7 2 14 5 6" xfId="41645" xr:uid="{00000000-0005-0000-0000-00008EA20000}"/>
    <cellStyle name="Calculation 7 2 14 6" xfId="41646" xr:uid="{00000000-0005-0000-0000-00008FA20000}"/>
    <cellStyle name="Calculation 7 2 14 6 2" xfId="41647" xr:uid="{00000000-0005-0000-0000-000090A20000}"/>
    <cellStyle name="Calculation 7 2 14 6 3" xfId="41648" xr:uid="{00000000-0005-0000-0000-000091A20000}"/>
    <cellStyle name="Calculation 7 2 14 6 4" xfId="41649" xr:uid="{00000000-0005-0000-0000-000092A20000}"/>
    <cellStyle name="Calculation 7 2 14 6 5" xfId="41650" xr:uid="{00000000-0005-0000-0000-000093A20000}"/>
    <cellStyle name="Calculation 7 2 14 6 6" xfId="41651" xr:uid="{00000000-0005-0000-0000-000094A20000}"/>
    <cellStyle name="Calculation 7 2 14 7" xfId="41652" xr:uid="{00000000-0005-0000-0000-000095A20000}"/>
    <cellStyle name="Calculation 7 2 14 7 2" xfId="41653" xr:uid="{00000000-0005-0000-0000-000096A20000}"/>
    <cellStyle name="Calculation 7 2 14 7 3" xfId="41654" xr:uid="{00000000-0005-0000-0000-000097A20000}"/>
    <cellStyle name="Calculation 7 2 14 7 4" xfId="41655" xr:uid="{00000000-0005-0000-0000-000098A20000}"/>
    <cellStyle name="Calculation 7 2 14 7 5" xfId="41656" xr:uid="{00000000-0005-0000-0000-000099A20000}"/>
    <cellStyle name="Calculation 7 2 14 7 6" xfId="41657" xr:uid="{00000000-0005-0000-0000-00009AA20000}"/>
    <cellStyle name="Calculation 7 2 14 8" xfId="41658" xr:uid="{00000000-0005-0000-0000-00009BA20000}"/>
    <cellStyle name="Calculation 7 2 14 9" xfId="41659" xr:uid="{00000000-0005-0000-0000-00009CA20000}"/>
    <cellStyle name="Calculation 7 2 15" xfId="41660" xr:uid="{00000000-0005-0000-0000-00009DA20000}"/>
    <cellStyle name="Calculation 7 2 15 10" xfId="41661" xr:uid="{00000000-0005-0000-0000-00009EA20000}"/>
    <cellStyle name="Calculation 7 2 15 2" xfId="41662" xr:uid="{00000000-0005-0000-0000-00009FA20000}"/>
    <cellStyle name="Calculation 7 2 15 2 2" xfId="41663" xr:uid="{00000000-0005-0000-0000-0000A0A20000}"/>
    <cellStyle name="Calculation 7 2 15 2 3" xfId="41664" xr:uid="{00000000-0005-0000-0000-0000A1A20000}"/>
    <cellStyle name="Calculation 7 2 15 2 4" xfId="41665" xr:uid="{00000000-0005-0000-0000-0000A2A20000}"/>
    <cellStyle name="Calculation 7 2 15 2 5" xfId="41666" xr:uid="{00000000-0005-0000-0000-0000A3A20000}"/>
    <cellStyle name="Calculation 7 2 15 2 6" xfId="41667" xr:uid="{00000000-0005-0000-0000-0000A4A20000}"/>
    <cellStyle name="Calculation 7 2 15 3" xfId="41668" xr:uid="{00000000-0005-0000-0000-0000A5A20000}"/>
    <cellStyle name="Calculation 7 2 15 3 2" xfId="41669" xr:uid="{00000000-0005-0000-0000-0000A6A20000}"/>
    <cellStyle name="Calculation 7 2 15 3 3" xfId="41670" xr:uid="{00000000-0005-0000-0000-0000A7A20000}"/>
    <cellStyle name="Calculation 7 2 15 3 4" xfId="41671" xr:uid="{00000000-0005-0000-0000-0000A8A20000}"/>
    <cellStyle name="Calculation 7 2 15 3 5" xfId="41672" xr:uid="{00000000-0005-0000-0000-0000A9A20000}"/>
    <cellStyle name="Calculation 7 2 15 3 6" xfId="41673" xr:uid="{00000000-0005-0000-0000-0000AAA20000}"/>
    <cellStyle name="Calculation 7 2 15 4" xfId="41674" xr:uid="{00000000-0005-0000-0000-0000ABA20000}"/>
    <cellStyle name="Calculation 7 2 15 4 2" xfId="41675" xr:uid="{00000000-0005-0000-0000-0000ACA20000}"/>
    <cellStyle name="Calculation 7 2 15 4 3" xfId="41676" xr:uid="{00000000-0005-0000-0000-0000ADA20000}"/>
    <cellStyle name="Calculation 7 2 15 4 4" xfId="41677" xr:uid="{00000000-0005-0000-0000-0000AEA20000}"/>
    <cellStyle name="Calculation 7 2 15 4 5" xfId="41678" xr:uid="{00000000-0005-0000-0000-0000AFA20000}"/>
    <cellStyle name="Calculation 7 2 15 4 6" xfId="41679" xr:uid="{00000000-0005-0000-0000-0000B0A20000}"/>
    <cellStyle name="Calculation 7 2 15 5" xfId="41680" xr:uid="{00000000-0005-0000-0000-0000B1A20000}"/>
    <cellStyle name="Calculation 7 2 15 5 2" xfId="41681" xr:uid="{00000000-0005-0000-0000-0000B2A20000}"/>
    <cellStyle name="Calculation 7 2 15 5 3" xfId="41682" xr:uid="{00000000-0005-0000-0000-0000B3A20000}"/>
    <cellStyle name="Calculation 7 2 15 5 4" xfId="41683" xr:uid="{00000000-0005-0000-0000-0000B4A20000}"/>
    <cellStyle name="Calculation 7 2 15 5 5" xfId="41684" xr:uid="{00000000-0005-0000-0000-0000B5A20000}"/>
    <cellStyle name="Calculation 7 2 15 5 6" xfId="41685" xr:uid="{00000000-0005-0000-0000-0000B6A20000}"/>
    <cellStyle name="Calculation 7 2 15 6" xfId="41686" xr:uid="{00000000-0005-0000-0000-0000B7A20000}"/>
    <cellStyle name="Calculation 7 2 15 6 2" xfId="41687" xr:uid="{00000000-0005-0000-0000-0000B8A20000}"/>
    <cellStyle name="Calculation 7 2 15 6 3" xfId="41688" xr:uid="{00000000-0005-0000-0000-0000B9A20000}"/>
    <cellStyle name="Calculation 7 2 15 6 4" xfId="41689" xr:uid="{00000000-0005-0000-0000-0000BAA20000}"/>
    <cellStyle name="Calculation 7 2 15 6 5" xfId="41690" xr:uid="{00000000-0005-0000-0000-0000BBA20000}"/>
    <cellStyle name="Calculation 7 2 15 6 6" xfId="41691" xr:uid="{00000000-0005-0000-0000-0000BCA20000}"/>
    <cellStyle name="Calculation 7 2 15 7" xfId="41692" xr:uid="{00000000-0005-0000-0000-0000BDA20000}"/>
    <cellStyle name="Calculation 7 2 15 7 2" xfId="41693" xr:uid="{00000000-0005-0000-0000-0000BEA20000}"/>
    <cellStyle name="Calculation 7 2 15 7 3" xfId="41694" xr:uid="{00000000-0005-0000-0000-0000BFA20000}"/>
    <cellStyle name="Calculation 7 2 15 7 4" xfId="41695" xr:uid="{00000000-0005-0000-0000-0000C0A20000}"/>
    <cellStyle name="Calculation 7 2 15 7 5" xfId="41696" xr:uid="{00000000-0005-0000-0000-0000C1A20000}"/>
    <cellStyle name="Calculation 7 2 15 7 6" xfId="41697" xr:uid="{00000000-0005-0000-0000-0000C2A20000}"/>
    <cellStyle name="Calculation 7 2 15 8" xfId="41698" xr:uid="{00000000-0005-0000-0000-0000C3A20000}"/>
    <cellStyle name="Calculation 7 2 15 9" xfId="41699" xr:uid="{00000000-0005-0000-0000-0000C4A20000}"/>
    <cellStyle name="Calculation 7 2 16" xfId="41700" xr:uid="{00000000-0005-0000-0000-0000C5A20000}"/>
    <cellStyle name="Calculation 7 2 16 10" xfId="41701" xr:uid="{00000000-0005-0000-0000-0000C6A20000}"/>
    <cellStyle name="Calculation 7 2 16 2" xfId="41702" xr:uid="{00000000-0005-0000-0000-0000C7A20000}"/>
    <cellStyle name="Calculation 7 2 16 2 2" xfId="41703" xr:uid="{00000000-0005-0000-0000-0000C8A20000}"/>
    <cellStyle name="Calculation 7 2 16 2 3" xfId="41704" xr:uid="{00000000-0005-0000-0000-0000C9A20000}"/>
    <cellStyle name="Calculation 7 2 16 2 4" xfId="41705" xr:uid="{00000000-0005-0000-0000-0000CAA20000}"/>
    <cellStyle name="Calculation 7 2 16 2 5" xfId="41706" xr:uid="{00000000-0005-0000-0000-0000CBA20000}"/>
    <cellStyle name="Calculation 7 2 16 2 6" xfId="41707" xr:uid="{00000000-0005-0000-0000-0000CCA20000}"/>
    <cellStyle name="Calculation 7 2 16 3" xfId="41708" xr:uid="{00000000-0005-0000-0000-0000CDA20000}"/>
    <cellStyle name="Calculation 7 2 16 3 2" xfId="41709" xr:uid="{00000000-0005-0000-0000-0000CEA20000}"/>
    <cellStyle name="Calculation 7 2 16 3 3" xfId="41710" xr:uid="{00000000-0005-0000-0000-0000CFA20000}"/>
    <cellStyle name="Calculation 7 2 16 3 4" xfId="41711" xr:uid="{00000000-0005-0000-0000-0000D0A20000}"/>
    <cellStyle name="Calculation 7 2 16 3 5" xfId="41712" xr:uid="{00000000-0005-0000-0000-0000D1A20000}"/>
    <cellStyle name="Calculation 7 2 16 3 6" xfId="41713" xr:uid="{00000000-0005-0000-0000-0000D2A20000}"/>
    <cellStyle name="Calculation 7 2 16 4" xfId="41714" xr:uid="{00000000-0005-0000-0000-0000D3A20000}"/>
    <cellStyle name="Calculation 7 2 16 4 2" xfId="41715" xr:uid="{00000000-0005-0000-0000-0000D4A20000}"/>
    <cellStyle name="Calculation 7 2 16 4 3" xfId="41716" xr:uid="{00000000-0005-0000-0000-0000D5A20000}"/>
    <cellStyle name="Calculation 7 2 16 4 4" xfId="41717" xr:uid="{00000000-0005-0000-0000-0000D6A20000}"/>
    <cellStyle name="Calculation 7 2 16 4 5" xfId="41718" xr:uid="{00000000-0005-0000-0000-0000D7A20000}"/>
    <cellStyle name="Calculation 7 2 16 4 6" xfId="41719" xr:uid="{00000000-0005-0000-0000-0000D8A20000}"/>
    <cellStyle name="Calculation 7 2 16 5" xfId="41720" xr:uid="{00000000-0005-0000-0000-0000D9A20000}"/>
    <cellStyle name="Calculation 7 2 16 5 2" xfId="41721" xr:uid="{00000000-0005-0000-0000-0000DAA20000}"/>
    <cellStyle name="Calculation 7 2 16 5 3" xfId="41722" xr:uid="{00000000-0005-0000-0000-0000DBA20000}"/>
    <cellStyle name="Calculation 7 2 16 5 4" xfId="41723" xr:uid="{00000000-0005-0000-0000-0000DCA20000}"/>
    <cellStyle name="Calculation 7 2 16 5 5" xfId="41724" xr:uid="{00000000-0005-0000-0000-0000DDA20000}"/>
    <cellStyle name="Calculation 7 2 16 5 6" xfId="41725" xr:uid="{00000000-0005-0000-0000-0000DEA20000}"/>
    <cellStyle name="Calculation 7 2 16 6" xfId="41726" xr:uid="{00000000-0005-0000-0000-0000DFA20000}"/>
    <cellStyle name="Calculation 7 2 16 6 2" xfId="41727" xr:uid="{00000000-0005-0000-0000-0000E0A20000}"/>
    <cellStyle name="Calculation 7 2 16 6 3" xfId="41728" xr:uid="{00000000-0005-0000-0000-0000E1A20000}"/>
    <cellStyle name="Calculation 7 2 16 6 4" xfId="41729" xr:uid="{00000000-0005-0000-0000-0000E2A20000}"/>
    <cellStyle name="Calculation 7 2 16 6 5" xfId="41730" xr:uid="{00000000-0005-0000-0000-0000E3A20000}"/>
    <cellStyle name="Calculation 7 2 16 6 6" xfId="41731" xr:uid="{00000000-0005-0000-0000-0000E4A20000}"/>
    <cellStyle name="Calculation 7 2 16 7" xfId="41732" xr:uid="{00000000-0005-0000-0000-0000E5A20000}"/>
    <cellStyle name="Calculation 7 2 16 7 2" xfId="41733" xr:uid="{00000000-0005-0000-0000-0000E6A20000}"/>
    <cellStyle name="Calculation 7 2 16 7 3" xfId="41734" xr:uid="{00000000-0005-0000-0000-0000E7A20000}"/>
    <cellStyle name="Calculation 7 2 16 7 4" xfId="41735" xr:uid="{00000000-0005-0000-0000-0000E8A20000}"/>
    <cellStyle name="Calculation 7 2 16 7 5" xfId="41736" xr:uid="{00000000-0005-0000-0000-0000E9A20000}"/>
    <cellStyle name="Calculation 7 2 16 7 6" xfId="41737" xr:uid="{00000000-0005-0000-0000-0000EAA20000}"/>
    <cellStyle name="Calculation 7 2 16 8" xfId="41738" xr:uid="{00000000-0005-0000-0000-0000EBA20000}"/>
    <cellStyle name="Calculation 7 2 16 9" xfId="41739" xr:uid="{00000000-0005-0000-0000-0000ECA20000}"/>
    <cellStyle name="Calculation 7 2 17" xfId="41740" xr:uid="{00000000-0005-0000-0000-0000EDA20000}"/>
    <cellStyle name="Calculation 7 2 17 10" xfId="41741" xr:uid="{00000000-0005-0000-0000-0000EEA20000}"/>
    <cellStyle name="Calculation 7 2 17 2" xfId="41742" xr:uid="{00000000-0005-0000-0000-0000EFA20000}"/>
    <cellStyle name="Calculation 7 2 17 2 2" xfId="41743" xr:uid="{00000000-0005-0000-0000-0000F0A20000}"/>
    <cellStyle name="Calculation 7 2 17 2 3" xfId="41744" xr:uid="{00000000-0005-0000-0000-0000F1A20000}"/>
    <cellStyle name="Calculation 7 2 17 2 4" xfId="41745" xr:uid="{00000000-0005-0000-0000-0000F2A20000}"/>
    <cellStyle name="Calculation 7 2 17 2 5" xfId="41746" xr:uid="{00000000-0005-0000-0000-0000F3A20000}"/>
    <cellStyle name="Calculation 7 2 17 2 6" xfId="41747" xr:uid="{00000000-0005-0000-0000-0000F4A20000}"/>
    <cellStyle name="Calculation 7 2 17 3" xfId="41748" xr:uid="{00000000-0005-0000-0000-0000F5A20000}"/>
    <cellStyle name="Calculation 7 2 17 3 2" xfId="41749" xr:uid="{00000000-0005-0000-0000-0000F6A20000}"/>
    <cellStyle name="Calculation 7 2 17 3 3" xfId="41750" xr:uid="{00000000-0005-0000-0000-0000F7A20000}"/>
    <cellStyle name="Calculation 7 2 17 3 4" xfId="41751" xr:uid="{00000000-0005-0000-0000-0000F8A20000}"/>
    <cellStyle name="Calculation 7 2 17 3 5" xfId="41752" xr:uid="{00000000-0005-0000-0000-0000F9A20000}"/>
    <cellStyle name="Calculation 7 2 17 3 6" xfId="41753" xr:uid="{00000000-0005-0000-0000-0000FAA20000}"/>
    <cellStyle name="Calculation 7 2 17 4" xfId="41754" xr:uid="{00000000-0005-0000-0000-0000FBA20000}"/>
    <cellStyle name="Calculation 7 2 17 4 2" xfId="41755" xr:uid="{00000000-0005-0000-0000-0000FCA20000}"/>
    <cellStyle name="Calculation 7 2 17 4 3" xfId="41756" xr:uid="{00000000-0005-0000-0000-0000FDA20000}"/>
    <cellStyle name="Calculation 7 2 17 4 4" xfId="41757" xr:uid="{00000000-0005-0000-0000-0000FEA20000}"/>
    <cellStyle name="Calculation 7 2 17 4 5" xfId="41758" xr:uid="{00000000-0005-0000-0000-0000FFA20000}"/>
    <cellStyle name="Calculation 7 2 17 4 6" xfId="41759" xr:uid="{00000000-0005-0000-0000-000000A30000}"/>
    <cellStyle name="Calculation 7 2 17 5" xfId="41760" xr:uid="{00000000-0005-0000-0000-000001A30000}"/>
    <cellStyle name="Calculation 7 2 17 5 2" xfId="41761" xr:uid="{00000000-0005-0000-0000-000002A30000}"/>
    <cellStyle name="Calculation 7 2 17 5 3" xfId="41762" xr:uid="{00000000-0005-0000-0000-000003A30000}"/>
    <cellStyle name="Calculation 7 2 17 5 4" xfId="41763" xr:uid="{00000000-0005-0000-0000-000004A30000}"/>
    <cellStyle name="Calculation 7 2 17 5 5" xfId="41764" xr:uid="{00000000-0005-0000-0000-000005A30000}"/>
    <cellStyle name="Calculation 7 2 17 5 6" xfId="41765" xr:uid="{00000000-0005-0000-0000-000006A30000}"/>
    <cellStyle name="Calculation 7 2 17 6" xfId="41766" xr:uid="{00000000-0005-0000-0000-000007A30000}"/>
    <cellStyle name="Calculation 7 2 17 6 2" xfId="41767" xr:uid="{00000000-0005-0000-0000-000008A30000}"/>
    <cellStyle name="Calculation 7 2 17 6 3" xfId="41768" xr:uid="{00000000-0005-0000-0000-000009A30000}"/>
    <cellStyle name="Calculation 7 2 17 6 4" xfId="41769" xr:uid="{00000000-0005-0000-0000-00000AA30000}"/>
    <cellStyle name="Calculation 7 2 17 6 5" xfId="41770" xr:uid="{00000000-0005-0000-0000-00000BA30000}"/>
    <cellStyle name="Calculation 7 2 17 6 6" xfId="41771" xr:uid="{00000000-0005-0000-0000-00000CA30000}"/>
    <cellStyle name="Calculation 7 2 17 7" xfId="41772" xr:uid="{00000000-0005-0000-0000-00000DA30000}"/>
    <cellStyle name="Calculation 7 2 17 7 2" xfId="41773" xr:uid="{00000000-0005-0000-0000-00000EA30000}"/>
    <cellStyle name="Calculation 7 2 17 7 3" xfId="41774" xr:uid="{00000000-0005-0000-0000-00000FA30000}"/>
    <cellStyle name="Calculation 7 2 17 7 4" xfId="41775" xr:uid="{00000000-0005-0000-0000-000010A30000}"/>
    <cellStyle name="Calculation 7 2 17 7 5" xfId="41776" xr:uid="{00000000-0005-0000-0000-000011A30000}"/>
    <cellStyle name="Calculation 7 2 17 7 6" xfId="41777" xr:uid="{00000000-0005-0000-0000-000012A30000}"/>
    <cellStyle name="Calculation 7 2 17 8" xfId="41778" xr:uid="{00000000-0005-0000-0000-000013A30000}"/>
    <cellStyle name="Calculation 7 2 17 9" xfId="41779" xr:uid="{00000000-0005-0000-0000-000014A30000}"/>
    <cellStyle name="Calculation 7 2 18" xfId="41780" xr:uid="{00000000-0005-0000-0000-000015A30000}"/>
    <cellStyle name="Calculation 7 2 18 10" xfId="41781" xr:uid="{00000000-0005-0000-0000-000016A30000}"/>
    <cellStyle name="Calculation 7 2 18 2" xfId="41782" xr:uid="{00000000-0005-0000-0000-000017A30000}"/>
    <cellStyle name="Calculation 7 2 18 2 2" xfId="41783" xr:uid="{00000000-0005-0000-0000-000018A30000}"/>
    <cellStyle name="Calculation 7 2 18 2 3" xfId="41784" xr:uid="{00000000-0005-0000-0000-000019A30000}"/>
    <cellStyle name="Calculation 7 2 18 2 4" xfId="41785" xr:uid="{00000000-0005-0000-0000-00001AA30000}"/>
    <cellStyle name="Calculation 7 2 18 2 5" xfId="41786" xr:uid="{00000000-0005-0000-0000-00001BA30000}"/>
    <cellStyle name="Calculation 7 2 18 2 6" xfId="41787" xr:uid="{00000000-0005-0000-0000-00001CA30000}"/>
    <cellStyle name="Calculation 7 2 18 3" xfId="41788" xr:uid="{00000000-0005-0000-0000-00001DA30000}"/>
    <cellStyle name="Calculation 7 2 18 3 2" xfId="41789" xr:uid="{00000000-0005-0000-0000-00001EA30000}"/>
    <cellStyle name="Calculation 7 2 18 3 3" xfId="41790" xr:uid="{00000000-0005-0000-0000-00001FA30000}"/>
    <cellStyle name="Calculation 7 2 18 3 4" xfId="41791" xr:uid="{00000000-0005-0000-0000-000020A30000}"/>
    <cellStyle name="Calculation 7 2 18 3 5" xfId="41792" xr:uid="{00000000-0005-0000-0000-000021A30000}"/>
    <cellStyle name="Calculation 7 2 18 3 6" xfId="41793" xr:uid="{00000000-0005-0000-0000-000022A30000}"/>
    <cellStyle name="Calculation 7 2 18 4" xfId="41794" xr:uid="{00000000-0005-0000-0000-000023A30000}"/>
    <cellStyle name="Calculation 7 2 18 4 2" xfId="41795" xr:uid="{00000000-0005-0000-0000-000024A30000}"/>
    <cellStyle name="Calculation 7 2 18 4 3" xfId="41796" xr:uid="{00000000-0005-0000-0000-000025A30000}"/>
    <cellStyle name="Calculation 7 2 18 4 4" xfId="41797" xr:uid="{00000000-0005-0000-0000-000026A30000}"/>
    <cellStyle name="Calculation 7 2 18 4 5" xfId="41798" xr:uid="{00000000-0005-0000-0000-000027A30000}"/>
    <cellStyle name="Calculation 7 2 18 4 6" xfId="41799" xr:uid="{00000000-0005-0000-0000-000028A30000}"/>
    <cellStyle name="Calculation 7 2 18 5" xfId="41800" xr:uid="{00000000-0005-0000-0000-000029A30000}"/>
    <cellStyle name="Calculation 7 2 18 5 2" xfId="41801" xr:uid="{00000000-0005-0000-0000-00002AA30000}"/>
    <cellStyle name="Calculation 7 2 18 5 3" xfId="41802" xr:uid="{00000000-0005-0000-0000-00002BA30000}"/>
    <cellStyle name="Calculation 7 2 18 5 4" xfId="41803" xr:uid="{00000000-0005-0000-0000-00002CA30000}"/>
    <cellStyle name="Calculation 7 2 18 5 5" xfId="41804" xr:uid="{00000000-0005-0000-0000-00002DA30000}"/>
    <cellStyle name="Calculation 7 2 18 5 6" xfId="41805" xr:uid="{00000000-0005-0000-0000-00002EA30000}"/>
    <cellStyle name="Calculation 7 2 18 6" xfId="41806" xr:uid="{00000000-0005-0000-0000-00002FA30000}"/>
    <cellStyle name="Calculation 7 2 18 6 2" xfId="41807" xr:uid="{00000000-0005-0000-0000-000030A30000}"/>
    <cellStyle name="Calculation 7 2 18 6 3" xfId="41808" xr:uid="{00000000-0005-0000-0000-000031A30000}"/>
    <cellStyle name="Calculation 7 2 18 6 4" xfId="41809" xr:uid="{00000000-0005-0000-0000-000032A30000}"/>
    <cellStyle name="Calculation 7 2 18 6 5" xfId="41810" xr:uid="{00000000-0005-0000-0000-000033A30000}"/>
    <cellStyle name="Calculation 7 2 18 6 6" xfId="41811" xr:uid="{00000000-0005-0000-0000-000034A30000}"/>
    <cellStyle name="Calculation 7 2 18 7" xfId="41812" xr:uid="{00000000-0005-0000-0000-000035A30000}"/>
    <cellStyle name="Calculation 7 2 18 7 2" xfId="41813" xr:uid="{00000000-0005-0000-0000-000036A30000}"/>
    <cellStyle name="Calculation 7 2 18 7 3" xfId="41814" xr:uid="{00000000-0005-0000-0000-000037A30000}"/>
    <cellStyle name="Calculation 7 2 18 7 4" xfId="41815" xr:uid="{00000000-0005-0000-0000-000038A30000}"/>
    <cellStyle name="Calculation 7 2 18 7 5" xfId="41816" xr:uid="{00000000-0005-0000-0000-000039A30000}"/>
    <cellStyle name="Calculation 7 2 18 7 6" xfId="41817" xr:uid="{00000000-0005-0000-0000-00003AA30000}"/>
    <cellStyle name="Calculation 7 2 18 8" xfId="41818" xr:uid="{00000000-0005-0000-0000-00003BA30000}"/>
    <cellStyle name="Calculation 7 2 18 9" xfId="41819" xr:uid="{00000000-0005-0000-0000-00003CA30000}"/>
    <cellStyle name="Calculation 7 2 19" xfId="41820" xr:uid="{00000000-0005-0000-0000-00003DA30000}"/>
    <cellStyle name="Calculation 7 2 19 10" xfId="41821" xr:uid="{00000000-0005-0000-0000-00003EA30000}"/>
    <cellStyle name="Calculation 7 2 19 2" xfId="41822" xr:uid="{00000000-0005-0000-0000-00003FA30000}"/>
    <cellStyle name="Calculation 7 2 19 2 2" xfId="41823" xr:uid="{00000000-0005-0000-0000-000040A30000}"/>
    <cellStyle name="Calculation 7 2 19 2 3" xfId="41824" xr:uid="{00000000-0005-0000-0000-000041A30000}"/>
    <cellStyle name="Calculation 7 2 19 2 4" xfId="41825" xr:uid="{00000000-0005-0000-0000-000042A30000}"/>
    <cellStyle name="Calculation 7 2 19 2 5" xfId="41826" xr:uid="{00000000-0005-0000-0000-000043A30000}"/>
    <cellStyle name="Calculation 7 2 19 2 6" xfId="41827" xr:uid="{00000000-0005-0000-0000-000044A30000}"/>
    <cellStyle name="Calculation 7 2 19 3" xfId="41828" xr:uid="{00000000-0005-0000-0000-000045A30000}"/>
    <cellStyle name="Calculation 7 2 19 3 2" xfId="41829" xr:uid="{00000000-0005-0000-0000-000046A30000}"/>
    <cellStyle name="Calculation 7 2 19 3 3" xfId="41830" xr:uid="{00000000-0005-0000-0000-000047A30000}"/>
    <cellStyle name="Calculation 7 2 19 3 4" xfId="41831" xr:uid="{00000000-0005-0000-0000-000048A30000}"/>
    <cellStyle name="Calculation 7 2 19 3 5" xfId="41832" xr:uid="{00000000-0005-0000-0000-000049A30000}"/>
    <cellStyle name="Calculation 7 2 19 3 6" xfId="41833" xr:uid="{00000000-0005-0000-0000-00004AA30000}"/>
    <cellStyle name="Calculation 7 2 19 4" xfId="41834" xr:uid="{00000000-0005-0000-0000-00004BA30000}"/>
    <cellStyle name="Calculation 7 2 19 4 2" xfId="41835" xr:uid="{00000000-0005-0000-0000-00004CA30000}"/>
    <cellStyle name="Calculation 7 2 19 4 3" xfId="41836" xr:uid="{00000000-0005-0000-0000-00004DA30000}"/>
    <cellStyle name="Calculation 7 2 19 4 4" xfId="41837" xr:uid="{00000000-0005-0000-0000-00004EA30000}"/>
    <cellStyle name="Calculation 7 2 19 4 5" xfId="41838" xr:uid="{00000000-0005-0000-0000-00004FA30000}"/>
    <cellStyle name="Calculation 7 2 19 4 6" xfId="41839" xr:uid="{00000000-0005-0000-0000-000050A30000}"/>
    <cellStyle name="Calculation 7 2 19 5" xfId="41840" xr:uid="{00000000-0005-0000-0000-000051A30000}"/>
    <cellStyle name="Calculation 7 2 19 5 2" xfId="41841" xr:uid="{00000000-0005-0000-0000-000052A30000}"/>
    <cellStyle name="Calculation 7 2 19 5 3" xfId="41842" xr:uid="{00000000-0005-0000-0000-000053A30000}"/>
    <cellStyle name="Calculation 7 2 19 5 4" xfId="41843" xr:uid="{00000000-0005-0000-0000-000054A30000}"/>
    <cellStyle name="Calculation 7 2 19 5 5" xfId="41844" xr:uid="{00000000-0005-0000-0000-000055A30000}"/>
    <cellStyle name="Calculation 7 2 19 5 6" xfId="41845" xr:uid="{00000000-0005-0000-0000-000056A30000}"/>
    <cellStyle name="Calculation 7 2 19 6" xfId="41846" xr:uid="{00000000-0005-0000-0000-000057A30000}"/>
    <cellStyle name="Calculation 7 2 19 6 2" xfId="41847" xr:uid="{00000000-0005-0000-0000-000058A30000}"/>
    <cellStyle name="Calculation 7 2 19 6 3" xfId="41848" xr:uid="{00000000-0005-0000-0000-000059A30000}"/>
    <cellStyle name="Calculation 7 2 19 6 4" xfId="41849" xr:uid="{00000000-0005-0000-0000-00005AA30000}"/>
    <cellStyle name="Calculation 7 2 19 6 5" xfId="41850" xr:uid="{00000000-0005-0000-0000-00005BA30000}"/>
    <cellStyle name="Calculation 7 2 19 6 6" xfId="41851" xr:uid="{00000000-0005-0000-0000-00005CA30000}"/>
    <cellStyle name="Calculation 7 2 19 7" xfId="41852" xr:uid="{00000000-0005-0000-0000-00005DA30000}"/>
    <cellStyle name="Calculation 7 2 19 7 2" xfId="41853" xr:uid="{00000000-0005-0000-0000-00005EA30000}"/>
    <cellStyle name="Calculation 7 2 19 7 3" xfId="41854" xr:uid="{00000000-0005-0000-0000-00005FA30000}"/>
    <cellStyle name="Calculation 7 2 19 7 4" xfId="41855" xr:uid="{00000000-0005-0000-0000-000060A30000}"/>
    <cellStyle name="Calculation 7 2 19 7 5" xfId="41856" xr:uid="{00000000-0005-0000-0000-000061A30000}"/>
    <cellStyle name="Calculation 7 2 19 7 6" xfId="41857" xr:uid="{00000000-0005-0000-0000-000062A30000}"/>
    <cellStyle name="Calculation 7 2 19 8" xfId="41858" xr:uid="{00000000-0005-0000-0000-000063A30000}"/>
    <cellStyle name="Calculation 7 2 19 9" xfId="41859" xr:uid="{00000000-0005-0000-0000-000064A30000}"/>
    <cellStyle name="Calculation 7 2 2" xfId="41860" xr:uid="{00000000-0005-0000-0000-000065A30000}"/>
    <cellStyle name="Calculation 7 2 2 10" xfId="41861" xr:uid="{00000000-0005-0000-0000-000066A30000}"/>
    <cellStyle name="Calculation 7 2 2 2" xfId="41862" xr:uid="{00000000-0005-0000-0000-000067A30000}"/>
    <cellStyle name="Calculation 7 2 2 2 2" xfId="41863" xr:uid="{00000000-0005-0000-0000-000068A30000}"/>
    <cellStyle name="Calculation 7 2 2 2 3" xfId="41864" xr:uid="{00000000-0005-0000-0000-000069A30000}"/>
    <cellStyle name="Calculation 7 2 2 2 4" xfId="41865" xr:uid="{00000000-0005-0000-0000-00006AA30000}"/>
    <cellStyle name="Calculation 7 2 2 2 5" xfId="41866" xr:uid="{00000000-0005-0000-0000-00006BA30000}"/>
    <cellStyle name="Calculation 7 2 2 2 6" xfId="41867" xr:uid="{00000000-0005-0000-0000-00006CA30000}"/>
    <cellStyle name="Calculation 7 2 2 3" xfId="41868" xr:uid="{00000000-0005-0000-0000-00006DA30000}"/>
    <cellStyle name="Calculation 7 2 2 3 2" xfId="41869" xr:uid="{00000000-0005-0000-0000-00006EA30000}"/>
    <cellStyle name="Calculation 7 2 2 3 3" xfId="41870" xr:uid="{00000000-0005-0000-0000-00006FA30000}"/>
    <cellStyle name="Calculation 7 2 2 3 4" xfId="41871" xr:uid="{00000000-0005-0000-0000-000070A30000}"/>
    <cellStyle name="Calculation 7 2 2 3 5" xfId="41872" xr:uid="{00000000-0005-0000-0000-000071A30000}"/>
    <cellStyle name="Calculation 7 2 2 3 6" xfId="41873" xr:uid="{00000000-0005-0000-0000-000072A30000}"/>
    <cellStyle name="Calculation 7 2 2 4" xfId="41874" xr:uid="{00000000-0005-0000-0000-000073A30000}"/>
    <cellStyle name="Calculation 7 2 2 4 2" xfId="41875" xr:uid="{00000000-0005-0000-0000-000074A30000}"/>
    <cellStyle name="Calculation 7 2 2 4 3" xfId="41876" xr:uid="{00000000-0005-0000-0000-000075A30000}"/>
    <cellStyle name="Calculation 7 2 2 4 4" xfId="41877" xr:uid="{00000000-0005-0000-0000-000076A30000}"/>
    <cellStyle name="Calculation 7 2 2 4 5" xfId="41878" xr:uid="{00000000-0005-0000-0000-000077A30000}"/>
    <cellStyle name="Calculation 7 2 2 4 6" xfId="41879" xr:uid="{00000000-0005-0000-0000-000078A30000}"/>
    <cellStyle name="Calculation 7 2 2 5" xfId="41880" xr:uid="{00000000-0005-0000-0000-000079A30000}"/>
    <cellStyle name="Calculation 7 2 2 5 2" xfId="41881" xr:uid="{00000000-0005-0000-0000-00007AA30000}"/>
    <cellStyle name="Calculation 7 2 2 5 3" xfId="41882" xr:uid="{00000000-0005-0000-0000-00007BA30000}"/>
    <cellStyle name="Calculation 7 2 2 5 4" xfId="41883" xr:uid="{00000000-0005-0000-0000-00007CA30000}"/>
    <cellStyle name="Calculation 7 2 2 5 5" xfId="41884" xr:uid="{00000000-0005-0000-0000-00007DA30000}"/>
    <cellStyle name="Calculation 7 2 2 5 6" xfId="41885" xr:uid="{00000000-0005-0000-0000-00007EA30000}"/>
    <cellStyle name="Calculation 7 2 2 6" xfId="41886" xr:uid="{00000000-0005-0000-0000-00007FA30000}"/>
    <cellStyle name="Calculation 7 2 2 6 2" xfId="41887" xr:uid="{00000000-0005-0000-0000-000080A30000}"/>
    <cellStyle name="Calculation 7 2 2 6 3" xfId="41888" xr:uid="{00000000-0005-0000-0000-000081A30000}"/>
    <cellStyle name="Calculation 7 2 2 6 4" xfId="41889" xr:uid="{00000000-0005-0000-0000-000082A30000}"/>
    <cellStyle name="Calculation 7 2 2 6 5" xfId="41890" xr:uid="{00000000-0005-0000-0000-000083A30000}"/>
    <cellStyle name="Calculation 7 2 2 6 6" xfId="41891" xr:uid="{00000000-0005-0000-0000-000084A30000}"/>
    <cellStyle name="Calculation 7 2 2 7" xfId="41892" xr:uid="{00000000-0005-0000-0000-000085A30000}"/>
    <cellStyle name="Calculation 7 2 2 7 2" xfId="41893" xr:uid="{00000000-0005-0000-0000-000086A30000}"/>
    <cellStyle name="Calculation 7 2 2 7 3" xfId="41894" xr:uid="{00000000-0005-0000-0000-000087A30000}"/>
    <cellStyle name="Calculation 7 2 2 7 4" xfId="41895" xr:uid="{00000000-0005-0000-0000-000088A30000}"/>
    <cellStyle name="Calculation 7 2 2 7 5" xfId="41896" xr:uid="{00000000-0005-0000-0000-000089A30000}"/>
    <cellStyle name="Calculation 7 2 2 7 6" xfId="41897" xr:uid="{00000000-0005-0000-0000-00008AA30000}"/>
    <cellStyle name="Calculation 7 2 2 8" xfId="41898" xr:uid="{00000000-0005-0000-0000-00008BA30000}"/>
    <cellStyle name="Calculation 7 2 2 9" xfId="41899" xr:uid="{00000000-0005-0000-0000-00008CA30000}"/>
    <cellStyle name="Calculation 7 2 20" xfId="41900" xr:uid="{00000000-0005-0000-0000-00008DA30000}"/>
    <cellStyle name="Calculation 7 2 20 10" xfId="41901" xr:uid="{00000000-0005-0000-0000-00008EA30000}"/>
    <cellStyle name="Calculation 7 2 20 2" xfId="41902" xr:uid="{00000000-0005-0000-0000-00008FA30000}"/>
    <cellStyle name="Calculation 7 2 20 2 2" xfId="41903" xr:uid="{00000000-0005-0000-0000-000090A30000}"/>
    <cellStyle name="Calculation 7 2 20 2 3" xfId="41904" xr:uid="{00000000-0005-0000-0000-000091A30000}"/>
    <cellStyle name="Calculation 7 2 20 2 4" xfId="41905" xr:uid="{00000000-0005-0000-0000-000092A30000}"/>
    <cellStyle name="Calculation 7 2 20 2 5" xfId="41906" xr:uid="{00000000-0005-0000-0000-000093A30000}"/>
    <cellStyle name="Calculation 7 2 20 2 6" xfId="41907" xr:uid="{00000000-0005-0000-0000-000094A30000}"/>
    <cellStyle name="Calculation 7 2 20 3" xfId="41908" xr:uid="{00000000-0005-0000-0000-000095A30000}"/>
    <cellStyle name="Calculation 7 2 20 3 2" xfId="41909" xr:uid="{00000000-0005-0000-0000-000096A30000}"/>
    <cellStyle name="Calculation 7 2 20 3 3" xfId="41910" xr:uid="{00000000-0005-0000-0000-000097A30000}"/>
    <cellStyle name="Calculation 7 2 20 3 4" xfId="41911" xr:uid="{00000000-0005-0000-0000-000098A30000}"/>
    <cellStyle name="Calculation 7 2 20 3 5" xfId="41912" xr:uid="{00000000-0005-0000-0000-000099A30000}"/>
    <cellStyle name="Calculation 7 2 20 3 6" xfId="41913" xr:uid="{00000000-0005-0000-0000-00009AA30000}"/>
    <cellStyle name="Calculation 7 2 20 4" xfId="41914" xr:uid="{00000000-0005-0000-0000-00009BA30000}"/>
    <cellStyle name="Calculation 7 2 20 4 2" xfId="41915" xr:uid="{00000000-0005-0000-0000-00009CA30000}"/>
    <cellStyle name="Calculation 7 2 20 4 3" xfId="41916" xr:uid="{00000000-0005-0000-0000-00009DA30000}"/>
    <cellStyle name="Calculation 7 2 20 4 4" xfId="41917" xr:uid="{00000000-0005-0000-0000-00009EA30000}"/>
    <cellStyle name="Calculation 7 2 20 4 5" xfId="41918" xr:uid="{00000000-0005-0000-0000-00009FA30000}"/>
    <cellStyle name="Calculation 7 2 20 4 6" xfId="41919" xr:uid="{00000000-0005-0000-0000-0000A0A30000}"/>
    <cellStyle name="Calculation 7 2 20 5" xfId="41920" xr:uid="{00000000-0005-0000-0000-0000A1A30000}"/>
    <cellStyle name="Calculation 7 2 20 5 2" xfId="41921" xr:uid="{00000000-0005-0000-0000-0000A2A30000}"/>
    <cellStyle name="Calculation 7 2 20 5 3" xfId="41922" xr:uid="{00000000-0005-0000-0000-0000A3A30000}"/>
    <cellStyle name="Calculation 7 2 20 5 4" xfId="41923" xr:uid="{00000000-0005-0000-0000-0000A4A30000}"/>
    <cellStyle name="Calculation 7 2 20 5 5" xfId="41924" xr:uid="{00000000-0005-0000-0000-0000A5A30000}"/>
    <cellStyle name="Calculation 7 2 20 5 6" xfId="41925" xr:uid="{00000000-0005-0000-0000-0000A6A30000}"/>
    <cellStyle name="Calculation 7 2 20 6" xfId="41926" xr:uid="{00000000-0005-0000-0000-0000A7A30000}"/>
    <cellStyle name="Calculation 7 2 20 6 2" xfId="41927" xr:uid="{00000000-0005-0000-0000-0000A8A30000}"/>
    <cellStyle name="Calculation 7 2 20 6 3" xfId="41928" xr:uid="{00000000-0005-0000-0000-0000A9A30000}"/>
    <cellStyle name="Calculation 7 2 20 6 4" xfId="41929" xr:uid="{00000000-0005-0000-0000-0000AAA30000}"/>
    <cellStyle name="Calculation 7 2 20 6 5" xfId="41930" xr:uid="{00000000-0005-0000-0000-0000ABA30000}"/>
    <cellStyle name="Calculation 7 2 20 6 6" xfId="41931" xr:uid="{00000000-0005-0000-0000-0000ACA30000}"/>
    <cellStyle name="Calculation 7 2 20 7" xfId="41932" xr:uid="{00000000-0005-0000-0000-0000ADA30000}"/>
    <cellStyle name="Calculation 7 2 20 7 2" xfId="41933" xr:uid="{00000000-0005-0000-0000-0000AEA30000}"/>
    <cellStyle name="Calculation 7 2 20 7 3" xfId="41934" xr:uid="{00000000-0005-0000-0000-0000AFA30000}"/>
    <cellStyle name="Calculation 7 2 20 7 4" xfId="41935" xr:uid="{00000000-0005-0000-0000-0000B0A30000}"/>
    <cellStyle name="Calculation 7 2 20 7 5" xfId="41936" xr:uid="{00000000-0005-0000-0000-0000B1A30000}"/>
    <cellStyle name="Calculation 7 2 20 7 6" xfId="41937" xr:uid="{00000000-0005-0000-0000-0000B2A30000}"/>
    <cellStyle name="Calculation 7 2 20 8" xfId="41938" xr:uid="{00000000-0005-0000-0000-0000B3A30000}"/>
    <cellStyle name="Calculation 7 2 20 9" xfId="41939" xr:uid="{00000000-0005-0000-0000-0000B4A30000}"/>
    <cellStyle name="Calculation 7 2 21" xfId="41940" xr:uid="{00000000-0005-0000-0000-0000B5A30000}"/>
    <cellStyle name="Calculation 7 2 21 10" xfId="41941" xr:uid="{00000000-0005-0000-0000-0000B6A30000}"/>
    <cellStyle name="Calculation 7 2 21 2" xfId="41942" xr:uid="{00000000-0005-0000-0000-0000B7A30000}"/>
    <cellStyle name="Calculation 7 2 21 2 2" xfId="41943" xr:uid="{00000000-0005-0000-0000-0000B8A30000}"/>
    <cellStyle name="Calculation 7 2 21 2 3" xfId="41944" xr:uid="{00000000-0005-0000-0000-0000B9A30000}"/>
    <cellStyle name="Calculation 7 2 21 2 4" xfId="41945" xr:uid="{00000000-0005-0000-0000-0000BAA30000}"/>
    <cellStyle name="Calculation 7 2 21 2 5" xfId="41946" xr:uid="{00000000-0005-0000-0000-0000BBA30000}"/>
    <cellStyle name="Calculation 7 2 21 2 6" xfId="41947" xr:uid="{00000000-0005-0000-0000-0000BCA30000}"/>
    <cellStyle name="Calculation 7 2 21 3" xfId="41948" xr:uid="{00000000-0005-0000-0000-0000BDA30000}"/>
    <cellStyle name="Calculation 7 2 21 3 2" xfId="41949" xr:uid="{00000000-0005-0000-0000-0000BEA30000}"/>
    <cellStyle name="Calculation 7 2 21 3 3" xfId="41950" xr:uid="{00000000-0005-0000-0000-0000BFA30000}"/>
    <cellStyle name="Calculation 7 2 21 3 4" xfId="41951" xr:uid="{00000000-0005-0000-0000-0000C0A30000}"/>
    <cellStyle name="Calculation 7 2 21 3 5" xfId="41952" xr:uid="{00000000-0005-0000-0000-0000C1A30000}"/>
    <cellStyle name="Calculation 7 2 21 3 6" xfId="41953" xr:uid="{00000000-0005-0000-0000-0000C2A30000}"/>
    <cellStyle name="Calculation 7 2 21 4" xfId="41954" xr:uid="{00000000-0005-0000-0000-0000C3A30000}"/>
    <cellStyle name="Calculation 7 2 21 4 2" xfId="41955" xr:uid="{00000000-0005-0000-0000-0000C4A30000}"/>
    <cellStyle name="Calculation 7 2 21 4 3" xfId="41956" xr:uid="{00000000-0005-0000-0000-0000C5A30000}"/>
    <cellStyle name="Calculation 7 2 21 4 4" xfId="41957" xr:uid="{00000000-0005-0000-0000-0000C6A30000}"/>
    <cellStyle name="Calculation 7 2 21 4 5" xfId="41958" xr:uid="{00000000-0005-0000-0000-0000C7A30000}"/>
    <cellStyle name="Calculation 7 2 21 4 6" xfId="41959" xr:uid="{00000000-0005-0000-0000-0000C8A30000}"/>
    <cellStyle name="Calculation 7 2 21 5" xfId="41960" xr:uid="{00000000-0005-0000-0000-0000C9A30000}"/>
    <cellStyle name="Calculation 7 2 21 5 2" xfId="41961" xr:uid="{00000000-0005-0000-0000-0000CAA30000}"/>
    <cellStyle name="Calculation 7 2 21 5 3" xfId="41962" xr:uid="{00000000-0005-0000-0000-0000CBA30000}"/>
    <cellStyle name="Calculation 7 2 21 5 4" xfId="41963" xr:uid="{00000000-0005-0000-0000-0000CCA30000}"/>
    <cellStyle name="Calculation 7 2 21 5 5" xfId="41964" xr:uid="{00000000-0005-0000-0000-0000CDA30000}"/>
    <cellStyle name="Calculation 7 2 21 5 6" xfId="41965" xr:uid="{00000000-0005-0000-0000-0000CEA30000}"/>
    <cellStyle name="Calculation 7 2 21 6" xfId="41966" xr:uid="{00000000-0005-0000-0000-0000CFA30000}"/>
    <cellStyle name="Calculation 7 2 21 6 2" xfId="41967" xr:uid="{00000000-0005-0000-0000-0000D0A30000}"/>
    <cellStyle name="Calculation 7 2 21 6 3" xfId="41968" xr:uid="{00000000-0005-0000-0000-0000D1A30000}"/>
    <cellStyle name="Calculation 7 2 21 6 4" xfId="41969" xr:uid="{00000000-0005-0000-0000-0000D2A30000}"/>
    <cellStyle name="Calculation 7 2 21 6 5" xfId="41970" xr:uid="{00000000-0005-0000-0000-0000D3A30000}"/>
    <cellStyle name="Calculation 7 2 21 6 6" xfId="41971" xr:uid="{00000000-0005-0000-0000-0000D4A30000}"/>
    <cellStyle name="Calculation 7 2 21 7" xfId="41972" xr:uid="{00000000-0005-0000-0000-0000D5A30000}"/>
    <cellStyle name="Calculation 7 2 21 7 2" xfId="41973" xr:uid="{00000000-0005-0000-0000-0000D6A30000}"/>
    <cellStyle name="Calculation 7 2 21 7 3" xfId="41974" xr:uid="{00000000-0005-0000-0000-0000D7A30000}"/>
    <cellStyle name="Calculation 7 2 21 7 4" xfId="41975" xr:uid="{00000000-0005-0000-0000-0000D8A30000}"/>
    <cellStyle name="Calculation 7 2 21 7 5" xfId="41976" xr:uid="{00000000-0005-0000-0000-0000D9A30000}"/>
    <cellStyle name="Calculation 7 2 21 7 6" xfId="41977" xr:uid="{00000000-0005-0000-0000-0000DAA30000}"/>
    <cellStyle name="Calculation 7 2 21 8" xfId="41978" xr:uid="{00000000-0005-0000-0000-0000DBA30000}"/>
    <cellStyle name="Calculation 7 2 21 9" xfId="41979" xr:uid="{00000000-0005-0000-0000-0000DCA30000}"/>
    <cellStyle name="Calculation 7 2 22" xfId="41980" xr:uid="{00000000-0005-0000-0000-0000DDA30000}"/>
    <cellStyle name="Calculation 7 2 22 10" xfId="41981" xr:uid="{00000000-0005-0000-0000-0000DEA30000}"/>
    <cellStyle name="Calculation 7 2 22 2" xfId="41982" xr:uid="{00000000-0005-0000-0000-0000DFA30000}"/>
    <cellStyle name="Calculation 7 2 22 2 2" xfId="41983" xr:uid="{00000000-0005-0000-0000-0000E0A30000}"/>
    <cellStyle name="Calculation 7 2 22 2 3" xfId="41984" xr:uid="{00000000-0005-0000-0000-0000E1A30000}"/>
    <cellStyle name="Calculation 7 2 22 2 4" xfId="41985" xr:uid="{00000000-0005-0000-0000-0000E2A30000}"/>
    <cellStyle name="Calculation 7 2 22 2 5" xfId="41986" xr:uid="{00000000-0005-0000-0000-0000E3A30000}"/>
    <cellStyle name="Calculation 7 2 22 2 6" xfId="41987" xr:uid="{00000000-0005-0000-0000-0000E4A30000}"/>
    <cellStyle name="Calculation 7 2 22 3" xfId="41988" xr:uid="{00000000-0005-0000-0000-0000E5A30000}"/>
    <cellStyle name="Calculation 7 2 22 3 2" xfId="41989" xr:uid="{00000000-0005-0000-0000-0000E6A30000}"/>
    <cellStyle name="Calculation 7 2 22 3 3" xfId="41990" xr:uid="{00000000-0005-0000-0000-0000E7A30000}"/>
    <cellStyle name="Calculation 7 2 22 3 4" xfId="41991" xr:uid="{00000000-0005-0000-0000-0000E8A30000}"/>
    <cellStyle name="Calculation 7 2 22 3 5" xfId="41992" xr:uid="{00000000-0005-0000-0000-0000E9A30000}"/>
    <cellStyle name="Calculation 7 2 22 3 6" xfId="41993" xr:uid="{00000000-0005-0000-0000-0000EAA30000}"/>
    <cellStyle name="Calculation 7 2 22 4" xfId="41994" xr:uid="{00000000-0005-0000-0000-0000EBA30000}"/>
    <cellStyle name="Calculation 7 2 22 4 2" xfId="41995" xr:uid="{00000000-0005-0000-0000-0000ECA30000}"/>
    <cellStyle name="Calculation 7 2 22 4 3" xfId="41996" xr:uid="{00000000-0005-0000-0000-0000EDA30000}"/>
    <cellStyle name="Calculation 7 2 22 4 4" xfId="41997" xr:uid="{00000000-0005-0000-0000-0000EEA30000}"/>
    <cellStyle name="Calculation 7 2 22 4 5" xfId="41998" xr:uid="{00000000-0005-0000-0000-0000EFA30000}"/>
    <cellStyle name="Calculation 7 2 22 4 6" xfId="41999" xr:uid="{00000000-0005-0000-0000-0000F0A30000}"/>
    <cellStyle name="Calculation 7 2 22 5" xfId="42000" xr:uid="{00000000-0005-0000-0000-0000F1A30000}"/>
    <cellStyle name="Calculation 7 2 22 5 2" xfId="42001" xr:uid="{00000000-0005-0000-0000-0000F2A30000}"/>
    <cellStyle name="Calculation 7 2 22 5 3" xfId="42002" xr:uid="{00000000-0005-0000-0000-0000F3A30000}"/>
    <cellStyle name="Calculation 7 2 22 5 4" xfId="42003" xr:uid="{00000000-0005-0000-0000-0000F4A30000}"/>
    <cellStyle name="Calculation 7 2 22 5 5" xfId="42004" xr:uid="{00000000-0005-0000-0000-0000F5A30000}"/>
    <cellStyle name="Calculation 7 2 22 5 6" xfId="42005" xr:uid="{00000000-0005-0000-0000-0000F6A30000}"/>
    <cellStyle name="Calculation 7 2 22 6" xfId="42006" xr:uid="{00000000-0005-0000-0000-0000F7A30000}"/>
    <cellStyle name="Calculation 7 2 22 6 2" xfId="42007" xr:uid="{00000000-0005-0000-0000-0000F8A30000}"/>
    <cellStyle name="Calculation 7 2 22 6 3" xfId="42008" xr:uid="{00000000-0005-0000-0000-0000F9A30000}"/>
    <cellStyle name="Calculation 7 2 22 6 4" xfId="42009" xr:uid="{00000000-0005-0000-0000-0000FAA30000}"/>
    <cellStyle name="Calculation 7 2 22 6 5" xfId="42010" xr:uid="{00000000-0005-0000-0000-0000FBA30000}"/>
    <cellStyle name="Calculation 7 2 22 6 6" xfId="42011" xr:uid="{00000000-0005-0000-0000-0000FCA30000}"/>
    <cellStyle name="Calculation 7 2 22 7" xfId="42012" xr:uid="{00000000-0005-0000-0000-0000FDA30000}"/>
    <cellStyle name="Calculation 7 2 22 7 2" xfId="42013" xr:uid="{00000000-0005-0000-0000-0000FEA30000}"/>
    <cellStyle name="Calculation 7 2 22 7 3" xfId="42014" xr:uid="{00000000-0005-0000-0000-0000FFA30000}"/>
    <cellStyle name="Calculation 7 2 22 7 4" xfId="42015" xr:uid="{00000000-0005-0000-0000-000000A40000}"/>
    <cellStyle name="Calculation 7 2 22 7 5" xfId="42016" xr:uid="{00000000-0005-0000-0000-000001A40000}"/>
    <cellStyle name="Calculation 7 2 22 7 6" xfId="42017" xr:uid="{00000000-0005-0000-0000-000002A40000}"/>
    <cellStyle name="Calculation 7 2 22 8" xfId="42018" xr:uid="{00000000-0005-0000-0000-000003A40000}"/>
    <cellStyle name="Calculation 7 2 22 9" xfId="42019" xr:uid="{00000000-0005-0000-0000-000004A40000}"/>
    <cellStyle name="Calculation 7 2 23" xfId="42020" xr:uid="{00000000-0005-0000-0000-000005A40000}"/>
    <cellStyle name="Calculation 7 2 23 10" xfId="42021" xr:uid="{00000000-0005-0000-0000-000006A40000}"/>
    <cellStyle name="Calculation 7 2 23 2" xfId="42022" xr:uid="{00000000-0005-0000-0000-000007A40000}"/>
    <cellStyle name="Calculation 7 2 23 2 2" xfId="42023" xr:uid="{00000000-0005-0000-0000-000008A40000}"/>
    <cellStyle name="Calculation 7 2 23 2 3" xfId="42024" xr:uid="{00000000-0005-0000-0000-000009A40000}"/>
    <cellStyle name="Calculation 7 2 23 2 4" xfId="42025" xr:uid="{00000000-0005-0000-0000-00000AA40000}"/>
    <cellStyle name="Calculation 7 2 23 2 5" xfId="42026" xr:uid="{00000000-0005-0000-0000-00000BA40000}"/>
    <cellStyle name="Calculation 7 2 23 2 6" xfId="42027" xr:uid="{00000000-0005-0000-0000-00000CA40000}"/>
    <cellStyle name="Calculation 7 2 23 3" xfId="42028" xr:uid="{00000000-0005-0000-0000-00000DA40000}"/>
    <cellStyle name="Calculation 7 2 23 3 2" xfId="42029" xr:uid="{00000000-0005-0000-0000-00000EA40000}"/>
    <cellStyle name="Calculation 7 2 23 3 3" xfId="42030" xr:uid="{00000000-0005-0000-0000-00000FA40000}"/>
    <cellStyle name="Calculation 7 2 23 3 4" xfId="42031" xr:uid="{00000000-0005-0000-0000-000010A40000}"/>
    <cellStyle name="Calculation 7 2 23 3 5" xfId="42032" xr:uid="{00000000-0005-0000-0000-000011A40000}"/>
    <cellStyle name="Calculation 7 2 23 3 6" xfId="42033" xr:uid="{00000000-0005-0000-0000-000012A40000}"/>
    <cellStyle name="Calculation 7 2 23 4" xfId="42034" xr:uid="{00000000-0005-0000-0000-000013A40000}"/>
    <cellStyle name="Calculation 7 2 23 4 2" xfId="42035" xr:uid="{00000000-0005-0000-0000-000014A40000}"/>
    <cellStyle name="Calculation 7 2 23 4 3" xfId="42036" xr:uid="{00000000-0005-0000-0000-000015A40000}"/>
    <cellStyle name="Calculation 7 2 23 4 4" xfId="42037" xr:uid="{00000000-0005-0000-0000-000016A40000}"/>
    <cellStyle name="Calculation 7 2 23 4 5" xfId="42038" xr:uid="{00000000-0005-0000-0000-000017A40000}"/>
    <cellStyle name="Calculation 7 2 23 4 6" xfId="42039" xr:uid="{00000000-0005-0000-0000-000018A40000}"/>
    <cellStyle name="Calculation 7 2 23 5" xfId="42040" xr:uid="{00000000-0005-0000-0000-000019A40000}"/>
    <cellStyle name="Calculation 7 2 23 5 2" xfId="42041" xr:uid="{00000000-0005-0000-0000-00001AA40000}"/>
    <cellStyle name="Calculation 7 2 23 5 3" xfId="42042" xr:uid="{00000000-0005-0000-0000-00001BA40000}"/>
    <cellStyle name="Calculation 7 2 23 5 4" xfId="42043" xr:uid="{00000000-0005-0000-0000-00001CA40000}"/>
    <cellStyle name="Calculation 7 2 23 5 5" xfId="42044" xr:uid="{00000000-0005-0000-0000-00001DA40000}"/>
    <cellStyle name="Calculation 7 2 23 5 6" xfId="42045" xr:uid="{00000000-0005-0000-0000-00001EA40000}"/>
    <cellStyle name="Calculation 7 2 23 6" xfId="42046" xr:uid="{00000000-0005-0000-0000-00001FA40000}"/>
    <cellStyle name="Calculation 7 2 23 6 2" xfId="42047" xr:uid="{00000000-0005-0000-0000-000020A40000}"/>
    <cellStyle name="Calculation 7 2 23 6 3" xfId="42048" xr:uid="{00000000-0005-0000-0000-000021A40000}"/>
    <cellStyle name="Calculation 7 2 23 6 4" xfId="42049" xr:uid="{00000000-0005-0000-0000-000022A40000}"/>
    <cellStyle name="Calculation 7 2 23 6 5" xfId="42050" xr:uid="{00000000-0005-0000-0000-000023A40000}"/>
    <cellStyle name="Calculation 7 2 23 6 6" xfId="42051" xr:uid="{00000000-0005-0000-0000-000024A40000}"/>
    <cellStyle name="Calculation 7 2 23 7" xfId="42052" xr:uid="{00000000-0005-0000-0000-000025A40000}"/>
    <cellStyle name="Calculation 7 2 23 7 2" xfId="42053" xr:uid="{00000000-0005-0000-0000-000026A40000}"/>
    <cellStyle name="Calculation 7 2 23 7 3" xfId="42054" xr:uid="{00000000-0005-0000-0000-000027A40000}"/>
    <cellStyle name="Calculation 7 2 23 7 4" xfId="42055" xr:uid="{00000000-0005-0000-0000-000028A40000}"/>
    <cellStyle name="Calculation 7 2 23 7 5" xfId="42056" xr:uid="{00000000-0005-0000-0000-000029A40000}"/>
    <cellStyle name="Calculation 7 2 23 7 6" xfId="42057" xr:uid="{00000000-0005-0000-0000-00002AA40000}"/>
    <cellStyle name="Calculation 7 2 23 8" xfId="42058" xr:uid="{00000000-0005-0000-0000-00002BA40000}"/>
    <cellStyle name="Calculation 7 2 23 9" xfId="42059" xr:uid="{00000000-0005-0000-0000-00002CA40000}"/>
    <cellStyle name="Calculation 7 2 24" xfId="42060" xr:uid="{00000000-0005-0000-0000-00002DA40000}"/>
    <cellStyle name="Calculation 7 2 24 10" xfId="42061" xr:uid="{00000000-0005-0000-0000-00002EA40000}"/>
    <cellStyle name="Calculation 7 2 24 2" xfId="42062" xr:uid="{00000000-0005-0000-0000-00002FA40000}"/>
    <cellStyle name="Calculation 7 2 24 2 2" xfId="42063" xr:uid="{00000000-0005-0000-0000-000030A40000}"/>
    <cellStyle name="Calculation 7 2 24 2 3" xfId="42064" xr:uid="{00000000-0005-0000-0000-000031A40000}"/>
    <cellStyle name="Calculation 7 2 24 2 4" xfId="42065" xr:uid="{00000000-0005-0000-0000-000032A40000}"/>
    <cellStyle name="Calculation 7 2 24 2 5" xfId="42066" xr:uid="{00000000-0005-0000-0000-000033A40000}"/>
    <cellStyle name="Calculation 7 2 24 2 6" xfId="42067" xr:uid="{00000000-0005-0000-0000-000034A40000}"/>
    <cellStyle name="Calculation 7 2 24 3" xfId="42068" xr:uid="{00000000-0005-0000-0000-000035A40000}"/>
    <cellStyle name="Calculation 7 2 24 3 2" xfId="42069" xr:uid="{00000000-0005-0000-0000-000036A40000}"/>
    <cellStyle name="Calculation 7 2 24 3 3" xfId="42070" xr:uid="{00000000-0005-0000-0000-000037A40000}"/>
    <cellStyle name="Calculation 7 2 24 3 4" xfId="42071" xr:uid="{00000000-0005-0000-0000-000038A40000}"/>
    <cellStyle name="Calculation 7 2 24 3 5" xfId="42072" xr:uid="{00000000-0005-0000-0000-000039A40000}"/>
    <cellStyle name="Calculation 7 2 24 3 6" xfId="42073" xr:uid="{00000000-0005-0000-0000-00003AA40000}"/>
    <cellStyle name="Calculation 7 2 24 4" xfId="42074" xr:uid="{00000000-0005-0000-0000-00003BA40000}"/>
    <cellStyle name="Calculation 7 2 24 4 2" xfId="42075" xr:uid="{00000000-0005-0000-0000-00003CA40000}"/>
    <cellStyle name="Calculation 7 2 24 4 3" xfId="42076" xr:uid="{00000000-0005-0000-0000-00003DA40000}"/>
    <cellStyle name="Calculation 7 2 24 4 4" xfId="42077" xr:uid="{00000000-0005-0000-0000-00003EA40000}"/>
    <cellStyle name="Calculation 7 2 24 4 5" xfId="42078" xr:uid="{00000000-0005-0000-0000-00003FA40000}"/>
    <cellStyle name="Calculation 7 2 24 4 6" xfId="42079" xr:uid="{00000000-0005-0000-0000-000040A40000}"/>
    <cellStyle name="Calculation 7 2 24 5" xfId="42080" xr:uid="{00000000-0005-0000-0000-000041A40000}"/>
    <cellStyle name="Calculation 7 2 24 5 2" xfId="42081" xr:uid="{00000000-0005-0000-0000-000042A40000}"/>
    <cellStyle name="Calculation 7 2 24 5 3" xfId="42082" xr:uid="{00000000-0005-0000-0000-000043A40000}"/>
    <cellStyle name="Calculation 7 2 24 5 4" xfId="42083" xr:uid="{00000000-0005-0000-0000-000044A40000}"/>
    <cellStyle name="Calculation 7 2 24 5 5" xfId="42084" xr:uid="{00000000-0005-0000-0000-000045A40000}"/>
    <cellStyle name="Calculation 7 2 24 5 6" xfId="42085" xr:uid="{00000000-0005-0000-0000-000046A40000}"/>
    <cellStyle name="Calculation 7 2 24 6" xfId="42086" xr:uid="{00000000-0005-0000-0000-000047A40000}"/>
    <cellStyle name="Calculation 7 2 24 6 2" xfId="42087" xr:uid="{00000000-0005-0000-0000-000048A40000}"/>
    <cellStyle name="Calculation 7 2 24 6 3" xfId="42088" xr:uid="{00000000-0005-0000-0000-000049A40000}"/>
    <cellStyle name="Calculation 7 2 24 6 4" xfId="42089" xr:uid="{00000000-0005-0000-0000-00004AA40000}"/>
    <cellStyle name="Calculation 7 2 24 6 5" xfId="42090" xr:uid="{00000000-0005-0000-0000-00004BA40000}"/>
    <cellStyle name="Calculation 7 2 24 6 6" xfId="42091" xr:uid="{00000000-0005-0000-0000-00004CA40000}"/>
    <cellStyle name="Calculation 7 2 24 7" xfId="42092" xr:uid="{00000000-0005-0000-0000-00004DA40000}"/>
    <cellStyle name="Calculation 7 2 24 7 2" xfId="42093" xr:uid="{00000000-0005-0000-0000-00004EA40000}"/>
    <cellStyle name="Calculation 7 2 24 7 3" xfId="42094" xr:uid="{00000000-0005-0000-0000-00004FA40000}"/>
    <cellStyle name="Calculation 7 2 24 7 4" xfId="42095" xr:uid="{00000000-0005-0000-0000-000050A40000}"/>
    <cellStyle name="Calculation 7 2 24 7 5" xfId="42096" xr:uid="{00000000-0005-0000-0000-000051A40000}"/>
    <cellStyle name="Calculation 7 2 24 7 6" xfId="42097" xr:uid="{00000000-0005-0000-0000-000052A40000}"/>
    <cellStyle name="Calculation 7 2 24 8" xfId="42098" xr:uid="{00000000-0005-0000-0000-000053A40000}"/>
    <cellStyle name="Calculation 7 2 24 9" xfId="42099" xr:uid="{00000000-0005-0000-0000-000054A40000}"/>
    <cellStyle name="Calculation 7 2 25" xfId="42100" xr:uid="{00000000-0005-0000-0000-000055A40000}"/>
    <cellStyle name="Calculation 7 2 25 10" xfId="42101" xr:uid="{00000000-0005-0000-0000-000056A40000}"/>
    <cellStyle name="Calculation 7 2 25 2" xfId="42102" xr:uid="{00000000-0005-0000-0000-000057A40000}"/>
    <cellStyle name="Calculation 7 2 25 2 2" xfId="42103" xr:uid="{00000000-0005-0000-0000-000058A40000}"/>
    <cellStyle name="Calculation 7 2 25 2 3" xfId="42104" xr:uid="{00000000-0005-0000-0000-000059A40000}"/>
    <cellStyle name="Calculation 7 2 25 2 4" xfId="42105" xr:uid="{00000000-0005-0000-0000-00005AA40000}"/>
    <cellStyle name="Calculation 7 2 25 2 5" xfId="42106" xr:uid="{00000000-0005-0000-0000-00005BA40000}"/>
    <cellStyle name="Calculation 7 2 25 2 6" xfId="42107" xr:uid="{00000000-0005-0000-0000-00005CA40000}"/>
    <cellStyle name="Calculation 7 2 25 3" xfId="42108" xr:uid="{00000000-0005-0000-0000-00005DA40000}"/>
    <cellStyle name="Calculation 7 2 25 3 2" xfId="42109" xr:uid="{00000000-0005-0000-0000-00005EA40000}"/>
    <cellStyle name="Calculation 7 2 25 3 3" xfId="42110" xr:uid="{00000000-0005-0000-0000-00005FA40000}"/>
    <cellStyle name="Calculation 7 2 25 3 4" xfId="42111" xr:uid="{00000000-0005-0000-0000-000060A40000}"/>
    <cellStyle name="Calculation 7 2 25 3 5" xfId="42112" xr:uid="{00000000-0005-0000-0000-000061A40000}"/>
    <cellStyle name="Calculation 7 2 25 3 6" xfId="42113" xr:uid="{00000000-0005-0000-0000-000062A40000}"/>
    <cellStyle name="Calculation 7 2 25 4" xfId="42114" xr:uid="{00000000-0005-0000-0000-000063A40000}"/>
    <cellStyle name="Calculation 7 2 25 4 2" xfId="42115" xr:uid="{00000000-0005-0000-0000-000064A40000}"/>
    <cellStyle name="Calculation 7 2 25 4 3" xfId="42116" xr:uid="{00000000-0005-0000-0000-000065A40000}"/>
    <cellStyle name="Calculation 7 2 25 4 4" xfId="42117" xr:uid="{00000000-0005-0000-0000-000066A40000}"/>
    <cellStyle name="Calculation 7 2 25 4 5" xfId="42118" xr:uid="{00000000-0005-0000-0000-000067A40000}"/>
    <cellStyle name="Calculation 7 2 25 4 6" xfId="42119" xr:uid="{00000000-0005-0000-0000-000068A40000}"/>
    <cellStyle name="Calculation 7 2 25 5" xfId="42120" xr:uid="{00000000-0005-0000-0000-000069A40000}"/>
    <cellStyle name="Calculation 7 2 25 5 2" xfId="42121" xr:uid="{00000000-0005-0000-0000-00006AA40000}"/>
    <cellStyle name="Calculation 7 2 25 5 3" xfId="42122" xr:uid="{00000000-0005-0000-0000-00006BA40000}"/>
    <cellStyle name="Calculation 7 2 25 5 4" xfId="42123" xr:uid="{00000000-0005-0000-0000-00006CA40000}"/>
    <cellStyle name="Calculation 7 2 25 5 5" xfId="42124" xr:uid="{00000000-0005-0000-0000-00006DA40000}"/>
    <cellStyle name="Calculation 7 2 25 5 6" xfId="42125" xr:uid="{00000000-0005-0000-0000-00006EA40000}"/>
    <cellStyle name="Calculation 7 2 25 6" xfId="42126" xr:uid="{00000000-0005-0000-0000-00006FA40000}"/>
    <cellStyle name="Calculation 7 2 25 6 2" xfId="42127" xr:uid="{00000000-0005-0000-0000-000070A40000}"/>
    <cellStyle name="Calculation 7 2 25 6 3" xfId="42128" xr:uid="{00000000-0005-0000-0000-000071A40000}"/>
    <cellStyle name="Calculation 7 2 25 6 4" xfId="42129" xr:uid="{00000000-0005-0000-0000-000072A40000}"/>
    <cellStyle name="Calculation 7 2 25 6 5" xfId="42130" xr:uid="{00000000-0005-0000-0000-000073A40000}"/>
    <cellStyle name="Calculation 7 2 25 6 6" xfId="42131" xr:uid="{00000000-0005-0000-0000-000074A40000}"/>
    <cellStyle name="Calculation 7 2 25 7" xfId="42132" xr:uid="{00000000-0005-0000-0000-000075A40000}"/>
    <cellStyle name="Calculation 7 2 25 7 2" xfId="42133" xr:uid="{00000000-0005-0000-0000-000076A40000}"/>
    <cellStyle name="Calculation 7 2 25 7 3" xfId="42134" xr:uid="{00000000-0005-0000-0000-000077A40000}"/>
    <cellStyle name="Calculation 7 2 25 7 4" xfId="42135" xr:uid="{00000000-0005-0000-0000-000078A40000}"/>
    <cellStyle name="Calculation 7 2 25 7 5" xfId="42136" xr:uid="{00000000-0005-0000-0000-000079A40000}"/>
    <cellStyle name="Calculation 7 2 25 7 6" xfId="42137" xr:uid="{00000000-0005-0000-0000-00007AA40000}"/>
    <cellStyle name="Calculation 7 2 25 8" xfId="42138" xr:uid="{00000000-0005-0000-0000-00007BA40000}"/>
    <cellStyle name="Calculation 7 2 25 9" xfId="42139" xr:uid="{00000000-0005-0000-0000-00007CA40000}"/>
    <cellStyle name="Calculation 7 2 26" xfId="42140" xr:uid="{00000000-0005-0000-0000-00007DA40000}"/>
    <cellStyle name="Calculation 7 2 26 10" xfId="42141" xr:uid="{00000000-0005-0000-0000-00007EA40000}"/>
    <cellStyle name="Calculation 7 2 26 2" xfId="42142" xr:uid="{00000000-0005-0000-0000-00007FA40000}"/>
    <cellStyle name="Calculation 7 2 26 2 2" xfId="42143" xr:uid="{00000000-0005-0000-0000-000080A40000}"/>
    <cellStyle name="Calculation 7 2 26 2 3" xfId="42144" xr:uid="{00000000-0005-0000-0000-000081A40000}"/>
    <cellStyle name="Calculation 7 2 26 2 4" xfId="42145" xr:uid="{00000000-0005-0000-0000-000082A40000}"/>
    <cellStyle name="Calculation 7 2 26 2 5" xfId="42146" xr:uid="{00000000-0005-0000-0000-000083A40000}"/>
    <cellStyle name="Calculation 7 2 26 2 6" xfId="42147" xr:uid="{00000000-0005-0000-0000-000084A40000}"/>
    <cellStyle name="Calculation 7 2 26 3" xfId="42148" xr:uid="{00000000-0005-0000-0000-000085A40000}"/>
    <cellStyle name="Calculation 7 2 26 3 2" xfId="42149" xr:uid="{00000000-0005-0000-0000-000086A40000}"/>
    <cellStyle name="Calculation 7 2 26 3 3" xfId="42150" xr:uid="{00000000-0005-0000-0000-000087A40000}"/>
    <cellStyle name="Calculation 7 2 26 3 4" xfId="42151" xr:uid="{00000000-0005-0000-0000-000088A40000}"/>
    <cellStyle name="Calculation 7 2 26 3 5" xfId="42152" xr:uid="{00000000-0005-0000-0000-000089A40000}"/>
    <cellStyle name="Calculation 7 2 26 3 6" xfId="42153" xr:uid="{00000000-0005-0000-0000-00008AA40000}"/>
    <cellStyle name="Calculation 7 2 26 4" xfId="42154" xr:uid="{00000000-0005-0000-0000-00008BA40000}"/>
    <cellStyle name="Calculation 7 2 26 4 2" xfId="42155" xr:uid="{00000000-0005-0000-0000-00008CA40000}"/>
    <cellStyle name="Calculation 7 2 26 4 3" xfId="42156" xr:uid="{00000000-0005-0000-0000-00008DA40000}"/>
    <cellStyle name="Calculation 7 2 26 4 4" xfId="42157" xr:uid="{00000000-0005-0000-0000-00008EA40000}"/>
    <cellStyle name="Calculation 7 2 26 4 5" xfId="42158" xr:uid="{00000000-0005-0000-0000-00008FA40000}"/>
    <cellStyle name="Calculation 7 2 26 4 6" xfId="42159" xr:uid="{00000000-0005-0000-0000-000090A40000}"/>
    <cellStyle name="Calculation 7 2 26 5" xfId="42160" xr:uid="{00000000-0005-0000-0000-000091A40000}"/>
    <cellStyle name="Calculation 7 2 26 5 2" xfId="42161" xr:uid="{00000000-0005-0000-0000-000092A40000}"/>
    <cellStyle name="Calculation 7 2 26 5 3" xfId="42162" xr:uid="{00000000-0005-0000-0000-000093A40000}"/>
    <cellStyle name="Calculation 7 2 26 5 4" xfId="42163" xr:uid="{00000000-0005-0000-0000-000094A40000}"/>
    <cellStyle name="Calculation 7 2 26 5 5" xfId="42164" xr:uid="{00000000-0005-0000-0000-000095A40000}"/>
    <cellStyle name="Calculation 7 2 26 5 6" xfId="42165" xr:uid="{00000000-0005-0000-0000-000096A40000}"/>
    <cellStyle name="Calculation 7 2 26 6" xfId="42166" xr:uid="{00000000-0005-0000-0000-000097A40000}"/>
    <cellStyle name="Calculation 7 2 26 6 2" xfId="42167" xr:uid="{00000000-0005-0000-0000-000098A40000}"/>
    <cellStyle name="Calculation 7 2 26 6 3" xfId="42168" xr:uid="{00000000-0005-0000-0000-000099A40000}"/>
    <cellStyle name="Calculation 7 2 26 6 4" xfId="42169" xr:uid="{00000000-0005-0000-0000-00009AA40000}"/>
    <cellStyle name="Calculation 7 2 26 6 5" xfId="42170" xr:uid="{00000000-0005-0000-0000-00009BA40000}"/>
    <cellStyle name="Calculation 7 2 26 6 6" xfId="42171" xr:uid="{00000000-0005-0000-0000-00009CA40000}"/>
    <cellStyle name="Calculation 7 2 26 7" xfId="42172" xr:uid="{00000000-0005-0000-0000-00009DA40000}"/>
    <cellStyle name="Calculation 7 2 26 7 2" xfId="42173" xr:uid="{00000000-0005-0000-0000-00009EA40000}"/>
    <cellStyle name="Calculation 7 2 26 7 3" xfId="42174" xr:uid="{00000000-0005-0000-0000-00009FA40000}"/>
    <cellStyle name="Calculation 7 2 26 7 4" xfId="42175" xr:uid="{00000000-0005-0000-0000-0000A0A40000}"/>
    <cellStyle name="Calculation 7 2 26 7 5" xfId="42176" xr:uid="{00000000-0005-0000-0000-0000A1A40000}"/>
    <cellStyle name="Calculation 7 2 26 7 6" xfId="42177" xr:uid="{00000000-0005-0000-0000-0000A2A40000}"/>
    <cellStyle name="Calculation 7 2 26 8" xfId="42178" xr:uid="{00000000-0005-0000-0000-0000A3A40000}"/>
    <cellStyle name="Calculation 7 2 26 9" xfId="42179" xr:uid="{00000000-0005-0000-0000-0000A4A40000}"/>
    <cellStyle name="Calculation 7 2 27" xfId="42180" xr:uid="{00000000-0005-0000-0000-0000A5A40000}"/>
    <cellStyle name="Calculation 7 2 27 2" xfId="42181" xr:uid="{00000000-0005-0000-0000-0000A6A40000}"/>
    <cellStyle name="Calculation 7 2 27 3" xfId="42182" xr:uid="{00000000-0005-0000-0000-0000A7A40000}"/>
    <cellStyle name="Calculation 7 2 27 4" xfId="42183" xr:uid="{00000000-0005-0000-0000-0000A8A40000}"/>
    <cellStyle name="Calculation 7 2 27 5" xfId="42184" xr:uid="{00000000-0005-0000-0000-0000A9A40000}"/>
    <cellStyle name="Calculation 7 2 27 6" xfId="42185" xr:uid="{00000000-0005-0000-0000-0000AAA40000}"/>
    <cellStyle name="Calculation 7 2 28" xfId="42186" xr:uid="{00000000-0005-0000-0000-0000ABA40000}"/>
    <cellStyle name="Calculation 7 2 28 2" xfId="42187" xr:uid="{00000000-0005-0000-0000-0000ACA40000}"/>
    <cellStyle name="Calculation 7 2 28 3" xfId="42188" xr:uid="{00000000-0005-0000-0000-0000ADA40000}"/>
    <cellStyle name="Calculation 7 2 28 4" xfId="42189" xr:uid="{00000000-0005-0000-0000-0000AEA40000}"/>
    <cellStyle name="Calculation 7 2 28 5" xfId="42190" xr:uid="{00000000-0005-0000-0000-0000AFA40000}"/>
    <cellStyle name="Calculation 7 2 28 6" xfId="42191" xr:uid="{00000000-0005-0000-0000-0000B0A40000}"/>
    <cellStyle name="Calculation 7 2 29" xfId="42192" xr:uid="{00000000-0005-0000-0000-0000B1A40000}"/>
    <cellStyle name="Calculation 7 2 29 2" xfId="42193" xr:uid="{00000000-0005-0000-0000-0000B2A40000}"/>
    <cellStyle name="Calculation 7 2 29 3" xfId="42194" xr:uid="{00000000-0005-0000-0000-0000B3A40000}"/>
    <cellStyle name="Calculation 7 2 29 4" xfId="42195" xr:uid="{00000000-0005-0000-0000-0000B4A40000}"/>
    <cellStyle name="Calculation 7 2 29 5" xfId="42196" xr:uid="{00000000-0005-0000-0000-0000B5A40000}"/>
    <cellStyle name="Calculation 7 2 29 6" xfId="42197" xr:uid="{00000000-0005-0000-0000-0000B6A40000}"/>
    <cellStyle name="Calculation 7 2 3" xfId="42198" xr:uid="{00000000-0005-0000-0000-0000B7A40000}"/>
    <cellStyle name="Calculation 7 2 3 10" xfId="42199" xr:uid="{00000000-0005-0000-0000-0000B8A40000}"/>
    <cellStyle name="Calculation 7 2 3 2" xfId="42200" xr:uid="{00000000-0005-0000-0000-0000B9A40000}"/>
    <cellStyle name="Calculation 7 2 3 2 2" xfId="42201" xr:uid="{00000000-0005-0000-0000-0000BAA40000}"/>
    <cellStyle name="Calculation 7 2 3 2 3" xfId="42202" xr:uid="{00000000-0005-0000-0000-0000BBA40000}"/>
    <cellStyle name="Calculation 7 2 3 2 4" xfId="42203" xr:uid="{00000000-0005-0000-0000-0000BCA40000}"/>
    <cellStyle name="Calculation 7 2 3 2 5" xfId="42204" xr:uid="{00000000-0005-0000-0000-0000BDA40000}"/>
    <cellStyle name="Calculation 7 2 3 2 6" xfId="42205" xr:uid="{00000000-0005-0000-0000-0000BEA40000}"/>
    <cellStyle name="Calculation 7 2 3 3" xfId="42206" xr:uid="{00000000-0005-0000-0000-0000BFA40000}"/>
    <cellStyle name="Calculation 7 2 3 3 2" xfId="42207" xr:uid="{00000000-0005-0000-0000-0000C0A40000}"/>
    <cellStyle name="Calculation 7 2 3 3 3" xfId="42208" xr:uid="{00000000-0005-0000-0000-0000C1A40000}"/>
    <cellStyle name="Calculation 7 2 3 3 4" xfId="42209" xr:uid="{00000000-0005-0000-0000-0000C2A40000}"/>
    <cellStyle name="Calculation 7 2 3 3 5" xfId="42210" xr:uid="{00000000-0005-0000-0000-0000C3A40000}"/>
    <cellStyle name="Calculation 7 2 3 3 6" xfId="42211" xr:uid="{00000000-0005-0000-0000-0000C4A40000}"/>
    <cellStyle name="Calculation 7 2 3 4" xfId="42212" xr:uid="{00000000-0005-0000-0000-0000C5A40000}"/>
    <cellStyle name="Calculation 7 2 3 4 2" xfId="42213" xr:uid="{00000000-0005-0000-0000-0000C6A40000}"/>
    <cellStyle name="Calculation 7 2 3 4 3" xfId="42214" xr:uid="{00000000-0005-0000-0000-0000C7A40000}"/>
    <cellStyle name="Calculation 7 2 3 4 4" xfId="42215" xr:uid="{00000000-0005-0000-0000-0000C8A40000}"/>
    <cellStyle name="Calculation 7 2 3 4 5" xfId="42216" xr:uid="{00000000-0005-0000-0000-0000C9A40000}"/>
    <cellStyle name="Calculation 7 2 3 4 6" xfId="42217" xr:uid="{00000000-0005-0000-0000-0000CAA40000}"/>
    <cellStyle name="Calculation 7 2 3 5" xfId="42218" xr:uid="{00000000-0005-0000-0000-0000CBA40000}"/>
    <cellStyle name="Calculation 7 2 3 5 2" xfId="42219" xr:uid="{00000000-0005-0000-0000-0000CCA40000}"/>
    <cellStyle name="Calculation 7 2 3 5 3" xfId="42220" xr:uid="{00000000-0005-0000-0000-0000CDA40000}"/>
    <cellStyle name="Calculation 7 2 3 5 4" xfId="42221" xr:uid="{00000000-0005-0000-0000-0000CEA40000}"/>
    <cellStyle name="Calculation 7 2 3 5 5" xfId="42222" xr:uid="{00000000-0005-0000-0000-0000CFA40000}"/>
    <cellStyle name="Calculation 7 2 3 5 6" xfId="42223" xr:uid="{00000000-0005-0000-0000-0000D0A40000}"/>
    <cellStyle name="Calculation 7 2 3 6" xfId="42224" xr:uid="{00000000-0005-0000-0000-0000D1A40000}"/>
    <cellStyle name="Calculation 7 2 3 6 2" xfId="42225" xr:uid="{00000000-0005-0000-0000-0000D2A40000}"/>
    <cellStyle name="Calculation 7 2 3 6 3" xfId="42226" xr:uid="{00000000-0005-0000-0000-0000D3A40000}"/>
    <cellStyle name="Calculation 7 2 3 6 4" xfId="42227" xr:uid="{00000000-0005-0000-0000-0000D4A40000}"/>
    <cellStyle name="Calculation 7 2 3 6 5" xfId="42228" xr:uid="{00000000-0005-0000-0000-0000D5A40000}"/>
    <cellStyle name="Calculation 7 2 3 6 6" xfId="42229" xr:uid="{00000000-0005-0000-0000-0000D6A40000}"/>
    <cellStyle name="Calculation 7 2 3 7" xfId="42230" xr:uid="{00000000-0005-0000-0000-0000D7A40000}"/>
    <cellStyle name="Calculation 7 2 3 7 2" xfId="42231" xr:uid="{00000000-0005-0000-0000-0000D8A40000}"/>
    <cellStyle name="Calculation 7 2 3 7 3" xfId="42232" xr:uid="{00000000-0005-0000-0000-0000D9A40000}"/>
    <cellStyle name="Calculation 7 2 3 7 4" xfId="42233" xr:uid="{00000000-0005-0000-0000-0000DAA40000}"/>
    <cellStyle name="Calculation 7 2 3 7 5" xfId="42234" xr:uid="{00000000-0005-0000-0000-0000DBA40000}"/>
    <cellStyle name="Calculation 7 2 3 7 6" xfId="42235" xr:uid="{00000000-0005-0000-0000-0000DCA40000}"/>
    <cellStyle name="Calculation 7 2 3 8" xfId="42236" xr:uid="{00000000-0005-0000-0000-0000DDA40000}"/>
    <cellStyle name="Calculation 7 2 3 9" xfId="42237" xr:uid="{00000000-0005-0000-0000-0000DEA40000}"/>
    <cellStyle name="Calculation 7 2 30" xfId="42238" xr:uid="{00000000-0005-0000-0000-0000DFA40000}"/>
    <cellStyle name="Calculation 7 2 30 2" xfId="42239" xr:uid="{00000000-0005-0000-0000-0000E0A40000}"/>
    <cellStyle name="Calculation 7 2 30 3" xfId="42240" xr:uid="{00000000-0005-0000-0000-0000E1A40000}"/>
    <cellStyle name="Calculation 7 2 30 4" xfId="42241" xr:uid="{00000000-0005-0000-0000-0000E2A40000}"/>
    <cellStyle name="Calculation 7 2 30 5" xfId="42242" xr:uid="{00000000-0005-0000-0000-0000E3A40000}"/>
    <cellStyle name="Calculation 7 2 30 6" xfId="42243" xr:uid="{00000000-0005-0000-0000-0000E4A40000}"/>
    <cellStyle name="Calculation 7 2 31" xfId="42244" xr:uid="{00000000-0005-0000-0000-0000E5A40000}"/>
    <cellStyle name="Calculation 7 2 31 2" xfId="42245" xr:uid="{00000000-0005-0000-0000-0000E6A40000}"/>
    <cellStyle name="Calculation 7 2 31 3" xfId="42246" xr:uid="{00000000-0005-0000-0000-0000E7A40000}"/>
    <cellStyle name="Calculation 7 2 31 4" xfId="42247" xr:uid="{00000000-0005-0000-0000-0000E8A40000}"/>
    <cellStyle name="Calculation 7 2 31 5" xfId="42248" xr:uid="{00000000-0005-0000-0000-0000E9A40000}"/>
    <cellStyle name="Calculation 7 2 31 6" xfId="42249" xr:uid="{00000000-0005-0000-0000-0000EAA40000}"/>
    <cellStyle name="Calculation 7 2 32" xfId="42250" xr:uid="{00000000-0005-0000-0000-0000EBA40000}"/>
    <cellStyle name="Calculation 7 2 32 2" xfId="42251" xr:uid="{00000000-0005-0000-0000-0000ECA40000}"/>
    <cellStyle name="Calculation 7 2 32 3" xfId="42252" xr:uid="{00000000-0005-0000-0000-0000EDA40000}"/>
    <cellStyle name="Calculation 7 2 32 4" xfId="42253" xr:uid="{00000000-0005-0000-0000-0000EEA40000}"/>
    <cellStyle name="Calculation 7 2 32 5" xfId="42254" xr:uid="{00000000-0005-0000-0000-0000EFA40000}"/>
    <cellStyle name="Calculation 7 2 32 6" xfId="42255" xr:uid="{00000000-0005-0000-0000-0000F0A40000}"/>
    <cellStyle name="Calculation 7 2 33" xfId="42256" xr:uid="{00000000-0005-0000-0000-0000F1A40000}"/>
    <cellStyle name="Calculation 7 2 34" xfId="42257" xr:uid="{00000000-0005-0000-0000-0000F2A40000}"/>
    <cellStyle name="Calculation 7 2 35" xfId="42258" xr:uid="{00000000-0005-0000-0000-0000F3A40000}"/>
    <cellStyle name="Calculation 7 2 4" xfId="42259" xr:uid="{00000000-0005-0000-0000-0000F4A40000}"/>
    <cellStyle name="Calculation 7 2 4 10" xfId="42260" xr:uid="{00000000-0005-0000-0000-0000F5A40000}"/>
    <cellStyle name="Calculation 7 2 4 2" xfId="42261" xr:uid="{00000000-0005-0000-0000-0000F6A40000}"/>
    <cellStyle name="Calculation 7 2 4 2 2" xfId="42262" xr:uid="{00000000-0005-0000-0000-0000F7A40000}"/>
    <cellStyle name="Calculation 7 2 4 2 3" xfId="42263" xr:uid="{00000000-0005-0000-0000-0000F8A40000}"/>
    <cellStyle name="Calculation 7 2 4 2 4" xfId="42264" xr:uid="{00000000-0005-0000-0000-0000F9A40000}"/>
    <cellStyle name="Calculation 7 2 4 2 5" xfId="42265" xr:uid="{00000000-0005-0000-0000-0000FAA40000}"/>
    <cellStyle name="Calculation 7 2 4 2 6" xfId="42266" xr:uid="{00000000-0005-0000-0000-0000FBA40000}"/>
    <cellStyle name="Calculation 7 2 4 3" xfId="42267" xr:uid="{00000000-0005-0000-0000-0000FCA40000}"/>
    <cellStyle name="Calculation 7 2 4 3 2" xfId="42268" xr:uid="{00000000-0005-0000-0000-0000FDA40000}"/>
    <cellStyle name="Calculation 7 2 4 3 3" xfId="42269" xr:uid="{00000000-0005-0000-0000-0000FEA40000}"/>
    <cellStyle name="Calculation 7 2 4 3 4" xfId="42270" xr:uid="{00000000-0005-0000-0000-0000FFA40000}"/>
    <cellStyle name="Calculation 7 2 4 3 5" xfId="42271" xr:uid="{00000000-0005-0000-0000-000000A50000}"/>
    <cellStyle name="Calculation 7 2 4 3 6" xfId="42272" xr:uid="{00000000-0005-0000-0000-000001A50000}"/>
    <cellStyle name="Calculation 7 2 4 4" xfId="42273" xr:uid="{00000000-0005-0000-0000-000002A50000}"/>
    <cellStyle name="Calculation 7 2 4 4 2" xfId="42274" xr:uid="{00000000-0005-0000-0000-000003A50000}"/>
    <cellStyle name="Calculation 7 2 4 4 3" xfId="42275" xr:uid="{00000000-0005-0000-0000-000004A50000}"/>
    <cellStyle name="Calculation 7 2 4 4 4" xfId="42276" xr:uid="{00000000-0005-0000-0000-000005A50000}"/>
    <cellStyle name="Calculation 7 2 4 4 5" xfId="42277" xr:uid="{00000000-0005-0000-0000-000006A50000}"/>
    <cellStyle name="Calculation 7 2 4 4 6" xfId="42278" xr:uid="{00000000-0005-0000-0000-000007A50000}"/>
    <cellStyle name="Calculation 7 2 4 5" xfId="42279" xr:uid="{00000000-0005-0000-0000-000008A50000}"/>
    <cellStyle name="Calculation 7 2 4 5 2" xfId="42280" xr:uid="{00000000-0005-0000-0000-000009A50000}"/>
    <cellStyle name="Calculation 7 2 4 5 3" xfId="42281" xr:uid="{00000000-0005-0000-0000-00000AA50000}"/>
    <cellStyle name="Calculation 7 2 4 5 4" xfId="42282" xr:uid="{00000000-0005-0000-0000-00000BA50000}"/>
    <cellStyle name="Calculation 7 2 4 5 5" xfId="42283" xr:uid="{00000000-0005-0000-0000-00000CA50000}"/>
    <cellStyle name="Calculation 7 2 4 5 6" xfId="42284" xr:uid="{00000000-0005-0000-0000-00000DA50000}"/>
    <cellStyle name="Calculation 7 2 4 6" xfId="42285" xr:uid="{00000000-0005-0000-0000-00000EA50000}"/>
    <cellStyle name="Calculation 7 2 4 6 2" xfId="42286" xr:uid="{00000000-0005-0000-0000-00000FA50000}"/>
    <cellStyle name="Calculation 7 2 4 6 3" xfId="42287" xr:uid="{00000000-0005-0000-0000-000010A50000}"/>
    <cellStyle name="Calculation 7 2 4 6 4" xfId="42288" xr:uid="{00000000-0005-0000-0000-000011A50000}"/>
    <cellStyle name="Calculation 7 2 4 6 5" xfId="42289" xr:uid="{00000000-0005-0000-0000-000012A50000}"/>
    <cellStyle name="Calculation 7 2 4 6 6" xfId="42290" xr:uid="{00000000-0005-0000-0000-000013A50000}"/>
    <cellStyle name="Calculation 7 2 4 7" xfId="42291" xr:uid="{00000000-0005-0000-0000-000014A50000}"/>
    <cellStyle name="Calculation 7 2 4 7 2" xfId="42292" xr:uid="{00000000-0005-0000-0000-000015A50000}"/>
    <cellStyle name="Calculation 7 2 4 7 3" xfId="42293" xr:uid="{00000000-0005-0000-0000-000016A50000}"/>
    <cellStyle name="Calculation 7 2 4 7 4" xfId="42294" xr:uid="{00000000-0005-0000-0000-000017A50000}"/>
    <cellStyle name="Calculation 7 2 4 7 5" xfId="42295" xr:uid="{00000000-0005-0000-0000-000018A50000}"/>
    <cellStyle name="Calculation 7 2 4 7 6" xfId="42296" xr:uid="{00000000-0005-0000-0000-000019A50000}"/>
    <cellStyle name="Calculation 7 2 4 8" xfId="42297" xr:uid="{00000000-0005-0000-0000-00001AA50000}"/>
    <cellStyle name="Calculation 7 2 4 9" xfId="42298" xr:uid="{00000000-0005-0000-0000-00001BA50000}"/>
    <cellStyle name="Calculation 7 2 5" xfId="42299" xr:uid="{00000000-0005-0000-0000-00001CA50000}"/>
    <cellStyle name="Calculation 7 2 5 10" xfId="42300" xr:uid="{00000000-0005-0000-0000-00001DA50000}"/>
    <cellStyle name="Calculation 7 2 5 2" xfId="42301" xr:uid="{00000000-0005-0000-0000-00001EA50000}"/>
    <cellStyle name="Calculation 7 2 5 2 2" xfId="42302" xr:uid="{00000000-0005-0000-0000-00001FA50000}"/>
    <cellStyle name="Calculation 7 2 5 2 3" xfId="42303" xr:uid="{00000000-0005-0000-0000-000020A50000}"/>
    <cellStyle name="Calculation 7 2 5 2 4" xfId="42304" xr:uid="{00000000-0005-0000-0000-000021A50000}"/>
    <cellStyle name="Calculation 7 2 5 2 5" xfId="42305" xr:uid="{00000000-0005-0000-0000-000022A50000}"/>
    <cellStyle name="Calculation 7 2 5 2 6" xfId="42306" xr:uid="{00000000-0005-0000-0000-000023A50000}"/>
    <cellStyle name="Calculation 7 2 5 3" xfId="42307" xr:uid="{00000000-0005-0000-0000-000024A50000}"/>
    <cellStyle name="Calculation 7 2 5 3 2" xfId="42308" xr:uid="{00000000-0005-0000-0000-000025A50000}"/>
    <cellStyle name="Calculation 7 2 5 3 3" xfId="42309" xr:uid="{00000000-0005-0000-0000-000026A50000}"/>
    <cellStyle name="Calculation 7 2 5 3 4" xfId="42310" xr:uid="{00000000-0005-0000-0000-000027A50000}"/>
    <cellStyle name="Calculation 7 2 5 3 5" xfId="42311" xr:uid="{00000000-0005-0000-0000-000028A50000}"/>
    <cellStyle name="Calculation 7 2 5 3 6" xfId="42312" xr:uid="{00000000-0005-0000-0000-000029A50000}"/>
    <cellStyle name="Calculation 7 2 5 4" xfId="42313" xr:uid="{00000000-0005-0000-0000-00002AA50000}"/>
    <cellStyle name="Calculation 7 2 5 4 2" xfId="42314" xr:uid="{00000000-0005-0000-0000-00002BA50000}"/>
    <cellStyle name="Calculation 7 2 5 4 3" xfId="42315" xr:uid="{00000000-0005-0000-0000-00002CA50000}"/>
    <cellStyle name="Calculation 7 2 5 4 4" xfId="42316" xr:uid="{00000000-0005-0000-0000-00002DA50000}"/>
    <cellStyle name="Calculation 7 2 5 4 5" xfId="42317" xr:uid="{00000000-0005-0000-0000-00002EA50000}"/>
    <cellStyle name="Calculation 7 2 5 4 6" xfId="42318" xr:uid="{00000000-0005-0000-0000-00002FA50000}"/>
    <cellStyle name="Calculation 7 2 5 5" xfId="42319" xr:uid="{00000000-0005-0000-0000-000030A50000}"/>
    <cellStyle name="Calculation 7 2 5 5 2" xfId="42320" xr:uid="{00000000-0005-0000-0000-000031A50000}"/>
    <cellStyle name="Calculation 7 2 5 5 3" xfId="42321" xr:uid="{00000000-0005-0000-0000-000032A50000}"/>
    <cellStyle name="Calculation 7 2 5 5 4" xfId="42322" xr:uid="{00000000-0005-0000-0000-000033A50000}"/>
    <cellStyle name="Calculation 7 2 5 5 5" xfId="42323" xr:uid="{00000000-0005-0000-0000-000034A50000}"/>
    <cellStyle name="Calculation 7 2 5 5 6" xfId="42324" xr:uid="{00000000-0005-0000-0000-000035A50000}"/>
    <cellStyle name="Calculation 7 2 5 6" xfId="42325" xr:uid="{00000000-0005-0000-0000-000036A50000}"/>
    <cellStyle name="Calculation 7 2 5 6 2" xfId="42326" xr:uid="{00000000-0005-0000-0000-000037A50000}"/>
    <cellStyle name="Calculation 7 2 5 6 3" xfId="42327" xr:uid="{00000000-0005-0000-0000-000038A50000}"/>
    <cellStyle name="Calculation 7 2 5 6 4" xfId="42328" xr:uid="{00000000-0005-0000-0000-000039A50000}"/>
    <cellStyle name="Calculation 7 2 5 6 5" xfId="42329" xr:uid="{00000000-0005-0000-0000-00003AA50000}"/>
    <cellStyle name="Calculation 7 2 5 6 6" xfId="42330" xr:uid="{00000000-0005-0000-0000-00003BA50000}"/>
    <cellStyle name="Calculation 7 2 5 7" xfId="42331" xr:uid="{00000000-0005-0000-0000-00003CA50000}"/>
    <cellStyle name="Calculation 7 2 5 7 2" xfId="42332" xr:uid="{00000000-0005-0000-0000-00003DA50000}"/>
    <cellStyle name="Calculation 7 2 5 7 3" xfId="42333" xr:uid="{00000000-0005-0000-0000-00003EA50000}"/>
    <cellStyle name="Calculation 7 2 5 7 4" xfId="42334" xr:uid="{00000000-0005-0000-0000-00003FA50000}"/>
    <cellStyle name="Calculation 7 2 5 7 5" xfId="42335" xr:uid="{00000000-0005-0000-0000-000040A50000}"/>
    <cellStyle name="Calculation 7 2 5 7 6" xfId="42336" xr:uid="{00000000-0005-0000-0000-000041A50000}"/>
    <cellStyle name="Calculation 7 2 5 8" xfId="42337" xr:uid="{00000000-0005-0000-0000-000042A50000}"/>
    <cellStyle name="Calculation 7 2 5 9" xfId="42338" xr:uid="{00000000-0005-0000-0000-000043A50000}"/>
    <cellStyle name="Calculation 7 2 6" xfId="42339" xr:uid="{00000000-0005-0000-0000-000044A50000}"/>
    <cellStyle name="Calculation 7 2 6 10" xfId="42340" xr:uid="{00000000-0005-0000-0000-000045A50000}"/>
    <cellStyle name="Calculation 7 2 6 2" xfId="42341" xr:uid="{00000000-0005-0000-0000-000046A50000}"/>
    <cellStyle name="Calculation 7 2 6 2 2" xfId="42342" xr:uid="{00000000-0005-0000-0000-000047A50000}"/>
    <cellStyle name="Calculation 7 2 6 2 3" xfId="42343" xr:uid="{00000000-0005-0000-0000-000048A50000}"/>
    <cellStyle name="Calculation 7 2 6 2 4" xfId="42344" xr:uid="{00000000-0005-0000-0000-000049A50000}"/>
    <cellStyle name="Calculation 7 2 6 2 5" xfId="42345" xr:uid="{00000000-0005-0000-0000-00004AA50000}"/>
    <cellStyle name="Calculation 7 2 6 2 6" xfId="42346" xr:uid="{00000000-0005-0000-0000-00004BA50000}"/>
    <cellStyle name="Calculation 7 2 6 3" xfId="42347" xr:uid="{00000000-0005-0000-0000-00004CA50000}"/>
    <cellStyle name="Calculation 7 2 6 3 2" xfId="42348" xr:uid="{00000000-0005-0000-0000-00004DA50000}"/>
    <cellStyle name="Calculation 7 2 6 3 3" xfId="42349" xr:uid="{00000000-0005-0000-0000-00004EA50000}"/>
    <cellStyle name="Calculation 7 2 6 3 4" xfId="42350" xr:uid="{00000000-0005-0000-0000-00004FA50000}"/>
    <cellStyle name="Calculation 7 2 6 3 5" xfId="42351" xr:uid="{00000000-0005-0000-0000-000050A50000}"/>
    <cellStyle name="Calculation 7 2 6 3 6" xfId="42352" xr:uid="{00000000-0005-0000-0000-000051A50000}"/>
    <cellStyle name="Calculation 7 2 6 4" xfId="42353" xr:uid="{00000000-0005-0000-0000-000052A50000}"/>
    <cellStyle name="Calculation 7 2 6 4 2" xfId="42354" xr:uid="{00000000-0005-0000-0000-000053A50000}"/>
    <cellStyle name="Calculation 7 2 6 4 3" xfId="42355" xr:uid="{00000000-0005-0000-0000-000054A50000}"/>
    <cellStyle name="Calculation 7 2 6 4 4" xfId="42356" xr:uid="{00000000-0005-0000-0000-000055A50000}"/>
    <cellStyle name="Calculation 7 2 6 4 5" xfId="42357" xr:uid="{00000000-0005-0000-0000-000056A50000}"/>
    <cellStyle name="Calculation 7 2 6 4 6" xfId="42358" xr:uid="{00000000-0005-0000-0000-000057A50000}"/>
    <cellStyle name="Calculation 7 2 6 5" xfId="42359" xr:uid="{00000000-0005-0000-0000-000058A50000}"/>
    <cellStyle name="Calculation 7 2 6 5 2" xfId="42360" xr:uid="{00000000-0005-0000-0000-000059A50000}"/>
    <cellStyle name="Calculation 7 2 6 5 3" xfId="42361" xr:uid="{00000000-0005-0000-0000-00005AA50000}"/>
    <cellStyle name="Calculation 7 2 6 5 4" xfId="42362" xr:uid="{00000000-0005-0000-0000-00005BA50000}"/>
    <cellStyle name="Calculation 7 2 6 5 5" xfId="42363" xr:uid="{00000000-0005-0000-0000-00005CA50000}"/>
    <cellStyle name="Calculation 7 2 6 5 6" xfId="42364" xr:uid="{00000000-0005-0000-0000-00005DA50000}"/>
    <cellStyle name="Calculation 7 2 6 6" xfId="42365" xr:uid="{00000000-0005-0000-0000-00005EA50000}"/>
    <cellStyle name="Calculation 7 2 6 6 2" xfId="42366" xr:uid="{00000000-0005-0000-0000-00005FA50000}"/>
    <cellStyle name="Calculation 7 2 6 6 3" xfId="42367" xr:uid="{00000000-0005-0000-0000-000060A50000}"/>
    <cellStyle name="Calculation 7 2 6 6 4" xfId="42368" xr:uid="{00000000-0005-0000-0000-000061A50000}"/>
    <cellStyle name="Calculation 7 2 6 6 5" xfId="42369" xr:uid="{00000000-0005-0000-0000-000062A50000}"/>
    <cellStyle name="Calculation 7 2 6 6 6" xfId="42370" xr:uid="{00000000-0005-0000-0000-000063A50000}"/>
    <cellStyle name="Calculation 7 2 6 7" xfId="42371" xr:uid="{00000000-0005-0000-0000-000064A50000}"/>
    <cellStyle name="Calculation 7 2 6 7 2" xfId="42372" xr:uid="{00000000-0005-0000-0000-000065A50000}"/>
    <cellStyle name="Calculation 7 2 6 7 3" xfId="42373" xr:uid="{00000000-0005-0000-0000-000066A50000}"/>
    <cellStyle name="Calculation 7 2 6 7 4" xfId="42374" xr:uid="{00000000-0005-0000-0000-000067A50000}"/>
    <cellStyle name="Calculation 7 2 6 7 5" xfId="42375" xr:uid="{00000000-0005-0000-0000-000068A50000}"/>
    <cellStyle name="Calculation 7 2 6 7 6" xfId="42376" xr:uid="{00000000-0005-0000-0000-000069A50000}"/>
    <cellStyle name="Calculation 7 2 6 8" xfId="42377" xr:uid="{00000000-0005-0000-0000-00006AA50000}"/>
    <cellStyle name="Calculation 7 2 6 9" xfId="42378" xr:uid="{00000000-0005-0000-0000-00006BA50000}"/>
    <cellStyle name="Calculation 7 2 7" xfId="42379" xr:uid="{00000000-0005-0000-0000-00006CA50000}"/>
    <cellStyle name="Calculation 7 2 7 10" xfId="42380" xr:uid="{00000000-0005-0000-0000-00006DA50000}"/>
    <cellStyle name="Calculation 7 2 7 2" xfId="42381" xr:uid="{00000000-0005-0000-0000-00006EA50000}"/>
    <cellStyle name="Calculation 7 2 7 2 2" xfId="42382" xr:uid="{00000000-0005-0000-0000-00006FA50000}"/>
    <cellStyle name="Calculation 7 2 7 2 3" xfId="42383" xr:uid="{00000000-0005-0000-0000-000070A50000}"/>
    <cellStyle name="Calculation 7 2 7 2 4" xfId="42384" xr:uid="{00000000-0005-0000-0000-000071A50000}"/>
    <cellStyle name="Calculation 7 2 7 2 5" xfId="42385" xr:uid="{00000000-0005-0000-0000-000072A50000}"/>
    <cellStyle name="Calculation 7 2 7 2 6" xfId="42386" xr:uid="{00000000-0005-0000-0000-000073A50000}"/>
    <cellStyle name="Calculation 7 2 7 3" xfId="42387" xr:uid="{00000000-0005-0000-0000-000074A50000}"/>
    <cellStyle name="Calculation 7 2 7 3 2" xfId="42388" xr:uid="{00000000-0005-0000-0000-000075A50000}"/>
    <cellStyle name="Calculation 7 2 7 3 3" xfId="42389" xr:uid="{00000000-0005-0000-0000-000076A50000}"/>
    <cellStyle name="Calculation 7 2 7 3 4" xfId="42390" xr:uid="{00000000-0005-0000-0000-000077A50000}"/>
    <cellStyle name="Calculation 7 2 7 3 5" xfId="42391" xr:uid="{00000000-0005-0000-0000-000078A50000}"/>
    <cellStyle name="Calculation 7 2 7 3 6" xfId="42392" xr:uid="{00000000-0005-0000-0000-000079A50000}"/>
    <cellStyle name="Calculation 7 2 7 4" xfId="42393" xr:uid="{00000000-0005-0000-0000-00007AA50000}"/>
    <cellStyle name="Calculation 7 2 7 4 2" xfId="42394" xr:uid="{00000000-0005-0000-0000-00007BA50000}"/>
    <cellStyle name="Calculation 7 2 7 4 3" xfId="42395" xr:uid="{00000000-0005-0000-0000-00007CA50000}"/>
    <cellStyle name="Calculation 7 2 7 4 4" xfId="42396" xr:uid="{00000000-0005-0000-0000-00007DA50000}"/>
    <cellStyle name="Calculation 7 2 7 4 5" xfId="42397" xr:uid="{00000000-0005-0000-0000-00007EA50000}"/>
    <cellStyle name="Calculation 7 2 7 4 6" xfId="42398" xr:uid="{00000000-0005-0000-0000-00007FA50000}"/>
    <cellStyle name="Calculation 7 2 7 5" xfId="42399" xr:uid="{00000000-0005-0000-0000-000080A50000}"/>
    <cellStyle name="Calculation 7 2 7 5 2" xfId="42400" xr:uid="{00000000-0005-0000-0000-000081A50000}"/>
    <cellStyle name="Calculation 7 2 7 5 3" xfId="42401" xr:uid="{00000000-0005-0000-0000-000082A50000}"/>
    <cellStyle name="Calculation 7 2 7 5 4" xfId="42402" xr:uid="{00000000-0005-0000-0000-000083A50000}"/>
    <cellStyle name="Calculation 7 2 7 5 5" xfId="42403" xr:uid="{00000000-0005-0000-0000-000084A50000}"/>
    <cellStyle name="Calculation 7 2 7 5 6" xfId="42404" xr:uid="{00000000-0005-0000-0000-000085A50000}"/>
    <cellStyle name="Calculation 7 2 7 6" xfId="42405" xr:uid="{00000000-0005-0000-0000-000086A50000}"/>
    <cellStyle name="Calculation 7 2 7 6 2" xfId="42406" xr:uid="{00000000-0005-0000-0000-000087A50000}"/>
    <cellStyle name="Calculation 7 2 7 6 3" xfId="42407" xr:uid="{00000000-0005-0000-0000-000088A50000}"/>
    <cellStyle name="Calculation 7 2 7 6 4" xfId="42408" xr:uid="{00000000-0005-0000-0000-000089A50000}"/>
    <cellStyle name="Calculation 7 2 7 6 5" xfId="42409" xr:uid="{00000000-0005-0000-0000-00008AA50000}"/>
    <cellStyle name="Calculation 7 2 7 6 6" xfId="42410" xr:uid="{00000000-0005-0000-0000-00008BA50000}"/>
    <cellStyle name="Calculation 7 2 7 7" xfId="42411" xr:uid="{00000000-0005-0000-0000-00008CA50000}"/>
    <cellStyle name="Calculation 7 2 7 7 2" xfId="42412" xr:uid="{00000000-0005-0000-0000-00008DA50000}"/>
    <cellStyle name="Calculation 7 2 7 7 3" xfId="42413" xr:uid="{00000000-0005-0000-0000-00008EA50000}"/>
    <cellStyle name="Calculation 7 2 7 7 4" xfId="42414" xr:uid="{00000000-0005-0000-0000-00008FA50000}"/>
    <cellStyle name="Calculation 7 2 7 7 5" xfId="42415" xr:uid="{00000000-0005-0000-0000-000090A50000}"/>
    <cellStyle name="Calculation 7 2 7 7 6" xfId="42416" xr:uid="{00000000-0005-0000-0000-000091A50000}"/>
    <cellStyle name="Calculation 7 2 7 8" xfId="42417" xr:uid="{00000000-0005-0000-0000-000092A50000}"/>
    <cellStyle name="Calculation 7 2 7 9" xfId="42418" xr:uid="{00000000-0005-0000-0000-000093A50000}"/>
    <cellStyle name="Calculation 7 2 8" xfId="42419" xr:uid="{00000000-0005-0000-0000-000094A50000}"/>
    <cellStyle name="Calculation 7 2 8 10" xfId="42420" xr:uid="{00000000-0005-0000-0000-000095A50000}"/>
    <cellStyle name="Calculation 7 2 8 2" xfId="42421" xr:uid="{00000000-0005-0000-0000-000096A50000}"/>
    <cellStyle name="Calculation 7 2 8 2 2" xfId="42422" xr:uid="{00000000-0005-0000-0000-000097A50000}"/>
    <cellStyle name="Calculation 7 2 8 2 3" xfId="42423" xr:uid="{00000000-0005-0000-0000-000098A50000}"/>
    <cellStyle name="Calculation 7 2 8 2 4" xfId="42424" xr:uid="{00000000-0005-0000-0000-000099A50000}"/>
    <cellStyle name="Calculation 7 2 8 2 5" xfId="42425" xr:uid="{00000000-0005-0000-0000-00009AA50000}"/>
    <cellStyle name="Calculation 7 2 8 2 6" xfId="42426" xr:uid="{00000000-0005-0000-0000-00009BA50000}"/>
    <cellStyle name="Calculation 7 2 8 3" xfId="42427" xr:uid="{00000000-0005-0000-0000-00009CA50000}"/>
    <cellStyle name="Calculation 7 2 8 3 2" xfId="42428" xr:uid="{00000000-0005-0000-0000-00009DA50000}"/>
    <cellStyle name="Calculation 7 2 8 3 3" xfId="42429" xr:uid="{00000000-0005-0000-0000-00009EA50000}"/>
    <cellStyle name="Calculation 7 2 8 3 4" xfId="42430" xr:uid="{00000000-0005-0000-0000-00009FA50000}"/>
    <cellStyle name="Calculation 7 2 8 3 5" xfId="42431" xr:uid="{00000000-0005-0000-0000-0000A0A50000}"/>
    <cellStyle name="Calculation 7 2 8 3 6" xfId="42432" xr:uid="{00000000-0005-0000-0000-0000A1A50000}"/>
    <cellStyle name="Calculation 7 2 8 4" xfId="42433" xr:uid="{00000000-0005-0000-0000-0000A2A50000}"/>
    <cellStyle name="Calculation 7 2 8 4 2" xfId="42434" xr:uid="{00000000-0005-0000-0000-0000A3A50000}"/>
    <cellStyle name="Calculation 7 2 8 4 3" xfId="42435" xr:uid="{00000000-0005-0000-0000-0000A4A50000}"/>
    <cellStyle name="Calculation 7 2 8 4 4" xfId="42436" xr:uid="{00000000-0005-0000-0000-0000A5A50000}"/>
    <cellStyle name="Calculation 7 2 8 4 5" xfId="42437" xr:uid="{00000000-0005-0000-0000-0000A6A50000}"/>
    <cellStyle name="Calculation 7 2 8 4 6" xfId="42438" xr:uid="{00000000-0005-0000-0000-0000A7A50000}"/>
    <cellStyle name="Calculation 7 2 8 5" xfId="42439" xr:uid="{00000000-0005-0000-0000-0000A8A50000}"/>
    <cellStyle name="Calculation 7 2 8 5 2" xfId="42440" xr:uid="{00000000-0005-0000-0000-0000A9A50000}"/>
    <cellStyle name="Calculation 7 2 8 5 3" xfId="42441" xr:uid="{00000000-0005-0000-0000-0000AAA50000}"/>
    <cellStyle name="Calculation 7 2 8 5 4" xfId="42442" xr:uid="{00000000-0005-0000-0000-0000ABA50000}"/>
    <cellStyle name="Calculation 7 2 8 5 5" xfId="42443" xr:uid="{00000000-0005-0000-0000-0000ACA50000}"/>
    <cellStyle name="Calculation 7 2 8 5 6" xfId="42444" xr:uid="{00000000-0005-0000-0000-0000ADA50000}"/>
    <cellStyle name="Calculation 7 2 8 6" xfId="42445" xr:uid="{00000000-0005-0000-0000-0000AEA50000}"/>
    <cellStyle name="Calculation 7 2 8 6 2" xfId="42446" xr:uid="{00000000-0005-0000-0000-0000AFA50000}"/>
    <cellStyle name="Calculation 7 2 8 6 3" xfId="42447" xr:uid="{00000000-0005-0000-0000-0000B0A50000}"/>
    <cellStyle name="Calculation 7 2 8 6 4" xfId="42448" xr:uid="{00000000-0005-0000-0000-0000B1A50000}"/>
    <cellStyle name="Calculation 7 2 8 6 5" xfId="42449" xr:uid="{00000000-0005-0000-0000-0000B2A50000}"/>
    <cellStyle name="Calculation 7 2 8 6 6" xfId="42450" xr:uid="{00000000-0005-0000-0000-0000B3A50000}"/>
    <cellStyle name="Calculation 7 2 8 7" xfId="42451" xr:uid="{00000000-0005-0000-0000-0000B4A50000}"/>
    <cellStyle name="Calculation 7 2 8 7 2" xfId="42452" xr:uid="{00000000-0005-0000-0000-0000B5A50000}"/>
    <cellStyle name="Calculation 7 2 8 7 3" xfId="42453" xr:uid="{00000000-0005-0000-0000-0000B6A50000}"/>
    <cellStyle name="Calculation 7 2 8 7 4" xfId="42454" xr:uid="{00000000-0005-0000-0000-0000B7A50000}"/>
    <cellStyle name="Calculation 7 2 8 7 5" xfId="42455" xr:uid="{00000000-0005-0000-0000-0000B8A50000}"/>
    <cellStyle name="Calculation 7 2 8 7 6" xfId="42456" xr:uid="{00000000-0005-0000-0000-0000B9A50000}"/>
    <cellStyle name="Calculation 7 2 8 8" xfId="42457" xr:uid="{00000000-0005-0000-0000-0000BAA50000}"/>
    <cellStyle name="Calculation 7 2 8 9" xfId="42458" xr:uid="{00000000-0005-0000-0000-0000BBA50000}"/>
    <cellStyle name="Calculation 7 2 9" xfId="42459" xr:uid="{00000000-0005-0000-0000-0000BCA50000}"/>
    <cellStyle name="Calculation 7 2 9 10" xfId="42460" xr:uid="{00000000-0005-0000-0000-0000BDA50000}"/>
    <cellStyle name="Calculation 7 2 9 2" xfId="42461" xr:uid="{00000000-0005-0000-0000-0000BEA50000}"/>
    <cellStyle name="Calculation 7 2 9 2 2" xfId="42462" xr:uid="{00000000-0005-0000-0000-0000BFA50000}"/>
    <cellStyle name="Calculation 7 2 9 2 3" xfId="42463" xr:uid="{00000000-0005-0000-0000-0000C0A50000}"/>
    <cellStyle name="Calculation 7 2 9 2 4" xfId="42464" xr:uid="{00000000-0005-0000-0000-0000C1A50000}"/>
    <cellStyle name="Calculation 7 2 9 2 5" xfId="42465" xr:uid="{00000000-0005-0000-0000-0000C2A50000}"/>
    <cellStyle name="Calculation 7 2 9 2 6" xfId="42466" xr:uid="{00000000-0005-0000-0000-0000C3A50000}"/>
    <cellStyle name="Calculation 7 2 9 3" xfId="42467" xr:uid="{00000000-0005-0000-0000-0000C4A50000}"/>
    <cellStyle name="Calculation 7 2 9 3 2" xfId="42468" xr:uid="{00000000-0005-0000-0000-0000C5A50000}"/>
    <cellStyle name="Calculation 7 2 9 3 3" xfId="42469" xr:uid="{00000000-0005-0000-0000-0000C6A50000}"/>
    <cellStyle name="Calculation 7 2 9 3 4" xfId="42470" xr:uid="{00000000-0005-0000-0000-0000C7A50000}"/>
    <cellStyle name="Calculation 7 2 9 3 5" xfId="42471" xr:uid="{00000000-0005-0000-0000-0000C8A50000}"/>
    <cellStyle name="Calculation 7 2 9 3 6" xfId="42472" xr:uid="{00000000-0005-0000-0000-0000C9A50000}"/>
    <cellStyle name="Calculation 7 2 9 4" xfId="42473" xr:uid="{00000000-0005-0000-0000-0000CAA50000}"/>
    <cellStyle name="Calculation 7 2 9 4 2" xfId="42474" xr:uid="{00000000-0005-0000-0000-0000CBA50000}"/>
    <cellStyle name="Calculation 7 2 9 4 3" xfId="42475" xr:uid="{00000000-0005-0000-0000-0000CCA50000}"/>
    <cellStyle name="Calculation 7 2 9 4 4" xfId="42476" xr:uid="{00000000-0005-0000-0000-0000CDA50000}"/>
    <cellStyle name="Calculation 7 2 9 4 5" xfId="42477" xr:uid="{00000000-0005-0000-0000-0000CEA50000}"/>
    <cellStyle name="Calculation 7 2 9 4 6" xfId="42478" xr:uid="{00000000-0005-0000-0000-0000CFA50000}"/>
    <cellStyle name="Calculation 7 2 9 5" xfId="42479" xr:uid="{00000000-0005-0000-0000-0000D0A50000}"/>
    <cellStyle name="Calculation 7 2 9 5 2" xfId="42480" xr:uid="{00000000-0005-0000-0000-0000D1A50000}"/>
    <cellStyle name="Calculation 7 2 9 5 3" xfId="42481" xr:uid="{00000000-0005-0000-0000-0000D2A50000}"/>
    <cellStyle name="Calculation 7 2 9 5 4" xfId="42482" xr:uid="{00000000-0005-0000-0000-0000D3A50000}"/>
    <cellStyle name="Calculation 7 2 9 5 5" xfId="42483" xr:uid="{00000000-0005-0000-0000-0000D4A50000}"/>
    <cellStyle name="Calculation 7 2 9 5 6" xfId="42484" xr:uid="{00000000-0005-0000-0000-0000D5A50000}"/>
    <cellStyle name="Calculation 7 2 9 6" xfId="42485" xr:uid="{00000000-0005-0000-0000-0000D6A50000}"/>
    <cellStyle name="Calculation 7 2 9 6 2" xfId="42486" xr:uid="{00000000-0005-0000-0000-0000D7A50000}"/>
    <cellStyle name="Calculation 7 2 9 6 3" xfId="42487" xr:uid="{00000000-0005-0000-0000-0000D8A50000}"/>
    <cellStyle name="Calculation 7 2 9 6 4" xfId="42488" xr:uid="{00000000-0005-0000-0000-0000D9A50000}"/>
    <cellStyle name="Calculation 7 2 9 6 5" xfId="42489" xr:uid="{00000000-0005-0000-0000-0000DAA50000}"/>
    <cellStyle name="Calculation 7 2 9 6 6" xfId="42490" xr:uid="{00000000-0005-0000-0000-0000DBA50000}"/>
    <cellStyle name="Calculation 7 2 9 7" xfId="42491" xr:uid="{00000000-0005-0000-0000-0000DCA50000}"/>
    <cellStyle name="Calculation 7 2 9 7 2" xfId="42492" xr:uid="{00000000-0005-0000-0000-0000DDA50000}"/>
    <cellStyle name="Calculation 7 2 9 7 3" xfId="42493" xr:uid="{00000000-0005-0000-0000-0000DEA50000}"/>
    <cellStyle name="Calculation 7 2 9 7 4" xfId="42494" xr:uid="{00000000-0005-0000-0000-0000DFA50000}"/>
    <cellStyle name="Calculation 7 2 9 7 5" xfId="42495" xr:uid="{00000000-0005-0000-0000-0000E0A50000}"/>
    <cellStyle name="Calculation 7 2 9 7 6" xfId="42496" xr:uid="{00000000-0005-0000-0000-0000E1A50000}"/>
    <cellStyle name="Calculation 7 2 9 8" xfId="42497" xr:uid="{00000000-0005-0000-0000-0000E2A50000}"/>
    <cellStyle name="Calculation 7 2 9 9" xfId="42498" xr:uid="{00000000-0005-0000-0000-0000E3A50000}"/>
    <cellStyle name="Calculation 7 20" xfId="42499" xr:uid="{00000000-0005-0000-0000-0000E4A50000}"/>
    <cellStyle name="Calculation 7 20 10" xfId="42500" xr:uid="{00000000-0005-0000-0000-0000E5A50000}"/>
    <cellStyle name="Calculation 7 20 2" xfId="42501" xr:uid="{00000000-0005-0000-0000-0000E6A50000}"/>
    <cellStyle name="Calculation 7 20 2 2" xfId="42502" xr:uid="{00000000-0005-0000-0000-0000E7A50000}"/>
    <cellStyle name="Calculation 7 20 2 3" xfId="42503" xr:uid="{00000000-0005-0000-0000-0000E8A50000}"/>
    <cellStyle name="Calculation 7 20 2 4" xfId="42504" xr:uid="{00000000-0005-0000-0000-0000E9A50000}"/>
    <cellStyle name="Calculation 7 20 2 5" xfId="42505" xr:uid="{00000000-0005-0000-0000-0000EAA50000}"/>
    <cellStyle name="Calculation 7 20 2 6" xfId="42506" xr:uid="{00000000-0005-0000-0000-0000EBA50000}"/>
    <cellStyle name="Calculation 7 20 3" xfId="42507" xr:uid="{00000000-0005-0000-0000-0000ECA50000}"/>
    <cellStyle name="Calculation 7 20 3 2" xfId="42508" xr:uid="{00000000-0005-0000-0000-0000EDA50000}"/>
    <cellStyle name="Calculation 7 20 3 3" xfId="42509" xr:uid="{00000000-0005-0000-0000-0000EEA50000}"/>
    <cellStyle name="Calculation 7 20 3 4" xfId="42510" xr:uid="{00000000-0005-0000-0000-0000EFA50000}"/>
    <cellStyle name="Calculation 7 20 3 5" xfId="42511" xr:uid="{00000000-0005-0000-0000-0000F0A50000}"/>
    <cellStyle name="Calculation 7 20 3 6" xfId="42512" xr:uid="{00000000-0005-0000-0000-0000F1A50000}"/>
    <cellStyle name="Calculation 7 20 4" xfId="42513" xr:uid="{00000000-0005-0000-0000-0000F2A50000}"/>
    <cellStyle name="Calculation 7 20 4 2" xfId="42514" xr:uid="{00000000-0005-0000-0000-0000F3A50000}"/>
    <cellStyle name="Calculation 7 20 4 3" xfId="42515" xr:uid="{00000000-0005-0000-0000-0000F4A50000}"/>
    <cellStyle name="Calculation 7 20 4 4" xfId="42516" xr:uid="{00000000-0005-0000-0000-0000F5A50000}"/>
    <cellStyle name="Calculation 7 20 4 5" xfId="42517" xr:uid="{00000000-0005-0000-0000-0000F6A50000}"/>
    <cellStyle name="Calculation 7 20 4 6" xfId="42518" xr:uid="{00000000-0005-0000-0000-0000F7A50000}"/>
    <cellStyle name="Calculation 7 20 5" xfId="42519" xr:uid="{00000000-0005-0000-0000-0000F8A50000}"/>
    <cellStyle name="Calculation 7 20 5 2" xfId="42520" xr:uid="{00000000-0005-0000-0000-0000F9A50000}"/>
    <cellStyle name="Calculation 7 20 5 3" xfId="42521" xr:uid="{00000000-0005-0000-0000-0000FAA50000}"/>
    <cellStyle name="Calculation 7 20 5 4" xfId="42522" xr:uid="{00000000-0005-0000-0000-0000FBA50000}"/>
    <cellStyle name="Calculation 7 20 5 5" xfId="42523" xr:uid="{00000000-0005-0000-0000-0000FCA50000}"/>
    <cellStyle name="Calculation 7 20 5 6" xfId="42524" xr:uid="{00000000-0005-0000-0000-0000FDA50000}"/>
    <cellStyle name="Calculation 7 20 6" xfId="42525" xr:uid="{00000000-0005-0000-0000-0000FEA50000}"/>
    <cellStyle name="Calculation 7 20 6 2" xfId="42526" xr:uid="{00000000-0005-0000-0000-0000FFA50000}"/>
    <cellStyle name="Calculation 7 20 6 3" xfId="42527" xr:uid="{00000000-0005-0000-0000-000000A60000}"/>
    <cellStyle name="Calculation 7 20 6 4" xfId="42528" xr:uid="{00000000-0005-0000-0000-000001A60000}"/>
    <cellStyle name="Calculation 7 20 6 5" xfId="42529" xr:uid="{00000000-0005-0000-0000-000002A60000}"/>
    <cellStyle name="Calculation 7 20 6 6" xfId="42530" xr:uid="{00000000-0005-0000-0000-000003A60000}"/>
    <cellStyle name="Calculation 7 20 7" xfId="42531" xr:uid="{00000000-0005-0000-0000-000004A60000}"/>
    <cellStyle name="Calculation 7 20 7 2" xfId="42532" xr:uid="{00000000-0005-0000-0000-000005A60000}"/>
    <cellStyle name="Calculation 7 20 7 3" xfId="42533" xr:uid="{00000000-0005-0000-0000-000006A60000}"/>
    <cellStyle name="Calculation 7 20 7 4" xfId="42534" xr:uid="{00000000-0005-0000-0000-000007A60000}"/>
    <cellStyle name="Calculation 7 20 7 5" xfId="42535" xr:uid="{00000000-0005-0000-0000-000008A60000}"/>
    <cellStyle name="Calculation 7 20 7 6" xfId="42536" xr:uid="{00000000-0005-0000-0000-000009A60000}"/>
    <cellStyle name="Calculation 7 20 8" xfId="42537" xr:uid="{00000000-0005-0000-0000-00000AA60000}"/>
    <cellStyle name="Calculation 7 20 9" xfId="42538" xr:uid="{00000000-0005-0000-0000-00000BA60000}"/>
    <cellStyle name="Calculation 7 21" xfId="42539" xr:uid="{00000000-0005-0000-0000-00000CA60000}"/>
    <cellStyle name="Calculation 7 21 10" xfId="42540" xr:uid="{00000000-0005-0000-0000-00000DA60000}"/>
    <cellStyle name="Calculation 7 21 2" xfId="42541" xr:uid="{00000000-0005-0000-0000-00000EA60000}"/>
    <cellStyle name="Calculation 7 21 2 2" xfId="42542" xr:uid="{00000000-0005-0000-0000-00000FA60000}"/>
    <cellStyle name="Calculation 7 21 2 3" xfId="42543" xr:uid="{00000000-0005-0000-0000-000010A60000}"/>
    <cellStyle name="Calculation 7 21 2 4" xfId="42544" xr:uid="{00000000-0005-0000-0000-000011A60000}"/>
    <cellStyle name="Calculation 7 21 2 5" xfId="42545" xr:uid="{00000000-0005-0000-0000-000012A60000}"/>
    <cellStyle name="Calculation 7 21 2 6" xfId="42546" xr:uid="{00000000-0005-0000-0000-000013A60000}"/>
    <cellStyle name="Calculation 7 21 3" xfId="42547" xr:uid="{00000000-0005-0000-0000-000014A60000}"/>
    <cellStyle name="Calculation 7 21 3 2" xfId="42548" xr:uid="{00000000-0005-0000-0000-000015A60000}"/>
    <cellStyle name="Calculation 7 21 3 3" xfId="42549" xr:uid="{00000000-0005-0000-0000-000016A60000}"/>
    <cellStyle name="Calculation 7 21 3 4" xfId="42550" xr:uid="{00000000-0005-0000-0000-000017A60000}"/>
    <cellStyle name="Calculation 7 21 3 5" xfId="42551" xr:uid="{00000000-0005-0000-0000-000018A60000}"/>
    <cellStyle name="Calculation 7 21 3 6" xfId="42552" xr:uid="{00000000-0005-0000-0000-000019A60000}"/>
    <cellStyle name="Calculation 7 21 4" xfId="42553" xr:uid="{00000000-0005-0000-0000-00001AA60000}"/>
    <cellStyle name="Calculation 7 21 4 2" xfId="42554" xr:uid="{00000000-0005-0000-0000-00001BA60000}"/>
    <cellStyle name="Calculation 7 21 4 3" xfId="42555" xr:uid="{00000000-0005-0000-0000-00001CA60000}"/>
    <cellStyle name="Calculation 7 21 4 4" xfId="42556" xr:uid="{00000000-0005-0000-0000-00001DA60000}"/>
    <cellStyle name="Calculation 7 21 4 5" xfId="42557" xr:uid="{00000000-0005-0000-0000-00001EA60000}"/>
    <cellStyle name="Calculation 7 21 4 6" xfId="42558" xr:uid="{00000000-0005-0000-0000-00001FA60000}"/>
    <cellStyle name="Calculation 7 21 5" xfId="42559" xr:uid="{00000000-0005-0000-0000-000020A60000}"/>
    <cellStyle name="Calculation 7 21 5 2" xfId="42560" xr:uid="{00000000-0005-0000-0000-000021A60000}"/>
    <cellStyle name="Calculation 7 21 5 3" xfId="42561" xr:uid="{00000000-0005-0000-0000-000022A60000}"/>
    <cellStyle name="Calculation 7 21 5 4" xfId="42562" xr:uid="{00000000-0005-0000-0000-000023A60000}"/>
    <cellStyle name="Calculation 7 21 5 5" xfId="42563" xr:uid="{00000000-0005-0000-0000-000024A60000}"/>
    <cellStyle name="Calculation 7 21 5 6" xfId="42564" xr:uid="{00000000-0005-0000-0000-000025A60000}"/>
    <cellStyle name="Calculation 7 21 6" xfId="42565" xr:uid="{00000000-0005-0000-0000-000026A60000}"/>
    <cellStyle name="Calculation 7 21 6 2" xfId="42566" xr:uid="{00000000-0005-0000-0000-000027A60000}"/>
    <cellStyle name="Calculation 7 21 6 3" xfId="42567" xr:uid="{00000000-0005-0000-0000-000028A60000}"/>
    <cellStyle name="Calculation 7 21 6 4" xfId="42568" xr:uid="{00000000-0005-0000-0000-000029A60000}"/>
    <cellStyle name="Calculation 7 21 6 5" xfId="42569" xr:uid="{00000000-0005-0000-0000-00002AA60000}"/>
    <cellStyle name="Calculation 7 21 6 6" xfId="42570" xr:uid="{00000000-0005-0000-0000-00002BA60000}"/>
    <cellStyle name="Calculation 7 21 7" xfId="42571" xr:uid="{00000000-0005-0000-0000-00002CA60000}"/>
    <cellStyle name="Calculation 7 21 7 2" xfId="42572" xr:uid="{00000000-0005-0000-0000-00002DA60000}"/>
    <cellStyle name="Calculation 7 21 7 3" xfId="42573" xr:uid="{00000000-0005-0000-0000-00002EA60000}"/>
    <cellStyle name="Calculation 7 21 7 4" xfId="42574" xr:uid="{00000000-0005-0000-0000-00002FA60000}"/>
    <cellStyle name="Calculation 7 21 7 5" xfId="42575" xr:uid="{00000000-0005-0000-0000-000030A60000}"/>
    <cellStyle name="Calculation 7 21 7 6" xfId="42576" xr:uid="{00000000-0005-0000-0000-000031A60000}"/>
    <cellStyle name="Calculation 7 21 8" xfId="42577" xr:uid="{00000000-0005-0000-0000-000032A60000}"/>
    <cellStyle name="Calculation 7 21 9" xfId="42578" xr:uid="{00000000-0005-0000-0000-000033A60000}"/>
    <cellStyle name="Calculation 7 22" xfId="42579" xr:uid="{00000000-0005-0000-0000-000034A60000}"/>
    <cellStyle name="Calculation 7 22 10" xfId="42580" xr:uid="{00000000-0005-0000-0000-000035A60000}"/>
    <cellStyle name="Calculation 7 22 2" xfId="42581" xr:uid="{00000000-0005-0000-0000-000036A60000}"/>
    <cellStyle name="Calculation 7 22 2 2" xfId="42582" xr:uid="{00000000-0005-0000-0000-000037A60000}"/>
    <cellStyle name="Calculation 7 22 2 3" xfId="42583" xr:uid="{00000000-0005-0000-0000-000038A60000}"/>
    <cellStyle name="Calculation 7 22 2 4" xfId="42584" xr:uid="{00000000-0005-0000-0000-000039A60000}"/>
    <cellStyle name="Calculation 7 22 2 5" xfId="42585" xr:uid="{00000000-0005-0000-0000-00003AA60000}"/>
    <cellStyle name="Calculation 7 22 2 6" xfId="42586" xr:uid="{00000000-0005-0000-0000-00003BA60000}"/>
    <cellStyle name="Calculation 7 22 3" xfId="42587" xr:uid="{00000000-0005-0000-0000-00003CA60000}"/>
    <cellStyle name="Calculation 7 22 3 2" xfId="42588" xr:uid="{00000000-0005-0000-0000-00003DA60000}"/>
    <cellStyle name="Calculation 7 22 3 3" xfId="42589" xr:uid="{00000000-0005-0000-0000-00003EA60000}"/>
    <cellStyle name="Calculation 7 22 3 4" xfId="42590" xr:uid="{00000000-0005-0000-0000-00003FA60000}"/>
    <cellStyle name="Calculation 7 22 3 5" xfId="42591" xr:uid="{00000000-0005-0000-0000-000040A60000}"/>
    <cellStyle name="Calculation 7 22 3 6" xfId="42592" xr:uid="{00000000-0005-0000-0000-000041A60000}"/>
    <cellStyle name="Calculation 7 22 4" xfId="42593" xr:uid="{00000000-0005-0000-0000-000042A60000}"/>
    <cellStyle name="Calculation 7 22 4 2" xfId="42594" xr:uid="{00000000-0005-0000-0000-000043A60000}"/>
    <cellStyle name="Calculation 7 22 4 3" xfId="42595" xr:uid="{00000000-0005-0000-0000-000044A60000}"/>
    <cellStyle name="Calculation 7 22 4 4" xfId="42596" xr:uid="{00000000-0005-0000-0000-000045A60000}"/>
    <cellStyle name="Calculation 7 22 4 5" xfId="42597" xr:uid="{00000000-0005-0000-0000-000046A60000}"/>
    <cellStyle name="Calculation 7 22 4 6" xfId="42598" xr:uid="{00000000-0005-0000-0000-000047A60000}"/>
    <cellStyle name="Calculation 7 22 5" xfId="42599" xr:uid="{00000000-0005-0000-0000-000048A60000}"/>
    <cellStyle name="Calculation 7 22 5 2" xfId="42600" xr:uid="{00000000-0005-0000-0000-000049A60000}"/>
    <cellStyle name="Calculation 7 22 5 3" xfId="42601" xr:uid="{00000000-0005-0000-0000-00004AA60000}"/>
    <cellStyle name="Calculation 7 22 5 4" xfId="42602" xr:uid="{00000000-0005-0000-0000-00004BA60000}"/>
    <cellStyle name="Calculation 7 22 5 5" xfId="42603" xr:uid="{00000000-0005-0000-0000-00004CA60000}"/>
    <cellStyle name="Calculation 7 22 5 6" xfId="42604" xr:uid="{00000000-0005-0000-0000-00004DA60000}"/>
    <cellStyle name="Calculation 7 22 6" xfId="42605" xr:uid="{00000000-0005-0000-0000-00004EA60000}"/>
    <cellStyle name="Calculation 7 22 6 2" xfId="42606" xr:uid="{00000000-0005-0000-0000-00004FA60000}"/>
    <cellStyle name="Calculation 7 22 6 3" xfId="42607" xr:uid="{00000000-0005-0000-0000-000050A60000}"/>
    <cellStyle name="Calculation 7 22 6 4" xfId="42608" xr:uid="{00000000-0005-0000-0000-000051A60000}"/>
    <cellStyle name="Calculation 7 22 6 5" xfId="42609" xr:uid="{00000000-0005-0000-0000-000052A60000}"/>
    <cellStyle name="Calculation 7 22 6 6" xfId="42610" xr:uid="{00000000-0005-0000-0000-000053A60000}"/>
    <cellStyle name="Calculation 7 22 7" xfId="42611" xr:uid="{00000000-0005-0000-0000-000054A60000}"/>
    <cellStyle name="Calculation 7 22 7 2" xfId="42612" xr:uid="{00000000-0005-0000-0000-000055A60000}"/>
    <cellStyle name="Calculation 7 22 7 3" xfId="42613" xr:uid="{00000000-0005-0000-0000-000056A60000}"/>
    <cellStyle name="Calculation 7 22 7 4" xfId="42614" xr:uid="{00000000-0005-0000-0000-000057A60000}"/>
    <cellStyle name="Calculation 7 22 7 5" xfId="42615" xr:uid="{00000000-0005-0000-0000-000058A60000}"/>
    <cellStyle name="Calculation 7 22 7 6" xfId="42616" xr:uid="{00000000-0005-0000-0000-000059A60000}"/>
    <cellStyle name="Calculation 7 22 8" xfId="42617" xr:uid="{00000000-0005-0000-0000-00005AA60000}"/>
    <cellStyle name="Calculation 7 22 9" xfId="42618" xr:uid="{00000000-0005-0000-0000-00005BA60000}"/>
    <cellStyle name="Calculation 7 23" xfId="42619" xr:uid="{00000000-0005-0000-0000-00005CA60000}"/>
    <cellStyle name="Calculation 7 23 10" xfId="42620" xr:uid="{00000000-0005-0000-0000-00005DA60000}"/>
    <cellStyle name="Calculation 7 23 2" xfId="42621" xr:uid="{00000000-0005-0000-0000-00005EA60000}"/>
    <cellStyle name="Calculation 7 23 2 2" xfId="42622" xr:uid="{00000000-0005-0000-0000-00005FA60000}"/>
    <cellStyle name="Calculation 7 23 2 3" xfId="42623" xr:uid="{00000000-0005-0000-0000-000060A60000}"/>
    <cellStyle name="Calculation 7 23 2 4" xfId="42624" xr:uid="{00000000-0005-0000-0000-000061A60000}"/>
    <cellStyle name="Calculation 7 23 2 5" xfId="42625" xr:uid="{00000000-0005-0000-0000-000062A60000}"/>
    <cellStyle name="Calculation 7 23 2 6" xfId="42626" xr:uid="{00000000-0005-0000-0000-000063A60000}"/>
    <cellStyle name="Calculation 7 23 3" xfId="42627" xr:uid="{00000000-0005-0000-0000-000064A60000}"/>
    <cellStyle name="Calculation 7 23 3 2" xfId="42628" xr:uid="{00000000-0005-0000-0000-000065A60000}"/>
    <cellStyle name="Calculation 7 23 3 3" xfId="42629" xr:uid="{00000000-0005-0000-0000-000066A60000}"/>
    <cellStyle name="Calculation 7 23 3 4" xfId="42630" xr:uid="{00000000-0005-0000-0000-000067A60000}"/>
    <cellStyle name="Calculation 7 23 3 5" xfId="42631" xr:uid="{00000000-0005-0000-0000-000068A60000}"/>
    <cellStyle name="Calculation 7 23 3 6" xfId="42632" xr:uid="{00000000-0005-0000-0000-000069A60000}"/>
    <cellStyle name="Calculation 7 23 4" xfId="42633" xr:uid="{00000000-0005-0000-0000-00006AA60000}"/>
    <cellStyle name="Calculation 7 23 4 2" xfId="42634" xr:uid="{00000000-0005-0000-0000-00006BA60000}"/>
    <cellStyle name="Calculation 7 23 4 3" xfId="42635" xr:uid="{00000000-0005-0000-0000-00006CA60000}"/>
    <cellStyle name="Calculation 7 23 4 4" xfId="42636" xr:uid="{00000000-0005-0000-0000-00006DA60000}"/>
    <cellStyle name="Calculation 7 23 4 5" xfId="42637" xr:uid="{00000000-0005-0000-0000-00006EA60000}"/>
    <cellStyle name="Calculation 7 23 4 6" xfId="42638" xr:uid="{00000000-0005-0000-0000-00006FA60000}"/>
    <cellStyle name="Calculation 7 23 5" xfId="42639" xr:uid="{00000000-0005-0000-0000-000070A60000}"/>
    <cellStyle name="Calculation 7 23 5 2" xfId="42640" xr:uid="{00000000-0005-0000-0000-000071A60000}"/>
    <cellStyle name="Calculation 7 23 5 3" xfId="42641" xr:uid="{00000000-0005-0000-0000-000072A60000}"/>
    <cellStyle name="Calculation 7 23 5 4" xfId="42642" xr:uid="{00000000-0005-0000-0000-000073A60000}"/>
    <cellStyle name="Calculation 7 23 5 5" xfId="42643" xr:uid="{00000000-0005-0000-0000-000074A60000}"/>
    <cellStyle name="Calculation 7 23 5 6" xfId="42644" xr:uid="{00000000-0005-0000-0000-000075A60000}"/>
    <cellStyle name="Calculation 7 23 6" xfId="42645" xr:uid="{00000000-0005-0000-0000-000076A60000}"/>
    <cellStyle name="Calculation 7 23 6 2" xfId="42646" xr:uid="{00000000-0005-0000-0000-000077A60000}"/>
    <cellStyle name="Calculation 7 23 6 3" xfId="42647" xr:uid="{00000000-0005-0000-0000-000078A60000}"/>
    <cellStyle name="Calculation 7 23 6 4" xfId="42648" xr:uid="{00000000-0005-0000-0000-000079A60000}"/>
    <cellStyle name="Calculation 7 23 6 5" xfId="42649" xr:uid="{00000000-0005-0000-0000-00007AA60000}"/>
    <cellStyle name="Calculation 7 23 6 6" xfId="42650" xr:uid="{00000000-0005-0000-0000-00007BA60000}"/>
    <cellStyle name="Calculation 7 23 7" xfId="42651" xr:uid="{00000000-0005-0000-0000-00007CA60000}"/>
    <cellStyle name="Calculation 7 23 7 2" xfId="42652" xr:uid="{00000000-0005-0000-0000-00007DA60000}"/>
    <cellStyle name="Calculation 7 23 7 3" xfId="42653" xr:uid="{00000000-0005-0000-0000-00007EA60000}"/>
    <cellStyle name="Calculation 7 23 7 4" xfId="42654" xr:uid="{00000000-0005-0000-0000-00007FA60000}"/>
    <cellStyle name="Calculation 7 23 7 5" xfId="42655" xr:uid="{00000000-0005-0000-0000-000080A60000}"/>
    <cellStyle name="Calculation 7 23 7 6" xfId="42656" xr:uid="{00000000-0005-0000-0000-000081A60000}"/>
    <cellStyle name="Calculation 7 23 8" xfId="42657" xr:uid="{00000000-0005-0000-0000-000082A60000}"/>
    <cellStyle name="Calculation 7 23 9" xfId="42658" xr:uid="{00000000-0005-0000-0000-000083A60000}"/>
    <cellStyle name="Calculation 7 24" xfId="42659" xr:uid="{00000000-0005-0000-0000-000084A60000}"/>
    <cellStyle name="Calculation 7 24 10" xfId="42660" xr:uid="{00000000-0005-0000-0000-000085A60000}"/>
    <cellStyle name="Calculation 7 24 2" xfId="42661" xr:uid="{00000000-0005-0000-0000-000086A60000}"/>
    <cellStyle name="Calculation 7 24 2 2" xfId="42662" xr:uid="{00000000-0005-0000-0000-000087A60000}"/>
    <cellStyle name="Calculation 7 24 2 3" xfId="42663" xr:uid="{00000000-0005-0000-0000-000088A60000}"/>
    <cellStyle name="Calculation 7 24 2 4" xfId="42664" xr:uid="{00000000-0005-0000-0000-000089A60000}"/>
    <cellStyle name="Calculation 7 24 2 5" xfId="42665" xr:uid="{00000000-0005-0000-0000-00008AA60000}"/>
    <cellStyle name="Calculation 7 24 2 6" xfId="42666" xr:uid="{00000000-0005-0000-0000-00008BA60000}"/>
    <cellStyle name="Calculation 7 24 3" xfId="42667" xr:uid="{00000000-0005-0000-0000-00008CA60000}"/>
    <cellStyle name="Calculation 7 24 3 2" xfId="42668" xr:uid="{00000000-0005-0000-0000-00008DA60000}"/>
    <cellStyle name="Calculation 7 24 3 3" xfId="42669" xr:uid="{00000000-0005-0000-0000-00008EA60000}"/>
    <cellStyle name="Calculation 7 24 3 4" xfId="42670" xr:uid="{00000000-0005-0000-0000-00008FA60000}"/>
    <cellStyle name="Calculation 7 24 3 5" xfId="42671" xr:uid="{00000000-0005-0000-0000-000090A60000}"/>
    <cellStyle name="Calculation 7 24 3 6" xfId="42672" xr:uid="{00000000-0005-0000-0000-000091A60000}"/>
    <cellStyle name="Calculation 7 24 4" xfId="42673" xr:uid="{00000000-0005-0000-0000-000092A60000}"/>
    <cellStyle name="Calculation 7 24 4 2" xfId="42674" xr:uid="{00000000-0005-0000-0000-000093A60000}"/>
    <cellStyle name="Calculation 7 24 4 3" xfId="42675" xr:uid="{00000000-0005-0000-0000-000094A60000}"/>
    <cellStyle name="Calculation 7 24 4 4" xfId="42676" xr:uid="{00000000-0005-0000-0000-000095A60000}"/>
    <cellStyle name="Calculation 7 24 4 5" xfId="42677" xr:uid="{00000000-0005-0000-0000-000096A60000}"/>
    <cellStyle name="Calculation 7 24 4 6" xfId="42678" xr:uid="{00000000-0005-0000-0000-000097A60000}"/>
    <cellStyle name="Calculation 7 24 5" xfId="42679" xr:uid="{00000000-0005-0000-0000-000098A60000}"/>
    <cellStyle name="Calculation 7 24 5 2" xfId="42680" xr:uid="{00000000-0005-0000-0000-000099A60000}"/>
    <cellStyle name="Calculation 7 24 5 3" xfId="42681" xr:uid="{00000000-0005-0000-0000-00009AA60000}"/>
    <cellStyle name="Calculation 7 24 5 4" xfId="42682" xr:uid="{00000000-0005-0000-0000-00009BA60000}"/>
    <cellStyle name="Calculation 7 24 5 5" xfId="42683" xr:uid="{00000000-0005-0000-0000-00009CA60000}"/>
    <cellStyle name="Calculation 7 24 5 6" xfId="42684" xr:uid="{00000000-0005-0000-0000-00009DA60000}"/>
    <cellStyle name="Calculation 7 24 6" xfId="42685" xr:uid="{00000000-0005-0000-0000-00009EA60000}"/>
    <cellStyle name="Calculation 7 24 6 2" xfId="42686" xr:uid="{00000000-0005-0000-0000-00009FA60000}"/>
    <cellStyle name="Calculation 7 24 6 3" xfId="42687" xr:uid="{00000000-0005-0000-0000-0000A0A60000}"/>
    <cellStyle name="Calculation 7 24 6 4" xfId="42688" xr:uid="{00000000-0005-0000-0000-0000A1A60000}"/>
    <cellStyle name="Calculation 7 24 6 5" xfId="42689" xr:uid="{00000000-0005-0000-0000-0000A2A60000}"/>
    <cellStyle name="Calculation 7 24 6 6" xfId="42690" xr:uid="{00000000-0005-0000-0000-0000A3A60000}"/>
    <cellStyle name="Calculation 7 24 7" xfId="42691" xr:uid="{00000000-0005-0000-0000-0000A4A60000}"/>
    <cellStyle name="Calculation 7 24 7 2" xfId="42692" xr:uid="{00000000-0005-0000-0000-0000A5A60000}"/>
    <cellStyle name="Calculation 7 24 7 3" xfId="42693" xr:uid="{00000000-0005-0000-0000-0000A6A60000}"/>
    <cellStyle name="Calculation 7 24 7 4" xfId="42694" xr:uid="{00000000-0005-0000-0000-0000A7A60000}"/>
    <cellStyle name="Calculation 7 24 7 5" xfId="42695" xr:uid="{00000000-0005-0000-0000-0000A8A60000}"/>
    <cellStyle name="Calculation 7 24 7 6" xfId="42696" xr:uid="{00000000-0005-0000-0000-0000A9A60000}"/>
    <cellStyle name="Calculation 7 24 8" xfId="42697" xr:uid="{00000000-0005-0000-0000-0000AAA60000}"/>
    <cellStyle name="Calculation 7 24 9" xfId="42698" xr:uid="{00000000-0005-0000-0000-0000ABA60000}"/>
    <cellStyle name="Calculation 7 25" xfId="42699" xr:uid="{00000000-0005-0000-0000-0000ACA60000}"/>
    <cellStyle name="Calculation 7 25 10" xfId="42700" xr:uid="{00000000-0005-0000-0000-0000ADA60000}"/>
    <cellStyle name="Calculation 7 25 2" xfId="42701" xr:uid="{00000000-0005-0000-0000-0000AEA60000}"/>
    <cellStyle name="Calculation 7 25 2 2" xfId="42702" xr:uid="{00000000-0005-0000-0000-0000AFA60000}"/>
    <cellStyle name="Calculation 7 25 2 3" xfId="42703" xr:uid="{00000000-0005-0000-0000-0000B0A60000}"/>
    <cellStyle name="Calculation 7 25 2 4" xfId="42704" xr:uid="{00000000-0005-0000-0000-0000B1A60000}"/>
    <cellStyle name="Calculation 7 25 2 5" xfId="42705" xr:uid="{00000000-0005-0000-0000-0000B2A60000}"/>
    <cellStyle name="Calculation 7 25 2 6" xfId="42706" xr:uid="{00000000-0005-0000-0000-0000B3A60000}"/>
    <cellStyle name="Calculation 7 25 3" xfId="42707" xr:uid="{00000000-0005-0000-0000-0000B4A60000}"/>
    <cellStyle name="Calculation 7 25 3 2" xfId="42708" xr:uid="{00000000-0005-0000-0000-0000B5A60000}"/>
    <cellStyle name="Calculation 7 25 3 3" xfId="42709" xr:uid="{00000000-0005-0000-0000-0000B6A60000}"/>
    <cellStyle name="Calculation 7 25 3 4" xfId="42710" xr:uid="{00000000-0005-0000-0000-0000B7A60000}"/>
    <cellStyle name="Calculation 7 25 3 5" xfId="42711" xr:uid="{00000000-0005-0000-0000-0000B8A60000}"/>
    <cellStyle name="Calculation 7 25 3 6" xfId="42712" xr:uid="{00000000-0005-0000-0000-0000B9A60000}"/>
    <cellStyle name="Calculation 7 25 4" xfId="42713" xr:uid="{00000000-0005-0000-0000-0000BAA60000}"/>
    <cellStyle name="Calculation 7 25 4 2" xfId="42714" xr:uid="{00000000-0005-0000-0000-0000BBA60000}"/>
    <cellStyle name="Calculation 7 25 4 3" xfId="42715" xr:uid="{00000000-0005-0000-0000-0000BCA60000}"/>
    <cellStyle name="Calculation 7 25 4 4" xfId="42716" xr:uid="{00000000-0005-0000-0000-0000BDA60000}"/>
    <cellStyle name="Calculation 7 25 4 5" xfId="42717" xr:uid="{00000000-0005-0000-0000-0000BEA60000}"/>
    <cellStyle name="Calculation 7 25 4 6" xfId="42718" xr:uid="{00000000-0005-0000-0000-0000BFA60000}"/>
    <cellStyle name="Calculation 7 25 5" xfId="42719" xr:uid="{00000000-0005-0000-0000-0000C0A60000}"/>
    <cellStyle name="Calculation 7 25 5 2" xfId="42720" xr:uid="{00000000-0005-0000-0000-0000C1A60000}"/>
    <cellStyle name="Calculation 7 25 5 3" xfId="42721" xr:uid="{00000000-0005-0000-0000-0000C2A60000}"/>
    <cellStyle name="Calculation 7 25 5 4" xfId="42722" xr:uid="{00000000-0005-0000-0000-0000C3A60000}"/>
    <cellStyle name="Calculation 7 25 5 5" xfId="42723" xr:uid="{00000000-0005-0000-0000-0000C4A60000}"/>
    <cellStyle name="Calculation 7 25 5 6" xfId="42724" xr:uid="{00000000-0005-0000-0000-0000C5A60000}"/>
    <cellStyle name="Calculation 7 25 6" xfId="42725" xr:uid="{00000000-0005-0000-0000-0000C6A60000}"/>
    <cellStyle name="Calculation 7 25 6 2" xfId="42726" xr:uid="{00000000-0005-0000-0000-0000C7A60000}"/>
    <cellStyle name="Calculation 7 25 6 3" xfId="42727" xr:uid="{00000000-0005-0000-0000-0000C8A60000}"/>
    <cellStyle name="Calculation 7 25 6 4" xfId="42728" xr:uid="{00000000-0005-0000-0000-0000C9A60000}"/>
    <cellStyle name="Calculation 7 25 6 5" xfId="42729" xr:uid="{00000000-0005-0000-0000-0000CAA60000}"/>
    <cellStyle name="Calculation 7 25 6 6" xfId="42730" xr:uid="{00000000-0005-0000-0000-0000CBA60000}"/>
    <cellStyle name="Calculation 7 25 7" xfId="42731" xr:uid="{00000000-0005-0000-0000-0000CCA60000}"/>
    <cellStyle name="Calculation 7 25 7 2" xfId="42732" xr:uid="{00000000-0005-0000-0000-0000CDA60000}"/>
    <cellStyle name="Calculation 7 25 7 3" xfId="42733" xr:uid="{00000000-0005-0000-0000-0000CEA60000}"/>
    <cellStyle name="Calculation 7 25 7 4" xfId="42734" xr:uid="{00000000-0005-0000-0000-0000CFA60000}"/>
    <cellStyle name="Calculation 7 25 7 5" xfId="42735" xr:uid="{00000000-0005-0000-0000-0000D0A60000}"/>
    <cellStyle name="Calculation 7 25 7 6" xfId="42736" xr:uid="{00000000-0005-0000-0000-0000D1A60000}"/>
    <cellStyle name="Calculation 7 25 8" xfId="42737" xr:uid="{00000000-0005-0000-0000-0000D2A60000}"/>
    <cellStyle name="Calculation 7 25 9" xfId="42738" xr:uid="{00000000-0005-0000-0000-0000D3A60000}"/>
    <cellStyle name="Calculation 7 26" xfId="42739" xr:uid="{00000000-0005-0000-0000-0000D4A60000}"/>
    <cellStyle name="Calculation 7 26 2" xfId="42740" xr:uid="{00000000-0005-0000-0000-0000D5A60000}"/>
    <cellStyle name="Calculation 7 26 3" xfId="42741" xr:uid="{00000000-0005-0000-0000-0000D6A60000}"/>
    <cellStyle name="Calculation 7 26 4" xfId="42742" xr:uid="{00000000-0005-0000-0000-0000D7A60000}"/>
    <cellStyle name="Calculation 7 26 5" xfId="42743" xr:uid="{00000000-0005-0000-0000-0000D8A60000}"/>
    <cellStyle name="Calculation 7 26 6" xfId="42744" xr:uid="{00000000-0005-0000-0000-0000D9A60000}"/>
    <cellStyle name="Calculation 7 27" xfId="42745" xr:uid="{00000000-0005-0000-0000-0000DAA60000}"/>
    <cellStyle name="Calculation 7 27 2" xfId="42746" xr:uid="{00000000-0005-0000-0000-0000DBA60000}"/>
    <cellStyle name="Calculation 7 27 3" xfId="42747" xr:uid="{00000000-0005-0000-0000-0000DCA60000}"/>
    <cellStyle name="Calculation 7 27 4" xfId="42748" xr:uid="{00000000-0005-0000-0000-0000DDA60000}"/>
    <cellStyle name="Calculation 7 27 5" xfId="42749" xr:uid="{00000000-0005-0000-0000-0000DEA60000}"/>
    <cellStyle name="Calculation 7 27 6" xfId="42750" xr:uid="{00000000-0005-0000-0000-0000DFA60000}"/>
    <cellStyle name="Calculation 7 28" xfId="42751" xr:uid="{00000000-0005-0000-0000-0000E0A60000}"/>
    <cellStyle name="Calculation 7 28 2" xfId="42752" xr:uid="{00000000-0005-0000-0000-0000E1A60000}"/>
    <cellStyle name="Calculation 7 28 3" xfId="42753" xr:uid="{00000000-0005-0000-0000-0000E2A60000}"/>
    <cellStyle name="Calculation 7 28 4" xfId="42754" xr:uid="{00000000-0005-0000-0000-0000E3A60000}"/>
    <cellStyle name="Calculation 7 28 5" xfId="42755" xr:uid="{00000000-0005-0000-0000-0000E4A60000}"/>
    <cellStyle name="Calculation 7 28 6" xfId="42756" xr:uid="{00000000-0005-0000-0000-0000E5A60000}"/>
    <cellStyle name="Calculation 7 29" xfId="42757" xr:uid="{00000000-0005-0000-0000-0000E6A60000}"/>
    <cellStyle name="Calculation 7 29 2" xfId="42758" xr:uid="{00000000-0005-0000-0000-0000E7A60000}"/>
    <cellStyle name="Calculation 7 29 3" xfId="42759" xr:uid="{00000000-0005-0000-0000-0000E8A60000}"/>
    <cellStyle name="Calculation 7 29 4" xfId="42760" xr:uid="{00000000-0005-0000-0000-0000E9A60000}"/>
    <cellStyle name="Calculation 7 29 5" xfId="42761" xr:uid="{00000000-0005-0000-0000-0000EAA60000}"/>
    <cellStyle name="Calculation 7 29 6" xfId="42762" xr:uid="{00000000-0005-0000-0000-0000EBA60000}"/>
    <cellStyle name="Calculation 7 3" xfId="42763" xr:uid="{00000000-0005-0000-0000-0000ECA60000}"/>
    <cellStyle name="Calculation 7 3 10" xfId="42764" xr:uid="{00000000-0005-0000-0000-0000EDA60000}"/>
    <cellStyle name="Calculation 7 3 10 10" xfId="42765" xr:uid="{00000000-0005-0000-0000-0000EEA60000}"/>
    <cellStyle name="Calculation 7 3 10 2" xfId="42766" xr:uid="{00000000-0005-0000-0000-0000EFA60000}"/>
    <cellStyle name="Calculation 7 3 10 2 2" xfId="42767" xr:uid="{00000000-0005-0000-0000-0000F0A60000}"/>
    <cellStyle name="Calculation 7 3 10 2 3" xfId="42768" xr:uid="{00000000-0005-0000-0000-0000F1A60000}"/>
    <cellStyle name="Calculation 7 3 10 2 4" xfId="42769" xr:uid="{00000000-0005-0000-0000-0000F2A60000}"/>
    <cellStyle name="Calculation 7 3 10 2 5" xfId="42770" xr:uid="{00000000-0005-0000-0000-0000F3A60000}"/>
    <cellStyle name="Calculation 7 3 10 2 6" xfId="42771" xr:uid="{00000000-0005-0000-0000-0000F4A60000}"/>
    <cellStyle name="Calculation 7 3 10 3" xfId="42772" xr:uid="{00000000-0005-0000-0000-0000F5A60000}"/>
    <cellStyle name="Calculation 7 3 10 3 2" xfId="42773" xr:uid="{00000000-0005-0000-0000-0000F6A60000}"/>
    <cellStyle name="Calculation 7 3 10 3 3" xfId="42774" xr:uid="{00000000-0005-0000-0000-0000F7A60000}"/>
    <cellStyle name="Calculation 7 3 10 3 4" xfId="42775" xr:uid="{00000000-0005-0000-0000-0000F8A60000}"/>
    <cellStyle name="Calculation 7 3 10 3 5" xfId="42776" xr:uid="{00000000-0005-0000-0000-0000F9A60000}"/>
    <cellStyle name="Calculation 7 3 10 3 6" xfId="42777" xr:uid="{00000000-0005-0000-0000-0000FAA60000}"/>
    <cellStyle name="Calculation 7 3 10 4" xfId="42778" xr:uid="{00000000-0005-0000-0000-0000FBA60000}"/>
    <cellStyle name="Calculation 7 3 10 4 2" xfId="42779" xr:uid="{00000000-0005-0000-0000-0000FCA60000}"/>
    <cellStyle name="Calculation 7 3 10 4 3" xfId="42780" xr:uid="{00000000-0005-0000-0000-0000FDA60000}"/>
    <cellStyle name="Calculation 7 3 10 4 4" xfId="42781" xr:uid="{00000000-0005-0000-0000-0000FEA60000}"/>
    <cellStyle name="Calculation 7 3 10 4 5" xfId="42782" xr:uid="{00000000-0005-0000-0000-0000FFA60000}"/>
    <cellStyle name="Calculation 7 3 10 4 6" xfId="42783" xr:uid="{00000000-0005-0000-0000-000000A70000}"/>
    <cellStyle name="Calculation 7 3 10 5" xfId="42784" xr:uid="{00000000-0005-0000-0000-000001A70000}"/>
    <cellStyle name="Calculation 7 3 10 5 2" xfId="42785" xr:uid="{00000000-0005-0000-0000-000002A70000}"/>
    <cellStyle name="Calculation 7 3 10 5 3" xfId="42786" xr:uid="{00000000-0005-0000-0000-000003A70000}"/>
    <cellStyle name="Calculation 7 3 10 5 4" xfId="42787" xr:uid="{00000000-0005-0000-0000-000004A70000}"/>
    <cellStyle name="Calculation 7 3 10 5 5" xfId="42788" xr:uid="{00000000-0005-0000-0000-000005A70000}"/>
    <cellStyle name="Calculation 7 3 10 5 6" xfId="42789" xr:uid="{00000000-0005-0000-0000-000006A70000}"/>
    <cellStyle name="Calculation 7 3 10 6" xfId="42790" xr:uid="{00000000-0005-0000-0000-000007A70000}"/>
    <cellStyle name="Calculation 7 3 10 6 2" xfId="42791" xr:uid="{00000000-0005-0000-0000-000008A70000}"/>
    <cellStyle name="Calculation 7 3 10 6 3" xfId="42792" xr:uid="{00000000-0005-0000-0000-000009A70000}"/>
    <cellStyle name="Calculation 7 3 10 6 4" xfId="42793" xr:uid="{00000000-0005-0000-0000-00000AA70000}"/>
    <cellStyle name="Calculation 7 3 10 6 5" xfId="42794" xr:uid="{00000000-0005-0000-0000-00000BA70000}"/>
    <cellStyle name="Calculation 7 3 10 6 6" xfId="42795" xr:uid="{00000000-0005-0000-0000-00000CA70000}"/>
    <cellStyle name="Calculation 7 3 10 7" xfId="42796" xr:uid="{00000000-0005-0000-0000-00000DA70000}"/>
    <cellStyle name="Calculation 7 3 10 7 2" xfId="42797" xr:uid="{00000000-0005-0000-0000-00000EA70000}"/>
    <cellStyle name="Calculation 7 3 10 7 3" xfId="42798" xr:uid="{00000000-0005-0000-0000-00000FA70000}"/>
    <cellStyle name="Calculation 7 3 10 7 4" xfId="42799" xr:uid="{00000000-0005-0000-0000-000010A70000}"/>
    <cellStyle name="Calculation 7 3 10 7 5" xfId="42800" xr:uid="{00000000-0005-0000-0000-000011A70000}"/>
    <cellStyle name="Calculation 7 3 10 7 6" xfId="42801" xr:uid="{00000000-0005-0000-0000-000012A70000}"/>
    <cellStyle name="Calculation 7 3 10 8" xfId="42802" xr:uid="{00000000-0005-0000-0000-000013A70000}"/>
    <cellStyle name="Calculation 7 3 10 9" xfId="42803" xr:uid="{00000000-0005-0000-0000-000014A70000}"/>
    <cellStyle name="Calculation 7 3 11" xfId="42804" xr:uid="{00000000-0005-0000-0000-000015A70000}"/>
    <cellStyle name="Calculation 7 3 11 10" xfId="42805" xr:uid="{00000000-0005-0000-0000-000016A70000}"/>
    <cellStyle name="Calculation 7 3 11 2" xfId="42806" xr:uid="{00000000-0005-0000-0000-000017A70000}"/>
    <cellStyle name="Calculation 7 3 11 2 2" xfId="42807" xr:uid="{00000000-0005-0000-0000-000018A70000}"/>
    <cellStyle name="Calculation 7 3 11 2 3" xfId="42808" xr:uid="{00000000-0005-0000-0000-000019A70000}"/>
    <cellStyle name="Calculation 7 3 11 2 4" xfId="42809" xr:uid="{00000000-0005-0000-0000-00001AA70000}"/>
    <cellStyle name="Calculation 7 3 11 2 5" xfId="42810" xr:uid="{00000000-0005-0000-0000-00001BA70000}"/>
    <cellStyle name="Calculation 7 3 11 2 6" xfId="42811" xr:uid="{00000000-0005-0000-0000-00001CA70000}"/>
    <cellStyle name="Calculation 7 3 11 3" xfId="42812" xr:uid="{00000000-0005-0000-0000-00001DA70000}"/>
    <cellStyle name="Calculation 7 3 11 3 2" xfId="42813" xr:uid="{00000000-0005-0000-0000-00001EA70000}"/>
    <cellStyle name="Calculation 7 3 11 3 3" xfId="42814" xr:uid="{00000000-0005-0000-0000-00001FA70000}"/>
    <cellStyle name="Calculation 7 3 11 3 4" xfId="42815" xr:uid="{00000000-0005-0000-0000-000020A70000}"/>
    <cellStyle name="Calculation 7 3 11 3 5" xfId="42816" xr:uid="{00000000-0005-0000-0000-000021A70000}"/>
    <cellStyle name="Calculation 7 3 11 3 6" xfId="42817" xr:uid="{00000000-0005-0000-0000-000022A70000}"/>
    <cellStyle name="Calculation 7 3 11 4" xfId="42818" xr:uid="{00000000-0005-0000-0000-000023A70000}"/>
    <cellStyle name="Calculation 7 3 11 4 2" xfId="42819" xr:uid="{00000000-0005-0000-0000-000024A70000}"/>
    <cellStyle name="Calculation 7 3 11 4 3" xfId="42820" xr:uid="{00000000-0005-0000-0000-000025A70000}"/>
    <cellStyle name="Calculation 7 3 11 4 4" xfId="42821" xr:uid="{00000000-0005-0000-0000-000026A70000}"/>
    <cellStyle name="Calculation 7 3 11 4 5" xfId="42822" xr:uid="{00000000-0005-0000-0000-000027A70000}"/>
    <cellStyle name="Calculation 7 3 11 4 6" xfId="42823" xr:uid="{00000000-0005-0000-0000-000028A70000}"/>
    <cellStyle name="Calculation 7 3 11 5" xfId="42824" xr:uid="{00000000-0005-0000-0000-000029A70000}"/>
    <cellStyle name="Calculation 7 3 11 5 2" xfId="42825" xr:uid="{00000000-0005-0000-0000-00002AA70000}"/>
    <cellStyle name="Calculation 7 3 11 5 3" xfId="42826" xr:uid="{00000000-0005-0000-0000-00002BA70000}"/>
    <cellStyle name="Calculation 7 3 11 5 4" xfId="42827" xr:uid="{00000000-0005-0000-0000-00002CA70000}"/>
    <cellStyle name="Calculation 7 3 11 5 5" xfId="42828" xr:uid="{00000000-0005-0000-0000-00002DA70000}"/>
    <cellStyle name="Calculation 7 3 11 5 6" xfId="42829" xr:uid="{00000000-0005-0000-0000-00002EA70000}"/>
    <cellStyle name="Calculation 7 3 11 6" xfId="42830" xr:uid="{00000000-0005-0000-0000-00002FA70000}"/>
    <cellStyle name="Calculation 7 3 11 6 2" xfId="42831" xr:uid="{00000000-0005-0000-0000-000030A70000}"/>
    <cellStyle name="Calculation 7 3 11 6 3" xfId="42832" xr:uid="{00000000-0005-0000-0000-000031A70000}"/>
    <cellStyle name="Calculation 7 3 11 6 4" xfId="42833" xr:uid="{00000000-0005-0000-0000-000032A70000}"/>
    <cellStyle name="Calculation 7 3 11 6 5" xfId="42834" xr:uid="{00000000-0005-0000-0000-000033A70000}"/>
    <cellStyle name="Calculation 7 3 11 6 6" xfId="42835" xr:uid="{00000000-0005-0000-0000-000034A70000}"/>
    <cellStyle name="Calculation 7 3 11 7" xfId="42836" xr:uid="{00000000-0005-0000-0000-000035A70000}"/>
    <cellStyle name="Calculation 7 3 11 7 2" xfId="42837" xr:uid="{00000000-0005-0000-0000-000036A70000}"/>
    <cellStyle name="Calculation 7 3 11 7 3" xfId="42838" xr:uid="{00000000-0005-0000-0000-000037A70000}"/>
    <cellStyle name="Calculation 7 3 11 7 4" xfId="42839" xr:uid="{00000000-0005-0000-0000-000038A70000}"/>
    <cellStyle name="Calculation 7 3 11 7 5" xfId="42840" xr:uid="{00000000-0005-0000-0000-000039A70000}"/>
    <cellStyle name="Calculation 7 3 11 7 6" xfId="42841" xr:uid="{00000000-0005-0000-0000-00003AA70000}"/>
    <cellStyle name="Calculation 7 3 11 8" xfId="42842" xr:uid="{00000000-0005-0000-0000-00003BA70000}"/>
    <cellStyle name="Calculation 7 3 11 9" xfId="42843" xr:uid="{00000000-0005-0000-0000-00003CA70000}"/>
    <cellStyle name="Calculation 7 3 12" xfId="42844" xr:uid="{00000000-0005-0000-0000-00003DA70000}"/>
    <cellStyle name="Calculation 7 3 12 10" xfId="42845" xr:uid="{00000000-0005-0000-0000-00003EA70000}"/>
    <cellStyle name="Calculation 7 3 12 2" xfId="42846" xr:uid="{00000000-0005-0000-0000-00003FA70000}"/>
    <cellStyle name="Calculation 7 3 12 2 2" xfId="42847" xr:uid="{00000000-0005-0000-0000-000040A70000}"/>
    <cellStyle name="Calculation 7 3 12 2 3" xfId="42848" xr:uid="{00000000-0005-0000-0000-000041A70000}"/>
    <cellStyle name="Calculation 7 3 12 2 4" xfId="42849" xr:uid="{00000000-0005-0000-0000-000042A70000}"/>
    <cellStyle name="Calculation 7 3 12 2 5" xfId="42850" xr:uid="{00000000-0005-0000-0000-000043A70000}"/>
    <cellStyle name="Calculation 7 3 12 2 6" xfId="42851" xr:uid="{00000000-0005-0000-0000-000044A70000}"/>
    <cellStyle name="Calculation 7 3 12 3" xfId="42852" xr:uid="{00000000-0005-0000-0000-000045A70000}"/>
    <cellStyle name="Calculation 7 3 12 3 2" xfId="42853" xr:uid="{00000000-0005-0000-0000-000046A70000}"/>
    <cellStyle name="Calculation 7 3 12 3 3" xfId="42854" xr:uid="{00000000-0005-0000-0000-000047A70000}"/>
    <cellStyle name="Calculation 7 3 12 3 4" xfId="42855" xr:uid="{00000000-0005-0000-0000-000048A70000}"/>
    <cellStyle name="Calculation 7 3 12 3 5" xfId="42856" xr:uid="{00000000-0005-0000-0000-000049A70000}"/>
    <cellStyle name="Calculation 7 3 12 3 6" xfId="42857" xr:uid="{00000000-0005-0000-0000-00004AA70000}"/>
    <cellStyle name="Calculation 7 3 12 4" xfId="42858" xr:uid="{00000000-0005-0000-0000-00004BA70000}"/>
    <cellStyle name="Calculation 7 3 12 4 2" xfId="42859" xr:uid="{00000000-0005-0000-0000-00004CA70000}"/>
    <cellStyle name="Calculation 7 3 12 4 3" xfId="42860" xr:uid="{00000000-0005-0000-0000-00004DA70000}"/>
    <cellStyle name="Calculation 7 3 12 4 4" xfId="42861" xr:uid="{00000000-0005-0000-0000-00004EA70000}"/>
    <cellStyle name="Calculation 7 3 12 4 5" xfId="42862" xr:uid="{00000000-0005-0000-0000-00004FA70000}"/>
    <cellStyle name="Calculation 7 3 12 4 6" xfId="42863" xr:uid="{00000000-0005-0000-0000-000050A70000}"/>
    <cellStyle name="Calculation 7 3 12 5" xfId="42864" xr:uid="{00000000-0005-0000-0000-000051A70000}"/>
    <cellStyle name="Calculation 7 3 12 5 2" xfId="42865" xr:uid="{00000000-0005-0000-0000-000052A70000}"/>
    <cellStyle name="Calculation 7 3 12 5 3" xfId="42866" xr:uid="{00000000-0005-0000-0000-000053A70000}"/>
    <cellStyle name="Calculation 7 3 12 5 4" xfId="42867" xr:uid="{00000000-0005-0000-0000-000054A70000}"/>
    <cellStyle name="Calculation 7 3 12 5 5" xfId="42868" xr:uid="{00000000-0005-0000-0000-000055A70000}"/>
    <cellStyle name="Calculation 7 3 12 5 6" xfId="42869" xr:uid="{00000000-0005-0000-0000-000056A70000}"/>
    <cellStyle name="Calculation 7 3 12 6" xfId="42870" xr:uid="{00000000-0005-0000-0000-000057A70000}"/>
    <cellStyle name="Calculation 7 3 12 6 2" xfId="42871" xr:uid="{00000000-0005-0000-0000-000058A70000}"/>
    <cellStyle name="Calculation 7 3 12 6 3" xfId="42872" xr:uid="{00000000-0005-0000-0000-000059A70000}"/>
    <cellStyle name="Calculation 7 3 12 6 4" xfId="42873" xr:uid="{00000000-0005-0000-0000-00005AA70000}"/>
    <cellStyle name="Calculation 7 3 12 6 5" xfId="42874" xr:uid="{00000000-0005-0000-0000-00005BA70000}"/>
    <cellStyle name="Calculation 7 3 12 6 6" xfId="42875" xr:uid="{00000000-0005-0000-0000-00005CA70000}"/>
    <cellStyle name="Calculation 7 3 12 7" xfId="42876" xr:uid="{00000000-0005-0000-0000-00005DA70000}"/>
    <cellStyle name="Calculation 7 3 12 7 2" xfId="42877" xr:uid="{00000000-0005-0000-0000-00005EA70000}"/>
    <cellStyle name="Calculation 7 3 12 7 3" xfId="42878" xr:uid="{00000000-0005-0000-0000-00005FA70000}"/>
    <cellStyle name="Calculation 7 3 12 7 4" xfId="42879" xr:uid="{00000000-0005-0000-0000-000060A70000}"/>
    <cellStyle name="Calculation 7 3 12 7 5" xfId="42880" xr:uid="{00000000-0005-0000-0000-000061A70000}"/>
    <cellStyle name="Calculation 7 3 12 7 6" xfId="42881" xr:uid="{00000000-0005-0000-0000-000062A70000}"/>
    <cellStyle name="Calculation 7 3 12 8" xfId="42882" xr:uid="{00000000-0005-0000-0000-000063A70000}"/>
    <cellStyle name="Calculation 7 3 12 9" xfId="42883" xr:uid="{00000000-0005-0000-0000-000064A70000}"/>
    <cellStyle name="Calculation 7 3 13" xfId="42884" xr:uid="{00000000-0005-0000-0000-000065A70000}"/>
    <cellStyle name="Calculation 7 3 13 10" xfId="42885" xr:uid="{00000000-0005-0000-0000-000066A70000}"/>
    <cellStyle name="Calculation 7 3 13 2" xfId="42886" xr:uid="{00000000-0005-0000-0000-000067A70000}"/>
    <cellStyle name="Calculation 7 3 13 2 2" xfId="42887" xr:uid="{00000000-0005-0000-0000-000068A70000}"/>
    <cellStyle name="Calculation 7 3 13 2 3" xfId="42888" xr:uid="{00000000-0005-0000-0000-000069A70000}"/>
    <cellStyle name="Calculation 7 3 13 2 4" xfId="42889" xr:uid="{00000000-0005-0000-0000-00006AA70000}"/>
    <cellStyle name="Calculation 7 3 13 2 5" xfId="42890" xr:uid="{00000000-0005-0000-0000-00006BA70000}"/>
    <cellStyle name="Calculation 7 3 13 2 6" xfId="42891" xr:uid="{00000000-0005-0000-0000-00006CA70000}"/>
    <cellStyle name="Calculation 7 3 13 3" xfId="42892" xr:uid="{00000000-0005-0000-0000-00006DA70000}"/>
    <cellStyle name="Calculation 7 3 13 3 2" xfId="42893" xr:uid="{00000000-0005-0000-0000-00006EA70000}"/>
    <cellStyle name="Calculation 7 3 13 3 3" xfId="42894" xr:uid="{00000000-0005-0000-0000-00006FA70000}"/>
    <cellStyle name="Calculation 7 3 13 3 4" xfId="42895" xr:uid="{00000000-0005-0000-0000-000070A70000}"/>
    <cellStyle name="Calculation 7 3 13 3 5" xfId="42896" xr:uid="{00000000-0005-0000-0000-000071A70000}"/>
    <cellStyle name="Calculation 7 3 13 3 6" xfId="42897" xr:uid="{00000000-0005-0000-0000-000072A70000}"/>
    <cellStyle name="Calculation 7 3 13 4" xfId="42898" xr:uid="{00000000-0005-0000-0000-000073A70000}"/>
    <cellStyle name="Calculation 7 3 13 4 2" xfId="42899" xr:uid="{00000000-0005-0000-0000-000074A70000}"/>
    <cellStyle name="Calculation 7 3 13 4 3" xfId="42900" xr:uid="{00000000-0005-0000-0000-000075A70000}"/>
    <cellStyle name="Calculation 7 3 13 4 4" xfId="42901" xr:uid="{00000000-0005-0000-0000-000076A70000}"/>
    <cellStyle name="Calculation 7 3 13 4 5" xfId="42902" xr:uid="{00000000-0005-0000-0000-000077A70000}"/>
    <cellStyle name="Calculation 7 3 13 4 6" xfId="42903" xr:uid="{00000000-0005-0000-0000-000078A70000}"/>
    <cellStyle name="Calculation 7 3 13 5" xfId="42904" xr:uid="{00000000-0005-0000-0000-000079A70000}"/>
    <cellStyle name="Calculation 7 3 13 5 2" xfId="42905" xr:uid="{00000000-0005-0000-0000-00007AA70000}"/>
    <cellStyle name="Calculation 7 3 13 5 3" xfId="42906" xr:uid="{00000000-0005-0000-0000-00007BA70000}"/>
    <cellStyle name="Calculation 7 3 13 5 4" xfId="42907" xr:uid="{00000000-0005-0000-0000-00007CA70000}"/>
    <cellStyle name="Calculation 7 3 13 5 5" xfId="42908" xr:uid="{00000000-0005-0000-0000-00007DA70000}"/>
    <cellStyle name="Calculation 7 3 13 5 6" xfId="42909" xr:uid="{00000000-0005-0000-0000-00007EA70000}"/>
    <cellStyle name="Calculation 7 3 13 6" xfId="42910" xr:uid="{00000000-0005-0000-0000-00007FA70000}"/>
    <cellStyle name="Calculation 7 3 13 6 2" xfId="42911" xr:uid="{00000000-0005-0000-0000-000080A70000}"/>
    <cellStyle name="Calculation 7 3 13 6 3" xfId="42912" xr:uid="{00000000-0005-0000-0000-000081A70000}"/>
    <cellStyle name="Calculation 7 3 13 6 4" xfId="42913" xr:uid="{00000000-0005-0000-0000-000082A70000}"/>
    <cellStyle name="Calculation 7 3 13 6 5" xfId="42914" xr:uid="{00000000-0005-0000-0000-000083A70000}"/>
    <cellStyle name="Calculation 7 3 13 6 6" xfId="42915" xr:uid="{00000000-0005-0000-0000-000084A70000}"/>
    <cellStyle name="Calculation 7 3 13 7" xfId="42916" xr:uid="{00000000-0005-0000-0000-000085A70000}"/>
    <cellStyle name="Calculation 7 3 13 7 2" xfId="42917" xr:uid="{00000000-0005-0000-0000-000086A70000}"/>
    <cellStyle name="Calculation 7 3 13 7 3" xfId="42918" xr:uid="{00000000-0005-0000-0000-000087A70000}"/>
    <cellStyle name="Calculation 7 3 13 7 4" xfId="42919" xr:uid="{00000000-0005-0000-0000-000088A70000}"/>
    <cellStyle name="Calculation 7 3 13 7 5" xfId="42920" xr:uid="{00000000-0005-0000-0000-000089A70000}"/>
    <cellStyle name="Calculation 7 3 13 7 6" xfId="42921" xr:uid="{00000000-0005-0000-0000-00008AA70000}"/>
    <cellStyle name="Calculation 7 3 13 8" xfId="42922" xr:uid="{00000000-0005-0000-0000-00008BA70000}"/>
    <cellStyle name="Calculation 7 3 13 9" xfId="42923" xr:uid="{00000000-0005-0000-0000-00008CA70000}"/>
    <cellStyle name="Calculation 7 3 14" xfId="42924" xr:uid="{00000000-0005-0000-0000-00008DA70000}"/>
    <cellStyle name="Calculation 7 3 14 10" xfId="42925" xr:uid="{00000000-0005-0000-0000-00008EA70000}"/>
    <cellStyle name="Calculation 7 3 14 2" xfId="42926" xr:uid="{00000000-0005-0000-0000-00008FA70000}"/>
    <cellStyle name="Calculation 7 3 14 2 2" xfId="42927" xr:uid="{00000000-0005-0000-0000-000090A70000}"/>
    <cellStyle name="Calculation 7 3 14 2 3" xfId="42928" xr:uid="{00000000-0005-0000-0000-000091A70000}"/>
    <cellStyle name="Calculation 7 3 14 2 4" xfId="42929" xr:uid="{00000000-0005-0000-0000-000092A70000}"/>
    <cellStyle name="Calculation 7 3 14 2 5" xfId="42930" xr:uid="{00000000-0005-0000-0000-000093A70000}"/>
    <cellStyle name="Calculation 7 3 14 2 6" xfId="42931" xr:uid="{00000000-0005-0000-0000-000094A70000}"/>
    <cellStyle name="Calculation 7 3 14 3" xfId="42932" xr:uid="{00000000-0005-0000-0000-000095A70000}"/>
    <cellStyle name="Calculation 7 3 14 3 2" xfId="42933" xr:uid="{00000000-0005-0000-0000-000096A70000}"/>
    <cellStyle name="Calculation 7 3 14 3 3" xfId="42934" xr:uid="{00000000-0005-0000-0000-000097A70000}"/>
    <cellStyle name="Calculation 7 3 14 3 4" xfId="42935" xr:uid="{00000000-0005-0000-0000-000098A70000}"/>
    <cellStyle name="Calculation 7 3 14 3 5" xfId="42936" xr:uid="{00000000-0005-0000-0000-000099A70000}"/>
    <cellStyle name="Calculation 7 3 14 3 6" xfId="42937" xr:uid="{00000000-0005-0000-0000-00009AA70000}"/>
    <cellStyle name="Calculation 7 3 14 4" xfId="42938" xr:uid="{00000000-0005-0000-0000-00009BA70000}"/>
    <cellStyle name="Calculation 7 3 14 4 2" xfId="42939" xr:uid="{00000000-0005-0000-0000-00009CA70000}"/>
    <cellStyle name="Calculation 7 3 14 4 3" xfId="42940" xr:uid="{00000000-0005-0000-0000-00009DA70000}"/>
    <cellStyle name="Calculation 7 3 14 4 4" xfId="42941" xr:uid="{00000000-0005-0000-0000-00009EA70000}"/>
    <cellStyle name="Calculation 7 3 14 4 5" xfId="42942" xr:uid="{00000000-0005-0000-0000-00009FA70000}"/>
    <cellStyle name="Calculation 7 3 14 4 6" xfId="42943" xr:uid="{00000000-0005-0000-0000-0000A0A70000}"/>
    <cellStyle name="Calculation 7 3 14 5" xfId="42944" xr:uid="{00000000-0005-0000-0000-0000A1A70000}"/>
    <cellStyle name="Calculation 7 3 14 5 2" xfId="42945" xr:uid="{00000000-0005-0000-0000-0000A2A70000}"/>
    <cellStyle name="Calculation 7 3 14 5 3" xfId="42946" xr:uid="{00000000-0005-0000-0000-0000A3A70000}"/>
    <cellStyle name="Calculation 7 3 14 5 4" xfId="42947" xr:uid="{00000000-0005-0000-0000-0000A4A70000}"/>
    <cellStyle name="Calculation 7 3 14 5 5" xfId="42948" xr:uid="{00000000-0005-0000-0000-0000A5A70000}"/>
    <cellStyle name="Calculation 7 3 14 5 6" xfId="42949" xr:uid="{00000000-0005-0000-0000-0000A6A70000}"/>
    <cellStyle name="Calculation 7 3 14 6" xfId="42950" xr:uid="{00000000-0005-0000-0000-0000A7A70000}"/>
    <cellStyle name="Calculation 7 3 14 6 2" xfId="42951" xr:uid="{00000000-0005-0000-0000-0000A8A70000}"/>
    <cellStyle name="Calculation 7 3 14 6 3" xfId="42952" xr:uid="{00000000-0005-0000-0000-0000A9A70000}"/>
    <cellStyle name="Calculation 7 3 14 6 4" xfId="42953" xr:uid="{00000000-0005-0000-0000-0000AAA70000}"/>
    <cellStyle name="Calculation 7 3 14 6 5" xfId="42954" xr:uid="{00000000-0005-0000-0000-0000ABA70000}"/>
    <cellStyle name="Calculation 7 3 14 6 6" xfId="42955" xr:uid="{00000000-0005-0000-0000-0000ACA70000}"/>
    <cellStyle name="Calculation 7 3 14 7" xfId="42956" xr:uid="{00000000-0005-0000-0000-0000ADA70000}"/>
    <cellStyle name="Calculation 7 3 14 7 2" xfId="42957" xr:uid="{00000000-0005-0000-0000-0000AEA70000}"/>
    <cellStyle name="Calculation 7 3 14 7 3" xfId="42958" xr:uid="{00000000-0005-0000-0000-0000AFA70000}"/>
    <cellStyle name="Calculation 7 3 14 7 4" xfId="42959" xr:uid="{00000000-0005-0000-0000-0000B0A70000}"/>
    <cellStyle name="Calculation 7 3 14 7 5" xfId="42960" xr:uid="{00000000-0005-0000-0000-0000B1A70000}"/>
    <cellStyle name="Calculation 7 3 14 7 6" xfId="42961" xr:uid="{00000000-0005-0000-0000-0000B2A70000}"/>
    <cellStyle name="Calculation 7 3 14 8" xfId="42962" xr:uid="{00000000-0005-0000-0000-0000B3A70000}"/>
    <cellStyle name="Calculation 7 3 14 9" xfId="42963" xr:uid="{00000000-0005-0000-0000-0000B4A70000}"/>
    <cellStyle name="Calculation 7 3 15" xfId="42964" xr:uid="{00000000-0005-0000-0000-0000B5A70000}"/>
    <cellStyle name="Calculation 7 3 15 10" xfId="42965" xr:uid="{00000000-0005-0000-0000-0000B6A70000}"/>
    <cellStyle name="Calculation 7 3 15 2" xfId="42966" xr:uid="{00000000-0005-0000-0000-0000B7A70000}"/>
    <cellStyle name="Calculation 7 3 15 2 2" xfId="42967" xr:uid="{00000000-0005-0000-0000-0000B8A70000}"/>
    <cellStyle name="Calculation 7 3 15 2 3" xfId="42968" xr:uid="{00000000-0005-0000-0000-0000B9A70000}"/>
    <cellStyle name="Calculation 7 3 15 2 4" xfId="42969" xr:uid="{00000000-0005-0000-0000-0000BAA70000}"/>
    <cellStyle name="Calculation 7 3 15 2 5" xfId="42970" xr:uid="{00000000-0005-0000-0000-0000BBA70000}"/>
    <cellStyle name="Calculation 7 3 15 2 6" xfId="42971" xr:uid="{00000000-0005-0000-0000-0000BCA70000}"/>
    <cellStyle name="Calculation 7 3 15 3" xfId="42972" xr:uid="{00000000-0005-0000-0000-0000BDA70000}"/>
    <cellStyle name="Calculation 7 3 15 3 2" xfId="42973" xr:uid="{00000000-0005-0000-0000-0000BEA70000}"/>
    <cellStyle name="Calculation 7 3 15 3 3" xfId="42974" xr:uid="{00000000-0005-0000-0000-0000BFA70000}"/>
    <cellStyle name="Calculation 7 3 15 3 4" xfId="42975" xr:uid="{00000000-0005-0000-0000-0000C0A70000}"/>
    <cellStyle name="Calculation 7 3 15 3 5" xfId="42976" xr:uid="{00000000-0005-0000-0000-0000C1A70000}"/>
    <cellStyle name="Calculation 7 3 15 3 6" xfId="42977" xr:uid="{00000000-0005-0000-0000-0000C2A70000}"/>
    <cellStyle name="Calculation 7 3 15 4" xfId="42978" xr:uid="{00000000-0005-0000-0000-0000C3A70000}"/>
    <cellStyle name="Calculation 7 3 15 4 2" xfId="42979" xr:uid="{00000000-0005-0000-0000-0000C4A70000}"/>
    <cellStyle name="Calculation 7 3 15 4 3" xfId="42980" xr:uid="{00000000-0005-0000-0000-0000C5A70000}"/>
    <cellStyle name="Calculation 7 3 15 4 4" xfId="42981" xr:uid="{00000000-0005-0000-0000-0000C6A70000}"/>
    <cellStyle name="Calculation 7 3 15 4 5" xfId="42982" xr:uid="{00000000-0005-0000-0000-0000C7A70000}"/>
    <cellStyle name="Calculation 7 3 15 4 6" xfId="42983" xr:uid="{00000000-0005-0000-0000-0000C8A70000}"/>
    <cellStyle name="Calculation 7 3 15 5" xfId="42984" xr:uid="{00000000-0005-0000-0000-0000C9A70000}"/>
    <cellStyle name="Calculation 7 3 15 5 2" xfId="42985" xr:uid="{00000000-0005-0000-0000-0000CAA70000}"/>
    <cellStyle name="Calculation 7 3 15 5 3" xfId="42986" xr:uid="{00000000-0005-0000-0000-0000CBA70000}"/>
    <cellStyle name="Calculation 7 3 15 5 4" xfId="42987" xr:uid="{00000000-0005-0000-0000-0000CCA70000}"/>
    <cellStyle name="Calculation 7 3 15 5 5" xfId="42988" xr:uid="{00000000-0005-0000-0000-0000CDA70000}"/>
    <cellStyle name="Calculation 7 3 15 5 6" xfId="42989" xr:uid="{00000000-0005-0000-0000-0000CEA70000}"/>
    <cellStyle name="Calculation 7 3 15 6" xfId="42990" xr:uid="{00000000-0005-0000-0000-0000CFA70000}"/>
    <cellStyle name="Calculation 7 3 15 6 2" xfId="42991" xr:uid="{00000000-0005-0000-0000-0000D0A70000}"/>
    <cellStyle name="Calculation 7 3 15 6 3" xfId="42992" xr:uid="{00000000-0005-0000-0000-0000D1A70000}"/>
    <cellStyle name="Calculation 7 3 15 6 4" xfId="42993" xr:uid="{00000000-0005-0000-0000-0000D2A70000}"/>
    <cellStyle name="Calculation 7 3 15 6 5" xfId="42994" xr:uid="{00000000-0005-0000-0000-0000D3A70000}"/>
    <cellStyle name="Calculation 7 3 15 6 6" xfId="42995" xr:uid="{00000000-0005-0000-0000-0000D4A70000}"/>
    <cellStyle name="Calculation 7 3 15 7" xfId="42996" xr:uid="{00000000-0005-0000-0000-0000D5A70000}"/>
    <cellStyle name="Calculation 7 3 15 7 2" xfId="42997" xr:uid="{00000000-0005-0000-0000-0000D6A70000}"/>
    <cellStyle name="Calculation 7 3 15 7 3" xfId="42998" xr:uid="{00000000-0005-0000-0000-0000D7A70000}"/>
    <cellStyle name="Calculation 7 3 15 7 4" xfId="42999" xr:uid="{00000000-0005-0000-0000-0000D8A70000}"/>
    <cellStyle name="Calculation 7 3 15 7 5" xfId="43000" xr:uid="{00000000-0005-0000-0000-0000D9A70000}"/>
    <cellStyle name="Calculation 7 3 15 7 6" xfId="43001" xr:uid="{00000000-0005-0000-0000-0000DAA70000}"/>
    <cellStyle name="Calculation 7 3 15 8" xfId="43002" xr:uid="{00000000-0005-0000-0000-0000DBA70000}"/>
    <cellStyle name="Calculation 7 3 15 9" xfId="43003" xr:uid="{00000000-0005-0000-0000-0000DCA70000}"/>
    <cellStyle name="Calculation 7 3 16" xfId="43004" xr:uid="{00000000-0005-0000-0000-0000DDA70000}"/>
    <cellStyle name="Calculation 7 3 16 10" xfId="43005" xr:uid="{00000000-0005-0000-0000-0000DEA70000}"/>
    <cellStyle name="Calculation 7 3 16 2" xfId="43006" xr:uid="{00000000-0005-0000-0000-0000DFA70000}"/>
    <cellStyle name="Calculation 7 3 16 2 2" xfId="43007" xr:uid="{00000000-0005-0000-0000-0000E0A70000}"/>
    <cellStyle name="Calculation 7 3 16 2 3" xfId="43008" xr:uid="{00000000-0005-0000-0000-0000E1A70000}"/>
    <cellStyle name="Calculation 7 3 16 2 4" xfId="43009" xr:uid="{00000000-0005-0000-0000-0000E2A70000}"/>
    <cellStyle name="Calculation 7 3 16 2 5" xfId="43010" xr:uid="{00000000-0005-0000-0000-0000E3A70000}"/>
    <cellStyle name="Calculation 7 3 16 2 6" xfId="43011" xr:uid="{00000000-0005-0000-0000-0000E4A70000}"/>
    <cellStyle name="Calculation 7 3 16 3" xfId="43012" xr:uid="{00000000-0005-0000-0000-0000E5A70000}"/>
    <cellStyle name="Calculation 7 3 16 3 2" xfId="43013" xr:uid="{00000000-0005-0000-0000-0000E6A70000}"/>
    <cellStyle name="Calculation 7 3 16 3 3" xfId="43014" xr:uid="{00000000-0005-0000-0000-0000E7A70000}"/>
    <cellStyle name="Calculation 7 3 16 3 4" xfId="43015" xr:uid="{00000000-0005-0000-0000-0000E8A70000}"/>
    <cellStyle name="Calculation 7 3 16 3 5" xfId="43016" xr:uid="{00000000-0005-0000-0000-0000E9A70000}"/>
    <cellStyle name="Calculation 7 3 16 3 6" xfId="43017" xr:uid="{00000000-0005-0000-0000-0000EAA70000}"/>
    <cellStyle name="Calculation 7 3 16 4" xfId="43018" xr:uid="{00000000-0005-0000-0000-0000EBA70000}"/>
    <cellStyle name="Calculation 7 3 16 4 2" xfId="43019" xr:uid="{00000000-0005-0000-0000-0000ECA70000}"/>
    <cellStyle name="Calculation 7 3 16 4 3" xfId="43020" xr:uid="{00000000-0005-0000-0000-0000EDA70000}"/>
    <cellStyle name="Calculation 7 3 16 4 4" xfId="43021" xr:uid="{00000000-0005-0000-0000-0000EEA70000}"/>
    <cellStyle name="Calculation 7 3 16 4 5" xfId="43022" xr:uid="{00000000-0005-0000-0000-0000EFA70000}"/>
    <cellStyle name="Calculation 7 3 16 4 6" xfId="43023" xr:uid="{00000000-0005-0000-0000-0000F0A70000}"/>
    <cellStyle name="Calculation 7 3 16 5" xfId="43024" xr:uid="{00000000-0005-0000-0000-0000F1A70000}"/>
    <cellStyle name="Calculation 7 3 16 5 2" xfId="43025" xr:uid="{00000000-0005-0000-0000-0000F2A70000}"/>
    <cellStyle name="Calculation 7 3 16 5 3" xfId="43026" xr:uid="{00000000-0005-0000-0000-0000F3A70000}"/>
    <cellStyle name="Calculation 7 3 16 5 4" xfId="43027" xr:uid="{00000000-0005-0000-0000-0000F4A70000}"/>
    <cellStyle name="Calculation 7 3 16 5 5" xfId="43028" xr:uid="{00000000-0005-0000-0000-0000F5A70000}"/>
    <cellStyle name="Calculation 7 3 16 5 6" xfId="43029" xr:uid="{00000000-0005-0000-0000-0000F6A70000}"/>
    <cellStyle name="Calculation 7 3 16 6" xfId="43030" xr:uid="{00000000-0005-0000-0000-0000F7A70000}"/>
    <cellStyle name="Calculation 7 3 16 6 2" xfId="43031" xr:uid="{00000000-0005-0000-0000-0000F8A70000}"/>
    <cellStyle name="Calculation 7 3 16 6 3" xfId="43032" xr:uid="{00000000-0005-0000-0000-0000F9A70000}"/>
    <cellStyle name="Calculation 7 3 16 6 4" xfId="43033" xr:uid="{00000000-0005-0000-0000-0000FAA70000}"/>
    <cellStyle name="Calculation 7 3 16 6 5" xfId="43034" xr:uid="{00000000-0005-0000-0000-0000FBA70000}"/>
    <cellStyle name="Calculation 7 3 16 6 6" xfId="43035" xr:uid="{00000000-0005-0000-0000-0000FCA70000}"/>
    <cellStyle name="Calculation 7 3 16 7" xfId="43036" xr:uid="{00000000-0005-0000-0000-0000FDA70000}"/>
    <cellStyle name="Calculation 7 3 16 7 2" xfId="43037" xr:uid="{00000000-0005-0000-0000-0000FEA70000}"/>
    <cellStyle name="Calculation 7 3 16 7 3" xfId="43038" xr:uid="{00000000-0005-0000-0000-0000FFA70000}"/>
    <cellStyle name="Calculation 7 3 16 7 4" xfId="43039" xr:uid="{00000000-0005-0000-0000-000000A80000}"/>
    <cellStyle name="Calculation 7 3 16 7 5" xfId="43040" xr:uid="{00000000-0005-0000-0000-000001A80000}"/>
    <cellStyle name="Calculation 7 3 16 7 6" xfId="43041" xr:uid="{00000000-0005-0000-0000-000002A80000}"/>
    <cellStyle name="Calculation 7 3 16 8" xfId="43042" xr:uid="{00000000-0005-0000-0000-000003A80000}"/>
    <cellStyle name="Calculation 7 3 16 9" xfId="43043" xr:uid="{00000000-0005-0000-0000-000004A80000}"/>
    <cellStyle name="Calculation 7 3 17" xfId="43044" xr:uid="{00000000-0005-0000-0000-000005A80000}"/>
    <cellStyle name="Calculation 7 3 17 10" xfId="43045" xr:uid="{00000000-0005-0000-0000-000006A80000}"/>
    <cellStyle name="Calculation 7 3 17 2" xfId="43046" xr:uid="{00000000-0005-0000-0000-000007A80000}"/>
    <cellStyle name="Calculation 7 3 17 2 2" xfId="43047" xr:uid="{00000000-0005-0000-0000-000008A80000}"/>
    <cellStyle name="Calculation 7 3 17 2 3" xfId="43048" xr:uid="{00000000-0005-0000-0000-000009A80000}"/>
    <cellStyle name="Calculation 7 3 17 2 4" xfId="43049" xr:uid="{00000000-0005-0000-0000-00000AA80000}"/>
    <cellStyle name="Calculation 7 3 17 2 5" xfId="43050" xr:uid="{00000000-0005-0000-0000-00000BA80000}"/>
    <cellStyle name="Calculation 7 3 17 2 6" xfId="43051" xr:uid="{00000000-0005-0000-0000-00000CA80000}"/>
    <cellStyle name="Calculation 7 3 17 3" xfId="43052" xr:uid="{00000000-0005-0000-0000-00000DA80000}"/>
    <cellStyle name="Calculation 7 3 17 3 2" xfId="43053" xr:uid="{00000000-0005-0000-0000-00000EA80000}"/>
    <cellStyle name="Calculation 7 3 17 3 3" xfId="43054" xr:uid="{00000000-0005-0000-0000-00000FA80000}"/>
    <cellStyle name="Calculation 7 3 17 3 4" xfId="43055" xr:uid="{00000000-0005-0000-0000-000010A80000}"/>
    <cellStyle name="Calculation 7 3 17 3 5" xfId="43056" xr:uid="{00000000-0005-0000-0000-000011A80000}"/>
    <cellStyle name="Calculation 7 3 17 3 6" xfId="43057" xr:uid="{00000000-0005-0000-0000-000012A80000}"/>
    <cellStyle name="Calculation 7 3 17 4" xfId="43058" xr:uid="{00000000-0005-0000-0000-000013A80000}"/>
    <cellStyle name="Calculation 7 3 17 4 2" xfId="43059" xr:uid="{00000000-0005-0000-0000-000014A80000}"/>
    <cellStyle name="Calculation 7 3 17 4 3" xfId="43060" xr:uid="{00000000-0005-0000-0000-000015A80000}"/>
    <cellStyle name="Calculation 7 3 17 4 4" xfId="43061" xr:uid="{00000000-0005-0000-0000-000016A80000}"/>
    <cellStyle name="Calculation 7 3 17 4 5" xfId="43062" xr:uid="{00000000-0005-0000-0000-000017A80000}"/>
    <cellStyle name="Calculation 7 3 17 4 6" xfId="43063" xr:uid="{00000000-0005-0000-0000-000018A80000}"/>
    <cellStyle name="Calculation 7 3 17 5" xfId="43064" xr:uid="{00000000-0005-0000-0000-000019A80000}"/>
    <cellStyle name="Calculation 7 3 17 5 2" xfId="43065" xr:uid="{00000000-0005-0000-0000-00001AA80000}"/>
    <cellStyle name="Calculation 7 3 17 5 3" xfId="43066" xr:uid="{00000000-0005-0000-0000-00001BA80000}"/>
    <cellStyle name="Calculation 7 3 17 5 4" xfId="43067" xr:uid="{00000000-0005-0000-0000-00001CA80000}"/>
    <cellStyle name="Calculation 7 3 17 5 5" xfId="43068" xr:uid="{00000000-0005-0000-0000-00001DA80000}"/>
    <cellStyle name="Calculation 7 3 17 5 6" xfId="43069" xr:uid="{00000000-0005-0000-0000-00001EA80000}"/>
    <cellStyle name="Calculation 7 3 17 6" xfId="43070" xr:uid="{00000000-0005-0000-0000-00001FA80000}"/>
    <cellStyle name="Calculation 7 3 17 6 2" xfId="43071" xr:uid="{00000000-0005-0000-0000-000020A80000}"/>
    <cellStyle name="Calculation 7 3 17 6 3" xfId="43072" xr:uid="{00000000-0005-0000-0000-000021A80000}"/>
    <cellStyle name="Calculation 7 3 17 6 4" xfId="43073" xr:uid="{00000000-0005-0000-0000-000022A80000}"/>
    <cellStyle name="Calculation 7 3 17 6 5" xfId="43074" xr:uid="{00000000-0005-0000-0000-000023A80000}"/>
    <cellStyle name="Calculation 7 3 17 6 6" xfId="43075" xr:uid="{00000000-0005-0000-0000-000024A80000}"/>
    <cellStyle name="Calculation 7 3 17 7" xfId="43076" xr:uid="{00000000-0005-0000-0000-000025A80000}"/>
    <cellStyle name="Calculation 7 3 17 7 2" xfId="43077" xr:uid="{00000000-0005-0000-0000-000026A80000}"/>
    <cellStyle name="Calculation 7 3 17 7 3" xfId="43078" xr:uid="{00000000-0005-0000-0000-000027A80000}"/>
    <cellStyle name="Calculation 7 3 17 7 4" xfId="43079" xr:uid="{00000000-0005-0000-0000-000028A80000}"/>
    <cellStyle name="Calculation 7 3 17 7 5" xfId="43080" xr:uid="{00000000-0005-0000-0000-000029A80000}"/>
    <cellStyle name="Calculation 7 3 17 7 6" xfId="43081" xr:uid="{00000000-0005-0000-0000-00002AA80000}"/>
    <cellStyle name="Calculation 7 3 17 8" xfId="43082" xr:uid="{00000000-0005-0000-0000-00002BA80000}"/>
    <cellStyle name="Calculation 7 3 17 9" xfId="43083" xr:uid="{00000000-0005-0000-0000-00002CA80000}"/>
    <cellStyle name="Calculation 7 3 18" xfId="43084" xr:uid="{00000000-0005-0000-0000-00002DA80000}"/>
    <cellStyle name="Calculation 7 3 18 10" xfId="43085" xr:uid="{00000000-0005-0000-0000-00002EA80000}"/>
    <cellStyle name="Calculation 7 3 18 2" xfId="43086" xr:uid="{00000000-0005-0000-0000-00002FA80000}"/>
    <cellStyle name="Calculation 7 3 18 2 2" xfId="43087" xr:uid="{00000000-0005-0000-0000-000030A80000}"/>
    <cellStyle name="Calculation 7 3 18 2 3" xfId="43088" xr:uid="{00000000-0005-0000-0000-000031A80000}"/>
    <cellStyle name="Calculation 7 3 18 2 4" xfId="43089" xr:uid="{00000000-0005-0000-0000-000032A80000}"/>
    <cellStyle name="Calculation 7 3 18 2 5" xfId="43090" xr:uid="{00000000-0005-0000-0000-000033A80000}"/>
    <cellStyle name="Calculation 7 3 18 2 6" xfId="43091" xr:uid="{00000000-0005-0000-0000-000034A80000}"/>
    <cellStyle name="Calculation 7 3 18 3" xfId="43092" xr:uid="{00000000-0005-0000-0000-000035A80000}"/>
    <cellStyle name="Calculation 7 3 18 3 2" xfId="43093" xr:uid="{00000000-0005-0000-0000-000036A80000}"/>
    <cellStyle name="Calculation 7 3 18 3 3" xfId="43094" xr:uid="{00000000-0005-0000-0000-000037A80000}"/>
    <cellStyle name="Calculation 7 3 18 3 4" xfId="43095" xr:uid="{00000000-0005-0000-0000-000038A80000}"/>
    <cellStyle name="Calculation 7 3 18 3 5" xfId="43096" xr:uid="{00000000-0005-0000-0000-000039A80000}"/>
    <cellStyle name="Calculation 7 3 18 3 6" xfId="43097" xr:uid="{00000000-0005-0000-0000-00003AA80000}"/>
    <cellStyle name="Calculation 7 3 18 4" xfId="43098" xr:uid="{00000000-0005-0000-0000-00003BA80000}"/>
    <cellStyle name="Calculation 7 3 18 4 2" xfId="43099" xr:uid="{00000000-0005-0000-0000-00003CA80000}"/>
    <cellStyle name="Calculation 7 3 18 4 3" xfId="43100" xr:uid="{00000000-0005-0000-0000-00003DA80000}"/>
    <cellStyle name="Calculation 7 3 18 4 4" xfId="43101" xr:uid="{00000000-0005-0000-0000-00003EA80000}"/>
    <cellStyle name="Calculation 7 3 18 4 5" xfId="43102" xr:uid="{00000000-0005-0000-0000-00003FA80000}"/>
    <cellStyle name="Calculation 7 3 18 4 6" xfId="43103" xr:uid="{00000000-0005-0000-0000-000040A80000}"/>
    <cellStyle name="Calculation 7 3 18 5" xfId="43104" xr:uid="{00000000-0005-0000-0000-000041A80000}"/>
    <cellStyle name="Calculation 7 3 18 5 2" xfId="43105" xr:uid="{00000000-0005-0000-0000-000042A80000}"/>
    <cellStyle name="Calculation 7 3 18 5 3" xfId="43106" xr:uid="{00000000-0005-0000-0000-000043A80000}"/>
    <cellStyle name="Calculation 7 3 18 5 4" xfId="43107" xr:uid="{00000000-0005-0000-0000-000044A80000}"/>
    <cellStyle name="Calculation 7 3 18 5 5" xfId="43108" xr:uid="{00000000-0005-0000-0000-000045A80000}"/>
    <cellStyle name="Calculation 7 3 18 5 6" xfId="43109" xr:uid="{00000000-0005-0000-0000-000046A80000}"/>
    <cellStyle name="Calculation 7 3 18 6" xfId="43110" xr:uid="{00000000-0005-0000-0000-000047A80000}"/>
    <cellStyle name="Calculation 7 3 18 6 2" xfId="43111" xr:uid="{00000000-0005-0000-0000-000048A80000}"/>
    <cellStyle name="Calculation 7 3 18 6 3" xfId="43112" xr:uid="{00000000-0005-0000-0000-000049A80000}"/>
    <cellStyle name="Calculation 7 3 18 6 4" xfId="43113" xr:uid="{00000000-0005-0000-0000-00004AA80000}"/>
    <cellStyle name="Calculation 7 3 18 6 5" xfId="43114" xr:uid="{00000000-0005-0000-0000-00004BA80000}"/>
    <cellStyle name="Calculation 7 3 18 6 6" xfId="43115" xr:uid="{00000000-0005-0000-0000-00004CA80000}"/>
    <cellStyle name="Calculation 7 3 18 7" xfId="43116" xr:uid="{00000000-0005-0000-0000-00004DA80000}"/>
    <cellStyle name="Calculation 7 3 18 7 2" xfId="43117" xr:uid="{00000000-0005-0000-0000-00004EA80000}"/>
    <cellStyle name="Calculation 7 3 18 7 3" xfId="43118" xr:uid="{00000000-0005-0000-0000-00004FA80000}"/>
    <cellStyle name="Calculation 7 3 18 7 4" xfId="43119" xr:uid="{00000000-0005-0000-0000-000050A80000}"/>
    <cellStyle name="Calculation 7 3 18 7 5" xfId="43120" xr:uid="{00000000-0005-0000-0000-000051A80000}"/>
    <cellStyle name="Calculation 7 3 18 7 6" xfId="43121" xr:uid="{00000000-0005-0000-0000-000052A80000}"/>
    <cellStyle name="Calculation 7 3 18 8" xfId="43122" xr:uid="{00000000-0005-0000-0000-000053A80000}"/>
    <cellStyle name="Calculation 7 3 18 9" xfId="43123" xr:uid="{00000000-0005-0000-0000-000054A80000}"/>
    <cellStyle name="Calculation 7 3 19" xfId="43124" xr:uid="{00000000-0005-0000-0000-000055A80000}"/>
    <cellStyle name="Calculation 7 3 19 10" xfId="43125" xr:uid="{00000000-0005-0000-0000-000056A80000}"/>
    <cellStyle name="Calculation 7 3 19 2" xfId="43126" xr:uid="{00000000-0005-0000-0000-000057A80000}"/>
    <cellStyle name="Calculation 7 3 19 2 2" xfId="43127" xr:uid="{00000000-0005-0000-0000-000058A80000}"/>
    <cellStyle name="Calculation 7 3 19 2 3" xfId="43128" xr:uid="{00000000-0005-0000-0000-000059A80000}"/>
    <cellStyle name="Calculation 7 3 19 2 4" xfId="43129" xr:uid="{00000000-0005-0000-0000-00005AA80000}"/>
    <cellStyle name="Calculation 7 3 19 2 5" xfId="43130" xr:uid="{00000000-0005-0000-0000-00005BA80000}"/>
    <cellStyle name="Calculation 7 3 19 2 6" xfId="43131" xr:uid="{00000000-0005-0000-0000-00005CA80000}"/>
    <cellStyle name="Calculation 7 3 19 3" xfId="43132" xr:uid="{00000000-0005-0000-0000-00005DA80000}"/>
    <cellStyle name="Calculation 7 3 19 3 2" xfId="43133" xr:uid="{00000000-0005-0000-0000-00005EA80000}"/>
    <cellStyle name="Calculation 7 3 19 3 3" xfId="43134" xr:uid="{00000000-0005-0000-0000-00005FA80000}"/>
    <cellStyle name="Calculation 7 3 19 3 4" xfId="43135" xr:uid="{00000000-0005-0000-0000-000060A80000}"/>
    <cellStyle name="Calculation 7 3 19 3 5" xfId="43136" xr:uid="{00000000-0005-0000-0000-000061A80000}"/>
    <cellStyle name="Calculation 7 3 19 3 6" xfId="43137" xr:uid="{00000000-0005-0000-0000-000062A80000}"/>
    <cellStyle name="Calculation 7 3 19 4" xfId="43138" xr:uid="{00000000-0005-0000-0000-000063A80000}"/>
    <cellStyle name="Calculation 7 3 19 4 2" xfId="43139" xr:uid="{00000000-0005-0000-0000-000064A80000}"/>
    <cellStyle name="Calculation 7 3 19 4 3" xfId="43140" xr:uid="{00000000-0005-0000-0000-000065A80000}"/>
    <cellStyle name="Calculation 7 3 19 4 4" xfId="43141" xr:uid="{00000000-0005-0000-0000-000066A80000}"/>
    <cellStyle name="Calculation 7 3 19 4 5" xfId="43142" xr:uid="{00000000-0005-0000-0000-000067A80000}"/>
    <cellStyle name="Calculation 7 3 19 4 6" xfId="43143" xr:uid="{00000000-0005-0000-0000-000068A80000}"/>
    <cellStyle name="Calculation 7 3 19 5" xfId="43144" xr:uid="{00000000-0005-0000-0000-000069A80000}"/>
    <cellStyle name="Calculation 7 3 19 5 2" xfId="43145" xr:uid="{00000000-0005-0000-0000-00006AA80000}"/>
    <cellStyle name="Calculation 7 3 19 5 3" xfId="43146" xr:uid="{00000000-0005-0000-0000-00006BA80000}"/>
    <cellStyle name="Calculation 7 3 19 5 4" xfId="43147" xr:uid="{00000000-0005-0000-0000-00006CA80000}"/>
    <cellStyle name="Calculation 7 3 19 5 5" xfId="43148" xr:uid="{00000000-0005-0000-0000-00006DA80000}"/>
    <cellStyle name="Calculation 7 3 19 5 6" xfId="43149" xr:uid="{00000000-0005-0000-0000-00006EA80000}"/>
    <cellStyle name="Calculation 7 3 19 6" xfId="43150" xr:uid="{00000000-0005-0000-0000-00006FA80000}"/>
    <cellStyle name="Calculation 7 3 19 6 2" xfId="43151" xr:uid="{00000000-0005-0000-0000-000070A80000}"/>
    <cellStyle name="Calculation 7 3 19 6 3" xfId="43152" xr:uid="{00000000-0005-0000-0000-000071A80000}"/>
    <cellStyle name="Calculation 7 3 19 6 4" xfId="43153" xr:uid="{00000000-0005-0000-0000-000072A80000}"/>
    <cellStyle name="Calculation 7 3 19 6 5" xfId="43154" xr:uid="{00000000-0005-0000-0000-000073A80000}"/>
    <cellStyle name="Calculation 7 3 19 6 6" xfId="43155" xr:uid="{00000000-0005-0000-0000-000074A80000}"/>
    <cellStyle name="Calculation 7 3 19 7" xfId="43156" xr:uid="{00000000-0005-0000-0000-000075A80000}"/>
    <cellStyle name="Calculation 7 3 19 7 2" xfId="43157" xr:uid="{00000000-0005-0000-0000-000076A80000}"/>
    <cellStyle name="Calculation 7 3 19 7 3" xfId="43158" xr:uid="{00000000-0005-0000-0000-000077A80000}"/>
    <cellStyle name="Calculation 7 3 19 7 4" xfId="43159" xr:uid="{00000000-0005-0000-0000-000078A80000}"/>
    <cellStyle name="Calculation 7 3 19 7 5" xfId="43160" xr:uid="{00000000-0005-0000-0000-000079A80000}"/>
    <cellStyle name="Calculation 7 3 19 7 6" xfId="43161" xr:uid="{00000000-0005-0000-0000-00007AA80000}"/>
    <cellStyle name="Calculation 7 3 19 8" xfId="43162" xr:uid="{00000000-0005-0000-0000-00007BA80000}"/>
    <cellStyle name="Calculation 7 3 19 9" xfId="43163" xr:uid="{00000000-0005-0000-0000-00007CA80000}"/>
    <cellStyle name="Calculation 7 3 2" xfId="43164" xr:uid="{00000000-0005-0000-0000-00007DA80000}"/>
    <cellStyle name="Calculation 7 3 2 10" xfId="43165" xr:uid="{00000000-0005-0000-0000-00007EA80000}"/>
    <cellStyle name="Calculation 7 3 2 2" xfId="43166" xr:uid="{00000000-0005-0000-0000-00007FA80000}"/>
    <cellStyle name="Calculation 7 3 2 2 2" xfId="43167" xr:uid="{00000000-0005-0000-0000-000080A80000}"/>
    <cellStyle name="Calculation 7 3 2 2 3" xfId="43168" xr:uid="{00000000-0005-0000-0000-000081A80000}"/>
    <cellStyle name="Calculation 7 3 2 2 4" xfId="43169" xr:uid="{00000000-0005-0000-0000-000082A80000}"/>
    <cellStyle name="Calculation 7 3 2 2 5" xfId="43170" xr:uid="{00000000-0005-0000-0000-000083A80000}"/>
    <cellStyle name="Calculation 7 3 2 2 6" xfId="43171" xr:uid="{00000000-0005-0000-0000-000084A80000}"/>
    <cellStyle name="Calculation 7 3 2 3" xfId="43172" xr:uid="{00000000-0005-0000-0000-000085A80000}"/>
    <cellStyle name="Calculation 7 3 2 3 2" xfId="43173" xr:uid="{00000000-0005-0000-0000-000086A80000}"/>
    <cellStyle name="Calculation 7 3 2 3 3" xfId="43174" xr:uid="{00000000-0005-0000-0000-000087A80000}"/>
    <cellStyle name="Calculation 7 3 2 3 4" xfId="43175" xr:uid="{00000000-0005-0000-0000-000088A80000}"/>
    <cellStyle name="Calculation 7 3 2 3 5" xfId="43176" xr:uid="{00000000-0005-0000-0000-000089A80000}"/>
    <cellStyle name="Calculation 7 3 2 3 6" xfId="43177" xr:uid="{00000000-0005-0000-0000-00008AA80000}"/>
    <cellStyle name="Calculation 7 3 2 4" xfId="43178" xr:uid="{00000000-0005-0000-0000-00008BA80000}"/>
    <cellStyle name="Calculation 7 3 2 4 2" xfId="43179" xr:uid="{00000000-0005-0000-0000-00008CA80000}"/>
    <cellStyle name="Calculation 7 3 2 4 3" xfId="43180" xr:uid="{00000000-0005-0000-0000-00008DA80000}"/>
    <cellStyle name="Calculation 7 3 2 4 4" xfId="43181" xr:uid="{00000000-0005-0000-0000-00008EA80000}"/>
    <cellStyle name="Calculation 7 3 2 4 5" xfId="43182" xr:uid="{00000000-0005-0000-0000-00008FA80000}"/>
    <cellStyle name="Calculation 7 3 2 4 6" xfId="43183" xr:uid="{00000000-0005-0000-0000-000090A80000}"/>
    <cellStyle name="Calculation 7 3 2 5" xfId="43184" xr:uid="{00000000-0005-0000-0000-000091A80000}"/>
    <cellStyle name="Calculation 7 3 2 5 2" xfId="43185" xr:uid="{00000000-0005-0000-0000-000092A80000}"/>
    <cellStyle name="Calculation 7 3 2 5 3" xfId="43186" xr:uid="{00000000-0005-0000-0000-000093A80000}"/>
    <cellStyle name="Calculation 7 3 2 5 4" xfId="43187" xr:uid="{00000000-0005-0000-0000-000094A80000}"/>
    <cellStyle name="Calculation 7 3 2 5 5" xfId="43188" xr:uid="{00000000-0005-0000-0000-000095A80000}"/>
    <cellStyle name="Calculation 7 3 2 5 6" xfId="43189" xr:uid="{00000000-0005-0000-0000-000096A80000}"/>
    <cellStyle name="Calculation 7 3 2 6" xfId="43190" xr:uid="{00000000-0005-0000-0000-000097A80000}"/>
    <cellStyle name="Calculation 7 3 2 6 2" xfId="43191" xr:uid="{00000000-0005-0000-0000-000098A80000}"/>
    <cellStyle name="Calculation 7 3 2 6 3" xfId="43192" xr:uid="{00000000-0005-0000-0000-000099A80000}"/>
    <cellStyle name="Calculation 7 3 2 6 4" xfId="43193" xr:uid="{00000000-0005-0000-0000-00009AA80000}"/>
    <cellStyle name="Calculation 7 3 2 6 5" xfId="43194" xr:uid="{00000000-0005-0000-0000-00009BA80000}"/>
    <cellStyle name="Calculation 7 3 2 6 6" xfId="43195" xr:uid="{00000000-0005-0000-0000-00009CA80000}"/>
    <cellStyle name="Calculation 7 3 2 7" xfId="43196" xr:uid="{00000000-0005-0000-0000-00009DA80000}"/>
    <cellStyle name="Calculation 7 3 2 7 2" xfId="43197" xr:uid="{00000000-0005-0000-0000-00009EA80000}"/>
    <cellStyle name="Calculation 7 3 2 7 3" xfId="43198" xr:uid="{00000000-0005-0000-0000-00009FA80000}"/>
    <cellStyle name="Calculation 7 3 2 7 4" xfId="43199" xr:uid="{00000000-0005-0000-0000-0000A0A80000}"/>
    <cellStyle name="Calculation 7 3 2 7 5" xfId="43200" xr:uid="{00000000-0005-0000-0000-0000A1A80000}"/>
    <cellStyle name="Calculation 7 3 2 7 6" xfId="43201" xr:uid="{00000000-0005-0000-0000-0000A2A80000}"/>
    <cellStyle name="Calculation 7 3 2 8" xfId="43202" xr:uid="{00000000-0005-0000-0000-0000A3A80000}"/>
    <cellStyle name="Calculation 7 3 2 9" xfId="43203" xr:uid="{00000000-0005-0000-0000-0000A4A80000}"/>
    <cellStyle name="Calculation 7 3 20" xfId="43204" xr:uid="{00000000-0005-0000-0000-0000A5A80000}"/>
    <cellStyle name="Calculation 7 3 20 10" xfId="43205" xr:uid="{00000000-0005-0000-0000-0000A6A80000}"/>
    <cellStyle name="Calculation 7 3 20 2" xfId="43206" xr:uid="{00000000-0005-0000-0000-0000A7A80000}"/>
    <cellStyle name="Calculation 7 3 20 2 2" xfId="43207" xr:uid="{00000000-0005-0000-0000-0000A8A80000}"/>
    <cellStyle name="Calculation 7 3 20 2 3" xfId="43208" xr:uid="{00000000-0005-0000-0000-0000A9A80000}"/>
    <cellStyle name="Calculation 7 3 20 2 4" xfId="43209" xr:uid="{00000000-0005-0000-0000-0000AAA80000}"/>
    <cellStyle name="Calculation 7 3 20 2 5" xfId="43210" xr:uid="{00000000-0005-0000-0000-0000ABA80000}"/>
    <cellStyle name="Calculation 7 3 20 2 6" xfId="43211" xr:uid="{00000000-0005-0000-0000-0000ACA80000}"/>
    <cellStyle name="Calculation 7 3 20 3" xfId="43212" xr:uid="{00000000-0005-0000-0000-0000ADA80000}"/>
    <cellStyle name="Calculation 7 3 20 3 2" xfId="43213" xr:uid="{00000000-0005-0000-0000-0000AEA80000}"/>
    <cellStyle name="Calculation 7 3 20 3 3" xfId="43214" xr:uid="{00000000-0005-0000-0000-0000AFA80000}"/>
    <cellStyle name="Calculation 7 3 20 3 4" xfId="43215" xr:uid="{00000000-0005-0000-0000-0000B0A80000}"/>
    <cellStyle name="Calculation 7 3 20 3 5" xfId="43216" xr:uid="{00000000-0005-0000-0000-0000B1A80000}"/>
    <cellStyle name="Calculation 7 3 20 3 6" xfId="43217" xr:uid="{00000000-0005-0000-0000-0000B2A80000}"/>
    <cellStyle name="Calculation 7 3 20 4" xfId="43218" xr:uid="{00000000-0005-0000-0000-0000B3A80000}"/>
    <cellStyle name="Calculation 7 3 20 4 2" xfId="43219" xr:uid="{00000000-0005-0000-0000-0000B4A80000}"/>
    <cellStyle name="Calculation 7 3 20 4 3" xfId="43220" xr:uid="{00000000-0005-0000-0000-0000B5A80000}"/>
    <cellStyle name="Calculation 7 3 20 4 4" xfId="43221" xr:uid="{00000000-0005-0000-0000-0000B6A80000}"/>
    <cellStyle name="Calculation 7 3 20 4 5" xfId="43222" xr:uid="{00000000-0005-0000-0000-0000B7A80000}"/>
    <cellStyle name="Calculation 7 3 20 4 6" xfId="43223" xr:uid="{00000000-0005-0000-0000-0000B8A80000}"/>
    <cellStyle name="Calculation 7 3 20 5" xfId="43224" xr:uid="{00000000-0005-0000-0000-0000B9A80000}"/>
    <cellStyle name="Calculation 7 3 20 5 2" xfId="43225" xr:uid="{00000000-0005-0000-0000-0000BAA80000}"/>
    <cellStyle name="Calculation 7 3 20 5 3" xfId="43226" xr:uid="{00000000-0005-0000-0000-0000BBA80000}"/>
    <cellStyle name="Calculation 7 3 20 5 4" xfId="43227" xr:uid="{00000000-0005-0000-0000-0000BCA80000}"/>
    <cellStyle name="Calculation 7 3 20 5 5" xfId="43228" xr:uid="{00000000-0005-0000-0000-0000BDA80000}"/>
    <cellStyle name="Calculation 7 3 20 5 6" xfId="43229" xr:uid="{00000000-0005-0000-0000-0000BEA80000}"/>
    <cellStyle name="Calculation 7 3 20 6" xfId="43230" xr:uid="{00000000-0005-0000-0000-0000BFA80000}"/>
    <cellStyle name="Calculation 7 3 20 6 2" xfId="43231" xr:uid="{00000000-0005-0000-0000-0000C0A80000}"/>
    <cellStyle name="Calculation 7 3 20 6 3" xfId="43232" xr:uid="{00000000-0005-0000-0000-0000C1A80000}"/>
    <cellStyle name="Calculation 7 3 20 6 4" xfId="43233" xr:uid="{00000000-0005-0000-0000-0000C2A80000}"/>
    <cellStyle name="Calculation 7 3 20 6 5" xfId="43234" xr:uid="{00000000-0005-0000-0000-0000C3A80000}"/>
    <cellStyle name="Calculation 7 3 20 6 6" xfId="43235" xr:uid="{00000000-0005-0000-0000-0000C4A80000}"/>
    <cellStyle name="Calculation 7 3 20 7" xfId="43236" xr:uid="{00000000-0005-0000-0000-0000C5A80000}"/>
    <cellStyle name="Calculation 7 3 20 7 2" xfId="43237" xr:uid="{00000000-0005-0000-0000-0000C6A80000}"/>
    <cellStyle name="Calculation 7 3 20 7 3" xfId="43238" xr:uid="{00000000-0005-0000-0000-0000C7A80000}"/>
    <cellStyle name="Calculation 7 3 20 7 4" xfId="43239" xr:uid="{00000000-0005-0000-0000-0000C8A80000}"/>
    <cellStyle name="Calculation 7 3 20 7 5" xfId="43240" xr:uid="{00000000-0005-0000-0000-0000C9A80000}"/>
    <cellStyle name="Calculation 7 3 20 7 6" xfId="43241" xr:uid="{00000000-0005-0000-0000-0000CAA80000}"/>
    <cellStyle name="Calculation 7 3 20 8" xfId="43242" xr:uid="{00000000-0005-0000-0000-0000CBA80000}"/>
    <cellStyle name="Calculation 7 3 20 9" xfId="43243" xr:uid="{00000000-0005-0000-0000-0000CCA80000}"/>
    <cellStyle name="Calculation 7 3 21" xfId="43244" xr:uid="{00000000-0005-0000-0000-0000CDA80000}"/>
    <cellStyle name="Calculation 7 3 21 10" xfId="43245" xr:uid="{00000000-0005-0000-0000-0000CEA80000}"/>
    <cellStyle name="Calculation 7 3 21 2" xfId="43246" xr:uid="{00000000-0005-0000-0000-0000CFA80000}"/>
    <cellStyle name="Calculation 7 3 21 2 2" xfId="43247" xr:uid="{00000000-0005-0000-0000-0000D0A80000}"/>
    <cellStyle name="Calculation 7 3 21 2 3" xfId="43248" xr:uid="{00000000-0005-0000-0000-0000D1A80000}"/>
    <cellStyle name="Calculation 7 3 21 2 4" xfId="43249" xr:uid="{00000000-0005-0000-0000-0000D2A80000}"/>
    <cellStyle name="Calculation 7 3 21 2 5" xfId="43250" xr:uid="{00000000-0005-0000-0000-0000D3A80000}"/>
    <cellStyle name="Calculation 7 3 21 2 6" xfId="43251" xr:uid="{00000000-0005-0000-0000-0000D4A80000}"/>
    <cellStyle name="Calculation 7 3 21 3" xfId="43252" xr:uid="{00000000-0005-0000-0000-0000D5A80000}"/>
    <cellStyle name="Calculation 7 3 21 3 2" xfId="43253" xr:uid="{00000000-0005-0000-0000-0000D6A80000}"/>
    <cellStyle name="Calculation 7 3 21 3 3" xfId="43254" xr:uid="{00000000-0005-0000-0000-0000D7A80000}"/>
    <cellStyle name="Calculation 7 3 21 3 4" xfId="43255" xr:uid="{00000000-0005-0000-0000-0000D8A80000}"/>
    <cellStyle name="Calculation 7 3 21 3 5" xfId="43256" xr:uid="{00000000-0005-0000-0000-0000D9A80000}"/>
    <cellStyle name="Calculation 7 3 21 3 6" xfId="43257" xr:uid="{00000000-0005-0000-0000-0000DAA80000}"/>
    <cellStyle name="Calculation 7 3 21 4" xfId="43258" xr:uid="{00000000-0005-0000-0000-0000DBA80000}"/>
    <cellStyle name="Calculation 7 3 21 4 2" xfId="43259" xr:uid="{00000000-0005-0000-0000-0000DCA80000}"/>
    <cellStyle name="Calculation 7 3 21 4 3" xfId="43260" xr:uid="{00000000-0005-0000-0000-0000DDA80000}"/>
    <cellStyle name="Calculation 7 3 21 4 4" xfId="43261" xr:uid="{00000000-0005-0000-0000-0000DEA80000}"/>
    <cellStyle name="Calculation 7 3 21 4 5" xfId="43262" xr:uid="{00000000-0005-0000-0000-0000DFA80000}"/>
    <cellStyle name="Calculation 7 3 21 4 6" xfId="43263" xr:uid="{00000000-0005-0000-0000-0000E0A80000}"/>
    <cellStyle name="Calculation 7 3 21 5" xfId="43264" xr:uid="{00000000-0005-0000-0000-0000E1A80000}"/>
    <cellStyle name="Calculation 7 3 21 5 2" xfId="43265" xr:uid="{00000000-0005-0000-0000-0000E2A80000}"/>
    <cellStyle name="Calculation 7 3 21 5 3" xfId="43266" xr:uid="{00000000-0005-0000-0000-0000E3A80000}"/>
    <cellStyle name="Calculation 7 3 21 5 4" xfId="43267" xr:uid="{00000000-0005-0000-0000-0000E4A80000}"/>
    <cellStyle name="Calculation 7 3 21 5 5" xfId="43268" xr:uid="{00000000-0005-0000-0000-0000E5A80000}"/>
    <cellStyle name="Calculation 7 3 21 5 6" xfId="43269" xr:uid="{00000000-0005-0000-0000-0000E6A80000}"/>
    <cellStyle name="Calculation 7 3 21 6" xfId="43270" xr:uid="{00000000-0005-0000-0000-0000E7A80000}"/>
    <cellStyle name="Calculation 7 3 21 6 2" xfId="43271" xr:uid="{00000000-0005-0000-0000-0000E8A80000}"/>
    <cellStyle name="Calculation 7 3 21 6 3" xfId="43272" xr:uid="{00000000-0005-0000-0000-0000E9A80000}"/>
    <cellStyle name="Calculation 7 3 21 6 4" xfId="43273" xr:uid="{00000000-0005-0000-0000-0000EAA80000}"/>
    <cellStyle name="Calculation 7 3 21 6 5" xfId="43274" xr:uid="{00000000-0005-0000-0000-0000EBA80000}"/>
    <cellStyle name="Calculation 7 3 21 6 6" xfId="43275" xr:uid="{00000000-0005-0000-0000-0000ECA80000}"/>
    <cellStyle name="Calculation 7 3 21 7" xfId="43276" xr:uid="{00000000-0005-0000-0000-0000EDA80000}"/>
    <cellStyle name="Calculation 7 3 21 7 2" xfId="43277" xr:uid="{00000000-0005-0000-0000-0000EEA80000}"/>
    <cellStyle name="Calculation 7 3 21 7 3" xfId="43278" xr:uid="{00000000-0005-0000-0000-0000EFA80000}"/>
    <cellStyle name="Calculation 7 3 21 7 4" xfId="43279" xr:uid="{00000000-0005-0000-0000-0000F0A80000}"/>
    <cellStyle name="Calculation 7 3 21 7 5" xfId="43280" xr:uid="{00000000-0005-0000-0000-0000F1A80000}"/>
    <cellStyle name="Calculation 7 3 21 7 6" xfId="43281" xr:uid="{00000000-0005-0000-0000-0000F2A80000}"/>
    <cellStyle name="Calculation 7 3 21 8" xfId="43282" xr:uid="{00000000-0005-0000-0000-0000F3A80000}"/>
    <cellStyle name="Calculation 7 3 21 9" xfId="43283" xr:uid="{00000000-0005-0000-0000-0000F4A80000}"/>
    <cellStyle name="Calculation 7 3 22" xfId="43284" xr:uid="{00000000-0005-0000-0000-0000F5A80000}"/>
    <cellStyle name="Calculation 7 3 22 10" xfId="43285" xr:uid="{00000000-0005-0000-0000-0000F6A80000}"/>
    <cellStyle name="Calculation 7 3 22 2" xfId="43286" xr:uid="{00000000-0005-0000-0000-0000F7A80000}"/>
    <cellStyle name="Calculation 7 3 22 2 2" xfId="43287" xr:uid="{00000000-0005-0000-0000-0000F8A80000}"/>
    <cellStyle name="Calculation 7 3 22 2 3" xfId="43288" xr:uid="{00000000-0005-0000-0000-0000F9A80000}"/>
    <cellStyle name="Calculation 7 3 22 2 4" xfId="43289" xr:uid="{00000000-0005-0000-0000-0000FAA80000}"/>
    <cellStyle name="Calculation 7 3 22 2 5" xfId="43290" xr:uid="{00000000-0005-0000-0000-0000FBA80000}"/>
    <cellStyle name="Calculation 7 3 22 2 6" xfId="43291" xr:uid="{00000000-0005-0000-0000-0000FCA80000}"/>
    <cellStyle name="Calculation 7 3 22 3" xfId="43292" xr:uid="{00000000-0005-0000-0000-0000FDA80000}"/>
    <cellStyle name="Calculation 7 3 22 3 2" xfId="43293" xr:uid="{00000000-0005-0000-0000-0000FEA80000}"/>
    <cellStyle name="Calculation 7 3 22 3 3" xfId="43294" xr:uid="{00000000-0005-0000-0000-0000FFA80000}"/>
    <cellStyle name="Calculation 7 3 22 3 4" xfId="43295" xr:uid="{00000000-0005-0000-0000-000000A90000}"/>
    <cellStyle name="Calculation 7 3 22 3 5" xfId="43296" xr:uid="{00000000-0005-0000-0000-000001A90000}"/>
    <cellStyle name="Calculation 7 3 22 3 6" xfId="43297" xr:uid="{00000000-0005-0000-0000-000002A90000}"/>
    <cellStyle name="Calculation 7 3 22 4" xfId="43298" xr:uid="{00000000-0005-0000-0000-000003A90000}"/>
    <cellStyle name="Calculation 7 3 22 4 2" xfId="43299" xr:uid="{00000000-0005-0000-0000-000004A90000}"/>
    <cellStyle name="Calculation 7 3 22 4 3" xfId="43300" xr:uid="{00000000-0005-0000-0000-000005A90000}"/>
    <cellStyle name="Calculation 7 3 22 4 4" xfId="43301" xr:uid="{00000000-0005-0000-0000-000006A90000}"/>
    <cellStyle name="Calculation 7 3 22 4 5" xfId="43302" xr:uid="{00000000-0005-0000-0000-000007A90000}"/>
    <cellStyle name="Calculation 7 3 22 4 6" xfId="43303" xr:uid="{00000000-0005-0000-0000-000008A90000}"/>
    <cellStyle name="Calculation 7 3 22 5" xfId="43304" xr:uid="{00000000-0005-0000-0000-000009A90000}"/>
    <cellStyle name="Calculation 7 3 22 5 2" xfId="43305" xr:uid="{00000000-0005-0000-0000-00000AA90000}"/>
    <cellStyle name="Calculation 7 3 22 5 3" xfId="43306" xr:uid="{00000000-0005-0000-0000-00000BA90000}"/>
    <cellStyle name="Calculation 7 3 22 5 4" xfId="43307" xr:uid="{00000000-0005-0000-0000-00000CA90000}"/>
    <cellStyle name="Calculation 7 3 22 5 5" xfId="43308" xr:uid="{00000000-0005-0000-0000-00000DA90000}"/>
    <cellStyle name="Calculation 7 3 22 5 6" xfId="43309" xr:uid="{00000000-0005-0000-0000-00000EA90000}"/>
    <cellStyle name="Calculation 7 3 22 6" xfId="43310" xr:uid="{00000000-0005-0000-0000-00000FA90000}"/>
    <cellStyle name="Calculation 7 3 22 6 2" xfId="43311" xr:uid="{00000000-0005-0000-0000-000010A90000}"/>
    <cellStyle name="Calculation 7 3 22 6 3" xfId="43312" xr:uid="{00000000-0005-0000-0000-000011A90000}"/>
    <cellStyle name="Calculation 7 3 22 6 4" xfId="43313" xr:uid="{00000000-0005-0000-0000-000012A90000}"/>
    <cellStyle name="Calculation 7 3 22 6 5" xfId="43314" xr:uid="{00000000-0005-0000-0000-000013A90000}"/>
    <cellStyle name="Calculation 7 3 22 6 6" xfId="43315" xr:uid="{00000000-0005-0000-0000-000014A90000}"/>
    <cellStyle name="Calculation 7 3 22 7" xfId="43316" xr:uid="{00000000-0005-0000-0000-000015A90000}"/>
    <cellStyle name="Calculation 7 3 22 7 2" xfId="43317" xr:uid="{00000000-0005-0000-0000-000016A90000}"/>
    <cellStyle name="Calculation 7 3 22 7 3" xfId="43318" xr:uid="{00000000-0005-0000-0000-000017A90000}"/>
    <cellStyle name="Calculation 7 3 22 7 4" xfId="43319" xr:uid="{00000000-0005-0000-0000-000018A90000}"/>
    <cellStyle name="Calculation 7 3 22 7 5" xfId="43320" xr:uid="{00000000-0005-0000-0000-000019A90000}"/>
    <cellStyle name="Calculation 7 3 22 7 6" xfId="43321" xr:uid="{00000000-0005-0000-0000-00001AA90000}"/>
    <cellStyle name="Calculation 7 3 22 8" xfId="43322" xr:uid="{00000000-0005-0000-0000-00001BA90000}"/>
    <cellStyle name="Calculation 7 3 22 9" xfId="43323" xr:uid="{00000000-0005-0000-0000-00001CA90000}"/>
    <cellStyle name="Calculation 7 3 23" xfId="43324" xr:uid="{00000000-0005-0000-0000-00001DA90000}"/>
    <cellStyle name="Calculation 7 3 23 10" xfId="43325" xr:uid="{00000000-0005-0000-0000-00001EA90000}"/>
    <cellStyle name="Calculation 7 3 23 2" xfId="43326" xr:uid="{00000000-0005-0000-0000-00001FA90000}"/>
    <cellStyle name="Calculation 7 3 23 2 2" xfId="43327" xr:uid="{00000000-0005-0000-0000-000020A90000}"/>
    <cellStyle name="Calculation 7 3 23 2 3" xfId="43328" xr:uid="{00000000-0005-0000-0000-000021A90000}"/>
    <cellStyle name="Calculation 7 3 23 2 4" xfId="43329" xr:uid="{00000000-0005-0000-0000-000022A90000}"/>
    <cellStyle name="Calculation 7 3 23 2 5" xfId="43330" xr:uid="{00000000-0005-0000-0000-000023A90000}"/>
    <cellStyle name="Calculation 7 3 23 2 6" xfId="43331" xr:uid="{00000000-0005-0000-0000-000024A90000}"/>
    <cellStyle name="Calculation 7 3 23 3" xfId="43332" xr:uid="{00000000-0005-0000-0000-000025A90000}"/>
    <cellStyle name="Calculation 7 3 23 3 2" xfId="43333" xr:uid="{00000000-0005-0000-0000-000026A90000}"/>
    <cellStyle name="Calculation 7 3 23 3 3" xfId="43334" xr:uid="{00000000-0005-0000-0000-000027A90000}"/>
    <cellStyle name="Calculation 7 3 23 3 4" xfId="43335" xr:uid="{00000000-0005-0000-0000-000028A90000}"/>
    <cellStyle name="Calculation 7 3 23 3 5" xfId="43336" xr:uid="{00000000-0005-0000-0000-000029A90000}"/>
    <cellStyle name="Calculation 7 3 23 3 6" xfId="43337" xr:uid="{00000000-0005-0000-0000-00002AA90000}"/>
    <cellStyle name="Calculation 7 3 23 4" xfId="43338" xr:uid="{00000000-0005-0000-0000-00002BA90000}"/>
    <cellStyle name="Calculation 7 3 23 4 2" xfId="43339" xr:uid="{00000000-0005-0000-0000-00002CA90000}"/>
    <cellStyle name="Calculation 7 3 23 4 3" xfId="43340" xr:uid="{00000000-0005-0000-0000-00002DA90000}"/>
    <cellStyle name="Calculation 7 3 23 4 4" xfId="43341" xr:uid="{00000000-0005-0000-0000-00002EA90000}"/>
    <cellStyle name="Calculation 7 3 23 4 5" xfId="43342" xr:uid="{00000000-0005-0000-0000-00002FA90000}"/>
    <cellStyle name="Calculation 7 3 23 4 6" xfId="43343" xr:uid="{00000000-0005-0000-0000-000030A90000}"/>
    <cellStyle name="Calculation 7 3 23 5" xfId="43344" xr:uid="{00000000-0005-0000-0000-000031A90000}"/>
    <cellStyle name="Calculation 7 3 23 5 2" xfId="43345" xr:uid="{00000000-0005-0000-0000-000032A90000}"/>
    <cellStyle name="Calculation 7 3 23 5 3" xfId="43346" xr:uid="{00000000-0005-0000-0000-000033A90000}"/>
    <cellStyle name="Calculation 7 3 23 5 4" xfId="43347" xr:uid="{00000000-0005-0000-0000-000034A90000}"/>
    <cellStyle name="Calculation 7 3 23 5 5" xfId="43348" xr:uid="{00000000-0005-0000-0000-000035A90000}"/>
    <cellStyle name="Calculation 7 3 23 5 6" xfId="43349" xr:uid="{00000000-0005-0000-0000-000036A90000}"/>
    <cellStyle name="Calculation 7 3 23 6" xfId="43350" xr:uid="{00000000-0005-0000-0000-000037A90000}"/>
    <cellStyle name="Calculation 7 3 23 6 2" xfId="43351" xr:uid="{00000000-0005-0000-0000-000038A90000}"/>
    <cellStyle name="Calculation 7 3 23 6 3" xfId="43352" xr:uid="{00000000-0005-0000-0000-000039A90000}"/>
    <cellStyle name="Calculation 7 3 23 6 4" xfId="43353" xr:uid="{00000000-0005-0000-0000-00003AA90000}"/>
    <cellStyle name="Calculation 7 3 23 6 5" xfId="43354" xr:uid="{00000000-0005-0000-0000-00003BA90000}"/>
    <cellStyle name="Calculation 7 3 23 6 6" xfId="43355" xr:uid="{00000000-0005-0000-0000-00003CA90000}"/>
    <cellStyle name="Calculation 7 3 23 7" xfId="43356" xr:uid="{00000000-0005-0000-0000-00003DA90000}"/>
    <cellStyle name="Calculation 7 3 23 7 2" xfId="43357" xr:uid="{00000000-0005-0000-0000-00003EA90000}"/>
    <cellStyle name="Calculation 7 3 23 7 3" xfId="43358" xr:uid="{00000000-0005-0000-0000-00003FA90000}"/>
    <cellStyle name="Calculation 7 3 23 7 4" xfId="43359" xr:uid="{00000000-0005-0000-0000-000040A90000}"/>
    <cellStyle name="Calculation 7 3 23 7 5" xfId="43360" xr:uid="{00000000-0005-0000-0000-000041A90000}"/>
    <cellStyle name="Calculation 7 3 23 7 6" xfId="43361" xr:uid="{00000000-0005-0000-0000-000042A90000}"/>
    <cellStyle name="Calculation 7 3 23 8" xfId="43362" xr:uid="{00000000-0005-0000-0000-000043A90000}"/>
    <cellStyle name="Calculation 7 3 23 9" xfId="43363" xr:uid="{00000000-0005-0000-0000-000044A90000}"/>
    <cellStyle name="Calculation 7 3 24" xfId="43364" xr:uid="{00000000-0005-0000-0000-000045A90000}"/>
    <cellStyle name="Calculation 7 3 24 10" xfId="43365" xr:uid="{00000000-0005-0000-0000-000046A90000}"/>
    <cellStyle name="Calculation 7 3 24 2" xfId="43366" xr:uid="{00000000-0005-0000-0000-000047A90000}"/>
    <cellStyle name="Calculation 7 3 24 2 2" xfId="43367" xr:uid="{00000000-0005-0000-0000-000048A90000}"/>
    <cellStyle name="Calculation 7 3 24 2 3" xfId="43368" xr:uid="{00000000-0005-0000-0000-000049A90000}"/>
    <cellStyle name="Calculation 7 3 24 2 4" xfId="43369" xr:uid="{00000000-0005-0000-0000-00004AA90000}"/>
    <cellStyle name="Calculation 7 3 24 2 5" xfId="43370" xr:uid="{00000000-0005-0000-0000-00004BA90000}"/>
    <cellStyle name="Calculation 7 3 24 2 6" xfId="43371" xr:uid="{00000000-0005-0000-0000-00004CA90000}"/>
    <cellStyle name="Calculation 7 3 24 3" xfId="43372" xr:uid="{00000000-0005-0000-0000-00004DA90000}"/>
    <cellStyle name="Calculation 7 3 24 3 2" xfId="43373" xr:uid="{00000000-0005-0000-0000-00004EA90000}"/>
    <cellStyle name="Calculation 7 3 24 3 3" xfId="43374" xr:uid="{00000000-0005-0000-0000-00004FA90000}"/>
    <cellStyle name="Calculation 7 3 24 3 4" xfId="43375" xr:uid="{00000000-0005-0000-0000-000050A90000}"/>
    <cellStyle name="Calculation 7 3 24 3 5" xfId="43376" xr:uid="{00000000-0005-0000-0000-000051A90000}"/>
    <cellStyle name="Calculation 7 3 24 3 6" xfId="43377" xr:uid="{00000000-0005-0000-0000-000052A90000}"/>
    <cellStyle name="Calculation 7 3 24 4" xfId="43378" xr:uid="{00000000-0005-0000-0000-000053A90000}"/>
    <cellStyle name="Calculation 7 3 24 4 2" xfId="43379" xr:uid="{00000000-0005-0000-0000-000054A90000}"/>
    <cellStyle name="Calculation 7 3 24 4 3" xfId="43380" xr:uid="{00000000-0005-0000-0000-000055A90000}"/>
    <cellStyle name="Calculation 7 3 24 4 4" xfId="43381" xr:uid="{00000000-0005-0000-0000-000056A90000}"/>
    <cellStyle name="Calculation 7 3 24 4 5" xfId="43382" xr:uid="{00000000-0005-0000-0000-000057A90000}"/>
    <cellStyle name="Calculation 7 3 24 4 6" xfId="43383" xr:uid="{00000000-0005-0000-0000-000058A90000}"/>
    <cellStyle name="Calculation 7 3 24 5" xfId="43384" xr:uid="{00000000-0005-0000-0000-000059A90000}"/>
    <cellStyle name="Calculation 7 3 24 5 2" xfId="43385" xr:uid="{00000000-0005-0000-0000-00005AA90000}"/>
    <cellStyle name="Calculation 7 3 24 5 3" xfId="43386" xr:uid="{00000000-0005-0000-0000-00005BA90000}"/>
    <cellStyle name="Calculation 7 3 24 5 4" xfId="43387" xr:uid="{00000000-0005-0000-0000-00005CA90000}"/>
    <cellStyle name="Calculation 7 3 24 5 5" xfId="43388" xr:uid="{00000000-0005-0000-0000-00005DA90000}"/>
    <cellStyle name="Calculation 7 3 24 5 6" xfId="43389" xr:uid="{00000000-0005-0000-0000-00005EA90000}"/>
    <cellStyle name="Calculation 7 3 24 6" xfId="43390" xr:uid="{00000000-0005-0000-0000-00005FA90000}"/>
    <cellStyle name="Calculation 7 3 24 6 2" xfId="43391" xr:uid="{00000000-0005-0000-0000-000060A90000}"/>
    <cellStyle name="Calculation 7 3 24 6 3" xfId="43392" xr:uid="{00000000-0005-0000-0000-000061A90000}"/>
    <cellStyle name="Calculation 7 3 24 6 4" xfId="43393" xr:uid="{00000000-0005-0000-0000-000062A90000}"/>
    <cellStyle name="Calculation 7 3 24 6 5" xfId="43394" xr:uid="{00000000-0005-0000-0000-000063A90000}"/>
    <cellStyle name="Calculation 7 3 24 6 6" xfId="43395" xr:uid="{00000000-0005-0000-0000-000064A90000}"/>
    <cellStyle name="Calculation 7 3 24 7" xfId="43396" xr:uid="{00000000-0005-0000-0000-000065A90000}"/>
    <cellStyle name="Calculation 7 3 24 7 2" xfId="43397" xr:uid="{00000000-0005-0000-0000-000066A90000}"/>
    <cellStyle name="Calculation 7 3 24 7 3" xfId="43398" xr:uid="{00000000-0005-0000-0000-000067A90000}"/>
    <cellStyle name="Calculation 7 3 24 7 4" xfId="43399" xr:uid="{00000000-0005-0000-0000-000068A90000}"/>
    <cellStyle name="Calculation 7 3 24 7 5" xfId="43400" xr:uid="{00000000-0005-0000-0000-000069A90000}"/>
    <cellStyle name="Calculation 7 3 24 7 6" xfId="43401" xr:uid="{00000000-0005-0000-0000-00006AA90000}"/>
    <cellStyle name="Calculation 7 3 24 8" xfId="43402" xr:uid="{00000000-0005-0000-0000-00006BA90000}"/>
    <cellStyle name="Calculation 7 3 24 9" xfId="43403" xr:uid="{00000000-0005-0000-0000-00006CA90000}"/>
    <cellStyle name="Calculation 7 3 25" xfId="43404" xr:uid="{00000000-0005-0000-0000-00006DA90000}"/>
    <cellStyle name="Calculation 7 3 25 10" xfId="43405" xr:uid="{00000000-0005-0000-0000-00006EA90000}"/>
    <cellStyle name="Calculation 7 3 25 2" xfId="43406" xr:uid="{00000000-0005-0000-0000-00006FA90000}"/>
    <cellStyle name="Calculation 7 3 25 2 2" xfId="43407" xr:uid="{00000000-0005-0000-0000-000070A90000}"/>
    <cellStyle name="Calculation 7 3 25 2 3" xfId="43408" xr:uid="{00000000-0005-0000-0000-000071A90000}"/>
    <cellStyle name="Calculation 7 3 25 2 4" xfId="43409" xr:uid="{00000000-0005-0000-0000-000072A90000}"/>
    <cellStyle name="Calculation 7 3 25 2 5" xfId="43410" xr:uid="{00000000-0005-0000-0000-000073A90000}"/>
    <cellStyle name="Calculation 7 3 25 2 6" xfId="43411" xr:uid="{00000000-0005-0000-0000-000074A90000}"/>
    <cellStyle name="Calculation 7 3 25 3" xfId="43412" xr:uid="{00000000-0005-0000-0000-000075A90000}"/>
    <cellStyle name="Calculation 7 3 25 3 2" xfId="43413" xr:uid="{00000000-0005-0000-0000-000076A90000}"/>
    <cellStyle name="Calculation 7 3 25 3 3" xfId="43414" xr:uid="{00000000-0005-0000-0000-000077A90000}"/>
    <cellStyle name="Calculation 7 3 25 3 4" xfId="43415" xr:uid="{00000000-0005-0000-0000-000078A90000}"/>
    <cellStyle name="Calculation 7 3 25 3 5" xfId="43416" xr:uid="{00000000-0005-0000-0000-000079A90000}"/>
    <cellStyle name="Calculation 7 3 25 3 6" xfId="43417" xr:uid="{00000000-0005-0000-0000-00007AA90000}"/>
    <cellStyle name="Calculation 7 3 25 4" xfId="43418" xr:uid="{00000000-0005-0000-0000-00007BA90000}"/>
    <cellStyle name="Calculation 7 3 25 4 2" xfId="43419" xr:uid="{00000000-0005-0000-0000-00007CA90000}"/>
    <cellStyle name="Calculation 7 3 25 4 3" xfId="43420" xr:uid="{00000000-0005-0000-0000-00007DA90000}"/>
    <cellStyle name="Calculation 7 3 25 4 4" xfId="43421" xr:uid="{00000000-0005-0000-0000-00007EA90000}"/>
    <cellStyle name="Calculation 7 3 25 4 5" xfId="43422" xr:uid="{00000000-0005-0000-0000-00007FA90000}"/>
    <cellStyle name="Calculation 7 3 25 4 6" xfId="43423" xr:uid="{00000000-0005-0000-0000-000080A90000}"/>
    <cellStyle name="Calculation 7 3 25 5" xfId="43424" xr:uid="{00000000-0005-0000-0000-000081A90000}"/>
    <cellStyle name="Calculation 7 3 25 5 2" xfId="43425" xr:uid="{00000000-0005-0000-0000-000082A90000}"/>
    <cellStyle name="Calculation 7 3 25 5 3" xfId="43426" xr:uid="{00000000-0005-0000-0000-000083A90000}"/>
    <cellStyle name="Calculation 7 3 25 5 4" xfId="43427" xr:uid="{00000000-0005-0000-0000-000084A90000}"/>
    <cellStyle name="Calculation 7 3 25 5 5" xfId="43428" xr:uid="{00000000-0005-0000-0000-000085A90000}"/>
    <cellStyle name="Calculation 7 3 25 5 6" xfId="43429" xr:uid="{00000000-0005-0000-0000-000086A90000}"/>
    <cellStyle name="Calculation 7 3 25 6" xfId="43430" xr:uid="{00000000-0005-0000-0000-000087A90000}"/>
    <cellStyle name="Calculation 7 3 25 6 2" xfId="43431" xr:uid="{00000000-0005-0000-0000-000088A90000}"/>
    <cellStyle name="Calculation 7 3 25 6 3" xfId="43432" xr:uid="{00000000-0005-0000-0000-000089A90000}"/>
    <cellStyle name="Calculation 7 3 25 6 4" xfId="43433" xr:uid="{00000000-0005-0000-0000-00008AA90000}"/>
    <cellStyle name="Calculation 7 3 25 6 5" xfId="43434" xr:uid="{00000000-0005-0000-0000-00008BA90000}"/>
    <cellStyle name="Calculation 7 3 25 6 6" xfId="43435" xr:uid="{00000000-0005-0000-0000-00008CA90000}"/>
    <cellStyle name="Calculation 7 3 25 7" xfId="43436" xr:uid="{00000000-0005-0000-0000-00008DA90000}"/>
    <cellStyle name="Calculation 7 3 25 7 2" xfId="43437" xr:uid="{00000000-0005-0000-0000-00008EA90000}"/>
    <cellStyle name="Calculation 7 3 25 7 3" xfId="43438" xr:uid="{00000000-0005-0000-0000-00008FA90000}"/>
    <cellStyle name="Calculation 7 3 25 7 4" xfId="43439" xr:uid="{00000000-0005-0000-0000-000090A90000}"/>
    <cellStyle name="Calculation 7 3 25 7 5" xfId="43440" xr:uid="{00000000-0005-0000-0000-000091A90000}"/>
    <cellStyle name="Calculation 7 3 25 7 6" xfId="43441" xr:uid="{00000000-0005-0000-0000-000092A90000}"/>
    <cellStyle name="Calculation 7 3 25 8" xfId="43442" xr:uid="{00000000-0005-0000-0000-000093A90000}"/>
    <cellStyle name="Calculation 7 3 25 9" xfId="43443" xr:uid="{00000000-0005-0000-0000-000094A90000}"/>
    <cellStyle name="Calculation 7 3 26" xfId="43444" xr:uid="{00000000-0005-0000-0000-000095A90000}"/>
    <cellStyle name="Calculation 7 3 26 10" xfId="43445" xr:uid="{00000000-0005-0000-0000-000096A90000}"/>
    <cellStyle name="Calculation 7 3 26 2" xfId="43446" xr:uid="{00000000-0005-0000-0000-000097A90000}"/>
    <cellStyle name="Calculation 7 3 26 2 2" xfId="43447" xr:uid="{00000000-0005-0000-0000-000098A90000}"/>
    <cellStyle name="Calculation 7 3 26 2 3" xfId="43448" xr:uid="{00000000-0005-0000-0000-000099A90000}"/>
    <cellStyle name="Calculation 7 3 26 2 4" xfId="43449" xr:uid="{00000000-0005-0000-0000-00009AA90000}"/>
    <cellStyle name="Calculation 7 3 26 2 5" xfId="43450" xr:uid="{00000000-0005-0000-0000-00009BA90000}"/>
    <cellStyle name="Calculation 7 3 26 2 6" xfId="43451" xr:uid="{00000000-0005-0000-0000-00009CA90000}"/>
    <cellStyle name="Calculation 7 3 26 3" xfId="43452" xr:uid="{00000000-0005-0000-0000-00009DA90000}"/>
    <cellStyle name="Calculation 7 3 26 3 2" xfId="43453" xr:uid="{00000000-0005-0000-0000-00009EA90000}"/>
    <cellStyle name="Calculation 7 3 26 3 3" xfId="43454" xr:uid="{00000000-0005-0000-0000-00009FA90000}"/>
    <cellStyle name="Calculation 7 3 26 3 4" xfId="43455" xr:uid="{00000000-0005-0000-0000-0000A0A90000}"/>
    <cellStyle name="Calculation 7 3 26 3 5" xfId="43456" xr:uid="{00000000-0005-0000-0000-0000A1A90000}"/>
    <cellStyle name="Calculation 7 3 26 3 6" xfId="43457" xr:uid="{00000000-0005-0000-0000-0000A2A90000}"/>
    <cellStyle name="Calculation 7 3 26 4" xfId="43458" xr:uid="{00000000-0005-0000-0000-0000A3A90000}"/>
    <cellStyle name="Calculation 7 3 26 4 2" xfId="43459" xr:uid="{00000000-0005-0000-0000-0000A4A90000}"/>
    <cellStyle name="Calculation 7 3 26 4 3" xfId="43460" xr:uid="{00000000-0005-0000-0000-0000A5A90000}"/>
    <cellStyle name="Calculation 7 3 26 4 4" xfId="43461" xr:uid="{00000000-0005-0000-0000-0000A6A90000}"/>
    <cellStyle name="Calculation 7 3 26 4 5" xfId="43462" xr:uid="{00000000-0005-0000-0000-0000A7A90000}"/>
    <cellStyle name="Calculation 7 3 26 4 6" xfId="43463" xr:uid="{00000000-0005-0000-0000-0000A8A90000}"/>
    <cellStyle name="Calculation 7 3 26 5" xfId="43464" xr:uid="{00000000-0005-0000-0000-0000A9A90000}"/>
    <cellStyle name="Calculation 7 3 26 5 2" xfId="43465" xr:uid="{00000000-0005-0000-0000-0000AAA90000}"/>
    <cellStyle name="Calculation 7 3 26 5 3" xfId="43466" xr:uid="{00000000-0005-0000-0000-0000ABA90000}"/>
    <cellStyle name="Calculation 7 3 26 5 4" xfId="43467" xr:uid="{00000000-0005-0000-0000-0000ACA90000}"/>
    <cellStyle name="Calculation 7 3 26 5 5" xfId="43468" xr:uid="{00000000-0005-0000-0000-0000ADA90000}"/>
    <cellStyle name="Calculation 7 3 26 5 6" xfId="43469" xr:uid="{00000000-0005-0000-0000-0000AEA90000}"/>
    <cellStyle name="Calculation 7 3 26 6" xfId="43470" xr:uid="{00000000-0005-0000-0000-0000AFA90000}"/>
    <cellStyle name="Calculation 7 3 26 6 2" xfId="43471" xr:uid="{00000000-0005-0000-0000-0000B0A90000}"/>
    <cellStyle name="Calculation 7 3 26 6 3" xfId="43472" xr:uid="{00000000-0005-0000-0000-0000B1A90000}"/>
    <cellStyle name="Calculation 7 3 26 6 4" xfId="43473" xr:uid="{00000000-0005-0000-0000-0000B2A90000}"/>
    <cellStyle name="Calculation 7 3 26 6 5" xfId="43474" xr:uid="{00000000-0005-0000-0000-0000B3A90000}"/>
    <cellStyle name="Calculation 7 3 26 6 6" xfId="43475" xr:uid="{00000000-0005-0000-0000-0000B4A90000}"/>
    <cellStyle name="Calculation 7 3 26 7" xfId="43476" xr:uid="{00000000-0005-0000-0000-0000B5A90000}"/>
    <cellStyle name="Calculation 7 3 26 7 2" xfId="43477" xr:uid="{00000000-0005-0000-0000-0000B6A90000}"/>
    <cellStyle name="Calculation 7 3 26 7 3" xfId="43478" xr:uid="{00000000-0005-0000-0000-0000B7A90000}"/>
    <cellStyle name="Calculation 7 3 26 7 4" xfId="43479" xr:uid="{00000000-0005-0000-0000-0000B8A90000}"/>
    <cellStyle name="Calculation 7 3 26 7 5" xfId="43480" xr:uid="{00000000-0005-0000-0000-0000B9A90000}"/>
    <cellStyle name="Calculation 7 3 26 7 6" xfId="43481" xr:uid="{00000000-0005-0000-0000-0000BAA90000}"/>
    <cellStyle name="Calculation 7 3 26 8" xfId="43482" xr:uid="{00000000-0005-0000-0000-0000BBA90000}"/>
    <cellStyle name="Calculation 7 3 26 9" xfId="43483" xr:uid="{00000000-0005-0000-0000-0000BCA90000}"/>
    <cellStyle name="Calculation 7 3 27" xfId="43484" xr:uid="{00000000-0005-0000-0000-0000BDA90000}"/>
    <cellStyle name="Calculation 7 3 27 2" xfId="43485" xr:uid="{00000000-0005-0000-0000-0000BEA90000}"/>
    <cellStyle name="Calculation 7 3 27 3" xfId="43486" xr:uid="{00000000-0005-0000-0000-0000BFA90000}"/>
    <cellStyle name="Calculation 7 3 27 4" xfId="43487" xr:uid="{00000000-0005-0000-0000-0000C0A90000}"/>
    <cellStyle name="Calculation 7 3 27 5" xfId="43488" xr:uid="{00000000-0005-0000-0000-0000C1A90000}"/>
    <cellStyle name="Calculation 7 3 27 6" xfId="43489" xr:uid="{00000000-0005-0000-0000-0000C2A90000}"/>
    <cellStyle name="Calculation 7 3 28" xfId="43490" xr:uid="{00000000-0005-0000-0000-0000C3A90000}"/>
    <cellStyle name="Calculation 7 3 28 2" xfId="43491" xr:uid="{00000000-0005-0000-0000-0000C4A90000}"/>
    <cellStyle name="Calculation 7 3 28 3" xfId="43492" xr:uid="{00000000-0005-0000-0000-0000C5A90000}"/>
    <cellStyle name="Calculation 7 3 28 4" xfId="43493" xr:uid="{00000000-0005-0000-0000-0000C6A90000}"/>
    <cellStyle name="Calculation 7 3 28 5" xfId="43494" xr:uid="{00000000-0005-0000-0000-0000C7A90000}"/>
    <cellStyle name="Calculation 7 3 28 6" xfId="43495" xr:uid="{00000000-0005-0000-0000-0000C8A90000}"/>
    <cellStyle name="Calculation 7 3 29" xfId="43496" xr:uid="{00000000-0005-0000-0000-0000C9A90000}"/>
    <cellStyle name="Calculation 7 3 29 2" xfId="43497" xr:uid="{00000000-0005-0000-0000-0000CAA90000}"/>
    <cellStyle name="Calculation 7 3 29 3" xfId="43498" xr:uid="{00000000-0005-0000-0000-0000CBA90000}"/>
    <cellStyle name="Calculation 7 3 29 4" xfId="43499" xr:uid="{00000000-0005-0000-0000-0000CCA90000}"/>
    <cellStyle name="Calculation 7 3 29 5" xfId="43500" xr:uid="{00000000-0005-0000-0000-0000CDA90000}"/>
    <cellStyle name="Calculation 7 3 29 6" xfId="43501" xr:uid="{00000000-0005-0000-0000-0000CEA90000}"/>
    <cellStyle name="Calculation 7 3 3" xfId="43502" xr:uid="{00000000-0005-0000-0000-0000CFA90000}"/>
    <cellStyle name="Calculation 7 3 3 10" xfId="43503" xr:uid="{00000000-0005-0000-0000-0000D0A90000}"/>
    <cellStyle name="Calculation 7 3 3 2" xfId="43504" xr:uid="{00000000-0005-0000-0000-0000D1A90000}"/>
    <cellStyle name="Calculation 7 3 3 2 2" xfId="43505" xr:uid="{00000000-0005-0000-0000-0000D2A90000}"/>
    <cellStyle name="Calculation 7 3 3 2 3" xfId="43506" xr:uid="{00000000-0005-0000-0000-0000D3A90000}"/>
    <cellStyle name="Calculation 7 3 3 2 4" xfId="43507" xr:uid="{00000000-0005-0000-0000-0000D4A90000}"/>
    <cellStyle name="Calculation 7 3 3 2 5" xfId="43508" xr:uid="{00000000-0005-0000-0000-0000D5A90000}"/>
    <cellStyle name="Calculation 7 3 3 2 6" xfId="43509" xr:uid="{00000000-0005-0000-0000-0000D6A90000}"/>
    <cellStyle name="Calculation 7 3 3 3" xfId="43510" xr:uid="{00000000-0005-0000-0000-0000D7A90000}"/>
    <cellStyle name="Calculation 7 3 3 3 2" xfId="43511" xr:uid="{00000000-0005-0000-0000-0000D8A90000}"/>
    <cellStyle name="Calculation 7 3 3 3 3" xfId="43512" xr:uid="{00000000-0005-0000-0000-0000D9A90000}"/>
    <cellStyle name="Calculation 7 3 3 3 4" xfId="43513" xr:uid="{00000000-0005-0000-0000-0000DAA90000}"/>
    <cellStyle name="Calculation 7 3 3 3 5" xfId="43514" xr:uid="{00000000-0005-0000-0000-0000DBA90000}"/>
    <cellStyle name="Calculation 7 3 3 3 6" xfId="43515" xr:uid="{00000000-0005-0000-0000-0000DCA90000}"/>
    <cellStyle name="Calculation 7 3 3 4" xfId="43516" xr:uid="{00000000-0005-0000-0000-0000DDA90000}"/>
    <cellStyle name="Calculation 7 3 3 4 2" xfId="43517" xr:uid="{00000000-0005-0000-0000-0000DEA90000}"/>
    <cellStyle name="Calculation 7 3 3 4 3" xfId="43518" xr:uid="{00000000-0005-0000-0000-0000DFA90000}"/>
    <cellStyle name="Calculation 7 3 3 4 4" xfId="43519" xr:uid="{00000000-0005-0000-0000-0000E0A90000}"/>
    <cellStyle name="Calculation 7 3 3 4 5" xfId="43520" xr:uid="{00000000-0005-0000-0000-0000E1A90000}"/>
    <cellStyle name="Calculation 7 3 3 4 6" xfId="43521" xr:uid="{00000000-0005-0000-0000-0000E2A90000}"/>
    <cellStyle name="Calculation 7 3 3 5" xfId="43522" xr:uid="{00000000-0005-0000-0000-0000E3A90000}"/>
    <cellStyle name="Calculation 7 3 3 5 2" xfId="43523" xr:uid="{00000000-0005-0000-0000-0000E4A90000}"/>
    <cellStyle name="Calculation 7 3 3 5 3" xfId="43524" xr:uid="{00000000-0005-0000-0000-0000E5A90000}"/>
    <cellStyle name="Calculation 7 3 3 5 4" xfId="43525" xr:uid="{00000000-0005-0000-0000-0000E6A90000}"/>
    <cellStyle name="Calculation 7 3 3 5 5" xfId="43526" xr:uid="{00000000-0005-0000-0000-0000E7A90000}"/>
    <cellStyle name="Calculation 7 3 3 5 6" xfId="43527" xr:uid="{00000000-0005-0000-0000-0000E8A90000}"/>
    <cellStyle name="Calculation 7 3 3 6" xfId="43528" xr:uid="{00000000-0005-0000-0000-0000E9A90000}"/>
    <cellStyle name="Calculation 7 3 3 6 2" xfId="43529" xr:uid="{00000000-0005-0000-0000-0000EAA90000}"/>
    <cellStyle name="Calculation 7 3 3 6 3" xfId="43530" xr:uid="{00000000-0005-0000-0000-0000EBA90000}"/>
    <cellStyle name="Calculation 7 3 3 6 4" xfId="43531" xr:uid="{00000000-0005-0000-0000-0000ECA90000}"/>
    <cellStyle name="Calculation 7 3 3 6 5" xfId="43532" xr:uid="{00000000-0005-0000-0000-0000EDA90000}"/>
    <cellStyle name="Calculation 7 3 3 6 6" xfId="43533" xr:uid="{00000000-0005-0000-0000-0000EEA90000}"/>
    <cellStyle name="Calculation 7 3 3 7" xfId="43534" xr:uid="{00000000-0005-0000-0000-0000EFA90000}"/>
    <cellStyle name="Calculation 7 3 3 7 2" xfId="43535" xr:uid="{00000000-0005-0000-0000-0000F0A90000}"/>
    <cellStyle name="Calculation 7 3 3 7 3" xfId="43536" xr:uid="{00000000-0005-0000-0000-0000F1A90000}"/>
    <cellStyle name="Calculation 7 3 3 7 4" xfId="43537" xr:uid="{00000000-0005-0000-0000-0000F2A90000}"/>
    <cellStyle name="Calculation 7 3 3 7 5" xfId="43538" xr:uid="{00000000-0005-0000-0000-0000F3A90000}"/>
    <cellStyle name="Calculation 7 3 3 7 6" xfId="43539" xr:uid="{00000000-0005-0000-0000-0000F4A90000}"/>
    <cellStyle name="Calculation 7 3 3 8" xfId="43540" xr:uid="{00000000-0005-0000-0000-0000F5A90000}"/>
    <cellStyle name="Calculation 7 3 3 9" xfId="43541" xr:uid="{00000000-0005-0000-0000-0000F6A90000}"/>
    <cellStyle name="Calculation 7 3 30" xfId="43542" xr:uid="{00000000-0005-0000-0000-0000F7A90000}"/>
    <cellStyle name="Calculation 7 3 30 2" xfId="43543" xr:uid="{00000000-0005-0000-0000-0000F8A90000}"/>
    <cellStyle name="Calculation 7 3 30 3" xfId="43544" xr:uid="{00000000-0005-0000-0000-0000F9A90000}"/>
    <cellStyle name="Calculation 7 3 30 4" xfId="43545" xr:uid="{00000000-0005-0000-0000-0000FAA90000}"/>
    <cellStyle name="Calculation 7 3 30 5" xfId="43546" xr:uid="{00000000-0005-0000-0000-0000FBA90000}"/>
    <cellStyle name="Calculation 7 3 30 6" xfId="43547" xr:uid="{00000000-0005-0000-0000-0000FCA90000}"/>
    <cellStyle name="Calculation 7 3 31" xfId="43548" xr:uid="{00000000-0005-0000-0000-0000FDA90000}"/>
    <cellStyle name="Calculation 7 3 31 2" xfId="43549" xr:uid="{00000000-0005-0000-0000-0000FEA90000}"/>
    <cellStyle name="Calculation 7 3 31 3" xfId="43550" xr:uid="{00000000-0005-0000-0000-0000FFA90000}"/>
    <cellStyle name="Calculation 7 3 31 4" xfId="43551" xr:uid="{00000000-0005-0000-0000-000000AA0000}"/>
    <cellStyle name="Calculation 7 3 31 5" xfId="43552" xr:uid="{00000000-0005-0000-0000-000001AA0000}"/>
    <cellStyle name="Calculation 7 3 31 6" xfId="43553" xr:uid="{00000000-0005-0000-0000-000002AA0000}"/>
    <cellStyle name="Calculation 7 3 32" xfId="43554" xr:uid="{00000000-0005-0000-0000-000003AA0000}"/>
    <cellStyle name="Calculation 7 3 32 2" xfId="43555" xr:uid="{00000000-0005-0000-0000-000004AA0000}"/>
    <cellStyle name="Calculation 7 3 32 3" xfId="43556" xr:uid="{00000000-0005-0000-0000-000005AA0000}"/>
    <cellStyle name="Calculation 7 3 32 4" xfId="43557" xr:uid="{00000000-0005-0000-0000-000006AA0000}"/>
    <cellStyle name="Calculation 7 3 32 5" xfId="43558" xr:uid="{00000000-0005-0000-0000-000007AA0000}"/>
    <cellStyle name="Calculation 7 3 32 6" xfId="43559" xr:uid="{00000000-0005-0000-0000-000008AA0000}"/>
    <cellStyle name="Calculation 7 3 33" xfId="43560" xr:uid="{00000000-0005-0000-0000-000009AA0000}"/>
    <cellStyle name="Calculation 7 3 34" xfId="43561" xr:uid="{00000000-0005-0000-0000-00000AAA0000}"/>
    <cellStyle name="Calculation 7 3 35" xfId="43562" xr:uid="{00000000-0005-0000-0000-00000BAA0000}"/>
    <cellStyle name="Calculation 7 3 4" xfId="43563" xr:uid="{00000000-0005-0000-0000-00000CAA0000}"/>
    <cellStyle name="Calculation 7 3 4 10" xfId="43564" xr:uid="{00000000-0005-0000-0000-00000DAA0000}"/>
    <cellStyle name="Calculation 7 3 4 2" xfId="43565" xr:uid="{00000000-0005-0000-0000-00000EAA0000}"/>
    <cellStyle name="Calculation 7 3 4 2 2" xfId="43566" xr:uid="{00000000-0005-0000-0000-00000FAA0000}"/>
    <cellStyle name="Calculation 7 3 4 2 3" xfId="43567" xr:uid="{00000000-0005-0000-0000-000010AA0000}"/>
    <cellStyle name="Calculation 7 3 4 2 4" xfId="43568" xr:uid="{00000000-0005-0000-0000-000011AA0000}"/>
    <cellStyle name="Calculation 7 3 4 2 5" xfId="43569" xr:uid="{00000000-0005-0000-0000-000012AA0000}"/>
    <cellStyle name="Calculation 7 3 4 2 6" xfId="43570" xr:uid="{00000000-0005-0000-0000-000013AA0000}"/>
    <cellStyle name="Calculation 7 3 4 3" xfId="43571" xr:uid="{00000000-0005-0000-0000-000014AA0000}"/>
    <cellStyle name="Calculation 7 3 4 3 2" xfId="43572" xr:uid="{00000000-0005-0000-0000-000015AA0000}"/>
    <cellStyle name="Calculation 7 3 4 3 3" xfId="43573" xr:uid="{00000000-0005-0000-0000-000016AA0000}"/>
    <cellStyle name="Calculation 7 3 4 3 4" xfId="43574" xr:uid="{00000000-0005-0000-0000-000017AA0000}"/>
    <cellStyle name="Calculation 7 3 4 3 5" xfId="43575" xr:uid="{00000000-0005-0000-0000-000018AA0000}"/>
    <cellStyle name="Calculation 7 3 4 3 6" xfId="43576" xr:uid="{00000000-0005-0000-0000-000019AA0000}"/>
    <cellStyle name="Calculation 7 3 4 4" xfId="43577" xr:uid="{00000000-0005-0000-0000-00001AAA0000}"/>
    <cellStyle name="Calculation 7 3 4 4 2" xfId="43578" xr:uid="{00000000-0005-0000-0000-00001BAA0000}"/>
    <cellStyle name="Calculation 7 3 4 4 3" xfId="43579" xr:uid="{00000000-0005-0000-0000-00001CAA0000}"/>
    <cellStyle name="Calculation 7 3 4 4 4" xfId="43580" xr:uid="{00000000-0005-0000-0000-00001DAA0000}"/>
    <cellStyle name="Calculation 7 3 4 4 5" xfId="43581" xr:uid="{00000000-0005-0000-0000-00001EAA0000}"/>
    <cellStyle name="Calculation 7 3 4 4 6" xfId="43582" xr:uid="{00000000-0005-0000-0000-00001FAA0000}"/>
    <cellStyle name="Calculation 7 3 4 5" xfId="43583" xr:uid="{00000000-0005-0000-0000-000020AA0000}"/>
    <cellStyle name="Calculation 7 3 4 5 2" xfId="43584" xr:uid="{00000000-0005-0000-0000-000021AA0000}"/>
    <cellStyle name="Calculation 7 3 4 5 3" xfId="43585" xr:uid="{00000000-0005-0000-0000-000022AA0000}"/>
    <cellStyle name="Calculation 7 3 4 5 4" xfId="43586" xr:uid="{00000000-0005-0000-0000-000023AA0000}"/>
    <cellStyle name="Calculation 7 3 4 5 5" xfId="43587" xr:uid="{00000000-0005-0000-0000-000024AA0000}"/>
    <cellStyle name="Calculation 7 3 4 5 6" xfId="43588" xr:uid="{00000000-0005-0000-0000-000025AA0000}"/>
    <cellStyle name="Calculation 7 3 4 6" xfId="43589" xr:uid="{00000000-0005-0000-0000-000026AA0000}"/>
    <cellStyle name="Calculation 7 3 4 6 2" xfId="43590" xr:uid="{00000000-0005-0000-0000-000027AA0000}"/>
    <cellStyle name="Calculation 7 3 4 6 3" xfId="43591" xr:uid="{00000000-0005-0000-0000-000028AA0000}"/>
    <cellStyle name="Calculation 7 3 4 6 4" xfId="43592" xr:uid="{00000000-0005-0000-0000-000029AA0000}"/>
    <cellStyle name="Calculation 7 3 4 6 5" xfId="43593" xr:uid="{00000000-0005-0000-0000-00002AAA0000}"/>
    <cellStyle name="Calculation 7 3 4 6 6" xfId="43594" xr:uid="{00000000-0005-0000-0000-00002BAA0000}"/>
    <cellStyle name="Calculation 7 3 4 7" xfId="43595" xr:uid="{00000000-0005-0000-0000-00002CAA0000}"/>
    <cellStyle name="Calculation 7 3 4 7 2" xfId="43596" xr:uid="{00000000-0005-0000-0000-00002DAA0000}"/>
    <cellStyle name="Calculation 7 3 4 7 3" xfId="43597" xr:uid="{00000000-0005-0000-0000-00002EAA0000}"/>
    <cellStyle name="Calculation 7 3 4 7 4" xfId="43598" xr:uid="{00000000-0005-0000-0000-00002FAA0000}"/>
    <cellStyle name="Calculation 7 3 4 7 5" xfId="43599" xr:uid="{00000000-0005-0000-0000-000030AA0000}"/>
    <cellStyle name="Calculation 7 3 4 7 6" xfId="43600" xr:uid="{00000000-0005-0000-0000-000031AA0000}"/>
    <cellStyle name="Calculation 7 3 4 8" xfId="43601" xr:uid="{00000000-0005-0000-0000-000032AA0000}"/>
    <cellStyle name="Calculation 7 3 4 9" xfId="43602" xr:uid="{00000000-0005-0000-0000-000033AA0000}"/>
    <cellStyle name="Calculation 7 3 5" xfId="43603" xr:uid="{00000000-0005-0000-0000-000034AA0000}"/>
    <cellStyle name="Calculation 7 3 5 10" xfId="43604" xr:uid="{00000000-0005-0000-0000-000035AA0000}"/>
    <cellStyle name="Calculation 7 3 5 2" xfId="43605" xr:uid="{00000000-0005-0000-0000-000036AA0000}"/>
    <cellStyle name="Calculation 7 3 5 2 2" xfId="43606" xr:uid="{00000000-0005-0000-0000-000037AA0000}"/>
    <cellStyle name="Calculation 7 3 5 2 3" xfId="43607" xr:uid="{00000000-0005-0000-0000-000038AA0000}"/>
    <cellStyle name="Calculation 7 3 5 2 4" xfId="43608" xr:uid="{00000000-0005-0000-0000-000039AA0000}"/>
    <cellStyle name="Calculation 7 3 5 2 5" xfId="43609" xr:uid="{00000000-0005-0000-0000-00003AAA0000}"/>
    <cellStyle name="Calculation 7 3 5 2 6" xfId="43610" xr:uid="{00000000-0005-0000-0000-00003BAA0000}"/>
    <cellStyle name="Calculation 7 3 5 3" xfId="43611" xr:uid="{00000000-0005-0000-0000-00003CAA0000}"/>
    <cellStyle name="Calculation 7 3 5 3 2" xfId="43612" xr:uid="{00000000-0005-0000-0000-00003DAA0000}"/>
    <cellStyle name="Calculation 7 3 5 3 3" xfId="43613" xr:uid="{00000000-0005-0000-0000-00003EAA0000}"/>
    <cellStyle name="Calculation 7 3 5 3 4" xfId="43614" xr:uid="{00000000-0005-0000-0000-00003FAA0000}"/>
    <cellStyle name="Calculation 7 3 5 3 5" xfId="43615" xr:uid="{00000000-0005-0000-0000-000040AA0000}"/>
    <cellStyle name="Calculation 7 3 5 3 6" xfId="43616" xr:uid="{00000000-0005-0000-0000-000041AA0000}"/>
    <cellStyle name="Calculation 7 3 5 4" xfId="43617" xr:uid="{00000000-0005-0000-0000-000042AA0000}"/>
    <cellStyle name="Calculation 7 3 5 4 2" xfId="43618" xr:uid="{00000000-0005-0000-0000-000043AA0000}"/>
    <cellStyle name="Calculation 7 3 5 4 3" xfId="43619" xr:uid="{00000000-0005-0000-0000-000044AA0000}"/>
    <cellStyle name="Calculation 7 3 5 4 4" xfId="43620" xr:uid="{00000000-0005-0000-0000-000045AA0000}"/>
    <cellStyle name="Calculation 7 3 5 4 5" xfId="43621" xr:uid="{00000000-0005-0000-0000-000046AA0000}"/>
    <cellStyle name="Calculation 7 3 5 4 6" xfId="43622" xr:uid="{00000000-0005-0000-0000-000047AA0000}"/>
    <cellStyle name="Calculation 7 3 5 5" xfId="43623" xr:uid="{00000000-0005-0000-0000-000048AA0000}"/>
    <cellStyle name="Calculation 7 3 5 5 2" xfId="43624" xr:uid="{00000000-0005-0000-0000-000049AA0000}"/>
    <cellStyle name="Calculation 7 3 5 5 3" xfId="43625" xr:uid="{00000000-0005-0000-0000-00004AAA0000}"/>
    <cellStyle name="Calculation 7 3 5 5 4" xfId="43626" xr:uid="{00000000-0005-0000-0000-00004BAA0000}"/>
    <cellStyle name="Calculation 7 3 5 5 5" xfId="43627" xr:uid="{00000000-0005-0000-0000-00004CAA0000}"/>
    <cellStyle name="Calculation 7 3 5 5 6" xfId="43628" xr:uid="{00000000-0005-0000-0000-00004DAA0000}"/>
    <cellStyle name="Calculation 7 3 5 6" xfId="43629" xr:uid="{00000000-0005-0000-0000-00004EAA0000}"/>
    <cellStyle name="Calculation 7 3 5 6 2" xfId="43630" xr:uid="{00000000-0005-0000-0000-00004FAA0000}"/>
    <cellStyle name="Calculation 7 3 5 6 3" xfId="43631" xr:uid="{00000000-0005-0000-0000-000050AA0000}"/>
    <cellStyle name="Calculation 7 3 5 6 4" xfId="43632" xr:uid="{00000000-0005-0000-0000-000051AA0000}"/>
    <cellStyle name="Calculation 7 3 5 6 5" xfId="43633" xr:uid="{00000000-0005-0000-0000-000052AA0000}"/>
    <cellStyle name="Calculation 7 3 5 6 6" xfId="43634" xr:uid="{00000000-0005-0000-0000-000053AA0000}"/>
    <cellStyle name="Calculation 7 3 5 7" xfId="43635" xr:uid="{00000000-0005-0000-0000-000054AA0000}"/>
    <cellStyle name="Calculation 7 3 5 7 2" xfId="43636" xr:uid="{00000000-0005-0000-0000-000055AA0000}"/>
    <cellStyle name="Calculation 7 3 5 7 3" xfId="43637" xr:uid="{00000000-0005-0000-0000-000056AA0000}"/>
    <cellStyle name="Calculation 7 3 5 7 4" xfId="43638" xr:uid="{00000000-0005-0000-0000-000057AA0000}"/>
    <cellStyle name="Calculation 7 3 5 7 5" xfId="43639" xr:uid="{00000000-0005-0000-0000-000058AA0000}"/>
    <cellStyle name="Calculation 7 3 5 7 6" xfId="43640" xr:uid="{00000000-0005-0000-0000-000059AA0000}"/>
    <cellStyle name="Calculation 7 3 5 8" xfId="43641" xr:uid="{00000000-0005-0000-0000-00005AAA0000}"/>
    <cellStyle name="Calculation 7 3 5 9" xfId="43642" xr:uid="{00000000-0005-0000-0000-00005BAA0000}"/>
    <cellStyle name="Calculation 7 3 6" xfId="43643" xr:uid="{00000000-0005-0000-0000-00005CAA0000}"/>
    <cellStyle name="Calculation 7 3 6 10" xfId="43644" xr:uid="{00000000-0005-0000-0000-00005DAA0000}"/>
    <cellStyle name="Calculation 7 3 6 2" xfId="43645" xr:uid="{00000000-0005-0000-0000-00005EAA0000}"/>
    <cellStyle name="Calculation 7 3 6 2 2" xfId="43646" xr:uid="{00000000-0005-0000-0000-00005FAA0000}"/>
    <cellStyle name="Calculation 7 3 6 2 3" xfId="43647" xr:uid="{00000000-0005-0000-0000-000060AA0000}"/>
    <cellStyle name="Calculation 7 3 6 2 4" xfId="43648" xr:uid="{00000000-0005-0000-0000-000061AA0000}"/>
    <cellStyle name="Calculation 7 3 6 2 5" xfId="43649" xr:uid="{00000000-0005-0000-0000-000062AA0000}"/>
    <cellStyle name="Calculation 7 3 6 2 6" xfId="43650" xr:uid="{00000000-0005-0000-0000-000063AA0000}"/>
    <cellStyle name="Calculation 7 3 6 3" xfId="43651" xr:uid="{00000000-0005-0000-0000-000064AA0000}"/>
    <cellStyle name="Calculation 7 3 6 3 2" xfId="43652" xr:uid="{00000000-0005-0000-0000-000065AA0000}"/>
    <cellStyle name="Calculation 7 3 6 3 3" xfId="43653" xr:uid="{00000000-0005-0000-0000-000066AA0000}"/>
    <cellStyle name="Calculation 7 3 6 3 4" xfId="43654" xr:uid="{00000000-0005-0000-0000-000067AA0000}"/>
    <cellStyle name="Calculation 7 3 6 3 5" xfId="43655" xr:uid="{00000000-0005-0000-0000-000068AA0000}"/>
    <cellStyle name="Calculation 7 3 6 3 6" xfId="43656" xr:uid="{00000000-0005-0000-0000-000069AA0000}"/>
    <cellStyle name="Calculation 7 3 6 4" xfId="43657" xr:uid="{00000000-0005-0000-0000-00006AAA0000}"/>
    <cellStyle name="Calculation 7 3 6 4 2" xfId="43658" xr:uid="{00000000-0005-0000-0000-00006BAA0000}"/>
    <cellStyle name="Calculation 7 3 6 4 3" xfId="43659" xr:uid="{00000000-0005-0000-0000-00006CAA0000}"/>
    <cellStyle name="Calculation 7 3 6 4 4" xfId="43660" xr:uid="{00000000-0005-0000-0000-00006DAA0000}"/>
    <cellStyle name="Calculation 7 3 6 4 5" xfId="43661" xr:uid="{00000000-0005-0000-0000-00006EAA0000}"/>
    <cellStyle name="Calculation 7 3 6 4 6" xfId="43662" xr:uid="{00000000-0005-0000-0000-00006FAA0000}"/>
    <cellStyle name="Calculation 7 3 6 5" xfId="43663" xr:uid="{00000000-0005-0000-0000-000070AA0000}"/>
    <cellStyle name="Calculation 7 3 6 5 2" xfId="43664" xr:uid="{00000000-0005-0000-0000-000071AA0000}"/>
    <cellStyle name="Calculation 7 3 6 5 3" xfId="43665" xr:uid="{00000000-0005-0000-0000-000072AA0000}"/>
    <cellStyle name="Calculation 7 3 6 5 4" xfId="43666" xr:uid="{00000000-0005-0000-0000-000073AA0000}"/>
    <cellStyle name="Calculation 7 3 6 5 5" xfId="43667" xr:uid="{00000000-0005-0000-0000-000074AA0000}"/>
    <cellStyle name="Calculation 7 3 6 5 6" xfId="43668" xr:uid="{00000000-0005-0000-0000-000075AA0000}"/>
    <cellStyle name="Calculation 7 3 6 6" xfId="43669" xr:uid="{00000000-0005-0000-0000-000076AA0000}"/>
    <cellStyle name="Calculation 7 3 6 6 2" xfId="43670" xr:uid="{00000000-0005-0000-0000-000077AA0000}"/>
    <cellStyle name="Calculation 7 3 6 6 3" xfId="43671" xr:uid="{00000000-0005-0000-0000-000078AA0000}"/>
    <cellStyle name="Calculation 7 3 6 6 4" xfId="43672" xr:uid="{00000000-0005-0000-0000-000079AA0000}"/>
    <cellStyle name="Calculation 7 3 6 6 5" xfId="43673" xr:uid="{00000000-0005-0000-0000-00007AAA0000}"/>
    <cellStyle name="Calculation 7 3 6 6 6" xfId="43674" xr:uid="{00000000-0005-0000-0000-00007BAA0000}"/>
    <cellStyle name="Calculation 7 3 6 7" xfId="43675" xr:uid="{00000000-0005-0000-0000-00007CAA0000}"/>
    <cellStyle name="Calculation 7 3 6 7 2" xfId="43676" xr:uid="{00000000-0005-0000-0000-00007DAA0000}"/>
    <cellStyle name="Calculation 7 3 6 7 3" xfId="43677" xr:uid="{00000000-0005-0000-0000-00007EAA0000}"/>
    <cellStyle name="Calculation 7 3 6 7 4" xfId="43678" xr:uid="{00000000-0005-0000-0000-00007FAA0000}"/>
    <cellStyle name="Calculation 7 3 6 7 5" xfId="43679" xr:uid="{00000000-0005-0000-0000-000080AA0000}"/>
    <cellStyle name="Calculation 7 3 6 7 6" xfId="43680" xr:uid="{00000000-0005-0000-0000-000081AA0000}"/>
    <cellStyle name="Calculation 7 3 6 8" xfId="43681" xr:uid="{00000000-0005-0000-0000-000082AA0000}"/>
    <cellStyle name="Calculation 7 3 6 9" xfId="43682" xr:uid="{00000000-0005-0000-0000-000083AA0000}"/>
    <cellStyle name="Calculation 7 3 7" xfId="43683" xr:uid="{00000000-0005-0000-0000-000084AA0000}"/>
    <cellStyle name="Calculation 7 3 7 10" xfId="43684" xr:uid="{00000000-0005-0000-0000-000085AA0000}"/>
    <cellStyle name="Calculation 7 3 7 2" xfId="43685" xr:uid="{00000000-0005-0000-0000-000086AA0000}"/>
    <cellStyle name="Calculation 7 3 7 2 2" xfId="43686" xr:uid="{00000000-0005-0000-0000-000087AA0000}"/>
    <cellStyle name="Calculation 7 3 7 2 3" xfId="43687" xr:uid="{00000000-0005-0000-0000-000088AA0000}"/>
    <cellStyle name="Calculation 7 3 7 2 4" xfId="43688" xr:uid="{00000000-0005-0000-0000-000089AA0000}"/>
    <cellStyle name="Calculation 7 3 7 2 5" xfId="43689" xr:uid="{00000000-0005-0000-0000-00008AAA0000}"/>
    <cellStyle name="Calculation 7 3 7 2 6" xfId="43690" xr:uid="{00000000-0005-0000-0000-00008BAA0000}"/>
    <cellStyle name="Calculation 7 3 7 3" xfId="43691" xr:uid="{00000000-0005-0000-0000-00008CAA0000}"/>
    <cellStyle name="Calculation 7 3 7 3 2" xfId="43692" xr:uid="{00000000-0005-0000-0000-00008DAA0000}"/>
    <cellStyle name="Calculation 7 3 7 3 3" xfId="43693" xr:uid="{00000000-0005-0000-0000-00008EAA0000}"/>
    <cellStyle name="Calculation 7 3 7 3 4" xfId="43694" xr:uid="{00000000-0005-0000-0000-00008FAA0000}"/>
    <cellStyle name="Calculation 7 3 7 3 5" xfId="43695" xr:uid="{00000000-0005-0000-0000-000090AA0000}"/>
    <cellStyle name="Calculation 7 3 7 3 6" xfId="43696" xr:uid="{00000000-0005-0000-0000-000091AA0000}"/>
    <cellStyle name="Calculation 7 3 7 4" xfId="43697" xr:uid="{00000000-0005-0000-0000-000092AA0000}"/>
    <cellStyle name="Calculation 7 3 7 4 2" xfId="43698" xr:uid="{00000000-0005-0000-0000-000093AA0000}"/>
    <cellStyle name="Calculation 7 3 7 4 3" xfId="43699" xr:uid="{00000000-0005-0000-0000-000094AA0000}"/>
    <cellStyle name="Calculation 7 3 7 4 4" xfId="43700" xr:uid="{00000000-0005-0000-0000-000095AA0000}"/>
    <cellStyle name="Calculation 7 3 7 4 5" xfId="43701" xr:uid="{00000000-0005-0000-0000-000096AA0000}"/>
    <cellStyle name="Calculation 7 3 7 4 6" xfId="43702" xr:uid="{00000000-0005-0000-0000-000097AA0000}"/>
    <cellStyle name="Calculation 7 3 7 5" xfId="43703" xr:uid="{00000000-0005-0000-0000-000098AA0000}"/>
    <cellStyle name="Calculation 7 3 7 5 2" xfId="43704" xr:uid="{00000000-0005-0000-0000-000099AA0000}"/>
    <cellStyle name="Calculation 7 3 7 5 3" xfId="43705" xr:uid="{00000000-0005-0000-0000-00009AAA0000}"/>
    <cellStyle name="Calculation 7 3 7 5 4" xfId="43706" xr:uid="{00000000-0005-0000-0000-00009BAA0000}"/>
    <cellStyle name="Calculation 7 3 7 5 5" xfId="43707" xr:uid="{00000000-0005-0000-0000-00009CAA0000}"/>
    <cellStyle name="Calculation 7 3 7 5 6" xfId="43708" xr:uid="{00000000-0005-0000-0000-00009DAA0000}"/>
    <cellStyle name="Calculation 7 3 7 6" xfId="43709" xr:uid="{00000000-0005-0000-0000-00009EAA0000}"/>
    <cellStyle name="Calculation 7 3 7 6 2" xfId="43710" xr:uid="{00000000-0005-0000-0000-00009FAA0000}"/>
    <cellStyle name="Calculation 7 3 7 6 3" xfId="43711" xr:uid="{00000000-0005-0000-0000-0000A0AA0000}"/>
    <cellStyle name="Calculation 7 3 7 6 4" xfId="43712" xr:uid="{00000000-0005-0000-0000-0000A1AA0000}"/>
    <cellStyle name="Calculation 7 3 7 6 5" xfId="43713" xr:uid="{00000000-0005-0000-0000-0000A2AA0000}"/>
    <cellStyle name="Calculation 7 3 7 6 6" xfId="43714" xr:uid="{00000000-0005-0000-0000-0000A3AA0000}"/>
    <cellStyle name="Calculation 7 3 7 7" xfId="43715" xr:uid="{00000000-0005-0000-0000-0000A4AA0000}"/>
    <cellStyle name="Calculation 7 3 7 7 2" xfId="43716" xr:uid="{00000000-0005-0000-0000-0000A5AA0000}"/>
    <cellStyle name="Calculation 7 3 7 7 3" xfId="43717" xr:uid="{00000000-0005-0000-0000-0000A6AA0000}"/>
    <cellStyle name="Calculation 7 3 7 7 4" xfId="43718" xr:uid="{00000000-0005-0000-0000-0000A7AA0000}"/>
    <cellStyle name="Calculation 7 3 7 7 5" xfId="43719" xr:uid="{00000000-0005-0000-0000-0000A8AA0000}"/>
    <cellStyle name="Calculation 7 3 7 7 6" xfId="43720" xr:uid="{00000000-0005-0000-0000-0000A9AA0000}"/>
    <cellStyle name="Calculation 7 3 7 8" xfId="43721" xr:uid="{00000000-0005-0000-0000-0000AAAA0000}"/>
    <cellStyle name="Calculation 7 3 7 9" xfId="43722" xr:uid="{00000000-0005-0000-0000-0000ABAA0000}"/>
    <cellStyle name="Calculation 7 3 8" xfId="43723" xr:uid="{00000000-0005-0000-0000-0000ACAA0000}"/>
    <cellStyle name="Calculation 7 3 8 10" xfId="43724" xr:uid="{00000000-0005-0000-0000-0000ADAA0000}"/>
    <cellStyle name="Calculation 7 3 8 2" xfId="43725" xr:uid="{00000000-0005-0000-0000-0000AEAA0000}"/>
    <cellStyle name="Calculation 7 3 8 2 2" xfId="43726" xr:uid="{00000000-0005-0000-0000-0000AFAA0000}"/>
    <cellStyle name="Calculation 7 3 8 2 3" xfId="43727" xr:uid="{00000000-0005-0000-0000-0000B0AA0000}"/>
    <cellStyle name="Calculation 7 3 8 2 4" xfId="43728" xr:uid="{00000000-0005-0000-0000-0000B1AA0000}"/>
    <cellStyle name="Calculation 7 3 8 2 5" xfId="43729" xr:uid="{00000000-0005-0000-0000-0000B2AA0000}"/>
    <cellStyle name="Calculation 7 3 8 2 6" xfId="43730" xr:uid="{00000000-0005-0000-0000-0000B3AA0000}"/>
    <cellStyle name="Calculation 7 3 8 3" xfId="43731" xr:uid="{00000000-0005-0000-0000-0000B4AA0000}"/>
    <cellStyle name="Calculation 7 3 8 3 2" xfId="43732" xr:uid="{00000000-0005-0000-0000-0000B5AA0000}"/>
    <cellStyle name="Calculation 7 3 8 3 3" xfId="43733" xr:uid="{00000000-0005-0000-0000-0000B6AA0000}"/>
    <cellStyle name="Calculation 7 3 8 3 4" xfId="43734" xr:uid="{00000000-0005-0000-0000-0000B7AA0000}"/>
    <cellStyle name="Calculation 7 3 8 3 5" xfId="43735" xr:uid="{00000000-0005-0000-0000-0000B8AA0000}"/>
    <cellStyle name="Calculation 7 3 8 3 6" xfId="43736" xr:uid="{00000000-0005-0000-0000-0000B9AA0000}"/>
    <cellStyle name="Calculation 7 3 8 4" xfId="43737" xr:uid="{00000000-0005-0000-0000-0000BAAA0000}"/>
    <cellStyle name="Calculation 7 3 8 4 2" xfId="43738" xr:uid="{00000000-0005-0000-0000-0000BBAA0000}"/>
    <cellStyle name="Calculation 7 3 8 4 3" xfId="43739" xr:uid="{00000000-0005-0000-0000-0000BCAA0000}"/>
    <cellStyle name="Calculation 7 3 8 4 4" xfId="43740" xr:uid="{00000000-0005-0000-0000-0000BDAA0000}"/>
    <cellStyle name="Calculation 7 3 8 4 5" xfId="43741" xr:uid="{00000000-0005-0000-0000-0000BEAA0000}"/>
    <cellStyle name="Calculation 7 3 8 4 6" xfId="43742" xr:uid="{00000000-0005-0000-0000-0000BFAA0000}"/>
    <cellStyle name="Calculation 7 3 8 5" xfId="43743" xr:uid="{00000000-0005-0000-0000-0000C0AA0000}"/>
    <cellStyle name="Calculation 7 3 8 5 2" xfId="43744" xr:uid="{00000000-0005-0000-0000-0000C1AA0000}"/>
    <cellStyle name="Calculation 7 3 8 5 3" xfId="43745" xr:uid="{00000000-0005-0000-0000-0000C2AA0000}"/>
    <cellStyle name="Calculation 7 3 8 5 4" xfId="43746" xr:uid="{00000000-0005-0000-0000-0000C3AA0000}"/>
    <cellStyle name="Calculation 7 3 8 5 5" xfId="43747" xr:uid="{00000000-0005-0000-0000-0000C4AA0000}"/>
    <cellStyle name="Calculation 7 3 8 5 6" xfId="43748" xr:uid="{00000000-0005-0000-0000-0000C5AA0000}"/>
    <cellStyle name="Calculation 7 3 8 6" xfId="43749" xr:uid="{00000000-0005-0000-0000-0000C6AA0000}"/>
    <cellStyle name="Calculation 7 3 8 6 2" xfId="43750" xr:uid="{00000000-0005-0000-0000-0000C7AA0000}"/>
    <cellStyle name="Calculation 7 3 8 6 3" xfId="43751" xr:uid="{00000000-0005-0000-0000-0000C8AA0000}"/>
    <cellStyle name="Calculation 7 3 8 6 4" xfId="43752" xr:uid="{00000000-0005-0000-0000-0000C9AA0000}"/>
    <cellStyle name="Calculation 7 3 8 6 5" xfId="43753" xr:uid="{00000000-0005-0000-0000-0000CAAA0000}"/>
    <cellStyle name="Calculation 7 3 8 6 6" xfId="43754" xr:uid="{00000000-0005-0000-0000-0000CBAA0000}"/>
    <cellStyle name="Calculation 7 3 8 7" xfId="43755" xr:uid="{00000000-0005-0000-0000-0000CCAA0000}"/>
    <cellStyle name="Calculation 7 3 8 7 2" xfId="43756" xr:uid="{00000000-0005-0000-0000-0000CDAA0000}"/>
    <cellStyle name="Calculation 7 3 8 7 3" xfId="43757" xr:uid="{00000000-0005-0000-0000-0000CEAA0000}"/>
    <cellStyle name="Calculation 7 3 8 7 4" xfId="43758" xr:uid="{00000000-0005-0000-0000-0000CFAA0000}"/>
    <cellStyle name="Calculation 7 3 8 7 5" xfId="43759" xr:uid="{00000000-0005-0000-0000-0000D0AA0000}"/>
    <cellStyle name="Calculation 7 3 8 7 6" xfId="43760" xr:uid="{00000000-0005-0000-0000-0000D1AA0000}"/>
    <cellStyle name="Calculation 7 3 8 8" xfId="43761" xr:uid="{00000000-0005-0000-0000-0000D2AA0000}"/>
    <cellStyle name="Calculation 7 3 8 9" xfId="43762" xr:uid="{00000000-0005-0000-0000-0000D3AA0000}"/>
    <cellStyle name="Calculation 7 3 9" xfId="43763" xr:uid="{00000000-0005-0000-0000-0000D4AA0000}"/>
    <cellStyle name="Calculation 7 3 9 10" xfId="43764" xr:uid="{00000000-0005-0000-0000-0000D5AA0000}"/>
    <cellStyle name="Calculation 7 3 9 2" xfId="43765" xr:uid="{00000000-0005-0000-0000-0000D6AA0000}"/>
    <cellStyle name="Calculation 7 3 9 2 2" xfId="43766" xr:uid="{00000000-0005-0000-0000-0000D7AA0000}"/>
    <cellStyle name="Calculation 7 3 9 2 3" xfId="43767" xr:uid="{00000000-0005-0000-0000-0000D8AA0000}"/>
    <cellStyle name="Calculation 7 3 9 2 4" xfId="43768" xr:uid="{00000000-0005-0000-0000-0000D9AA0000}"/>
    <cellStyle name="Calculation 7 3 9 2 5" xfId="43769" xr:uid="{00000000-0005-0000-0000-0000DAAA0000}"/>
    <cellStyle name="Calculation 7 3 9 2 6" xfId="43770" xr:uid="{00000000-0005-0000-0000-0000DBAA0000}"/>
    <cellStyle name="Calculation 7 3 9 3" xfId="43771" xr:uid="{00000000-0005-0000-0000-0000DCAA0000}"/>
    <cellStyle name="Calculation 7 3 9 3 2" xfId="43772" xr:uid="{00000000-0005-0000-0000-0000DDAA0000}"/>
    <cellStyle name="Calculation 7 3 9 3 3" xfId="43773" xr:uid="{00000000-0005-0000-0000-0000DEAA0000}"/>
    <cellStyle name="Calculation 7 3 9 3 4" xfId="43774" xr:uid="{00000000-0005-0000-0000-0000DFAA0000}"/>
    <cellStyle name="Calculation 7 3 9 3 5" xfId="43775" xr:uid="{00000000-0005-0000-0000-0000E0AA0000}"/>
    <cellStyle name="Calculation 7 3 9 3 6" xfId="43776" xr:uid="{00000000-0005-0000-0000-0000E1AA0000}"/>
    <cellStyle name="Calculation 7 3 9 4" xfId="43777" xr:uid="{00000000-0005-0000-0000-0000E2AA0000}"/>
    <cellStyle name="Calculation 7 3 9 4 2" xfId="43778" xr:uid="{00000000-0005-0000-0000-0000E3AA0000}"/>
    <cellStyle name="Calculation 7 3 9 4 3" xfId="43779" xr:uid="{00000000-0005-0000-0000-0000E4AA0000}"/>
    <cellStyle name="Calculation 7 3 9 4 4" xfId="43780" xr:uid="{00000000-0005-0000-0000-0000E5AA0000}"/>
    <cellStyle name="Calculation 7 3 9 4 5" xfId="43781" xr:uid="{00000000-0005-0000-0000-0000E6AA0000}"/>
    <cellStyle name="Calculation 7 3 9 4 6" xfId="43782" xr:uid="{00000000-0005-0000-0000-0000E7AA0000}"/>
    <cellStyle name="Calculation 7 3 9 5" xfId="43783" xr:uid="{00000000-0005-0000-0000-0000E8AA0000}"/>
    <cellStyle name="Calculation 7 3 9 5 2" xfId="43784" xr:uid="{00000000-0005-0000-0000-0000E9AA0000}"/>
    <cellStyle name="Calculation 7 3 9 5 3" xfId="43785" xr:uid="{00000000-0005-0000-0000-0000EAAA0000}"/>
    <cellStyle name="Calculation 7 3 9 5 4" xfId="43786" xr:uid="{00000000-0005-0000-0000-0000EBAA0000}"/>
    <cellStyle name="Calculation 7 3 9 5 5" xfId="43787" xr:uid="{00000000-0005-0000-0000-0000ECAA0000}"/>
    <cellStyle name="Calculation 7 3 9 5 6" xfId="43788" xr:uid="{00000000-0005-0000-0000-0000EDAA0000}"/>
    <cellStyle name="Calculation 7 3 9 6" xfId="43789" xr:uid="{00000000-0005-0000-0000-0000EEAA0000}"/>
    <cellStyle name="Calculation 7 3 9 6 2" xfId="43790" xr:uid="{00000000-0005-0000-0000-0000EFAA0000}"/>
    <cellStyle name="Calculation 7 3 9 6 3" xfId="43791" xr:uid="{00000000-0005-0000-0000-0000F0AA0000}"/>
    <cellStyle name="Calculation 7 3 9 6 4" xfId="43792" xr:uid="{00000000-0005-0000-0000-0000F1AA0000}"/>
    <cellStyle name="Calculation 7 3 9 6 5" xfId="43793" xr:uid="{00000000-0005-0000-0000-0000F2AA0000}"/>
    <cellStyle name="Calculation 7 3 9 6 6" xfId="43794" xr:uid="{00000000-0005-0000-0000-0000F3AA0000}"/>
    <cellStyle name="Calculation 7 3 9 7" xfId="43795" xr:uid="{00000000-0005-0000-0000-0000F4AA0000}"/>
    <cellStyle name="Calculation 7 3 9 7 2" xfId="43796" xr:uid="{00000000-0005-0000-0000-0000F5AA0000}"/>
    <cellStyle name="Calculation 7 3 9 7 3" xfId="43797" xr:uid="{00000000-0005-0000-0000-0000F6AA0000}"/>
    <cellStyle name="Calculation 7 3 9 7 4" xfId="43798" xr:uid="{00000000-0005-0000-0000-0000F7AA0000}"/>
    <cellStyle name="Calculation 7 3 9 7 5" xfId="43799" xr:uid="{00000000-0005-0000-0000-0000F8AA0000}"/>
    <cellStyle name="Calculation 7 3 9 7 6" xfId="43800" xr:uid="{00000000-0005-0000-0000-0000F9AA0000}"/>
    <cellStyle name="Calculation 7 3 9 8" xfId="43801" xr:uid="{00000000-0005-0000-0000-0000FAAA0000}"/>
    <cellStyle name="Calculation 7 3 9 9" xfId="43802" xr:uid="{00000000-0005-0000-0000-0000FBAA0000}"/>
    <cellStyle name="Calculation 7 30" xfId="43803" xr:uid="{00000000-0005-0000-0000-0000FCAA0000}"/>
    <cellStyle name="Calculation 7 30 2" xfId="43804" xr:uid="{00000000-0005-0000-0000-0000FDAA0000}"/>
    <cellStyle name="Calculation 7 30 3" xfId="43805" xr:uid="{00000000-0005-0000-0000-0000FEAA0000}"/>
    <cellStyle name="Calculation 7 30 4" xfId="43806" xr:uid="{00000000-0005-0000-0000-0000FFAA0000}"/>
    <cellStyle name="Calculation 7 30 5" xfId="43807" xr:uid="{00000000-0005-0000-0000-000000AB0000}"/>
    <cellStyle name="Calculation 7 30 6" xfId="43808" xr:uid="{00000000-0005-0000-0000-000001AB0000}"/>
    <cellStyle name="Calculation 7 31" xfId="43809" xr:uid="{00000000-0005-0000-0000-000002AB0000}"/>
    <cellStyle name="Calculation 7 31 2" xfId="43810" xr:uid="{00000000-0005-0000-0000-000003AB0000}"/>
    <cellStyle name="Calculation 7 31 3" xfId="43811" xr:uid="{00000000-0005-0000-0000-000004AB0000}"/>
    <cellStyle name="Calculation 7 31 4" xfId="43812" xr:uid="{00000000-0005-0000-0000-000005AB0000}"/>
    <cellStyle name="Calculation 7 31 5" xfId="43813" xr:uid="{00000000-0005-0000-0000-000006AB0000}"/>
    <cellStyle name="Calculation 7 31 6" xfId="43814" xr:uid="{00000000-0005-0000-0000-000007AB0000}"/>
    <cellStyle name="Calculation 7 32" xfId="43815" xr:uid="{00000000-0005-0000-0000-000008AB0000}"/>
    <cellStyle name="Calculation 7 33" xfId="43816" xr:uid="{00000000-0005-0000-0000-000009AB0000}"/>
    <cellStyle name="Calculation 7 34" xfId="43817" xr:uid="{00000000-0005-0000-0000-00000AAB0000}"/>
    <cellStyle name="Calculation 7 4" xfId="43818" xr:uid="{00000000-0005-0000-0000-00000BAB0000}"/>
    <cellStyle name="Calculation 7 4 10" xfId="43819" xr:uid="{00000000-0005-0000-0000-00000CAB0000}"/>
    <cellStyle name="Calculation 7 4 2" xfId="43820" xr:uid="{00000000-0005-0000-0000-00000DAB0000}"/>
    <cellStyle name="Calculation 7 4 2 2" xfId="43821" xr:uid="{00000000-0005-0000-0000-00000EAB0000}"/>
    <cellStyle name="Calculation 7 4 2 3" xfId="43822" xr:uid="{00000000-0005-0000-0000-00000FAB0000}"/>
    <cellStyle name="Calculation 7 4 2 4" xfId="43823" xr:uid="{00000000-0005-0000-0000-000010AB0000}"/>
    <cellStyle name="Calculation 7 4 2 5" xfId="43824" xr:uid="{00000000-0005-0000-0000-000011AB0000}"/>
    <cellStyle name="Calculation 7 4 2 6" xfId="43825" xr:uid="{00000000-0005-0000-0000-000012AB0000}"/>
    <cellStyle name="Calculation 7 4 3" xfId="43826" xr:uid="{00000000-0005-0000-0000-000013AB0000}"/>
    <cellStyle name="Calculation 7 4 3 2" xfId="43827" xr:uid="{00000000-0005-0000-0000-000014AB0000}"/>
    <cellStyle name="Calculation 7 4 3 3" xfId="43828" xr:uid="{00000000-0005-0000-0000-000015AB0000}"/>
    <cellStyle name="Calculation 7 4 3 4" xfId="43829" xr:uid="{00000000-0005-0000-0000-000016AB0000}"/>
    <cellStyle name="Calculation 7 4 3 5" xfId="43830" xr:uid="{00000000-0005-0000-0000-000017AB0000}"/>
    <cellStyle name="Calculation 7 4 3 6" xfId="43831" xr:uid="{00000000-0005-0000-0000-000018AB0000}"/>
    <cellStyle name="Calculation 7 4 4" xfId="43832" xr:uid="{00000000-0005-0000-0000-000019AB0000}"/>
    <cellStyle name="Calculation 7 4 4 2" xfId="43833" xr:uid="{00000000-0005-0000-0000-00001AAB0000}"/>
    <cellStyle name="Calculation 7 4 4 3" xfId="43834" xr:uid="{00000000-0005-0000-0000-00001BAB0000}"/>
    <cellStyle name="Calculation 7 4 4 4" xfId="43835" xr:uid="{00000000-0005-0000-0000-00001CAB0000}"/>
    <cellStyle name="Calculation 7 4 4 5" xfId="43836" xr:uid="{00000000-0005-0000-0000-00001DAB0000}"/>
    <cellStyle name="Calculation 7 4 4 6" xfId="43837" xr:uid="{00000000-0005-0000-0000-00001EAB0000}"/>
    <cellStyle name="Calculation 7 4 5" xfId="43838" xr:uid="{00000000-0005-0000-0000-00001FAB0000}"/>
    <cellStyle name="Calculation 7 4 5 2" xfId="43839" xr:uid="{00000000-0005-0000-0000-000020AB0000}"/>
    <cellStyle name="Calculation 7 4 5 3" xfId="43840" xr:uid="{00000000-0005-0000-0000-000021AB0000}"/>
    <cellStyle name="Calculation 7 4 5 4" xfId="43841" xr:uid="{00000000-0005-0000-0000-000022AB0000}"/>
    <cellStyle name="Calculation 7 4 5 5" xfId="43842" xr:uid="{00000000-0005-0000-0000-000023AB0000}"/>
    <cellStyle name="Calculation 7 4 5 6" xfId="43843" xr:uid="{00000000-0005-0000-0000-000024AB0000}"/>
    <cellStyle name="Calculation 7 4 6" xfId="43844" xr:uid="{00000000-0005-0000-0000-000025AB0000}"/>
    <cellStyle name="Calculation 7 4 6 2" xfId="43845" xr:uid="{00000000-0005-0000-0000-000026AB0000}"/>
    <cellStyle name="Calculation 7 4 6 3" xfId="43846" xr:uid="{00000000-0005-0000-0000-000027AB0000}"/>
    <cellStyle name="Calculation 7 4 6 4" xfId="43847" xr:uid="{00000000-0005-0000-0000-000028AB0000}"/>
    <cellStyle name="Calculation 7 4 6 5" xfId="43848" xr:uid="{00000000-0005-0000-0000-000029AB0000}"/>
    <cellStyle name="Calculation 7 4 6 6" xfId="43849" xr:uid="{00000000-0005-0000-0000-00002AAB0000}"/>
    <cellStyle name="Calculation 7 4 7" xfId="43850" xr:uid="{00000000-0005-0000-0000-00002BAB0000}"/>
    <cellStyle name="Calculation 7 4 7 2" xfId="43851" xr:uid="{00000000-0005-0000-0000-00002CAB0000}"/>
    <cellStyle name="Calculation 7 4 7 3" xfId="43852" xr:uid="{00000000-0005-0000-0000-00002DAB0000}"/>
    <cellStyle name="Calculation 7 4 7 4" xfId="43853" xr:uid="{00000000-0005-0000-0000-00002EAB0000}"/>
    <cellStyle name="Calculation 7 4 7 5" xfId="43854" xr:uid="{00000000-0005-0000-0000-00002FAB0000}"/>
    <cellStyle name="Calculation 7 4 7 6" xfId="43855" xr:uid="{00000000-0005-0000-0000-000030AB0000}"/>
    <cellStyle name="Calculation 7 4 8" xfId="43856" xr:uid="{00000000-0005-0000-0000-000031AB0000}"/>
    <cellStyle name="Calculation 7 4 9" xfId="43857" xr:uid="{00000000-0005-0000-0000-000032AB0000}"/>
    <cellStyle name="Calculation 7 5" xfId="43858" xr:uid="{00000000-0005-0000-0000-000033AB0000}"/>
    <cellStyle name="Calculation 7 5 10" xfId="43859" xr:uid="{00000000-0005-0000-0000-000034AB0000}"/>
    <cellStyle name="Calculation 7 5 2" xfId="43860" xr:uid="{00000000-0005-0000-0000-000035AB0000}"/>
    <cellStyle name="Calculation 7 5 2 2" xfId="43861" xr:uid="{00000000-0005-0000-0000-000036AB0000}"/>
    <cellStyle name="Calculation 7 5 2 3" xfId="43862" xr:uid="{00000000-0005-0000-0000-000037AB0000}"/>
    <cellStyle name="Calculation 7 5 2 4" xfId="43863" xr:uid="{00000000-0005-0000-0000-000038AB0000}"/>
    <cellStyle name="Calculation 7 5 2 5" xfId="43864" xr:uid="{00000000-0005-0000-0000-000039AB0000}"/>
    <cellStyle name="Calculation 7 5 2 6" xfId="43865" xr:uid="{00000000-0005-0000-0000-00003AAB0000}"/>
    <cellStyle name="Calculation 7 5 3" xfId="43866" xr:uid="{00000000-0005-0000-0000-00003BAB0000}"/>
    <cellStyle name="Calculation 7 5 3 2" xfId="43867" xr:uid="{00000000-0005-0000-0000-00003CAB0000}"/>
    <cellStyle name="Calculation 7 5 3 3" xfId="43868" xr:uid="{00000000-0005-0000-0000-00003DAB0000}"/>
    <cellStyle name="Calculation 7 5 3 4" xfId="43869" xr:uid="{00000000-0005-0000-0000-00003EAB0000}"/>
    <cellStyle name="Calculation 7 5 3 5" xfId="43870" xr:uid="{00000000-0005-0000-0000-00003FAB0000}"/>
    <cellStyle name="Calculation 7 5 3 6" xfId="43871" xr:uid="{00000000-0005-0000-0000-000040AB0000}"/>
    <cellStyle name="Calculation 7 5 4" xfId="43872" xr:uid="{00000000-0005-0000-0000-000041AB0000}"/>
    <cellStyle name="Calculation 7 5 4 2" xfId="43873" xr:uid="{00000000-0005-0000-0000-000042AB0000}"/>
    <cellStyle name="Calculation 7 5 4 3" xfId="43874" xr:uid="{00000000-0005-0000-0000-000043AB0000}"/>
    <cellStyle name="Calculation 7 5 4 4" xfId="43875" xr:uid="{00000000-0005-0000-0000-000044AB0000}"/>
    <cellStyle name="Calculation 7 5 4 5" xfId="43876" xr:uid="{00000000-0005-0000-0000-000045AB0000}"/>
    <cellStyle name="Calculation 7 5 4 6" xfId="43877" xr:uid="{00000000-0005-0000-0000-000046AB0000}"/>
    <cellStyle name="Calculation 7 5 5" xfId="43878" xr:uid="{00000000-0005-0000-0000-000047AB0000}"/>
    <cellStyle name="Calculation 7 5 5 2" xfId="43879" xr:uid="{00000000-0005-0000-0000-000048AB0000}"/>
    <cellStyle name="Calculation 7 5 5 3" xfId="43880" xr:uid="{00000000-0005-0000-0000-000049AB0000}"/>
    <cellStyle name="Calculation 7 5 5 4" xfId="43881" xr:uid="{00000000-0005-0000-0000-00004AAB0000}"/>
    <cellStyle name="Calculation 7 5 5 5" xfId="43882" xr:uid="{00000000-0005-0000-0000-00004BAB0000}"/>
    <cellStyle name="Calculation 7 5 5 6" xfId="43883" xr:uid="{00000000-0005-0000-0000-00004CAB0000}"/>
    <cellStyle name="Calculation 7 5 6" xfId="43884" xr:uid="{00000000-0005-0000-0000-00004DAB0000}"/>
    <cellStyle name="Calculation 7 5 6 2" xfId="43885" xr:uid="{00000000-0005-0000-0000-00004EAB0000}"/>
    <cellStyle name="Calculation 7 5 6 3" xfId="43886" xr:uid="{00000000-0005-0000-0000-00004FAB0000}"/>
    <cellStyle name="Calculation 7 5 6 4" xfId="43887" xr:uid="{00000000-0005-0000-0000-000050AB0000}"/>
    <cellStyle name="Calculation 7 5 6 5" xfId="43888" xr:uid="{00000000-0005-0000-0000-000051AB0000}"/>
    <cellStyle name="Calculation 7 5 6 6" xfId="43889" xr:uid="{00000000-0005-0000-0000-000052AB0000}"/>
    <cellStyle name="Calculation 7 5 7" xfId="43890" xr:uid="{00000000-0005-0000-0000-000053AB0000}"/>
    <cellStyle name="Calculation 7 5 7 2" xfId="43891" xr:uid="{00000000-0005-0000-0000-000054AB0000}"/>
    <cellStyle name="Calculation 7 5 7 3" xfId="43892" xr:uid="{00000000-0005-0000-0000-000055AB0000}"/>
    <cellStyle name="Calculation 7 5 7 4" xfId="43893" xr:uid="{00000000-0005-0000-0000-000056AB0000}"/>
    <cellStyle name="Calculation 7 5 7 5" xfId="43894" xr:uid="{00000000-0005-0000-0000-000057AB0000}"/>
    <cellStyle name="Calculation 7 5 7 6" xfId="43895" xr:uid="{00000000-0005-0000-0000-000058AB0000}"/>
    <cellStyle name="Calculation 7 5 8" xfId="43896" xr:uid="{00000000-0005-0000-0000-000059AB0000}"/>
    <cellStyle name="Calculation 7 5 9" xfId="43897" xr:uid="{00000000-0005-0000-0000-00005AAB0000}"/>
    <cellStyle name="Calculation 7 6" xfId="43898" xr:uid="{00000000-0005-0000-0000-00005BAB0000}"/>
    <cellStyle name="Calculation 7 6 10" xfId="43899" xr:uid="{00000000-0005-0000-0000-00005CAB0000}"/>
    <cellStyle name="Calculation 7 6 2" xfId="43900" xr:uid="{00000000-0005-0000-0000-00005DAB0000}"/>
    <cellStyle name="Calculation 7 6 2 2" xfId="43901" xr:uid="{00000000-0005-0000-0000-00005EAB0000}"/>
    <cellStyle name="Calculation 7 6 2 3" xfId="43902" xr:uid="{00000000-0005-0000-0000-00005FAB0000}"/>
    <cellStyle name="Calculation 7 6 2 4" xfId="43903" xr:uid="{00000000-0005-0000-0000-000060AB0000}"/>
    <cellStyle name="Calculation 7 6 2 5" xfId="43904" xr:uid="{00000000-0005-0000-0000-000061AB0000}"/>
    <cellStyle name="Calculation 7 6 2 6" xfId="43905" xr:uid="{00000000-0005-0000-0000-000062AB0000}"/>
    <cellStyle name="Calculation 7 6 3" xfId="43906" xr:uid="{00000000-0005-0000-0000-000063AB0000}"/>
    <cellStyle name="Calculation 7 6 3 2" xfId="43907" xr:uid="{00000000-0005-0000-0000-000064AB0000}"/>
    <cellStyle name="Calculation 7 6 3 3" xfId="43908" xr:uid="{00000000-0005-0000-0000-000065AB0000}"/>
    <cellStyle name="Calculation 7 6 3 4" xfId="43909" xr:uid="{00000000-0005-0000-0000-000066AB0000}"/>
    <cellStyle name="Calculation 7 6 3 5" xfId="43910" xr:uid="{00000000-0005-0000-0000-000067AB0000}"/>
    <cellStyle name="Calculation 7 6 3 6" xfId="43911" xr:uid="{00000000-0005-0000-0000-000068AB0000}"/>
    <cellStyle name="Calculation 7 6 4" xfId="43912" xr:uid="{00000000-0005-0000-0000-000069AB0000}"/>
    <cellStyle name="Calculation 7 6 4 2" xfId="43913" xr:uid="{00000000-0005-0000-0000-00006AAB0000}"/>
    <cellStyle name="Calculation 7 6 4 3" xfId="43914" xr:uid="{00000000-0005-0000-0000-00006BAB0000}"/>
    <cellStyle name="Calculation 7 6 4 4" xfId="43915" xr:uid="{00000000-0005-0000-0000-00006CAB0000}"/>
    <cellStyle name="Calculation 7 6 4 5" xfId="43916" xr:uid="{00000000-0005-0000-0000-00006DAB0000}"/>
    <cellStyle name="Calculation 7 6 4 6" xfId="43917" xr:uid="{00000000-0005-0000-0000-00006EAB0000}"/>
    <cellStyle name="Calculation 7 6 5" xfId="43918" xr:uid="{00000000-0005-0000-0000-00006FAB0000}"/>
    <cellStyle name="Calculation 7 6 5 2" xfId="43919" xr:uid="{00000000-0005-0000-0000-000070AB0000}"/>
    <cellStyle name="Calculation 7 6 5 3" xfId="43920" xr:uid="{00000000-0005-0000-0000-000071AB0000}"/>
    <cellStyle name="Calculation 7 6 5 4" xfId="43921" xr:uid="{00000000-0005-0000-0000-000072AB0000}"/>
    <cellStyle name="Calculation 7 6 5 5" xfId="43922" xr:uid="{00000000-0005-0000-0000-000073AB0000}"/>
    <cellStyle name="Calculation 7 6 5 6" xfId="43923" xr:uid="{00000000-0005-0000-0000-000074AB0000}"/>
    <cellStyle name="Calculation 7 6 6" xfId="43924" xr:uid="{00000000-0005-0000-0000-000075AB0000}"/>
    <cellStyle name="Calculation 7 6 6 2" xfId="43925" xr:uid="{00000000-0005-0000-0000-000076AB0000}"/>
    <cellStyle name="Calculation 7 6 6 3" xfId="43926" xr:uid="{00000000-0005-0000-0000-000077AB0000}"/>
    <cellStyle name="Calculation 7 6 6 4" xfId="43927" xr:uid="{00000000-0005-0000-0000-000078AB0000}"/>
    <cellStyle name="Calculation 7 6 6 5" xfId="43928" xr:uid="{00000000-0005-0000-0000-000079AB0000}"/>
    <cellStyle name="Calculation 7 6 6 6" xfId="43929" xr:uid="{00000000-0005-0000-0000-00007AAB0000}"/>
    <cellStyle name="Calculation 7 6 7" xfId="43930" xr:uid="{00000000-0005-0000-0000-00007BAB0000}"/>
    <cellStyle name="Calculation 7 6 7 2" xfId="43931" xr:uid="{00000000-0005-0000-0000-00007CAB0000}"/>
    <cellStyle name="Calculation 7 6 7 3" xfId="43932" xr:uid="{00000000-0005-0000-0000-00007DAB0000}"/>
    <cellStyle name="Calculation 7 6 7 4" xfId="43933" xr:uid="{00000000-0005-0000-0000-00007EAB0000}"/>
    <cellStyle name="Calculation 7 6 7 5" xfId="43934" xr:uid="{00000000-0005-0000-0000-00007FAB0000}"/>
    <cellStyle name="Calculation 7 6 7 6" xfId="43935" xr:uid="{00000000-0005-0000-0000-000080AB0000}"/>
    <cellStyle name="Calculation 7 6 8" xfId="43936" xr:uid="{00000000-0005-0000-0000-000081AB0000}"/>
    <cellStyle name="Calculation 7 6 9" xfId="43937" xr:uid="{00000000-0005-0000-0000-000082AB0000}"/>
    <cellStyle name="Calculation 7 7" xfId="43938" xr:uid="{00000000-0005-0000-0000-000083AB0000}"/>
    <cellStyle name="Calculation 7 7 10" xfId="43939" xr:uid="{00000000-0005-0000-0000-000084AB0000}"/>
    <cellStyle name="Calculation 7 7 2" xfId="43940" xr:uid="{00000000-0005-0000-0000-000085AB0000}"/>
    <cellStyle name="Calculation 7 7 2 2" xfId="43941" xr:uid="{00000000-0005-0000-0000-000086AB0000}"/>
    <cellStyle name="Calculation 7 7 2 3" xfId="43942" xr:uid="{00000000-0005-0000-0000-000087AB0000}"/>
    <cellStyle name="Calculation 7 7 2 4" xfId="43943" xr:uid="{00000000-0005-0000-0000-000088AB0000}"/>
    <cellStyle name="Calculation 7 7 2 5" xfId="43944" xr:uid="{00000000-0005-0000-0000-000089AB0000}"/>
    <cellStyle name="Calculation 7 7 2 6" xfId="43945" xr:uid="{00000000-0005-0000-0000-00008AAB0000}"/>
    <cellStyle name="Calculation 7 7 3" xfId="43946" xr:uid="{00000000-0005-0000-0000-00008BAB0000}"/>
    <cellStyle name="Calculation 7 7 3 2" xfId="43947" xr:uid="{00000000-0005-0000-0000-00008CAB0000}"/>
    <cellStyle name="Calculation 7 7 3 3" xfId="43948" xr:uid="{00000000-0005-0000-0000-00008DAB0000}"/>
    <cellStyle name="Calculation 7 7 3 4" xfId="43949" xr:uid="{00000000-0005-0000-0000-00008EAB0000}"/>
    <cellStyle name="Calculation 7 7 3 5" xfId="43950" xr:uid="{00000000-0005-0000-0000-00008FAB0000}"/>
    <cellStyle name="Calculation 7 7 3 6" xfId="43951" xr:uid="{00000000-0005-0000-0000-000090AB0000}"/>
    <cellStyle name="Calculation 7 7 4" xfId="43952" xr:uid="{00000000-0005-0000-0000-000091AB0000}"/>
    <cellStyle name="Calculation 7 7 4 2" xfId="43953" xr:uid="{00000000-0005-0000-0000-000092AB0000}"/>
    <cellStyle name="Calculation 7 7 4 3" xfId="43954" xr:uid="{00000000-0005-0000-0000-000093AB0000}"/>
    <cellStyle name="Calculation 7 7 4 4" xfId="43955" xr:uid="{00000000-0005-0000-0000-000094AB0000}"/>
    <cellStyle name="Calculation 7 7 4 5" xfId="43956" xr:uid="{00000000-0005-0000-0000-000095AB0000}"/>
    <cellStyle name="Calculation 7 7 4 6" xfId="43957" xr:uid="{00000000-0005-0000-0000-000096AB0000}"/>
    <cellStyle name="Calculation 7 7 5" xfId="43958" xr:uid="{00000000-0005-0000-0000-000097AB0000}"/>
    <cellStyle name="Calculation 7 7 5 2" xfId="43959" xr:uid="{00000000-0005-0000-0000-000098AB0000}"/>
    <cellStyle name="Calculation 7 7 5 3" xfId="43960" xr:uid="{00000000-0005-0000-0000-000099AB0000}"/>
    <cellStyle name="Calculation 7 7 5 4" xfId="43961" xr:uid="{00000000-0005-0000-0000-00009AAB0000}"/>
    <cellStyle name="Calculation 7 7 5 5" xfId="43962" xr:uid="{00000000-0005-0000-0000-00009BAB0000}"/>
    <cellStyle name="Calculation 7 7 5 6" xfId="43963" xr:uid="{00000000-0005-0000-0000-00009CAB0000}"/>
    <cellStyle name="Calculation 7 7 6" xfId="43964" xr:uid="{00000000-0005-0000-0000-00009DAB0000}"/>
    <cellStyle name="Calculation 7 7 6 2" xfId="43965" xr:uid="{00000000-0005-0000-0000-00009EAB0000}"/>
    <cellStyle name="Calculation 7 7 6 3" xfId="43966" xr:uid="{00000000-0005-0000-0000-00009FAB0000}"/>
    <cellStyle name="Calculation 7 7 6 4" xfId="43967" xr:uid="{00000000-0005-0000-0000-0000A0AB0000}"/>
    <cellStyle name="Calculation 7 7 6 5" xfId="43968" xr:uid="{00000000-0005-0000-0000-0000A1AB0000}"/>
    <cellStyle name="Calculation 7 7 6 6" xfId="43969" xr:uid="{00000000-0005-0000-0000-0000A2AB0000}"/>
    <cellStyle name="Calculation 7 7 7" xfId="43970" xr:uid="{00000000-0005-0000-0000-0000A3AB0000}"/>
    <cellStyle name="Calculation 7 7 7 2" xfId="43971" xr:uid="{00000000-0005-0000-0000-0000A4AB0000}"/>
    <cellStyle name="Calculation 7 7 7 3" xfId="43972" xr:uid="{00000000-0005-0000-0000-0000A5AB0000}"/>
    <cellStyle name="Calculation 7 7 7 4" xfId="43973" xr:uid="{00000000-0005-0000-0000-0000A6AB0000}"/>
    <cellStyle name="Calculation 7 7 7 5" xfId="43974" xr:uid="{00000000-0005-0000-0000-0000A7AB0000}"/>
    <cellStyle name="Calculation 7 7 7 6" xfId="43975" xr:uid="{00000000-0005-0000-0000-0000A8AB0000}"/>
    <cellStyle name="Calculation 7 7 8" xfId="43976" xr:uid="{00000000-0005-0000-0000-0000A9AB0000}"/>
    <cellStyle name="Calculation 7 7 9" xfId="43977" xr:uid="{00000000-0005-0000-0000-0000AAAB0000}"/>
    <cellStyle name="Calculation 7 8" xfId="43978" xr:uid="{00000000-0005-0000-0000-0000ABAB0000}"/>
    <cellStyle name="Calculation 7 8 10" xfId="43979" xr:uid="{00000000-0005-0000-0000-0000ACAB0000}"/>
    <cellStyle name="Calculation 7 8 2" xfId="43980" xr:uid="{00000000-0005-0000-0000-0000ADAB0000}"/>
    <cellStyle name="Calculation 7 8 2 2" xfId="43981" xr:uid="{00000000-0005-0000-0000-0000AEAB0000}"/>
    <cellStyle name="Calculation 7 8 2 3" xfId="43982" xr:uid="{00000000-0005-0000-0000-0000AFAB0000}"/>
    <cellStyle name="Calculation 7 8 2 4" xfId="43983" xr:uid="{00000000-0005-0000-0000-0000B0AB0000}"/>
    <cellStyle name="Calculation 7 8 2 5" xfId="43984" xr:uid="{00000000-0005-0000-0000-0000B1AB0000}"/>
    <cellStyle name="Calculation 7 8 2 6" xfId="43985" xr:uid="{00000000-0005-0000-0000-0000B2AB0000}"/>
    <cellStyle name="Calculation 7 8 3" xfId="43986" xr:uid="{00000000-0005-0000-0000-0000B3AB0000}"/>
    <cellStyle name="Calculation 7 8 3 2" xfId="43987" xr:uid="{00000000-0005-0000-0000-0000B4AB0000}"/>
    <cellStyle name="Calculation 7 8 3 3" xfId="43988" xr:uid="{00000000-0005-0000-0000-0000B5AB0000}"/>
    <cellStyle name="Calculation 7 8 3 4" xfId="43989" xr:uid="{00000000-0005-0000-0000-0000B6AB0000}"/>
    <cellStyle name="Calculation 7 8 3 5" xfId="43990" xr:uid="{00000000-0005-0000-0000-0000B7AB0000}"/>
    <cellStyle name="Calculation 7 8 3 6" xfId="43991" xr:uid="{00000000-0005-0000-0000-0000B8AB0000}"/>
    <cellStyle name="Calculation 7 8 4" xfId="43992" xr:uid="{00000000-0005-0000-0000-0000B9AB0000}"/>
    <cellStyle name="Calculation 7 8 4 2" xfId="43993" xr:uid="{00000000-0005-0000-0000-0000BAAB0000}"/>
    <cellStyle name="Calculation 7 8 4 3" xfId="43994" xr:uid="{00000000-0005-0000-0000-0000BBAB0000}"/>
    <cellStyle name="Calculation 7 8 4 4" xfId="43995" xr:uid="{00000000-0005-0000-0000-0000BCAB0000}"/>
    <cellStyle name="Calculation 7 8 4 5" xfId="43996" xr:uid="{00000000-0005-0000-0000-0000BDAB0000}"/>
    <cellStyle name="Calculation 7 8 4 6" xfId="43997" xr:uid="{00000000-0005-0000-0000-0000BEAB0000}"/>
    <cellStyle name="Calculation 7 8 5" xfId="43998" xr:uid="{00000000-0005-0000-0000-0000BFAB0000}"/>
    <cellStyle name="Calculation 7 8 5 2" xfId="43999" xr:uid="{00000000-0005-0000-0000-0000C0AB0000}"/>
    <cellStyle name="Calculation 7 8 5 3" xfId="44000" xr:uid="{00000000-0005-0000-0000-0000C1AB0000}"/>
    <cellStyle name="Calculation 7 8 5 4" xfId="44001" xr:uid="{00000000-0005-0000-0000-0000C2AB0000}"/>
    <cellStyle name="Calculation 7 8 5 5" xfId="44002" xr:uid="{00000000-0005-0000-0000-0000C3AB0000}"/>
    <cellStyle name="Calculation 7 8 5 6" xfId="44003" xr:uid="{00000000-0005-0000-0000-0000C4AB0000}"/>
    <cellStyle name="Calculation 7 8 6" xfId="44004" xr:uid="{00000000-0005-0000-0000-0000C5AB0000}"/>
    <cellStyle name="Calculation 7 8 6 2" xfId="44005" xr:uid="{00000000-0005-0000-0000-0000C6AB0000}"/>
    <cellStyle name="Calculation 7 8 6 3" xfId="44006" xr:uid="{00000000-0005-0000-0000-0000C7AB0000}"/>
    <cellStyle name="Calculation 7 8 6 4" xfId="44007" xr:uid="{00000000-0005-0000-0000-0000C8AB0000}"/>
    <cellStyle name="Calculation 7 8 6 5" xfId="44008" xr:uid="{00000000-0005-0000-0000-0000C9AB0000}"/>
    <cellStyle name="Calculation 7 8 6 6" xfId="44009" xr:uid="{00000000-0005-0000-0000-0000CAAB0000}"/>
    <cellStyle name="Calculation 7 8 7" xfId="44010" xr:uid="{00000000-0005-0000-0000-0000CBAB0000}"/>
    <cellStyle name="Calculation 7 8 7 2" xfId="44011" xr:uid="{00000000-0005-0000-0000-0000CCAB0000}"/>
    <cellStyle name="Calculation 7 8 7 3" xfId="44012" xr:uid="{00000000-0005-0000-0000-0000CDAB0000}"/>
    <cellStyle name="Calculation 7 8 7 4" xfId="44013" xr:uid="{00000000-0005-0000-0000-0000CEAB0000}"/>
    <cellStyle name="Calculation 7 8 7 5" xfId="44014" xr:uid="{00000000-0005-0000-0000-0000CFAB0000}"/>
    <cellStyle name="Calculation 7 8 7 6" xfId="44015" xr:uid="{00000000-0005-0000-0000-0000D0AB0000}"/>
    <cellStyle name="Calculation 7 8 8" xfId="44016" xr:uid="{00000000-0005-0000-0000-0000D1AB0000}"/>
    <cellStyle name="Calculation 7 8 9" xfId="44017" xr:uid="{00000000-0005-0000-0000-0000D2AB0000}"/>
    <cellStyle name="Calculation 7 9" xfId="44018" xr:uid="{00000000-0005-0000-0000-0000D3AB0000}"/>
    <cellStyle name="Calculation 7 9 10" xfId="44019" xr:uid="{00000000-0005-0000-0000-0000D4AB0000}"/>
    <cellStyle name="Calculation 7 9 2" xfId="44020" xr:uid="{00000000-0005-0000-0000-0000D5AB0000}"/>
    <cellStyle name="Calculation 7 9 2 2" xfId="44021" xr:uid="{00000000-0005-0000-0000-0000D6AB0000}"/>
    <cellStyle name="Calculation 7 9 2 3" xfId="44022" xr:uid="{00000000-0005-0000-0000-0000D7AB0000}"/>
    <cellStyle name="Calculation 7 9 2 4" xfId="44023" xr:uid="{00000000-0005-0000-0000-0000D8AB0000}"/>
    <cellStyle name="Calculation 7 9 2 5" xfId="44024" xr:uid="{00000000-0005-0000-0000-0000D9AB0000}"/>
    <cellStyle name="Calculation 7 9 2 6" xfId="44025" xr:uid="{00000000-0005-0000-0000-0000DAAB0000}"/>
    <cellStyle name="Calculation 7 9 3" xfId="44026" xr:uid="{00000000-0005-0000-0000-0000DBAB0000}"/>
    <cellStyle name="Calculation 7 9 3 2" xfId="44027" xr:uid="{00000000-0005-0000-0000-0000DCAB0000}"/>
    <cellStyle name="Calculation 7 9 3 3" xfId="44028" xr:uid="{00000000-0005-0000-0000-0000DDAB0000}"/>
    <cellStyle name="Calculation 7 9 3 4" xfId="44029" xr:uid="{00000000-0005-0000-0000-0000DEAB0000}"/>
    <cellStyle name="Calculation 7 9 3 5" xfId="44030" xr:uid="{00000000-0005-0000-0000-0000DFAB0000}"/>
    <cellStyle name="Calculation 7 9 3 6" xfId="44031" xr:uid="{00000000-0005-0000-0000-0000E0AB0000}"/>
    <cellStyle name="Calculation 7 9 4" xfId="44032" xr:uid="{00000000-0005-0000-0000-0000E1AB0000}"/>
    <cellStyle name="Calculation 7 9 4 2" xfId="44033" xr:uid="{00000000-0005-0000-0000-0000E2AB0000}"/>
    <cellStyle name="Calculation 7 9 4 3" xfId="44034" xr:uid="{00000000-0005-0000-0000-0000E3AB0000}"/>
    <cellStyle name="Calculation 7 9 4 4" xfId="44035" xr:uid="{00000000-0005-0000-0000-0000E4AB0000}"/>
    <cellStyle name="Calculation 7 9 4 5" xfId="44036" xr:uid="{00000000-0005-0000-0000-0000E5AB0000}"/>
    <cellStyle name="Calculation 7 9 4 6" xfId="44037" xr:uid="{00000000-0005-0000-0000-0000E6AB0000}"/>
    <cellStyle name="Calculation 7 9 5" xfId="44038" xr:uid="{00000000-0005-0000-0000-0000E7AB0000}"/>
    <cellStyle name="Calculation 7 9 5 2" xfId="44039" xr:uid="{00000000-0005-0000-0000-0000E8AB0000}"/>
    <cellStyle name="Calculation 7 9 5 3" xfId="44040" xr:uid="{00000000-0005-0000-0000-0000E9AB0000}"/>
    <cellStyle name="Calculation 7 9 5 4" xfId="44041" xr:uid="{00000000-0005-0000-0000-0000EAAB0000}"/>
    <cellStyle name="Calculation 7 9 5 5" xfId="44042" xr:uid="{00000000-0005-0000-0000-0000EBAB0000}"/>
    <cellStyle name="Calculation 7 9 5 6" xfId="44043" xr:uid="{00000000-0005-0000-0000-0000ECAB0000}"/>
    <cellStyle name="Calculation 7 9 6" xfId="44044" xr:uid="{00000000-0005-0000-0000-0000EDAB0000}"/>
    <cellStyle name="Calculation 7 9 6 2" xfId="44045" xr:uid="{00000000-0005-0000-0000-0000EEAB0000}"/>
    <cellStyle name="Calculation 7 9 6 3" xfId="44046" xr:uid="{00000000-0005-0000-0000-0000EFAB0000}"/>
    <cellStyle name="Calculation 7 9 6 4" xfId="44047" xr:uid="{00000000-0005-0000-0000-0000F0AB0000}"/>
    <cellStyle name="Calculation 7 9 6 5" xfId="44048" xr:uid="{00000000-0005-0000-0000-0000F1AB0000}"/>
    <cellStyle name="Calculation 7 9 6 6" xfId="44049" xr:uid="{00000000-0005-0000-0000-0000F2AB0000}"/>
    <cellStyle name="Calculation 7 9 7" xfId="44050" xr:uid="{00000000-0005-0000-0000-0000F3AB0000}"/>
    <cellStyle name="Calculation 7 9 7 2" xfId="44051" xr:uid="{00000000-0005-0000-0000-0000F4AB0000}"/>
    <cellStyle name="Calculation 7 9 7 3" xfId="44052" xr:uid="{00000000-0005-0000-0000-0000F5AB0000}"/>
    <cellStyle name="Calculation 7 9 7 4" xfId="44053" xr:uid="{00000000-0005-0000-0000-0000F6AB0000}"/>
    <cellStyle name="Calculation 7 9 7 5" xfId="44054" xr:uid="{00000000-0005-0000-0000-0000F7AB0000}"/>
    <cellStyle name="Calculation 7 9 7 6" xfId="44055" xr:uid="{00000000-0005-0000-0000-0000F8AB0000}"/>
    <cellStyle name="Calculation 7 9 8" xfId="44056" xr:uid="{00000000-0005-0000-0000-0000F9AB0000}"/>
    <cellStyle name="Calculation 7 9 9" xfId="44057" xr:uid="{00000000-0005-0000-0000-0000FAAB0000}"/>
    <cellStyle name="Calculation 8" xfId="44058" xr:uid="{00000000-0005-0000-0000-0000FBAB0000}"/>
    <cellStyle name="Calculation 8 10" xfId="44059" xr:uid="{00000000-0005-0000-0000-0000FCAB0000}"/>
    <cellStyle name="Calculation 8 10 10" xfId="44060" xr:uid="{00000000-0005-0000-0000-0000FDAB0000}"/>
    <cellStyle name="Calculation 8 10 2" xfId="44061" xr:uid="{00000000-0005-0000-0000-0000FEAB0000}"/>
    <cellStyle name="Calculation 8 10 2 2" xfId="44062" xr:uid="{00000000-0005-0000-0000-0000FFAB0000}"/>
    <cellStyle name="Calculation 8 10 2 3" xfId="44063" xr:uid="{00000000-0005-0000-0000-000000AC0000}"/>
    <cellStyle name="Calculation 8 10 2 4" xfId="44064" xr:uid="{00000000-0005-0000-0000-000001AC0000}"/>
    <cellStyle name="Calculation 8 10 2 5" xfId="44065" xr:uid="{00000000-0005-0000-0000-000002AC0000}"/>
    <cellStyle name="Calculation 8 10 2 6" xfId="44066" xr:uid="{00000000-0005-0000-0000-000003AC0000}"/>
    <cellStyle name="Calculation 8 10 3" xfId="44067" xr:uid="{00000000-0005-0000-0000-000004AC0000}"/>
    <cellStyle name="Calculation 8 10 3 2" xfId="44068" xr:uid="{00000000-0005-0000-0000-000005AC0000}"/>
    <cellStyle name="Calculation 8 10 3 3" xfId="44069" xr:uid="{00000000-0005-0000-0000-000006AC0000}"/>
    <cellStyle name="Calculation 8 10 3 4" xfId="44070" xr:uid="{00000000-0005-0000-0000-000007AC0000}"/>
    <cellStyle name="Calculation 8 10 3 5" xfId="44071" xr:uid="{00000000-0005-0000-0000-000008AC0000}"/>
    <cellStyle name="Calculation 8 10 3 6" xfId="44072" xr:uid="{00000000-0005-0000-0000-000009AC0000}"/>
    <cellStyle name="Calculation 8 10 4" xfId="44073" xr:uid="{00000000-0005-0000-0000-00000AAC0000}"/>
    <cellStyle name="Calculation 8 10 4 2" xfId="44074" xr:uid="{00000000-0005-0000-0000-00000BAC0000}"/>
    <cellStyle name="Calculation 8 10 4 3" xfId="44075" xr:uid="{00000000-0005-0000-0000-00000CAC0000}"/>
    <cellStyle name="Calculation 8 10 4 4" xfId="44076" xr:uid="{00000000-0005-0000-0000-00000DAC0000}"/>
    <cellStyle name="Calculation 8 10 4 5" xfId="44077" xr:uid="{00000000-0005-0000-0000-00000EAC0000}"/>
    <cellStyle name="Calculation 8 10 4 6" xfId="44078" xr:uid="{00000000-0005-0000-0000-00000FAC0000}"/>
    <cellStyle name="Calculation 8 10 5" xfId="44079" xr:uid="{00000000-0005-0000-0000-000010AC0000}"/>
    <cellStyle name="Calculation 8 10 5 2" xfId="44080" xr:uid="{00000000-0005-0000-0000-000011AC0000}"/>
    <cellStyle name="Calculation 8 10 5 3" xfId="44081" xr:uid="{00000000-0005-0000-0000-000012AC0000}"/>
    <cellStyle name="Calculation 8 10 5 4" xfId="44082" xr:uid="{00000000-0005-0000-0000-000013AC0000}"/>
    <cellStyle name="Calculation 8 10 5 5" xfId="44083" xr:uid="{00000000-0005-0000-0000-000014AC0000}"/>
    <cellStyle name="Calculation 8 10 5 6" xfId="44084" xr:uid="{00000000-0005-0000-0000-000015AC0000}"/>
    <cellStyle name="Calculation 8 10 6" xfId="44085" xr:uid="{00000000-0005-0000-0000-000016AC0000}"/>
    <cellStyle name="Calculation 8 10 6 2" xfId="44086" xr:uid="{00000000-0005-0000-0000-000017AC0000}"/>
    <cellStyle name="Calculation 8 10 6 3" xfId="44087" xr:uid="{00000000-0005-0000-0000-000018AC0000}"/>
    <cellStyle name="Calculation 8 10 6 4" xfId="44088" xr:uid="{00000000-0005-0000-0000-000019AC0000}"/>
    <cellStyle name="Calculation 8 10 6 5" xfId="44089" xr:uid="{00000000-0005-0000-0000-00001AAC0000}"/>
    <cellStyle name="Calculation 8 10 6 6" xfId="44090" xr:uid="{00000000-0005-0000-0000-00001BAC0000}"/>
    <cellStyle name="Calculation 8 10 7" xfId="44091" xr:uid="{00000000-0005-0000-0000-00001CAC0000}"/>
    <cellStyle name="Calculation 8 10 7 2" xfId="44092" xr:uid="{00000000-0005-0000-0000-00001DAC0000}"/>
    <cellStyle name="Calculation 8 10 7 3" xfId="44093" xr:uid="{00000000-0005-0000-0000-00001EAC0000}"/>
    <cellStyle name="Calculation 8 10 7 4" xfId="44094" xr:uid="{00000000-0005-0000-0000-00001FAC0000}"/>
    <cellStyle name="Calculation 8 10 7 5" xfId="44095" xr:uid="{00000000-0005-0000-0000-000020AC0000}"/>
    <cellStyle name="Calculation 8 10 7 6" xfId="44096" xr:uid="{00000000-0005-0000-0000-000021AC0000}"/>
    <cellStyle name="Calculation 8 10 8" xfId="44097" xr:uid="{00000000-0005-0000-0000-000022AC0000}"/>
    <cellStyle name="Calculation 8 10 9" xfId="44098" xr:uid="{00000000-0005-0000-0000-000023AC0000}"/>
    <cellStyle name="Calculation 8 11" xfId="44099" xr:uid="{00000000-0005-0000-0000-000024AC0000}"/>
    <cellStyle name="Calculation 8 11 10" xfId="44100" xr:uid="{00000000-0005-0000-0000-000025AC0000}"/>
    <cellStyle name="Calculation 8 11 2" xfId="44101" xr:uid="{00000000-0005-0000-0000-000026AC0000}"/>
    <cellStyle name="Calculation 8 11 2 2" xfId="44102" xr:uid="{00000000-0005-0000-0000-000027AC0000}"/>
    <cellStyle name="Calculation 8 11 2 3" xfId="44103" xr:uid="{00000000-0005-0000-0000-000028AC0000}"/>
    <cellStyle name="Calculation 8 11 2 4" xfId="44104" xr:uid="{00000000-0005-0000-0000-000029AC0000}"/>
    <cellStyle name="Calculation 8 11 2 5" xfId="44105" xr:uid="{00000000-0005-0000-0000-00002AAC0000}"/>
    <cellStyle name="Calculation 8 11 2 6" xfId="44106" xr:uid="{00000000-0005-0000-0000-00002BAC0000}"/>
    <cellStyle name="Calculation 8 11 3" xfId="44107" xr:uid="{00000000-0005-0000-0000-00002CAC0000}"/>
    <cellStyle name="Calculation 8 11 3 2" xfId="44108" xr:uid="{00000000-0005-0000-0000-00002DAC0000}"/>
    <cellStyle name="Calculation 8 11 3 3" xfId="44109" xr:uid="{00000000-0005-0000-0000-00002EAC0000}"/>
    <cellStyle name="Calculation 8 11 3 4" xfId="44110" xr:uid="{00000000-0005-0000-0000-00002FAC0000}"/>
    <cellStyle name="Calculation 8 11 3 5" xfId="44111" xr:uid="{00000000-0005-0000-0000-000030AC0000}"/>
    <cellStyle name="Calculation 8 11 3 6" xfId="44112" xr:uid="{00000000-0005-0000-0000-000031AC0000}"/>
    <cellStyle name="Calculation 8 11 4" xfId="44113" xr:uid="{00000000-0005-0000-0000-000032AC0000}"/>
    <cellStyle name="Calculation 8 11 4 2" xfId="44114" xr:uid="{00000000-0005-0000-0000-000033AC0000}"/>
    <cellStyle name="Calculation 8 11 4 3" xfId="44115" xr:uid="{00000000-0005-0000-0000-000034AC0000}"/>
    <cellStyle name="Calculation 8 11 4 4" xfId="44116" xr:uid="{00000000-0005-0000-0000-000035AC0000}"/>
    <cellStyle name="Calculation 8 11 4 5" xfId="44117" xr:uid="{00000000-0005-0000-0000-000036AC0000}"/>
    <cellStyle name="Calculation 8 11 4 6" xfId="44118" xr:uid="{00000000-0005-0000-0000-000037AC0000}"/>
    <cellStyle name="Calculation 8 11 5" xfId="44119" xr:uid="{00000000-0005-0000-0000-000038AC0000}"/>
    <cellStyle name="Calculation 8 11 5 2" xfId="44120" xr:uid="{00000000-0005-0000-0000-000039AC0000}"/>
    <cellStyle name="Calculation 8 11 5 3" xfId="44121" xr:uid="{00000000-0005-0000-0000-00003AAC0000}"/>
    <cellStyle name="Calculation 8 11 5 4" xfId="44122" xr:uid="{00000000-0005-0000-0000-00003BAC0000}"/>
    <cellStyle name="Calculation 8 11 5 5" xfId="44123" xr:uid="{00000000-0005-0000-0000-00003CAC0000}"/>
    <cellStyle name="Calculation 8 11 5 6" xfId="44124" xr:uid="{00000000-0005-0000-0000-00003DAC0000}"/>
    <cellStyle name="Calculation 8 11 6" xfId="44125" xr:uid="{00000000-0005-0000-0000-00003EAC0000}"/>
    <cellStyle name="Calculation 8 11 6 2" xfId="44126" xr:uid="{00000000-0005-0000-0000-00003FAC0000}"/>
    <cellStyle name="Calculation 8 11 6 3" xfId="44127" xr:uid="{00000000-0005-0000-0000-000040AC0000}"/>
    <cellStyle name="Calculation 8 11 6 4" xfId="44128" xr:uid="{00000000-0005-0000-0000-000041AC0000}"/>
    <cellStyle name="Calculation 8 11 6 5" xfId="44129" xr:uid="{00000000-0005-0000-0000-000042AC0000}"/>
    <cellStyle name="Calculation 8 11 6 6" xfId="44130" xr:uid="{00000000-0005-0000-0000-000043AC0000}"/>
    <cellStyle name="Calculation 8 11 7" xfId="44131" xr:uid="{00000000-0005-0000-0000-000044AC0000}"/>
    <cellStyle name="Calculation 8 11 7 2" xfId="44132" xr:uid="{00000000-0005-0000-0000-000045AC0000}"/>
    <cellStyle name="Calculation 8 11 7 3" xfId="44133" xr:uid="{00000000-0005-0000-0000-000046AC0000}"/>
    <cellStyle name="Calculation 8 11 7 4" xfId="44134" xr:uid="{00000000-0005-0000-0000-000047AC0000}"/>
    <cellStyle name="Calculation 8 11 7 5" xfId="44135" xr:uid="{00000000-0005-0000-0000-000048AC0000}"/>
    <cellStyle name="Calculation 8 11 7 6" xfId="44136" xr:uid="{00000000-0005-0000-0000-000049AC0000}"/>
    <cellStyle name="Calculation 8 11 8" xfId="44137" xr:uid="{00000000-0005-0000-0000-00004AAC0000}"/>
    <cellStyle name="Calculation 8 11 9" xfId="44138" xr:uid="{00000000-0005-0000-0000-00004BAC0000}"/>
    <cellStyle name="Calculation 8 12" xfId="44139" xr:uid="{00000000-0005-0000-0000-00004CAC0000}"/>
    <cellStyle name="Calculation 8 12 10" xfId="44140" xr:uid="{00000000-0005-0000-0000-00004DAC0000}"/>
    <cellStyle name="Calculation 8 12 2" xfId="44141" xr:uid="{00000000-0005-0000-0000-00004EAC0000}"/>
    <cellStyle name="Calculation 8 12 2 2" xfId="44142" xr:uid="{00000000-0005-0000-0000-00004FAC0000}"/>
    <cellStyle name="Calculation 8 12 2 3" xfId="44143" xr:uid="{00000000-0005-0000-0000-000050AC0000}"/>
    <cellStyle name="Calculation 8 12 2 4" xfId="44144" xr:uid="{00000000-0005-0000-0000-000051AC0000}"/>
    <cellStyle name="Calculation 8 12 2 5" xfId="44145" xr:uid="{00000000-0005-0000-0000-000052AC0000}"/>
    <cellStyle name="Calculation 8 12 2 6" xfId="44146" xr:uid="{00000000-0005-0000-0000-000053AC0000}"/>
    <cellStyle name="Calculation 8 12 3" xfId="44147" xr:uid="{00000000-0005-0000-0000-000054AC0000}"/>
    <cellStyle name="Calculation 8 12 3 2" xfId="44148" xr:uid="{00000000-0005-0000-0000-000055AC0000}"/>
    <cellStyle name="Calculation 8 12 3 3" xfId="44149" xr:uid="{00000000-0005-0000-0000-000056AC0000}"/>
    <cellStyle name="Calculation 8 12 3 4" xfId="44150" xr:uid="{00000000-0005-0000-0000-000057AC0000}"/>
    <cellStyle name="Calculation 8 12 3 5" xfId="44151" xr:uid="{00000000-0005-0000-0000-000058AC0000}"/>
    <cellStyle name="Calculation 8 12 3 6" xfId="44152" xr:uid="{00000000-0005-0000-0000-000059AC0000}"/>
    <cellStyle name="Calculation 8 12 4" xfId="44153" xr:uid="{00000000-0005-0000-0000-00005AAC0000}"/>
    <cellStyle name="Calculation 8 12 4 2" xfId="44154" xr:uid="{00000000-0005-0000-0000-00005BAC0000}"/>
    <cellStyle name="Calculation 8 12 4 3" xfId="44155" xr:uid="{00000000-0005-0000-0000-00005CAC0000}"/>
    <cellStyle name="Calculation 8 12 4 4" xfId="44156" xr:uid="{00000000-0005-0000-0000-00005DAC0000}"/>
    <cellStyle name="Calculation 8 12 4 5" xfId="44157" xr:uid="{00000000-0005-0000-0000-00005EAC0000}"/>
    <cellStyle name="Calculation 8 12 4 6" xfId="44158" xr:uid="{00000000-0005-0000-0000-00005FAC0000}"/>
    <cellStyle name="Calculation 8 12 5" xfId="44159" xr:uid="{00000000-0005-0000-0000-000060AC0000}"/>
    <cellStyle name="Calculation 8 12 5 2" xfId="44160" xr:uid="{00000000-0005-0000-0000-000061AC0000}"/>
    <cellStyle name="Calculation 8 12 5 3" xfId="44161" xr:uid="{00000000-0005-0000-0000-000062AC0000}"/>
    <cellStyle name="Calculation 8 12 5 4" xfId="44162" xr:uid="{00000000-0005-0000-0000-000063AC0000}"/>
    <cellStyle name="Calculation 8 12 5 5" xfId="44163" xr:uid="{00000000-0005-0000-0000-000064AC0000}"/>
    <cellStyle name="Calculation 8 12 5 6" xfId="44164" xr:uid="{00000000-0005-0000-0000-000065AC0000}"/>
    <cellStyle name="Calculation 8 12 6" xfId="44165" xr:uid="{00000000-0005-0000-0000-000066AC0000}"/>
    <cellStyle name="Calculation 8 12 6 2" xfId="44166" xr:uid="{00000000-0005-0000-0000-000067AC0000}"/>
    <cellStyle name="Calculation 8 12 6 3" xfId="44167" xr:uid="{00000000-0005-0000-0000-000068AC0000}"/>
    <cellStyle name="Calculation 8 12 6 4" xfId="44168" xr:uid="{00000000-0005-0000-0000-000069AC0000}"/>
    <cellStyle name="Calculation 8 12 6 5" xfId="44169" xr:uid="{00000000-0005-0000-0000-00006AAC0000}"/>
    <cellStyle name="Calculation 8 12 6 6" xfId="44170" xr:uid="{00000000-0005-0000-0000-00006BAC0000}"/>
    <cellStyle name="Calculation 8 12 7" xfId="44171" xr:uid="{00000000-0005-0000-0000-00006CAC0000}"/>
    <cellStyle name="Calculation 8 12 7 2" xfId="44172" xr:uid="{00000000-0005-0000-0000-00006DAC0000}"/>
    <cellStyle name="Calculation 8 12 7 3" xfId="44173" xr:uid="{00000000-0005-0000-0000-00006EAC0000}"/>
    <cellStyle name="Calculation 8 12 7 4" xfId="44174" xr:uid="{00000000-0005-0000-0000-00006FAC0000}"/>
    <cellStyle name="Calculation 8 12 7 5" xfId="44175" xr:uid="{00000000-0005-0000-0000-000070AC0000}"/>
    <cellStyle name="Calculation 8 12 7 6" xfId="44176" xr:uid="{00000000-0005-0000-0000-000071AC0000}"/>
    <cellStyle name="Calculation 8 12 8" xfId="44177" xr:uid="{00000000-0005-0000-0000-000072AC0000}"/>
    <cellStyle name="Calculation 8 12 9" xfId="44178" xr:uid="{00000000-0005-0000-0000-000073AC0000}"/>
    <cellStyle name="Calculation 8 13" xfId="44179" xr:uid="{00000000-0005-0000-0000-000074AC0000}"/>
    <cellStyle name="Calculation 8 13 10" xfId="44180" xr:uid="{00000000-0005-0000-0000-000075AC0000}"/>
    <cellStyle name="Calculation 8 13 2" xfId="44181" xr:uid="{00000000-0005-0000-0000-000076AC0000}"/>
    <cellStyle name="Calculation 8 13 2 2" xfId="44182" xr:uid="{00000000-0005-0000-0000-000077AC0000}"/>
    <cellStyle name="Calculation 8 13 2 3" xfId="44183" xr:uid="{00000000-0005-0000-0000-000078AC0000}"/>
    <cellStyle name="Calculation 8 13 2 4" xfId="44184" xr:uid="{00000000-0005-0000-0000-000079AC0000}"/>
    <cellStyle name="Calculation 8 13 2 5" xfId="44185" xr:uid="{00000000-0005-0000-0000-00007AAC0000}"/>
    <cellStyle name="Calculation 8 13 2 6" xfId="44186" xr:uid="{00000000-0005-0000-0000-00007BAC0000}"/>
    <cellStyle name="Calculation 8 13 3" xfId="44187" xr:uid="{00000000-0005-0000-0000-00007CAC0000}"/>
    <cellStyle name="Calculation 8 13 3 2" xfId="44188" xr:uid="{00000000-0005-0000-0000-00007DAC0000}"/>
    <cellStyle name="Calculation 8 13 3 3" xfId="44189" xr:uid="{00000000-0005-0000-0000-00007EAC0000}"/>
    <cellStyle name="Calculation 8 13 3 4" xfId="44190" xr:uid="{00000000-0005-0000-0000-00007FAC0000}"/>
    <cellStyle name="Calculation 8 13 3 5" xfId="44191" xr:uid="{00000000-0005-0000-0000-000080AC0000}"/>
    <cellStyle name="Calculation 8 13 3 6" xfId="44192" xr:uid="{00000000-0005-0000-0000-000081AC0000}"/>
    <cellStyle name="Calculation 8 13 4" xfId="44193" xr:uid="{00000000-0005-0000-0000-000082AC0000}"/>
    <cellStyle name="Calculation 8 13 4 2" xfId="44194" xr:uid="{00000000-0005-0000-0000-000083AC0000}"/>
    <cellStyle name="Calculation 8 13 4 3" xfId="44195" xr:uid="{00000000-0005-0000-0000-000084AC0000}"/>
    <cellStyle name="Calculation 8 13 4 4" xfId="44196" xr:uid="{00000000-0005-0000-0000-000085AC0000}"/>
    <cellStyle name="Calculation 8 13 4 5" xfId="44197" xr:uid="{00000000-0005-0000-0000-000086AC0000}"/>
    <cellStyle name="Calculation 8 13 4 6" xfId="44198" xr:uid="{00000000-0005-0000-0000-000087AC0000}"/>
    <cellStyle name="Calculation 8 13 5" xfId="44199" xr:uid="{00000000-0005-0000-0000-000088AC0000}"/>
    <cellStyle name="Calculation 8 13 5 2" xfId="44200" xr:uid="{00000000-0005-0000-0000-000089AC0000}"/>
    <cellStyle name="Calculation 8 13 5 3" xfId="44201" xr:uid="{00000000-0005-0000-0000-00008AAC0000}"/>
    <cellStyle name="Calculation 8 13 5 4" xfId="44202" xr:uid="{00000000-0005-0000-0000-00008BAC0000}"/>
    <cellStyle name="Calculation 8 13 5 5" xfId="44203" xr:uid="{00000000-0005-0000-0000-00008CAC0000}"/>
    <cellStyle name="Calculation 8 13 5 6" xfId="44204" xr:uid="{00000000-0005-0000-0000-00008DAC0000}"/>
    <cellStyle name="Calculation 8 13 6" xfId="44205" xr:uid="{00000000-0005-0000-0000-00008EAC0000}"/>
    <cellStyle name="Calculation 8 13 6 2" xfId="44206" xr:uid="{00000000-0005-0000-0000-00008FAC0000}"/>
    <cellStyle name="Calculation 8 13 6 3" xfId="44207" xr:uid="{00000000-0005-0000-0000-000090AC0000}"/>
    <cellStyle name="Calculation 8 13 6 4" xfId="44208" xr:uid="{00000000-0005-0000-0000-000091AC0000}"/>
    <cellStyle name="Calculation 8 13 6 5" xfId="44209" xr:uid="{00000000-0005-0000-0000-000092AC0000}"/>
    <cellStyle name="Calculation 8 13 6 6" xfId="44210" xr:uid="{00000000-0005-0000-0000-000093AC0000}"/>
    <cellStyle name="Calculation 8 13 7" xfId="44211" xr:uid="{00000000-0005-0000-0000-000094AC0000}"/>
    <cellStyle name="Calculation 8 13 7 2" xfId="44212" xr:uid="{00000000-0005-0000-0000-000095AC0000}"/>
    <cellStyle name="Calculation 8 13 7 3" xfId="44213" xr:uid="{00000000-0005-0000-0000-000096AC0000}"/>
    <cellStyle name="Calculation 8 13 7 4" xfId="44214" xr:uid="{00000000-0005-0000-0000-000097AC0000}"/>
    <cellStyle name="Calculation 8 13 7 5" xfId="44215" xr:uid="{00000000-0005-0000-0000-000098AC0000}"/>
    <cellStyle name="Calculation 8 13 7 6" xfId="44216" xr:uid="{00000000-0005-0000-0000-000099AC0000}"/>
    <cellStyle name="Calculation 8 13 8" xfId="44217" xr:uid="{00000000-0005-0000-0000-00009AAC0000}"/>
    <cellStyle name="Calculation 8 13 9" xfId="44218" xr:uid="{00000000-0005-0000-0000-00009BAC0000}"/>
    <cellStyle name="Calculation 8 14" xfId="44219" xr:uid="{00000000-0005-0000-0000-00009CAC0000}"/>
    <cellStyle name="Calculation 8 14 10" xfId="44220" xr:uid="{00000000-0005-0000-0000-00009DAC0000}"/>
    <cellStyle name="Calculation 8 14 2" xfId="44221" xr:uid="{00000000-0005-0000-0000-00009EAC0000}"/>
    <cellStyle name="Calculation 8 14 2 2" xfId="44222" xr:uid="{00000000-0005-0000-0000-00009FAC0000}"/>
    <cellStyle name="Calculation 8 14 2 3" xfId="44223" xr:uid="{00000000-0005-0000-0000-0000A0AC0000}"/>
    <cellStyle name="Calculation 8 14 2 4" xfId="44224" xr:uid="{00000000-0005-0000-0000-0000A1AC0000}"/>
    <cellStyle name="Calculation 8 14 2 5" xfId="44225" xr:uid="{00000000-0005-0000-0000-0000A2AC0000}"/>
    <cellStyle name="Calculation 8 14 2 6" xfId="44226" xr:uid="{00000000-0005-0000-0000-0000A3AC0000}"/>
    <cellStyle name="Calculation 8 14 3" xfId="44227" xr:uid="{00000000-0005-0000-0000-0000A4AC0000}"/>
    <cellStyle name="Calculation 8 14 3 2" xfId="44228" xr:uid="{00000000-0005-0000-0000-0000A5AC0000}"/>
    <cellStyle name="Calculation 8 14 3 3" xfId="44229" xr:uid="{00000000-0005-0000-0000-0000A6AC0000}"/>
    <cellStyle name="Calculation 8 14 3 4" xfId="44230" xr:uid="{00000000-0005-0000-0000-0000A7AC0000}"/>
    <cellStyle name="Calculation 8 14 3 5" xfId="44231" xr:uid="{00000000-0005-0000-0000-0000A8AC0000}"/>
    <cellStyle name="Calculation 8 14 3 6" xfId="44232" xr:uid="{00000000-0005-0000-0000-0000A9AC0000}"/>
    <cellStyle name="Calculation 8 14 4" xfId="44233" xr:uid="{00000000-0005-0000-0000-0000AAAC0000}"/>
    <cellStyle name="Calculation 8 14 4 2" xfId="44234" xr:uid="{00000000-0005-0000-0000-0000ABAC0000}"/>
    <cellStyle name="Calculation 8 14 4 3" xfId="44235" xr:uid="{00000000-0005-0000-0000-0000ACAC0000}"/>
    <cellStyle name="Calculation 8 14 4 4" xfId="44236" xr:uid="{00000000-0005-0000-0000-0000ADAC0000}"/>
    <cellStyle name="Calculation 8 14 4 5" xfId="44237" xr:uid="{00000000-0005-0000-0000-0000AEAC0000}"/>
    <cellStyle name="Calculation 8 14 4 6" xfId="44238" xr:uid="{00000000-0005-0000-0000-0000AFAC0000}"/>
    <cellStyle name="Calculation 8 14 5" xfId="44239" xr:uid="{00000000-0005-0000-0000-0000B0AC0000}"/>
    <cellStyle name="Calculation 8 14 5 2" xfId="44240" xr:uid="{00000000-0005-0000-0000-0000B1AC0000}"/>
    <cellStyle name="Calculation 8 14 5 3" xfId="44241" xr:uid="{00000000-0005-0000-0000-0000B2AC0000}"/>
    <cellStyle name="Calculation 8 14 5 4" xfId="44242" xr:uid="{00000000-0005-0000-0000-0000B3AC0000}"/>
    <cellStyle name="Calculation 8 14 5 5" xfId="44243" xr:uid="{00000000-0005-0000-0000-0000B4AC0000}"/>
    <cellStyle name="Calculation 8 14 5 6" xfId="44244" xr:uid="{00000000-0005-0000-0000-0000B5AC0000}"/>
    <cellStyle name="Calculation 8 14 6" xfId="44245" xr:uid="{00000000-0005-0000-0000-0000B6AC0000}"/>
    <cellStyle name="Calculation 8 14 6 2" xfId="44246" xr:uid="{00000000-0005-0000-0000-0000B7AC0000}"/>
    <cellStyle name="Calculation 8 14 6 3" xfId="44247" xr:uid="{00000000-0005-0000-0000-0000B8AC0000}"/>
    <cellStyle name="Calculation 8 14 6 4" xfId="44248" xr:uid="{00000000-0005-0000-0000-0000B9AC0000}"/>
    <cellStyle name="Calculation 8 14 6 5" xfId="44249" xr:uid="{00000000-0005-0000-0000-0000BAAC0000}"/>
    <cellStyle name="Calculation 8 14 6 6" xfId="44250" xr:uid="{00000000-0005-0000-0000-0000BBAC0000}"/>
    <cellStyle name="Calculation 8 14 7" xfId="44251" xr:uid="{00000000-0005-0000-0000-0000BCAC0000}"/>
    <cellStyle name="Calculation 8 14 7 2" xfId="44252" xr:uid="{00000000-0005-0000-0000-0000BDAC0000}"/>
    <cellStyle name="Calculation 8 14 7 3" xfId="44253" xr:uid="{00000000-0005-0000-0000-0000BEAC0000}"/>
    <cellStyle name="Calculation 8 14 7 4" xfId="44254" xr:uid="{00000000-0005-0000-0000-0000BFAC0000}"/>
    <cellStyle name="Calculation 8 14 7 5" xfId="44255" xr:uid="{00000000-0005-0000-0000-0000C0AC0000}"/>
    <cellStyle name="Calculation 8 14 7 6" xfId="44256" xr:uid="{00000000-0005-0000-0000-0000C1AC0000}"/>
    <cellStyle name="Calculation 8 14 8" xfId="44257" xr:uid="{00000000-0005-0000-0000-0000C2AC0000}"/>
    <cellStyle name="Calculation 8 14 9" xfId="44258" xr:uid="{00000000-0005-0000-0000-0000C3AC0000}"/>
    <cellStyle name="Calculation 8 15" xfId="44259" xr:uid="{00000000-0005-0000-0000-0000C4AC0000}"/>
    <cellStyle name="Calculation 8 15 10" xfId="44260" xr:uid="{00000000-0005-0000-0000-0000C5AC0000}"/>
    <cellStyle name="Calculation 8 15 2" xfId="44261" xr:uid="{00000000-0005-0000-0000-0000C6AC0000}"/>
    <cellStyle name="Calculation 8 15 2 2" xfId="44262" xr:uid="{00000000-0005-0000-0000-0000C7AC0000}"/>
    <cellStyle name="Calculation 8 15 2 3" xfId="44263" xr:uid="{00000000-0005-0000-0000-0000C8AC0000}"/>
    <cellStyle name="Calculation 8 15 2 4" xfId="44264" xr:uid="{00000000-0005-0000-0000-0000C9AC0000}"/>
    <cellStyle name="Calculation 8 15 2 5" xfId="44265" xr:uid="{00000000-0005-0000-0000-0000CAAC0000}"/>
    <cellStyle name="Calculation 8 15 2 6" xfId="44266" xr:uid="{00000000-0005-0000-0000-0000CBAC0000}"/>
    <cellStyle name="Calculation 8 15 3" xfId="44267" xr:uid="{00000000-0005-0000-0000-0000CCAC0000}"/>
    <cellStyle name="Calculation 8 15 3 2" xfId="44268" xr:uid="{00000000-0005-0000-0000-0000CDAC0000}"/>
    <cellStyle name="Calculation 8 15 3 3" xfId="44269" xr:uid="{00000000-0005-0000-0000-0000CEAC0000}"/>
    <cellStyle name="Calculation 8 15 3 4" xfId="44270" xr:uid="{00000000-0005-0000-0000-0000CFAC0000}"/>
    <cellStyle name="Calculation 8 15 3 5" xfId="44271" xr:uid="{00000000-0005-0000-0000-0000D0AC0000}"/>
    <cellStyle name="Calculation 8 15 3 6" xfId="44272" xr:uid="{00000000-0005-0000-0000-0000D1AC0000}"/>
    <cellStyle name="Calculation 8 15 4" xfId="44273" xr:uid="{00000000-0005-0000-0000-0000D2AC0000}"/>
    <cellStyle name="Calculation 8 15 4 2" xfId="44274" xr:uid="{00000000-0005-0000-0000-0000D3AC0000}"/>
    <cellStyle name="Calculation 8 15 4 3" xfId="44275" xr:uid="{00000000-0005-0000-0000-0000D4AC0000}"/>
    <cellStyle name="Calculation 8 15 4 4" xfId="44276" xr:uid="{00000000-0005-0000-0000-0000D5AC0000}"/>
    <cellStyle name="Calculation 8 15 4 5" xfId="44277" xr:uid="{00000000-0005-0000-0000-0000D6AC0000}"/>
    <cellStyle name="Calculation 8 15 4 6" xfId="44278" xr:uid="{00000000-0005-0000-0000-0000D7AC0000}"/>
    <cellStyle name="Calculation 8 15 5" xfId="44279" xr:uid="{00000000-0005-0000-0000-0000D8AC0000}"/>
    <cellStyle name="Calculation 8 15 5 2" xfId="44280" xr:uid="{00000000-0005-0000-0000-0000D9AC0000}"/>
    <cellStyle name="Calculation 8 15 5 3" xfId="44281" xr:uid="{00000000-0005-0000-0000-0000DAAC0000}"/>
    <cellStyle name="Calculation 8 15 5 4" xfId="44282" xr:uid="{00000000-0005-0000-0000-0000DBAC0000}"/>
    <cellStyle name="Calculation 8 15 5 5" xfId="44283" xr:uid="{00000000-0005-0000-0000-0000DCAC0000}"/>
    <cellStyle name="Calculation 8 15 5 6" xfId="44284" xr:uid="{00000000-0005-0000-0000-0000DDAC0000}"/>
    <cellStyle name="Calculation 8 15 6" xfId="44285" xr:uid="{00000000-0005-0000-0000-0000DEAC0000}"/>
    <cellStyle name="Calculation 8 15 6 2" xfId="44286" xr:uid="{00000000-0005-0000-0000-0000DFAC0000}"/>
    <cellStyle name="Calculation 8 15 6 3" xfId="44287" xr:uid="{00000000-0005-0000-0000-0000E0AC0000}"/>
    <cellStyle name="Calculation 8 15 6 4" xfId="44288" xr:uid="{00000000-0005-0000-0000-0000E1AC0000}"/>
    <cellStyle name="Calculation 8 15 6 5" xfId="44289" xr:uid="{00000000-0005-0000-0000-0000E2AC0000}"/>
    <cellStyle name="Calculation 8 15 6 6" xfId="44290" xr:uid="{00000000-0005-0000-0000-0000E3AC0000}"/>
    <cellStyle name="Calculation 8 15 7" xfId="44291" xr:uid="{00000000-0005-0000-0000-0000E4AC0000}"/>
    <cellStyle name="Calculation 8 15 7 2" xfId="44292" xr:uid="{00000000-0005-0000-0000-0000E5AC0000}"/>
    <cellStyle name="Calculation 8 15 7 3" xfId="44293" xr:uid="{00000000-0005-0000-0000-0000E6AC0000}"/>
    <cellStyle name="Calculation 8 15 7 4" xfId="44294" xr:uid="{00000000-0005-0000-0000-0000E7AC0000}"/>
    <cellStyle name="Calculation 8 15 7 5" xfId="44295" xr:uid="{00000000-0005-0000-0000-0000E8AC0000}"/>
    <cellStyle name="Calculation 8 15 7 6" xfId="44296" xr:uid="{00000000-0005-0000-0000-0000E9AC0000}"/>
    <cellStyle name="Calculation 8 15 8" xfId="44297" xr:uid="{00000000-0005-0000-0000-0000EAAC0000}"/>
    <cellStyle name="Calculation 8 15 9" xfId="44298" xr:uid="{00000000-0005-0000-0000-0000EBAC0000}"/>
    <cellStyle name="Calculation 8 16" xfId="44299" xr:uid="{00000000-0005-0000-0000-0000ECAC0000}"/>
    <cellStyle name="Calculation 8 16 10" xfId="44300" xr:uid="{00000000-0005-0000-0000-0000EDAC0000}"/>
    <cellStyle name="Calculation 8 16 2" xfId="44301" xr:uid="{00000000-0005-0000-0000-0000EEAC0000}"/>
    <cellStyle name="Calculation 8 16 2 2" xfId="44302" xr:uid="{00000000-0005-0000-0000-0000EFAC0000}"/>
    <cellStyle name="Calculation 8 16 2 3" xfId="44303" xr:uid="{00000000-0005-0000-0000-0000F0AC0000}"/>
    <cellStyle name="Calculation 8 16 2 4" xfId="44304" xr:uid="{00000000-0005-0000-0000-0000F1AC0000}"/>
    <cellStyle name="Calculation 8 16 2 5" xfId="44305" xr:uid="{00000000-0005-0000-0000-0000F2AC0000}"/>
    <cellStyle name="Calculation 8 16 2 6" xfId="44306" xr:uid="{00000000-0005-0000-0000-0000F3AC0000}"/>
    <cellStyle name="Calculation 8 16 3" xfId="44307" xr:uid="{00000000-0005-0000-0000-0000F4AC0000}"/>
    <cellStyle name="Calculation 8 16 3 2" xfId="44308" xr:uid="{00000000-0005-0000-0000-0000F5AC0000}"/>
    <cellStyle name="Calculation 8 16 3 3" xfId="44309" xr:uid="{00000000-0005-0000-0000-0000F6AC0000}"/>
    <cellStyle name="Calculation 8 16 3 4" xfId="44310" xr:uid="{00000000-0005-0000-0000-0000F7AC0000}"/>
    <cellStyle name="Calculation 8 16 3 5" xfId="44311" xr:uid="{00000000-0005-0000-0000-0000F8AC0000}"/>
    <cellStyle name="Calculation 8 16 3 6" xfId="44312" xr:uid="{00000000-0005-0000-0000-0000F9AC0000}"/>
    <cellStyle name="Calculation 8 16 4" xfId="44313" xr:uid="{00000000-0005-0000-0000-0000FAAC0000}"/>
    <cellStyle name="Calculation 8 16 4 2" xfId="44314" xr:uid="{00000000-0005-0000-0000-0000FBAC0000}"/>
    <cellStyle name="Calculation 8 16 4 3" xfId="44315" xr:uid="{00000000-0005-0000-0000-0000FCAC0000}"/>
    <cellStyle name="Calculation 8 16 4 4" xfId="44316" xr:uid="{00000000-0005-0000-0000-0000FDAC0000}"/>
    <cellStyle name="Calculation 8 16 4 5" xfId="44317" xr:uid="{00000000-0005-0000-0000-0000FEAC0000}"/>
    <cellStyle name="Calculation 8 16 4 6" xfId="44318" xr:uid="{00000000-0005-0000-0000-0000FFAC0000}"/>
    <cellStyle name="Calculation 8 16 5" xfId="44319" xr:uid="{00000000-0005-0000-0000-000000AD0000}"/>
    <cellStyle name="Calculation 8 16 5 2" xfId="44320" xr:uid="{00000000-0005-0000-0000-000001AD0000}"/>
    <cellStyle name="Calculation 8 16 5 3" xfId="44321" xr:uid="{00000000-0005-0000-0000-000002AD0000}"/>
    <cellStyle name="Calculation 8 16 5 4" xfId="44322" xr:uid="{00000000-0005-0000-0000-000003AD0000}"/>
    <cellStyle name="Calculation 8 16 5 5" xfId="44323" xr:uid="{00000000-0005-0000-0000-000004AD0000}"/>
    <cellStyle name="Calculation 8 16 5 6" xfId="44324" xr:uid="{00000000-0005-0000-0000-000005AD0000}"/>
    <cellStyle name="Calculation 8 16 6" xfId="44325" xr:uid="{00000000-0005-0000-0000-000006AD0000}"/>
    <cellStyle name="Calculation 8 16 6 2" xfId="44326" xr:uid="{00000000-0005-0000-0000-000007AD0000}"/>
    <cellStyle name="Calculation 8 16 6 3" xfId="44327" xr:uid="{00000000-0005-0000-0000-000008AD0000}"/>
    <cellStyle name="Calculation 8 16 6 4" xfId="44328" xr:uid="{00000000-0005-0000-0000-000009AD0000}"/>
    <cellStyle name="Calculation 8 16 6 5" xfId="44329" xr:uid="{00000000-0005-0000-0000-00000AAD0000}"/>
    <cellStyle name="Calculation 8 16 6 6" xfId="44330" xr:uid="{00000000-0005-0000-0000-00000BAD0000}"/>
    <cellStyle name="Calculation 8 16 7" xfId="44331" xr:uid="{00000000-0005-0000-0000-00000CAD0000}"/>
    <cellStyle name="Calculation 8 16 7 2" xfId="44332" xr:uid="{00000000-0005-0000-0000-00000DAD0000}"/>
    <cellStyle name="Calculation 8 16 7 3" xfId="44333" xr:uid="{00000000-0005-0000-0000-00000EAD0000}"/>
    <cellStyle name="Calculation 8 16 7 4" xfId="44334" xr:uid="{00000000-0005-0000-0000-00000FAD0000}"/>
    <cellStyle name="Calculation 8 16 7 5" xfId="44335" xr:uid="{00000000-0005-0000-0000-000010AD0000}"/>
    <cellStyle name="Calculation 8 16 7 6" xfId="44336" xr:uid="{00000000-0005-0000-0000-000011AD0000}"/>
    <cellStyle name="Calculation 8 16 8" xfId="44337" xr:uid="{00000000-0005-0000-0000-000012AD0000}"/>
    <cellStyle name="Calculation 8 16 9" xfId="44338" xr:uid="{00000000-0005-0000-0000-000013AD0000}"/>
    <cellStyle name="Calculation 8 17" xfId="44339" xr:uid="{00000000-0005-0000-0000-000014AD0000}"/>
    <cellStyle name="Calculation 8 17 10" xfId="44340" xr:uid="{00000000-0005-0000-0000-000015AD0000}"/>
    <cellStyle name="Calculation 8 17 2" xfId="44341" xr:uid="{00000000-0005-0000-0000-000016AD0000}"/>
    <cellStyle name="Calculation 8 17 2 2" xfId="44342" xr:uid="{00000000-0005-0000-0000-000017AD0000}"/>
    <cellStyle name="Calculation 8 17 2 3" xfId="44343" xr:uid="{00000000-0005-0000-0000-000018AD0000}"/>
    <cellStyle name="Calculation 8 17 2 4" xfId="44344" xr:uid="{00000000-0005-0000-0000-000019AD0000}"/>
    <cellStyle name="Calculation 8 17 2 5" xfId="44345" xr:uid="{00000000-0005-0000-0000-00001AAD0000}"/>
    <cellStyle name="Calculation 8 17 2 6" xfId="44346" xr:uid="{00000000-0005-0000-0000-00001BAD0000}"/>
    <cellStyle name="Calculation 8 17 3" xfId="44347" xr:uid="{00000000-0005-0000-0000-00001CAD0000}"/>
    <cellStyle name="Calculation 8 17 3 2" xfId="44348" xr:uid="{00000000-0005-0000-0000-00001DAD0000}"/>
    <cellStyle name="Calculation 8 17 3 3" xfId="44349" xr:uid="{00000000-0005-0000-0000-00001EAD0000}"/>
    <cellStyle name="Calculation 8 17 3 4" xfId="44350" xr:uid="{00000000-0005-0000-0000-00001FAD0000}"/>
    <cellStyle name="Calculation 8 17 3 5" xfId="44351" xr:uid="{00000000-0005-0000-0000-000020AD0000}"/>
    <cellStyle name="Calculation 8 17 3 6" xfId="44352" xr:uid="{00000000-0005-0000-0000-000021AD0000}"/>
    <cellStyle name="Calculation 8 17 4" xfId="44353" xr:uid="{00000000-0005-0000-0000-000022AD0000}"/>
    <cellStyle name="Calculation 8 17 4 2" xfId="44354" xr:uid="{00000000-0005-0000-0000-000023AD0000}"/>
    <cellStyle name="Calculation 8 17 4 3" xfId="44355" xr:uid="{00000000-0005-0000-0000-000024AD0000}"/>
    <cellStyle name="Calculation 8 17 4 4" xfId="44356" xr:uid="{00000000-0005-0000-0000-000025AD0000}"/>
    <cellStyle name="Calculation 8 17 4 5" xfId="44357" xr:uid="{00000000-0005-0000-0000-000026AD0000}"/>
    <cellStyle name="Calculation 8 17 4 6" xfId="44358" xr:uid="{00000000-0005-0000-0000-000027AD0000}"/>
    <cellStyle name="Calculation 8 17 5" xfId="44359" xr:uid="{00000000-0005-0000-0000-000028AD0000}"/>
    <cellStyle name="Calculation 8 17 5 2" xfId="44360" xr:uid="{00000000-0005-0000-0000-000029AD0000}"/>
    <cellStyle name="Calculation 8 17 5 3" xfId="44361" xr:uid="{00000000-0005-0000-0000-00002AAD0000}"/>
    <cellStyle name="Calculation 8 17 5 4" xfId="44362" xr:uid="{00000000-0005-0000-0000-00002BAD0000}"/>
    <cellStyle name="Calculation 8 17 5 5" xfId="44363" xr:uid="{00000000-0005-0000-0000-00002CAD0000}"/>
    <cellStyle name="Calculation 8 17 5 6" xfId="44364" xr:uid="{00000000-0005-0000-0000-00002DAD0000}"/>
    <cellStyle name="Calculation 8 17 6" xfId="44365" xr:uid="{00000000-0005-0000-0000-00002EAD0000}"/>
    <cellStyle name="Calculation 8 17 6 2" xfId="44366" xr:uid="{00000000-0005-0000-0000-00002FAD0000}"/>
    <cellStyle name="Calculation 8 17 6 3" xfId="44367" xr:uid="{00000000-0005-0000-0000-000030AD0000}"/>
    <cellStyle name="Calculation 8 17 6 4" xfId="44368" xr:uid="{00000000-0005-0000-0000-000031AD0000}"/>
    <cellStyle name="Calculation 8 17 6 5" xfId="44369" xr:uid="{00000000-0005-0000-0000-000032AD0000}"/>
    <cellStyle name="Calculation 8 17 6 6" xfId="44370" xr:uid="{00000000-0005-0000-0000-000033AD0000}"/>
    <cellStyle name="Calculation 8 17 7" xfId="44371" xr:uid="{00000000-0005-0000-0000-000034AD0000}"/>
    <cellStyle name="Calculation 8 17 7 2" xfId="44372" xr:uid="{00000000-0005-0000-0000-000035AD0000}"/>
    <cellStyle name="Calculation 8 17 7 3" xfId="44373" xr:uid="{00000000-0005-0000-0000-000036AD0000}"/>
    <cellStyle name="Calculation 8 17 7 4" xfId="44374" xr:uid="{00000000-0005-0000-0000-000037AD0000}"/>
    <cellStyle name="Calculation 8 17 7 5" xfId="44375" xr:uid="{00000000-0005-0000-0000-000038AD0000}"/>
    <cellStyle name="Calculation 8 17 7 6" xfId="44376" xr:uid="{00000000-0005-0000-0000-000039AD0000}"/>
    <cellStyle name="Calculation 8 17 8" xfId="44377" xr:uid="{00000000-0005-0000-0000-00003AAD0000}"/>
    <cellStyle name="Calculation 8 17 9" xfId="44378" xr:uid="{00000000-0005-0000-0000-00003BAD0000}"/>
    <cellStyle name="Calculation 8 18" xfId="44379" xr:uid="{00000000-0005-0000-0000-00003CAD0000}"/>
    <cellStyle name="Calculation 8 18 10" xfId="44380" xr:uid="{00000000-0005-0000-0000-00003DAD0000}"/>
    <cellStyle name="Calculation 8 18 2" xfId="44381" xr:uid="{00000000-0005-0000-0000-00003EAD0000}"/>
    <cellStyle name="Calculation 8 18 2 2" xfId="44382" xr:uid="{00000000-0005-0000-0000-00003FAD0000}"/>
    <cellStyle name="Calculation 8 18 2 3" xfId="44383" xr:uid="{00000000-0005-0000-0000-000040AD0000}"/>
    <cellStyle name="Calculation 8 18 2 4" xfId="44384" xr:uid="{00000000-0005-0000-0000-000041AD0000}"/>
    <cellStyle name="Calculation 8 18 2 5" xfId="44385" xr:uid="{00000000-0005-0000-0000-000042AD0000}"/>
    <cellStyle name="Calculation 8 18 2 6" xfId="44386" xr:uid="{00000000-0005-0000-0000-000043AD0000}"/>
    <cellStyle name="Calculation 8 18 3" xfId="44387" xr:uid="{00000000-0005-0000-0000-000044AD0000}"/>
    <cellStyle name="Calculation 8 18 3 2" xfId="44388" xr:uid="{00000000-0005-0000-0000-000045AD0000}"/>
    <cellStyle name="Calculation 8 18 3 3" xfId="44389" xr:uid="{00000000-0005-0000-0000-000046AD0000}"/>
    <cellStyle name="Calculation 8 18 3 4" xfId="44390" xr:uid="{00000000-0005-0000-0000-000047AD0000}"/>
    <cellStyle name="Calculation 8 18 3 5" xfId="44391" xr:uid="{00000000-0005-0000-0000-000048AD0000}"/>
    <cellStyle name="Calculation 8 18 3 6" xfId="44392" xr:uid="{00000000-0005-0000-0000-000049AD0000}"/>
    <cellStyle name="Calculation 8 18 4" xfId="44393" xr:uid="{00000000-0005-0000-0000-00004AAD0000}"/>
    <cellStyle name="Calculation 8 18 4 2" xfId="44394" xr:uid="{00000000-0005-0000-0000-00004BAD0000}"/>
    <cellStyle name="Calculation 8 18 4 3" xfId="44395" xr:uid="{00000000-0005-0000-0000-00004CAD0000}"/>
    <cellStyle name="Calculation 8 18 4 4" xfId="44396" xr:uid="{00000000-0005-0000-0000-00004DAD0000}"/>
    <cellStyle name="Calculation 8 18 4 5" xfId="44397" xr:uid="{00000000-0005-0000-0000-00004EAD0000}"/>
    <cellStyle name="Calculation 8 18 4 6" xfId="44398" xr:uid="{00000000-0005-0000-0000-00004FAD0000}"/>
    <cellStyle name="Calculation 8 18 5" xfId="44399" xr:uid="{00000000-0005-0000-0000-000050AD0000}"/>
    <cellStyle name="Calculation 8 18 5 2" xfId="44400" xr:uid="{00000000-0005-0000-0000-000051AD0000}"/>
    <cellStyle name="Calculation 8 18 5 3" xfId="44401" xr:uid="{00000000-0005-0000-0000-000052AD0000}"/>
    <cellStyle name="Calculation 8 18 5 4" xfId="44402" xr:uid="{00000000-0005-0000-0000-000053AD0000}"/>
    <cellStyle name="Calculation 8 18 5 5" xfId="44403" xr:uid="{00000000-0005-0000-0000-000054AD0000}"/>
    <cellStyle name="Calculation 8 18 5 6" xfId="44404" xr:uid="{00000000-0005-0000-0000-000055AD0000}"/>
    <cellStyle name="Calculation 8 18 6" xfId="44405" xr:uid="{00000000-0005-0000-0000-000056AD0000}"/>
    <cellStyle name="Calculation 8 18 6 2" xfId="44406" xr:uid="{00000000-0005-0000-0000-000057AD0000}"/>
    <cellStyle name="Calculation 8 18 6 3" xfId="44407" xr:uid="{00000000-0005-0000-0000-000058AD0000}"/>
    <cellStyle name="Calculation 8 18 6 4" xfId="44408" xr:uid="{00000000-0005-0000-0000-000059AD0000}"/>
    <cellStyle name="Calculation 8 18 6 5" xfId="44409" xr:uid="{00000000-0005-0000-0000-00005AAD0000}"/>
    <cellStyle name="Calculation 8 18 6 6" xfId="44410" xr:uid="{00000000-0005-0000-0000-00005BAD0000}"/>
    <cellStyle name="Calculation 8 18 7" xfId="44411" xr:uid="{00000000-0005-0000-0000-00005CAD0000}"/>
    <cellStyle name="Calculation 8 18 7 2" xfId="44412" xr:uid="{00000000-0005-0000-0000-00005DAD0000}"/>
    <cellStyle name="Calculation 8 18 7 3" xfId="44413" xr:uid="{00000000-0005-0000-0000-00005EAD0000}"/>
    <cellStyle name="Calculation 8 18 7 4" xfId="44414" xr:uid="{00000000-0005-0000-0000-00005FAD0000}"/>
    <cellStyle name="Calculation 8 18 7 5" xfId="44415" xr:uid="{00000000-0005-0000-0000-000060AD0000}"/>
    <cellStyle name="Calculation 8 18 7 6" xfId="44416" xr:uid="{00000000-0005-0000-0000-000061AD0000}"/>
    <cellStyle name="Calculation 8 18 8" xfId="44417" xr:uid="{00000000-0005-0000-0000-000062AD0000}"/>
    <cellStyle name="Calculation 8 18 9" xfId="44418" xr:uid="{00000000-0005-0000-0000-000063AD0000}"/>
    <cellStyle name="Calculation 8 19" xfId="44419" xr:uid="{00000000-0005-0000-0000-000064AD0000}"/>
    <cellStyle name="Calculation 8 19 10" xfId="44420" xr:uid="{00000000-0005-0000-0000-000065AD0000}"/>
    <cellStyle name="Calculation 8 19 2" xfId="44421" xr:uid="{00000000-0005-0000-0000-000066AD0000}"/>
    <cellStyle name="Calculation 8 19 2 2" xfId="44422" xr:uid="{00000000-0005-0000-0000-000067AD0000}"/>
    <cellStyle name="Calculation 8 19 2 3" xfId="44423" xr:uid="{00000000-0005-0000-0000-000068AD0000}"/>
    <cellStyle name="Calculation 8 19 2 4" xfId="44424" xr:uid="{00000000-0005-0000-0000-000069AD0000}"/>
    <cellStyle name="Calculation 8 19 2 5" xfId="44425" xr:uid="{00000000-0005-0000-0000-00006AAD0000}"/>
    <cellStyle name="Calculation 8 19 2 6" xfId="44426" xr:uid="{00000000-0005-0000-0000-00006BAD0000}"/>
    <cellStyle name="Calculation 8 19 3" xfId="44427" xr:uid="{00000000-0005-0000-0000-00006CAD0000}"/>
    <cellStyle name="Calculation 8 19 3 2" xfId="44428" xr:uid="{00000000-0005-0000-0000-00006DAD0000}"/>
    <cellStyle name="Calculation 8 19 3 3" xfId="44429" xr:uid="{00000000-0005-0000-0000-00006EAD0000}"/>
    <cellStyle name="Calculation 8 19 3 4" xfId="44430" xr:uid="{00000000-0005-0000-0000-00006FAD0000}"/>
    <cellStyle name="Calculation 8 19 3 5" xfId="44431" xr:uid="{00000000-0005-0000-0000-000070AD0000}"/>
    <cellStyle name="Calculation 8 19 3 6" xfId="44432" xr:uid="{00000000-0005-0000-0000-000071AD0000}"/>
    <cellStyle name="Calculation 8 19 4" xfId="44433" xr:uid="{00000000-0005-0000-0000-000072AD0000}"/>
    <cellStyle name="Calculation 8 19 4 2" xfId="44434" xr:uid="{00000000-0005-0000-0000-000073AD0000}"/>
    <cellStyle name="Calculation 8 19 4 3" xfId="44435" xr:uid="{00000000-0005-0000-0000-000074AD0000}"/>
    <cellStyle name="Calculation 8 19 4 4" xfId="44436" xr:uid="{00000000-0005-0000-0000-000075AD0000}"/>
    <cellStyle name="Calculation 8 19 4 5" xfId="44437" xr:uid="{00000000-0005-0000-0000-000076AD0000}"/>
    <cellStyle name="Calculation 8 19 4 6" xfId="44438" xr:uid="{00000000-0005-0000-0000-000077AD0000}"/>
    <cellStyle name="Calculation 8 19 5" xfId="44439" xr:uid="{00000000-0005-0000-0000-000078AD0000}"/>
    <cellStyle name="Calculation 8 19 5 2" xfId="44440" xr:uid="{00000000-0005-0000-0000-000079AD0000}"/>
    <cellStyle name="Calculation 8 19 5 3" xfId="44441" xr:uid="{00000000-0005-0000-0000-00007AAD0000}"/>
    <cellStyle name="Calculation 8 19 5 4" xfId="44442" xr:uid="{00000000-0005-0000-0000-00007BAD0000}"/>
    <cellStyle name="Calculation 8 19 5 5" xfId="44443" xr:uid="{00000000-0005-0000-0000-00007CAD0000}"/>
    <cellStyle name="Calculation 8 19 5 6" xfId="44444" xr:uid="{00000000-0005-0000-0000-00007DAD0000}"/>
    <cellStyle name="Calculation 8 19 6" xfId="44445" xr:uid="{00000000-0005-0000-0000-00007EAD0000}"/>
    <cellStyle name="Calculation 8 19 6 2" xfId="44446" xr:uid="{00000000-0005-0000-0000-00007FAD0000}"/>
    <cellStyle name="Calculation 8 19 6 3" xfId="44447" xr:uid="{00000000-0005-0000-0000-000080AD0000}"/>
    <cellStyle name="Calculation 8 19 6 4" xfId="44448" xr:uid="{00000000-0005-0000-0000-000081AD0000}"/>
    <cellStyle name="Calculation 8 19 6 5" xfId="44449" xr:uid="{00000000-0005-0000-0000-000082AD0000}"/>
    <cellStyle name="Calculation 8 19 6 6" xfId="44450" xr:uid="{00000000-0005-0000-0000-000083AD0000}"/>
    <cellStyle name="Calculation 8 19 7" xfId="44451" xr:uid="{00000000-0005-0000-0000-000084AD0000}"/>
    <cellStyle name="Calculation 8 19 7 2" xfId="44452" xr:uid="{00000000-0005-0000-0000-000085AD0000}"/>
    <cellStyle name="Calculation 8 19 7 3" xfId="44453" xr:uid="{00000000-0005-0000-0000-000086AD0000}"/>
    <cellStyle name="Calculation 8 19 7 4" xfId="44454" xr:uid="{00000000-0005-0000-0000-000087AD0000}"/>
    <cellStyle name="Calculation 8 19 7 5" xfId="44455" xr:uid="{00000000-0005-0000-0000-000088AD0000}"/>
    <cellStyle name="Calculation 8 19 7 6" xfId="44456" xr:uid="{00000000-0005-0000-0000-000089AD0000}"/>
    <cellStyle name="Calculation 8 19 8" xfId="44457" xr:uid="{00000000-0005-0000-0000-00008AAD0000}"/>
    <cellStyle name="Calculation 8 19 9" xfId="44458" xr:uid="{00000000-0005-0000-0000-00008BAD0000}"/>
    <cellStyle name="Calculation 8 2" xfId="44459" xr:uid="{00000000-0005-0000-0000-00008CAD0000}"/>
    <cellStyle name="Calculation 8 2 10" xfId="44460" xr:uid="{00000000-0005-0000-0000-00008DAD0000}"/>
    <cellStyle name="Calculation 8 2 10 10" xfId="44461" xr:uid="{00000000-0005-0000-0000-00008EAD0000}"/>
    <cellStyle name="Calculation 8 2 10 2" xfId="44462" xr:uid="{00000000-0005-0000-0000-00008FAD0000}"/>
    <cellStyle name="Calculation 8 2 10 2 2" xfId="44463" xr:uid="{00000000-0005-0000-0000-000090AD0000}"/>
    <cellStyle name="Calculation 8 2 10 2 3" xfId="44464" xr:uid="{00000000-0005-0000-0000-000091AD0000}"/>
    <cellStyle name="Calculation 8 2 10 2 4" xfId="44465" xr:uid="{00000000-0005-0000-0000-000092AD0000}"/>
    <cellStyle name="Calculation 8 2 10 2 5" xfId="44466" xr:uid="{00000000-0005-0000-0000-000093AD0000}"/>
    <cellStyle name="Calculation 8 2 10 2 6" xfId="44467" xr:uid="{00000000-0005-0000-0000-000094AD0000}"/>
    <cellStyle name="Calculation 8 2 10 3" xfId="44468" xr:uid="{00000000-0005-0000-0000-000095AD0000}"/>
    <cellStyle name="Calculation 8 2 10 3 2" xfId="44469" xr:uid="{00000000-0005-0000-0000-000096AD0000}"/>
    <cellStyle name="Calculation 8 2 10 3 3" xfId="44470" xr:uid="{00000000-0005-0000-0000-000097AD0000}"/>
    <cellStyle name="Calculation 8 2 10 3 4" xfId="44471" xr:uid="{00000000-0005-0000-0000-000098AD0000}"/>
    <cellStyle name="Calculation 8 2 10 3 5" xfId="44472" xr:uid="{00000000-0005-0000-0000-000099AD0000}"/>
    <cellStyle name="Calculation 8 2 10 3 6" xfId="44473" xr:uid="{00000000-0005-0000-0000-00009AAD0000}"/>
    <cellStyle name="Calculation 8 2 10 4" xfId="44474" xr:uid="{00000000-0005-0000-0000-00009BAD0000}"/>
    <cellStyle name="Calculation 8 2 10 4 2" xfId="44475" xr:uid="{00000000-0005-0000-0000-00009CAD0000}"/>
    <cellStyle name="Calculation 8 2 10 4 3" xfId="44476" xr:uid="{00000000-0005-0000-0000-00009DAD0000}"/>
    <cellStyle name="Calculation 8 2 10 4 4" xfId="44477" xr:uid="{00000000-0005-0000-0000-00009EAD0000}"/>
    <cellStyle name="Calculation 8 2 10 4 5" xfId="44478" xr:uid="{00000000-0005-0000-0000-00009FAD0000}"/>
    <cellStyle name="Calculation 8 2 10 4 6" xfId="44479" xr:uid="{00000000-0005-0000-0000-0000A0AD0000}"/>
    <cellStyle name="Calculation 8 2 10 5" xfId="44480" xr:uid="{00000000-0005-0000-0000-0000A1AD0000}"/>
    <cellStyle name="Calculation 8 2 10 5 2" xfId="44481" xr:uid="{00000000-0005-0000-0000-0000A2AD0000}"/>
    <cellStyle name="Calculation 8 2 10 5 3" xfId="44482" xr:uid="{00000000-0005-0000-0000-0000A3AD0000}"/>
    <cellStyle name="Calculation 8 2 10 5 4" xfId="44483" xr:uid="{00000000-0005-0000-0000-0000A4AD0000}"/>
    <cellStyle name="Calculation 8 2 10 5 5" xfId="44484" xr:uid="{00000000-0005-0000-0000-0000A5AD0000}"/>
    <cellStyle name="Calculation 8 2 10 5 6" xfId="44485" xr:uid="{00000000-0005-0000-0000-0000A6AD0000}"/>
    <cellStyle name="Calculation 8 2 10 6" xfId="44486" xr:uid="{00000000-0005-0000-0000-0000A7AD0000}"/>
    <cellStyle name="Calculation 8 2 10 6 2" xfId="44487" xr:uid="{00000000-0005-0000-0000-0000A8AD0000}"/>
    <cellStyle name="Calculation 8 2 10 6 3" xfId="44488" xr:uid="{00000000-0005-0000-0000-0000A9AD0000}"/>
    <cellStyle name="Calculation 8 2 10 6 4" xfId="44489" xr:uid="{00000000-0005-0000-0000-0000AAAD0000}"/>
    <cellStyle name="Calculation 8 2 10 6 5" xfId="44490" xr:uid="{00000000-0005-0000-0000-0000ABAD0000}"/>
    <cellStyle name="Calculation 8 2 10 6 6" xfId="44491" xr:uid="{00000000-0005-0000-0000-0000ACAD0000}"/>
    <cellStyle name="Calculation 8 2 10 7" xfId="44492" xr:uid="{00000000-0005-0000-0000-0000ADAD0000}"/>
    <cellStyle name="Calculation 8 2 10 7 2" xfId="44493" xr:uid="{00000000-0005-0000-0000-0000AEAD0000}"/>
    <cellStyle name="Calculation 8 2 10 7 3" xfId="44494" xr:uid="{00000000-0005-0000-0000-0000AFAD0000}"/>
    <cellStyle name="Calculation 8 2 10 7 4" xfId="44495" xr:uid="{00000000-0005-0000-0000-0000B0AD0000}"/>
    <cellStyle name="Calculation 8 2 10 7 5" xfId="44496" xr:uid="{00000000-0005-0000-0000-0000B1AD0000}"/>
    <cellStyle name="Calculation 8 2 10 7 6" xfId="44497" xr:uid="{00000000-0005-0000-0000-0000B2AD0000}"/>
    <cellStyle name="Calculation 8 2 10 8" xfId="44498" xr:uid="{00000000-0005-0000-0000-0000B3AD0000}"/>
    <cellStyle name="Calculation 8 2 10 9" xfId="44499" xr:uid="{00000000-0005-0000-0000-0000B4AD0000}"/>
    <cellStyle name="Calculation 8 2 11" xfId="44500" xr:uid="{00000000-0005-0000-0000-0000B5AD0000}"/>
    <cellStyle name="Calculation 8 2 11 10" xfId="44501" xr:uid="{00000000-0005-0000-0000-0000B6AD0000}"/>
    <cellStyle name="Calculation 8 2 11 2" xfId="44502" xr:uid="{00000000-0005-0000-0000-0000B7AD0000}"/>
    <cellStyle name="Calculation 8 2 11 2 2" xfId="44503" xr:uid="{00000000-0005-0000-0000-0000B8AD0000}"/>
    <cellStyle name="Calculation 8 2 11 2 3" xfId="44504" xr:uid="{00000000-0005-0000-0000-0000B9AD0000}"/>
    <cellStyle name="Calculation 8 2 11 2 4" xfId="44505" xr:uid="{00000000-0005-0000-0000-0000BAAD0000}"/>
    <cellStyle name="Calculation 8 2 11 2 5" xfId="44506" xr:uid="{00000000-0005-0000-0000-0000BBAD0000}"/>
    <cellStyle name="Calculation 8 2 11 2 6" xfId="44507" xr:uid="{00000000-0005-0000-0000-0000BCAD0000}"/>
    <cellStyle name="Calculation 8 2 11 3" xfId="44508" xr:uid="{00000000-0005-0000-0000-0000BDAD0000}"/>
    <cellStyle name="Calculation 8 2 11 3 2" xfId="44509" xr:uid="{00000000-0005-0000-0000-0000BEAD0000}"/>
    <cellStyle name="Calculation 8 2 11 3 3" xfId="44510" xr:uid="{00000000-0005-0000-0000-0000BFAD0000}"/>
    <cellStyle name="Calculation 8 2 11 3 4" xfId="44511" xr:uid="{00000000-0005-0000-0000-0000C0AD0000}"/>
    <cellStyle name="Calculation 8 2 11 3 5" xfId="44512" xr:uid="{00000000-0005-0000-0000-0000C1AD0000}"/>
    <cellStyle name="Calculation 8 2 11 3 6" xfId="44513" xr:uid="{00000000-0005-0000-0000-0000C2AD0000}"/>
    <cellStyle name="Calculation 8 2 11 4" xfId="44514" xr:uid="{00000000-0005-0000-0000-0000C3AD0000}"/>
    <cellStyle name="Calculation 8 2 11 4 2" xfId="44515" xr:uid="{00000000-0005-0000-0000-0000C4AD0000}"/>
    <cellStyle name="Calculation 8 2 11 4 3" xfId="44516" xr:uid="{00000000-0005-0000-0000-0000C5AD0000}"/>
    <cellStyle name="Calculation 8 2 11 4 4" xfId="44517" xr:uid="{00000000-0005-0000-0000-0000C6AD0000}"/>
    <cellStyle name="Calculation 8 2 11 4 5" xfId="44518" xr:uid="{00000000-0005-0000-0000-0000C7AD0000}"/>
    <cellStyle name="Calculation 8 2 11 4 6" xfId="44519" xr:uid="{00000000-0005-0000-0000-0000C8AD0000}"/>
    <cellStyle name="Calculation 8 2 11 5" xfId="44520" xr:uid="{00000000-0005-0000-0000-0000C9AD0000}"/>
    <cellStyle name="Calculation 8 2 11 5 2" xfId="44521" xr:uid="{00000000-0005-0000-0000-0000CAAD0000}"/>
    <cellStyle name="Calculation 8 2 11 5 3" xfId="44522" xr:uid="{00000000-0005-0000-0000-0000CBAD0000}"/>
    <cellStyle name="Calculation 8 2 11 5 4" xfId="44523" xr:uid="{00000000-0005-0000-0000-0000CCAD0000}"/>
    <cellStyle name="Calculation 8 2 11 5 5" xfId="44524" xr:uid="{00000000-0005-0000-0000-0000CDAD0000}"/>
    <cellStyle name="Calculation 8 2 11 5 6" xfId="44525" xr:uid="{00000000-0005-0000-0000-0000CEAD0000}"/>
    <cellStyle name="Calculation 8 2 11 6" xfId="44526" xr:uid="{00000000-0005-0000-0000-0000CFAD0000}"/>
    <cellStyle name="Calculation 8 2 11 6 2" xfId="44527" xr:uid="{00000000-0005-0000-0000-0000D0AD0000}"/>
    <cellStyle name="Calculation 8 2 11 6 3" xfId="44528" xr:uid="{00000000-0005-0000-0000-0000D1AD0000}"/>
    <cellStyle name="Calculation 8 2 11 6 4" xfId="44529" xr:uid="{00000000-0005-0000-0000-0000D2AD0000}"/>
    <cellStyle name="Calculation 8 2 11 6 5" xfId="44530" xr:uid="{00000000-0005-0000-0000-0000D3AD0000}"/>
    <cellStyle name="Calculation 8 2 11 6 6" xfId="44531" xr:uid="{00000000-0005-0000-0000-0000D4AD0000}"/>
    <cellStyle name="Calculation 8 2 11 7" xfId="44532" xr:uid="{00000000-0005-0000-0000-0000D5AD0000}"/>
    <cellStyle name="Calculation 8 2 11 7 2" xfId="44533" xr:uid="{00000000-0005-0000-0000-0000D6AD0000}"/>
    <cellStyle name="Calculation 8 2 11 7 3" xfId="44534" xr:uid="{00000000-0005-0000-0000-0000D7AD0000}"/>
    <cellStyle name="Calculation 8 2 11 7 4" xfId="44535" xr:uid="{00000000-0005-0000-0000-0000D8AD0000}"/>
    <cellStyle name="Calculation 8 2 11 7 5" xfId="44536" xr:uid="{00000000-0005-0000-0000-0000D9AD0000}"/>
    <cellStyle name="Calculation 8 2 11 7 6" xfId="44537" xr:uid="{00000000-0005-0000-0000-0000DAAD0000}"/>
    <cellStyle name="Calculation 8 2 11 8" xfId="44538" xr:uid="{00000000-0005-0000-0000-0000DBAD0000}"/>
    <cellStyle name="Calculation 8 2 11 9" xfId="44539" xr:uid="{00000000-0005-0000-0000-0000DCAD0000}"/>
    <cellStyle name="Calculation 8 2 12" xfId="44540" xr:uid="{00000000-0005-0000-0000-0000DDAD0000}"/>
    <cellStyle name="Calculation 8 2 12 10" xfId="44541" xr:uid="{00000000-0005-0000-0000-0000DEAD0000}"/>
    <cellStyle name="Calculation 8 2 12 2" xfId="44542" xr:uid="{00000000-0005-0000-0000-0000DFAD0000}"/>
    <cellStyle name="Calculation 8 2 12 2 2" xfId="44543" xr:uid="{00000000-0005-0000-0000-0000E0AD0000}"/>
    <cellStyle name="Calculation 8 2 12 2 3" xfId="44544" xr:uid="{00000000-0005-0000-0000-0000E1AD0000}"/>
    <cellStyle name="Calculation 8 2 12 2 4" xfId="44545" xr:uid="{00000000-0005-0000-0000-0000E2AD0000}"/>
    <cellStyle name="Calculation 8 2 12 2 5" xfId="44546" xr:uid="{00000000-0005-0000-0000-0000E3AD0000}"/>
    <cellStyle name="Calculation 8 2 12 2 6" xfId="44547" xr:uid="{00000000-0005-0000-0000-0000E4AD0000}"/>
    <cellStyle name="Calculation 8 2 12 3" xfId="44548" xr:uid="{00000000-0005-0000-0000-0000E5AD0000}"/>
    <cellStyle name="Calculation 8 2 12 3 2" xfId="44549" xr:uid="{00000000-0005-0000-0000-0000E6AD0000}"/>
    <cellStyle name="Calculation 8 2 12 3 3" xfId="44550" xr:uid="{00000000-0005-0000-0000-0000E7AD0000}"/>
    <cellStyle name="Calculation 8 2 12 3 4" xfId="44551" xr:uid="{00000000-0005-0000-0000-0000E8AD0000}"/>
    <cellStyle name="Calculation 8 2 12 3 5" xfId="44552" xr:uid="{00000000-0005-0000-0000-0000E9AD0000}"/>
    <cellStyle name="Calculation 8 2 12 3 6" xfId="44553" xr:uid="{00000000-0005-0000-0000-0000EAAD0000}"/>
    <cellStyle name="Calculation 8 2 12 4" xfId="44554" xr:uid="{00000000-0005-0000-0000-0000EBAD0000}"/>
    <cellStyle name="Calculation 8 2 12 4 2" xfId="44555" xr:uid="{00000000-0005-0000-0000-0000ECAD0000}"/>
    <cellStyle name="Calculation 8 2 12 4 3" xfId="44556" xr:uid="{00000000-0005-0000-0000-0000EDAD0000}"/>
    <cellStyle name="Calculation 8 2 12 4 4" xfId="44557" xr:uid="{00000000-0005-0000-0000-0000EEAD0000}"/>
    <cellStyle name="Calculation 8 2 12 4 5" xfId="44558" xr:uid="{00000000-0005-0000-0000-0000EFAD0000}"/>
    <cellStyle name="Calculation 8 2 12 4 6" xfId="44559" xr:uid="{00000000-0005-0000-0000-0000F0AD0000}"/>
    <cellStyle name="Calculation 8 2 12 5" xfId="44560" xr:uid="{00000000-0005-0000-0000-0000F1AD0000}"/>
    <cellStyle name="Calculation 8 2 12 5 2" xfId="44561" xr:uid="{00000000-0005-0000-0000-0000F2AD0000}"/>
    <cellStyle name="Calculation 8 2 12 5 3" xfId="44562" xr:uid="{00000000-0005-0000-0000-0000F3AD0000}"/>
    <cellStyle name="Calculation 8 2 12 5 4" xfId="44563" xr:uid="{00000000-0005-0000-0000-0000F4AD0000}"/>
    <cellStyle name="Calculation 8 2 12 5 5" xfId="44564" xr:uid="{00000000-0005-0000-0000-0000F5AD0000}"/>
    <cellStyle name="Calculation 8 2 12 5 6" xfId="44565" xr:uid="{00000000-0005-0000-0000-0000F6AD0000}"/>
    <cellStyle name="Calculation 8 2 12 6" xfId="44566" xr:uid="{00000000-0005-0000-0000-0000F7AD0000}"/>
    <cellStyle name="Calculation 8 2 12 6 2" xfId="44567" xr:uid="{00000000-0005-0000-0000-0000F8AD0000}"/>
    <cellStyle name="Calculation 8 2 12 6 3" xfId="44568" xr:uid="{00000000-0005-0000-0000-0000F9AD0000}"/>
    <cellStyle name="Calculation 8 2 12 6 4" xfId="44569" xr:uid="{00000000-0005-0000-0000-0000FAAD0000}"/>
    <cellStyle name="Calculation 8 2 12 6 5" xfId="44570" xr:uid="{00000000-0005-0000-0000-0000FBAD0000}"/>
    <cellStyle name="Calculation 8 2 12 6 6" xfId="44571" xr:uid="{00000000-0005-0000-0000-0000FCAD0000}"/>
    <cellStyle name="Calculation 8 2 12 7" xfId="44572" xr:uid="{00000000-0005-0000-0000-0000FDAD0000}"/>
    <cellStyle name="Calculation 8 2 12 7 2" xfId="44573" xr:uid="{00000000-0005-0000-0000-0000FEAD0000}"/>
    <cellStyle name="Calculation 8 2 12 7 3" xfId="44574" xr:uid="{00000000-0005-0000-0000-0000FFAD0000}"/>
    <cellStyle name="Calculation 8 2 12 7 4" xfId="44575" xr:uid="{00000000-0005-0000-0000-000000AE0000}"/>
    <cellStyle name="Calculation 8 2 12 7 5" xfId="44576" xr:uid="{00000000-0005-0000-0000-000001AE0000}"/>
    <cellStyle name="Calculation 8 2 12 7 6" xfId="44577" xr:uid="{00000000-0005-0000-0000-000002AE0000}"/>
    <cellStyle name="Calculation 8 2 12 8" xfId="44578" xr:uid="{00000000-0005-0000-0000-000003AE0000}"/>
    <cellStyle name="Calculation 8 2 12 9" xfId="44579" xr:uid="{00000000-0005-0000-0000-000004AE0000}"/>
    <cellStyle name="Calculation 8 2 13" xfId="44580" xr:uid="{00000000-0005-0000-0000-000005AE0000}"/>
    <cellStyle name="Calculation 8 2 13 10" xfId="44581" xr:uid="{00000000-0005-0000-0000-000006AE0000}"/>
    <cellStyle name="Calculation 8 2 13 2" xfId="44582" xr:uid="{00000000-0005-0000-0000-000007AE0000}"/>
    <cellStyle name="Calculation 8 2 13 2 2" xfId="44583" xr:uid="{00000000-0005-0000-0000-000008AE0000}"/>
    <cellStyle name="Calculation 8 2 13 2 3" xfId="44584" xr:uid="{00000000-0005-0000-0000-000009AE0000}"/>
    <cellStyle name="Calculation 8 2 13 2 4" xfId="44585" xr:uid="{00000000-0005-0000-0000-00000AAE0000}"/>
    <cellStyle name="Calculation 8 2 13 2 5" xfId="44586" xr:uid="{00000000-0005-0000-0000-00000BAE0000}"/>
    <cellStyle name="Calculation 8 2 13 2 6" xfId="44587" xr:uid="{00000000-0005-0000-0000-00000CAE0000}"/>
    <cellStyle name="Calculation 8 2 13 3" xfId="44588" xr:uid="{00000000-0005-0000-0000-00000DAE0000}"/>
    <cellStyle name="Calculation 8 2 13 3 2" xfId="44589" xr:uid="{00000000-0005-0000-0000-00000EAE0000}"/>
    <cellStyle name="Calculation 8 2 13 3 3" xfId="44590" xr:uid="{00000000-0005-0000-0000-00000FAE0000}"/>
    <cellStyle name="Calculation 8 2 13 3 4" xfId="44591" xr:uid="{00000000-0005-0000-0000-000010AE0000}"/>
    <cellStyle name="Calculation 8 2 13 3 5" xfId="44592" xr:uid="{00000000-0005-0000-0000-000011AE0000}"/>
    <cellStyle name="Calculation 8 2 13 3 6" xfId="44593" xr:uid="{00000000-0005-0000-0000-000012AE0000}"/>
    <cellStyle name="Calculation 8 2 13 4" xfId="44594" xr:uid="{00000000-0005-0000-0000-000013AE0000}"/>
    <cellStyle name="Calculation 8 2 13 4 2" xfId="44595" xr:uid="{00000000-0005-0000-0000-000014AE0000}"/>
    <cellStyle name="Calculation 8 2 13 4 3" xfId="44596" xr:uid="{00000000-0005-0000-0000-000015AE0000}"/>
    <cellStyle name="Calculation 8 2 13 4 4" xfId="44597" xr:uid="{00000000-0005-0000-0000-000016AE0000}"/>
    <cellStyle name="Calculation 8 2 13 4 5" xfId="44598" xr:uid="{00000000-0005-0000-0000-000017AE0000}"/>
    <cellStyle name="Calculation 8 2 13 4 6" xfId="44599" xr:uid="{00000000-0005-0000-0000-000018AE0000}"/>
    <cellStyle name="Calculation 8 2 13 5" xfId="44600" xr:uid="{00000000-0005-0000-0000-000019AE0000}"/>
    <cellStyle name="Calculation 8 2 13 5 2" xfId="44601" xr:uid="{00000000-0005-0000-0000-00001AAE0000}"/>
    <cellStyle name="Calculation 8 2 13 5 3" xfId="44602" xr:uid="{00000000-0005-0000-0000-00001BAE0000}"/>
    <cellStyle name="Calculation 8 2 13 5 4" xfId="44603" xr:uid="{00000000-0005-0000-0000-00001CAE0000}"/>
    <cellStyle name="Calculation 8 2 13 5 5" xfId="44604" xr:uid="{00000000-0005-0000-0000-00001DAE0000}"/>
    <cellStyle name="Calculation 8 2 13 5 6" xfId="44605" xr:uid="{00000000-0005-0000-0000-00001EAE0000}"/>
    <cellStyle name="Calculation 8 2 13 6" xfId="44606" xr:uid="{00000000-0005-0000-0000-00001FAE0000}"/>
    <cellStyle name="Calculation 8 2 13 6 2" xfId="44607" xr:uid="{00000000-0005-0000-0000-000020AE0000}"/>
    <cellStyle name="Calculation 8 2 13 6 3" xfId="44608" xr:uid="{00000000-0005-0000-0000-000021AE0000}"/>
    <cellStyle name="Calculation 8 2 13 6 4" xfId="44609" xr:uid="{00000000-0005-0000-0000-000022AE0000}"/>
    <cellStyle name="Calculation 8 2 13 6 5" xfId="44610" xr:uid="{00000000-0005-0000-0000-000023AE0000}"/>
    <cellStyle name="Calculation 8 2 13 6 6" xfId="44611" xr:uid="{00000000-0005-0000-0000-000024AE0000}"/>
    <cellStyle name="Calculation 8 2 13 7" xfId="44612" xr:uid="{00000000-0005-0000-0000-000025AE0000}"/>
    <cellStyle name="Calculation 8 2 13 7 2" xfId="44613" xr:uid="{00000000-0005-0000-0000-000026AE0000}"/>
    <cellStyle name="Calculation 8 2 13 7 3" xfId="44614" xr:uid="{00000000-0005-0000-0000-000027AE0000}"/>
    <cellStyle name="Calculation 8 2 13 7 4" xfId="44615" xr:uid="{00000000-0005-0000-0000-000028AE0000}"/>
    <cellStyle name="Calculation 8 2 13 7 5" xfId="44616" xr:uid="{00000000-0005-0000-0000-000029AE0000}"/>
    <cellStyle name="Calculation 8 2 13 7 6" xfId="44617" xr:uid="{00000000-0005-0000-0000-00002AAE0000}"/>
    <cellStyle name="Calculation 8 2 13 8" xfId="44618" xr:uid="{00000000-0005-0000-0000-00002BAE0000}"/>
    <cellStyle name="Calculation 8 2 13 9" xfId="44619" xr:uid="{00000000-0005-0000-0000-00002CAE0000}"/>
    <cellStyle name="Calculation 8 2 14" xfId="44620" xr:uid="{00000000-0005-0000-0000-00002DAE0000}"/>
    <cellStyle name="Calculation 8 2 14 10" xfId="44621" xr:uid="{00000000-0005-0000-0000-00002EAE0000}"/>
    <cellStyle name="Calculation 8 2 14 2" xfId="44622" xr:uid="{00000000-0005-0000-0000-00002FAE0000}"/>
    <cellStyle name="Calculation 8 2 14 2 2" xfId="44623" xr:uid="{00000000-0005-0000-0000-000030AE0000}"/>
    <cellStyle name="Calculation 8 2 14 2 3" xfId="44624" xr:uid="{00000000-0005-0000-0000-000031AE0000}"/>
    <cellStyle name="Calculation 8 2 14 2 4" xfId="44625" xr:uid="{00000000-0005-0000-0000-000032AE0000}"/>
    <cellStyle name="Calculation 8 2 14 2 5" xfId="44626" xr:uid="{00000000-0005-0000-0000-000033AE0000}"/>
    <cellStyle name="Calculation 8 2 14 2 6" xfId="44627" xr:uid="{00000000-0005-0000-0000-000034AE0000}"/>
    <cellStyle name="Calculation 8 2 14 3" xfId="44628" xr:uid="{00000000-0005-0000-0000-000035AE0000}"/>
    <cellStyle name="Calculation 8 2 14 3 2" xfId="44629" xr:uid="{00000000-0005-0000-0000-000036AE0000}"/>
    <cellStyle name="Calculation 8 2 14 3 3" xfId="44630" xr:uid="{00000000-0005-0000-0000-000037AE0000}"/>
    <cellStyle name="Calculation 8 2 14 3 4" xfId="44631" xr:uid="{00000000-0005-0000-0000-000038AE0000}"/>
    <cellStyle name="Calculation 8 2 14 3 5" xfId="44632" xr:uid="{00000000-0005-0000-0000-000039AE0000}"/>
    <cellStyle name="Calculation 8 2 14 3 6" xfId="44633" xr:uid="{00000000-0005-0000-0000-00003AAE0000}"/>
    <cellStyle name="Calculation 8 2 14 4" xfId="44634" xr:uid="{00000000-0005-0000-0000-00003BAE0000}"/>
    <cellStyle name="Calculation 8 2 14 4 2" xfId="44635" xr:uid="{00000000-0005-0000-0000-00003CAE0000}"/>
    <cellStyle name="Calculation 8 2 14 4 3" xfId="44636" xr:uid="{00000000-0005-0000-0000-00003DAE0000}"/>
    <cellStyle name="Calculation 8 2 14 4 4" xfId="44637" xr:uid="{00000000-0005-0000-0000-00003EAE0000}"/>
    <cellStyle name="Calculation 8 2 14 4 5" xfId="44638" xr:uid="{00000000-0005-0000-0000-00003FAE0000}"/>
    <cellStyle name="Calculation 8 2 14 4 6" xfId="44639" xr:uid="{00000000-0005-0000-0000-000040AE0000}"/>
    <cellStyle name="Calculation 8 2 14 5" xfId="44640" xr:uid="{00000000-0005-0000-0000-000041AE0000}"/>
    <cellStyle name="Calculation 8 2 14 5 2" xfId="44641" xr:uid="{00000000-0005-0000-0000-000042AE0000}"/>
    <cellStyle name="Calculation 8 2 14 5 3" xfId="44642" xr:uid="{00000000-0005-0000-0000-000043AE0000}"/>
    <cellStyle name="Calculation 8 2 14 5 4" xfId="44643" xr:uid="{00000000-0005-0000-0000-000044AE0000}"/>
    <cellStyle name="Calculation 8 2 14 5 5" xfId="44644" xr:uid="{00000000-0005-0000-0000-000045AE0000}"/>
    <cellStyle name="Calculation 8 2 14 5 6" xfId="44645" xr:uid="{00000000-0005-0000-0000-000046AE0000}"/>
    <cellStyle name="Calculation 8 2 14 6" xfId="44646" xr:uid="{00000000-0005-0000-0000-000047AE0000}"/>
    <cellStyle name="Calculation 8 2 14 6 2" xfId="44647" xr:uid="{00000000-0005-0000-0000-000048AE0000}"/>
    <cellStyle name="Calculation 8 2 14 6 3" xfId="44648" xr:uid="{00000000-0005-0000-0000-000049AE0000}"/>
    <cellStyle name="Calculation 8 2 14 6 4" xfId="44649" xr:uid="{00000000-0005-0000-0000-00004AAE0000}"/>
    <cellStyle name="Calculation 8 2 14 6 5" xfId="44650" xr:uid="{00000000-0005-0000-0000-00004BAE0000}"/>
    <cellStyle name="Calculation 8 2 14 6 6" xfId="44651" xr:uid="{00000000-0005-0000-0000-00004CAE0000}"/>
    <cellStyle name="Calculation 8 2 14 7" xfId="44652" xr:uid="{00000000-0005-0000-0000-00004DAE0000}"/>
    <cellStyle name="Calculation 8 2 14 7 2" xfId="44653" xr:uid="{00000000-0005-0000-0000-00004EAE0000}"/>
    <cellStyle name="Calculation 8 2 14 7 3" xfId="44654" xr:uid="{00000000-0005-0000-0000-00004FAE0000}"/>
    <cellStyle name="Calculation 8 2 14 7 4" xfId="44655" xr:uid="{00000000-0005-0000-0000-000050AE0000}"/>
    <cellStyle name="Calculation 8 2 14 7 5" xfId="44656" xr:uid="{00000000-0005-0000-0000-000051AE0000}"/>
    <cellStyle name="Calculation 8 2 14 7 6" xfId="44657" xr:uid="{00000000-0005-0000-0000-000052AE0000}"/>
    <cellStyle name="Calculation 8 2 14 8" xfId="44658" xr:uid="{00000000-0005-0000-0000-000053AE0000}"/>
    <cellStyle name="Calculation 8 2 14 9" xfId="44659" xr:uid="{00000000-0005-0000-0000-000054AE0000}"/>
    <cellStyle name="Calculation 8 2 15" xfId="44660" xr:uid="{00000000-0005-0000-0000-000055AE0000}"/>
    <cellStyle name="Calculation 8 2 15 10" xfId="44661" xr:uid="{00000000-0005-0000-0000-000056AE0000}"/>
    <cellStyle name="Calculation 8 2 15 2" xfId="44662" xr:uid="{00000000-0005-0000-0000-000057AE0000}"/>
    <cellStyle name="Calculation 8 2 15 2 2" xfId="44663" xr:uid="{00000000-0005-0000-0000-000058AE0000}"/>
    <cellStyle name="Calculation 8 2 15 2 3" xfId="44664" xr:uid="{00000000-0005-0000-0000-000059AE0000}"/>
    <cellStyle name="Calculation 8 2 15 2 4" xfId="44665" xr:uid="{00000000-0005-0000-0000-00005AAE0000}"/>
    <cellStyle name="Calculation 8 2 15 2 5" xfId="44666" xr:uid="{00000000-0005-0000-0000-00005BAE0000}"/>
    <cellStyle name="Calculation 8 2 15 2 6" xfId="44667" xr:uid="{00000000-0005-0000-0000-00005CAE0000}"/>
    <cellStyle name="Calculation 8 2 15 3" xfId="44668" xr:uid="{00000000-0005-0000-0000-00005DAE0000}"/>
    <cellStyle name="Calculation 8 2 15 3 2" xfId="44669" xr:uid="{00000000-0005-0000-0000-00005EAE0000}"/>
    <cellStyle name="Calculation 8 2 15 3 3" xfId="44670" xr:uid="{00000000-0005-0000-0000-00005FAE0000}"/>
    <cellStyle name="Calculation 8 2 15 3 4" xfId="44671" xr:uid="{00000000-0005-0000-0000-000060AE0000}"/>
    <cellStyle name="Calculation 8 2 15 3 5" xfId="44672" xr:uid="{00000000-0005-0000-0000-000061AE0000}"/>
    <cellStyle name="Calculation 8 2 15 3 6" xfId="44673" xr:uid="{00000000-0005-0000-0000-000062AE0000}"/>
    <cellStyle name="Calculation 8 2 15 4" xfId="44674" xr:uid="{00000000-0005-0000-0000-000063AE0000}"/>
    <cellStyle name="Calculation 8 2 15 4 2" xfId="44675" xr:uid="{00000000-0005-0000-0000-000064AE0000}"/>
    <cellStyle name="Calculation 8 2 15 4 3" xfId="44676" xr:uid="{00000000-0005-0000-0000-000065AE0000}"/>
    <cellStyle name="Calculation 8 2 15 4 4" xfId="44677" xr:uid="{00000000-0005-0000-0000-000066AE0000}"/>
    <cellStyle name="Calculation 8 2 15 4 5" xfId="44678" xr:uid="{00000000-0005-0000-0000-000067AE0000}"/>
    <cellStyle name="Calculation 8 2 15 4 6" xfId="44679" xr:uid="{00000000-0005-0000-0000-000068AE0000}"/>
    <cellStyle name="Calculation 8 2 15 5" xfId="44680" xr:uid="{00000000-0005-0000-0000-000069AE0000}"/>
    <cellStyle name="Calculation 8 2 15 5 2" xfId="44681" xr:uid="{00000000-0005-0000-0000-00006AAE0000}"/>
    <cellStyle name="Calculation 8 2 15 5 3" xfId="44682" xr:uid="{00000000-0005-0000-0000-00006BAE0000}"/>
    <cellStyle name="Calculation 8 2 15 5 4" xfId="44683" xr:uid="{00000000-0005-0000-0000-00006CAE0000}"/>
    <cellStyle name="Calculation 8 2 15 5 5" xfId="44684" xr:uid="{00000000-0005-0000-0000-00006DAE0000}"/>
    <cellStyle name="Calculation 8 2 15 5 6" xfId="44685" xr:uid="{00000000-0005-0000-0000-00006EAE0000}"/>
    <cellStyle name="Calculation 8 2 15 6" xfId="44686" xr:uid="{00000000-0005-0000-0000-00006FAE0000}"/>
    <cellStyle name="Calculation 8 2 15 6 2" xfId="44687" xr:uid="{00000000-0005-0000-0000-000070AE0000}"/>
    <cellStyle name="Calculation 8 2 15 6 3" xfId="44688" xr:uid="{00000000-0005-0000-0000-000071AE0000}"/>
    <cellStyle name="Calculation 8 2 15 6 4" xfId="44689" xr:uid="{00000000-0005-0000-0000-000072AE0000}"/>
    <cellStyle name="Calculation 8 2 15 6 5" xfId="44690" xr:uid="{00000000-0005-0000-0000-000073AE0000}"/>
    <cellStyle name="Calculation 8 2 15 6 6" xfId="44691" xr:uid="{00000000-0005-0000-0000-000074AE0000}"/>
    <cellStyle name="Calculation 8 2 15 7" xfId="44692" xr:uid="{00000000-0005-0000-0000-000075AE0000}"/>
    <cellStyle name="Calculation 8 2 15 7 2" xfId="44693" xr:uid="{00000000-0005-0000-0000-000076AE0000}"/>
    <cellStyle name="Calculation 8 2 15 7 3" xfId="44694" xr:uid="{00000000-0005-0000-0000-000077AE0000}"/>
    <cellStyle name="Calculation 8 2 15 7 4" xfId="44695" xr:uid="{00000000-0005-0000-0000-000078AE0000}"/>
    <cellStyle name="Calculation 8 2 15 7 5" xfId="44696" xr:uid="{00000000-0005-0000-0000-000079AE0000}"/>
    <cellStyle name="Calculation 8 2 15 7 6" xfId="44697" xr:uid="{00000000-0005-0000-0000-00007AAE0000}"/>
    <cellStyle name="Calculation 8 2 15 8" xfId="44698" xr:uid="{00000000-0005-0000-0000-00007BAE0000}"/>
    <cellStyle name="Calculation 8 2 15 9" xfId="44699" xr:uid="{00000000-0005-0000-0000-00007CAE0000}"/>
    <cellStyle name="Calculation 8 2 16" xfId="44700" xr:uid="{00000000-0005-0000-0000-00007DAE0000}"/>
    <cellStyle name="Calculation 8 2 16 10" xfId="44701" xr:uid="{00000000-0005-0000-0000-00007EAE0000}"/>
    <cellStyle name="Calculation 8 2 16 2" xfId="44702" xr:uid="{00000000-0005-0000-0000-00007FAE0000}"/>
    <cellStyle name="Calculation 8 2 16 2 2" xfId="44703" xr:uid="{00000000-0005-0000-0000-000080AE0000}"/>
    <cellStyle name="Calculation 8 2 16 2 3" xfId="44704" xr:uid="{00000000-0005-0000-0000-000081AE0000}"/>
    <cellStyle name="Calculation 8 2 16 2 4" xfId="44705" xr:uid="{00000000-0005-0000-0000-000082AE0000}"/>
    <cellStyle name="Calculation 8 2 16 2 5" xfId="44706" xr:uid="{00000000-0005-0000-0000-000083AE0000}"/>
    <cellStyle name="Calculation 8 2 16 2 6" xfId="44707" xr:uid="{00000000-0005-0000-0000-000084AE0000}"/>
    <cellStyle name="Calculation 8 2 16 3" xfId="44708" xr:uid="{00000000-0005-0000-0000-000085AE0000}"/>
    <cellStyle name="Calculation 8 2 16 3 2" xfId="44709" xr:uid="{00000000-0005-0000-0000-000086AE0000}"/>
    <cellStyle name="Calculation 8 2 16 3 3" xfId="44710" xr:uid="{00000000-0005-0000-0000-000087AE0000}"/>
    <cellStyle name="Calculation 8 2 16 3 4" xfId="44711" xr:uid="{00000000-0005-0000-0000-000088AE0000}"/>
    <cellStyle name="Calculation 8 2 16 3 5" xfId="44712" xr:uid="{00000000-0005-0000-0000-000089AE0000}"/>
    <cellStyle name="Calculation 8 2 16 3 6" xfId="44713" xr:uid="{00000000-0005-0000-0000-00008AAE0000}"/>
    <cellStyle name="Calculation 8 2 16 4" xfId="44714" xr:uid="{00000000-0005-0000-0000-00008BAE0000}"/>
    <cellStyle name="Calculation 8 2 16 4 2" xfId="44715" xr:uid="{00000000-0005-0000-0000-00008CAE0000}"/>
    <cellStyle name="Calculation 8 2 16 4 3" xfId="44716" xr:uid="{00000000-0005-0000-0000-00008DAE0000}"/>
    <cellStyle name="Calculation 8 2 16 4 4" xfId="44717" xr:uid="{00000000-0005-0000-0000-00008EAE0000}"/>
    <cellStyle name="Calculation 8 2 16 4 5" xfId="44718" xr:uid="{00000000-0005-0000-0000-00008FAE0000}"/>
    <cellStyle name="Calculation 8 2 16 4 6" xfId="44719" xr:uid="{00000000-0005-0000-0000-000090AE0000}"/>
    <cellStyle name="Calculation 8 2 16 5" xfId="44720" xr:uid="{00000000-0005-0000-0000-000091AE0000}"/>
    <cellStyle name="Calculation 8 2 16 5 2" xfId="44721" xr:uid="{00000000-0005-0000-0000-000092AE0000}"/>
    <cellStyle name="Calculation 8 2 16 5 3" xfId="44722" xr:uid="{00000000-0005-0000-0000-000093AE0000}"/>
    <cellStyle name="Calculation 8 2 16 5 4" xfId="44723" xr:uid="{00000000-0005-0000-0000-000094AE0000}"/>
    <cellStyle name="Calculation 8 2 16 5 5" xfId="44724" xr:uid="{00000000-0005-0000-0000-000095AE0000}"/>
    <cellStyle name="Calculation 8 2 16 5 6" xfId="44725" xr:uid="{00000000-0005-0000-0000-000096AE0000}"/>
    <cellStyle name="Calculation 8 2 16 6" xfId="44726" xr:uid="{00000000-0005-0000-0000-000097AE0000}"/>
    <cellStyle name="Calculation 8 2 16 6 2" xfId="44727" xr:uid="{00000000-0005-0000-0000-000098AE0000}"/>
    <cellStyle name="Calculation 8 2 16 6 3" xfId="44728" xr:uid="{00000000-0005-0000-0000-000099AE0000}"/>
    <cellStyle name="Calculation 8 2 16 6 4" xfId="44729" xr:uid="{00000000-0005-0000-0000-00009AAE0000}"/>
    <cellStyle name="Calculation 8 2 16 6 5" xfId="44730" xr:uid="{00000000-0005-0000-0000-00009BAE0000}"/>
    <cellStyle name="Calculation 8 2 16 6 6" xfId="44731" xr:uid="{00000000-0005-0000-0000-00009CAE0000}"/>
    <cellStyle name="Calculation 8 2 16 7" xfId="44732" xr:uid="{00000000-0005-0000-0000-00009DAE0000}"/>
    <cellStyle name="Calculation 8 2 16 7 2" xfId="44733" xr:uid="{00000000-0005-0000-0000-00009EAE0000}"/>
    <cellStyle name="Calculation 8 2 16 7 3" xfId="44734" xr:uid="{00000000-0005-0000-0000-00009FAE0000}"/>
    <cellStyle name="Calculation 8 2 16 7 4" xfId="44735" xr:uid="{00000000-0005-0000-0000-0000A0AE0000}"/>
    <cellStyle name="Calculation 8 2 16 7 5" xfId="44736" xr:uid="{00000000-0005-0000-0000-0000A1AE0000}"/>
    <cellStyle name="Calculation 8 2 16 7 6" xfId="44737" xr:uid="{00000000-0005-0000-0000-0000A2AE0000}"/>
    <cellStyle name="Calculation 8 2 16 8" xfId="44738" xr:uid="{00000000-0005-0000-0000-0000A3AE0000}"/>
    <cellStyle name="Calculation 8 2 16 9" xfId="44739" xr:uid="{00000000-0005-0000-0000-0000A4AE0000}"/>
    <cellStyle name="Calculation 8 2 17" xfId="44740" xr:uid="{00000000-0005-0000-0000-0000A5AE0000}"/>
    <cellStyle name="Calculation 8 2 17 10" xfId="44741" xr:uid="{00000000-0005-0000-0000-0000A6AE0000}"/>
    <cellStyle name="Calculation 8 2 17 2" xfId="44742" xr:uid="{00000000-0005-0000-0000-0000A7AE0000}"/>
    <cellStyle name="Calculation 8 2 17 2 2" xfId="44743" xr:uid="{00000000-0005-0000-0000-0000A8AE0000}"/>
    <cellStyle name="Calculation 8 2 17 2 3" xfId="44744" xr:uid="{00000000-0005-0000-0000-0000A9AE0000}"/>
    <cellStyle name="Calculation 8 2 17 2 4" xfId="44745" xr:uid="{00000000-0005-0000-0000-0000AAAE0000}"/>
    <cellStyle name="Calculation 8 2 17 2 5" xfId="44746" xr:uid="{00000000-0005-0000-0000-0000ABAE0000}"/>
    <cellStyle name="Calculation 8 2 17 2 6" xfId="44747" xr:uid="{00000000-0005-0000-0000-0000ACAE0000}"/>
    <cellStyle name="Calculation 8 2 17 3" xfId="44748" xr:uid="{00000000-0005-0000-0000-0000ADAE0000}"/>
    <cellStyle name="Calculation 8 2 17 3 2" xfId="44749" xr:uid="{00000000-0005-0000-0000-0000AEAE0000}"/>
    <cellStyle name="Calculation 8 2 17 3 3" xfId="44750" xr:uid="{00000000-0005-0000-0000-0000AFAE0000}"/>
    <cellStyle name="Calculation 8 2 17 3 4" xfId="44751" xr:uid="{00000000-0005-0000-0000-0000B0AE0000}"/>
    <cellStyle name="Calculation 8 2 17 3 5" xfId="44752" xr:uid="{00000000-0005-0000-0000-0000B1AE0000}"/>
    <cellStyle name="Calculation 8 2 17 3 6" xfId="44753" xr:uid="{00000000-0005-0000-0000-0000B2AE0000}"/>
    <cellStyle name="Calculation 8 2 17 4" xfId="44754" xr:uid="{00000000-0005-0000-0000-0000B3AE0000}"/>
    <cellStyle name="Calculation 8 2 17 4 2" xfId="44755" xr:uid="{00000000-0005-0000-0000-0000B4AE0000}"/>
    <cellStyle name="Calculation 8 2 17 4 3" xfId="44756" xr:uid="{00000000-0005-0000-0000-0000B5AE0000}"/>
    <cellStyle name="Calculation 8 2 17 4 4" xfId="44757" xr:uid="{00000000-0005-0000-0000-0000B6AE0000}"/>
    <cellStyle name="Calculation 8 2 17 4 5" xfId="44758" xr:uid="{00000000-0005-0000-0000-0000B7AE0000}"/>
    <cellStyle name="Calculation 8 2 17 4 6" xfId="44759" xr:uid="{00000000-0005-0000-0000-0000B8AE0000}"/>
    <cellStyle name="Calculation 8 2 17 5" xfId="44760" xr:uid="{00000000-0005-0000-0000-0000B9AE0000}"/>
    <cellStyle name="Calculation 8 2 17 5 2" xfId="44761" xr:uid="{00000000-0005-0000-0000-0000BAAE0000}"/>
    <cellStyle name="Calculation 8 2 17 5 3" xfId="44762" xr:uid="{00000000-0005-0000-0000-0000BBAE0000}"/>
    <cellStyle name="Calculation 8 2 17 5 4" xfId="44763" xr:uid="{00000000-0005-0000-0000-0000BCAE0000}"/>
    <cellStyle name="Calculation 8 2 17 5 5" xfId="44764" xr:uid="{00000000-0005-0000-0000-0000BDAE0000}"/>
    <cellStyle name="Calculation 8 2 17 5 6" xfId="44765" xr:uid="{00000000-0005-0000-0000-0000BEAE0000}"/>
    <cellStyle name="Calculation 8 2 17 6" xfId="44766" xr:uid="{00000000-0005-0000-0000-0000BFAE0000}"/>
    <cellStyle name="Calculation 8 2 17 6 2" xfId="44767" xr:uid="{00000000-0005-0000-0000-0000C0AE0000}"/>
    <cellStyle name="Calculation 8 2 17 6 3" xfId="44768" xr:uid="{00000000-0005-0000-0000-0000C1AE0000}"/>
    <cellStyle name="Calculation 8 2 17 6 4" xfId="44769" xr:uid="{00000000-0005-0000-0000-0000C2AE0000}"/>
    <cellStyle name="Calculation 8 2 17 6 5" xfId="44770" xr:uid="{00000000-0005-0000-0000-0000C3AE0000}"/>
    <cellStyle name="Calculation 8 2 17 6 6" xfId="44771" xr:uid="{00000000-0005-0000-0000-0000C4AE0000}"/>
    <cellStyle name="Calculation 8 2 17 7" xfId="44772" xr:uid="{00000000-0005-0000-0000-0000C5AE0000}"/>
    <cellStyle name="Calculation 8 2 17 7 2" xfId="44773" xr:uid="{00000000-0005-0000-0000-0000C6AE0000}"/>
    <cellStyle name="Calculation 8 2 17 7 3" xfId="44774" xr:uid="{00000000-0005-0000-0000-0000C7AE0000}"/>
    <cellStyle name="Calculation 8 2 17 7 4" xfId="44775" xr:uid="{00000000-0005-0000-0000-0000C8AE0000}"/>
    <cellStyle name="Calculation 8 2 17 7 5" xfId="44776" xr:uid="{00000000-0005-0000-0000-0000C9AE0000}"/>
    <cellStyle name="Calculation 8 2 17 7 6" xfId="44777" xr:uid="{00000000-0005-0000-0000-0000CAAE0000}"/>
    <cellStyle name="Calculation 8 2 17 8" xfId="44778" xr:uid="{00000000-0005-0000-0000-0000CBAE0000}"/>
    <cellStyle name="Calculation 8 2 17 9" xfId="44779" xr:uid="{00000000-0005-0000-0000-0000CCAE0000}"/>
    <cellStyle name="Calculation 8 2 18" xfId="44780" xr:uid="{00000000-0005-0000-0000-0000CDAE0000}"/>
    <cellStyle name="Calculation 8 2 18 10" xfId="44781" xr:uid="{00000000-0005-0000-0000-0000CEAE0000}"/>
    <cellStyle name="Calculation 8 2 18 2" xfId="44782" xr:uid="{00000000-0005-0000-0000-0000CFAE0000}"/>
    <cellStyle name="Calculation 8 2 18 2 2" xfId="44783" xr:uid="{00000000-0005-0000-0000-0000D0AE0000}"/>
    <cellStyle name="Calculation 8 2 18 2 3" xfId="44784" xr:uid="{00000000-0005-0000-0000-0000D1AE0000}"/>
    <cellStyle name="Calculation 8 2 18 2 4" xfId="44785" xr:uid="{00000000-0005-0000-0000-0000D2AE0000}"/>
    <cellStyle name="Calculation 8 2 18 2 5" xfId="44786" xr:uid="{00000000-0005-0000-0000-0000D3AE0000}"/>
    <cellStyle name="Calculation 8 2 18 2 6" xfId="44787" xr:uid="{00000000-0005-0000-0000-0000D4AE0000}"/>
    <cellStyle name="Calculation 8 2 18 3" xfId="44788" xr:uid="{00000000-0005-0000-0000-0000D5AE0000}"/>
    <cellStyle name="Calculation 8 2 18 3 2" xfId="44789" xr:uid="{00000000-0005-0000-0000-0000D6AE0000}"/>
    <cellStyle name="Calculation 8 2 18 3 3" xfId="44790" xr:uid="{00000000-0005-0000-0000-0000D7AE0000}"/>
    <cellStyle name="Calculation 8 2 18 3 4" xfId="44791" xr:uid="{00000000-0005-0000-0000-0000D8AE0000}"/>
    <cellStyle name="Calculation 8 2 18 3 5" xfId="44792" xr:uid="{00000000-0005-0000-0000-0000D9AE0000}"/>
    <cellStyle name="Calculation 8 2 18 3 6" xfId="44793" xr:uid="{00000000-0005-0000-0000-0000DAAE0000}"/>
    <cellStyle name="Calculation 8 2 18 4" xfId="44794" xr:uid="{00000000-0005-0000-0000-0000DBAE0000}"/>
    <cellStyle name="Calculation 8 2 18 4 2" xfId="44795" xr:uid="{00000000-0005-0000-0000-0000DCAE0000}"/>
    <cellStyle name="Calculation 8 2 18 4 3" xfId="44796" xr:uid="{00000000-0005-0000-0000-0000DDAE0000}"/>
    <cellStyle name="Calculation 8 2 18 4 4" xfId="44797" xr:uid="{00000000-0005-0000-0000-0000DEAE0000}"/>
    <cellStyle name="Calculation 8 2 18 4 5" xfId="44798" xr:uid="{00000000-0005-0000-0000-0000DFAE0000}"/>
    <cellStyle name="Calculation 8 2 18 4 6" xfId="44799" xr:uid="{00000000-0005-0000-0000-0000E0AE0000}"/>
    <cellStyle name="Calculation 8 2 18 5" xfId="44800" xr:uid="{00000000-0005-0000-0000-0000E1AE0000}"/>
    <cellStyle name="Calculation 8 2 18 5 2" xfId="44801" xr:uid="{00000000-0005-0000-0000-0000E2AE0000}"/>
    <cellStyle name="Calculation 8 2 18 5 3" xfId="44802" xr:uid="{00000000-0005-0000-0000-0000E3AE0000}"/>
    <cellStyle name="Calculation 8 2 18 5 4" xfId="44803" xr:uid="{00000000-0005-0000-0000-0000E4AE0000}"/>
    <cellStyle name="Calculation 8 2 18 5 5" xfId="44804" xr:uid="{00000000-0005-0000-0000-0000E5AE0000}"/>
    <cellStyle name="Calculation 8 2 18 5 6" xfId="44805" xr:uid="{00000000-0005-0000-0000-0000E6AE0000}"/>
    <cellStyle name="Calculation 8 2 18 6" xfId="44806" xr:uid="{00000000-0005-0000-0000-0000E7AE0000}"/>
    <cellStyle name="Calculation 8 2 18 6 2" xfId="44807" xr:uid="{00000000-0005-0000-0000-0000E8AE0000}"/>
    <cellStyle name="Calculation 8 2 18 6 3" xfId="44808" xr:uid="{00000000-0005-0000-0000-0000E9AE0000}"/>
    <cellStyle name="Calculation 8 2 18 6 4" xfId="44809" xr:uid="{00000000-0005-0000-0000-0000EAAE0000}"/>
    <cellStyle name="Calculation 8 2 18 6 5" xfId="44810" xr:uid="{00000000-0005-0000-0000-0000EBAE0000}"/>
    <cellStyle name="Calculation 8 2 18 6 6" xfId="44811" xr:uid="{00000000-0005-0000-0000-0000ECAE0000}"/>
    <cellStyle name="Calculation 8 2 18 7" xfId="44812" xr:uid="{00000000-0005-0000-0000-0000EDAE0000}"/>
    <cellStyle name="Calculation 8 2 18 7 2" xfId="44813" xr:uid="{00000000-0005-0000-0000-0000EEAE0000}"/>
    <cellStyle name="Calculation 8 2 18 7 3" xfId="44814" xr:uid="{00000000-0005-0000-0000-0000EFAE0000}"/>
    <cellStyle name="Calculation 8 2 18 7 4" xfId="44815" xr:uid="{00000000-0005-0000-0000-0000F0AE0000}"/>
    <cellStyle name="Calculation 8 2 18 7 5" xfId="44816" xr:uid="{00000000-0005-0000-0000-0000F1AE0000}"/>
    <cellStyle name="Calculation 8 2 18 7 6" xfId="44817" xr:uid="{00000000-0005-0000-0000-0000F2AE0000}"/>
    <cellStyle name="Calculation 8 2 18 8" xfId="44818" xr:uid="{00000000-0005-0000-0000-0000F3AE0000}"/>
    <cellStyle name="Calculation 8 2 18 9" xfId="44819" xr:uid="{00000000-0005-0000-0000-0000F4AE0000}"/>
    <cellStyle name="Calculation 8 2 19" xfId="44820" xr:uid="{00000000-0005-0000-0000-0000F5AE0000}"/>
    <cellStyle name="Calculation 8 2 19 10" xfId="44821" xr:uid="{00000000-0005-0000-0000-0000F6AE0000}"/>
    <cellStyle name="Calculation 8 2 19 2" xfId="44822" xr:uid="{00000000-0005-0000-0000-0000F7AE0000}"/>
    <cellStyle name="Calculation 8 2 19 2 2" xfId="44823" xr:uid="{00000000-0005-0000-0000-0000F8AE0000}"/>
    <cellStyle name="Calculation 8 2 19 2 3" xfId="44824" xr:uid="{00000000-0005-0000-0000-0000F9AE0000}"/>
    <cellStyle name="Calculation 8 2 19 2 4" xfId="44825" xr:uid="{00000000-0005-0000-0000-0000FAAE0000}"/>
    <cellStyle name="Calculation 8 2 19 2 5" xfId="44826" xr:uid="{00000000-0005-0000-0000-0000FBAE0000}"/>
    <cellStyle name="Calculation 8 2 19 2 6" xfId="44827" xr:uid="{00000000-0005-0000-0000-0000FCAE0000}"/>
    <cellStyle name="Calculation 8 2 19 3" xfId="44828" xr:uid="{00000000-0005-0000-0000-0000FDAE0000}"/>
    <cellStyle name="Calculation 8 2 19 3 2" xfId="44829" xr:uid="{00000000-0005-0000-0000-0000FEAE0000}"/>
    <cellStyle name="Calculation 8 2 19 3 3" xfId="44830" xr:uid="{00000000-0005-0000-0000-0000FFAE0000}"/>
    <cellStyle name="Calculation 8 2 19 3 4" xfId="44831" xr:uid="{00000000-0005-0000-0000-000000AF0000}"/>
    <cellStyle name="Calculation 8 2 19 3 5" xfId="44832" xr:uid="{00000000-0005-0000-0000-000001AF0000}"/>
    <cellStyle name="Calculation 8 2 19 3 6" xfId="44833" xr:uid="{00000000-0005-0000-0000-000002AF0000}"/>
    <cellStyle name="Calculation 8 2 19 4" xfId="44834" xr:uid="{00000000-0005-0000-0000-000003AF0000}"/>
    <cellStyle name="Calculation 8 2 19 4 2" xfId="44835" xr:uid="{00000000-0005-0000-0000-000004AF0000}"/>
    <cellStyle name="Calculation 8 2 19 4 3" xfId="44836" xr:uid="{00000000-0005-0000-0000-000005AF0000}"/>
    <cellStyle name="Calculation 8 2 19 4 4" xfId="44837" xr:uid="{00000000-0005-0000-0000-000006AF0000}"/>
    <cellStyle name="Calculation 8 2 19 4 5" xfId="44838" xr:uid="{00000000-0005-0000-0000-000007AF0000}"/>
    <cellStyle name="Calculation 8 2 19 4 6" xfId="44839" xr:uid="{00000000-0005-0000-0000-000008AF0000}"/>
    <cellStyle name="Calculation 8 2 19 5" xfId="44840" xr:uid="{00000000-0005-0000-0000-000009AF0000}"/>
    <cellStyle name="Calculation 8 2 19 5 2" xfId="44841" xr:uid="{00000000-0005-0000-0000-00000AAF0000}"/>
    <cellStyle name="Calculation 8 2 19 5 3" xfId="44842" xr:uid="{00000000-0005-0000-0000-00000BAF0000}"/>
    <cellStyle name="Calculation 8 2 19 5 4" xfId="44843" xr:uid="{00000000-0005-0000-0000-00000CAF0000}"/>
    <cellStyle name="Calculation 8 2 19 5 5" xfId="44844" xr:uid="{00000000-0005-0000-0000-00000DAF0000}"/>
    <cellStyle name="Calculation 8 2 19 5 6" xfId="44845" xr:uid="{00000000-0005-0000-0000-00000EAF0000}"/>
    <cellStyle name="Calculation 8 2 19 6" xfId="44846" xr:uid="{00000000-0005-0000-0000-00000FAF0000}"/>
    <cellStyle name="Calculation 8 2 19 6 2" xfId="44847" xr:uid="{00000000-0005-0000-0000-000010AF0000}"/>
    <cellStyle name="Calculation 8 2 19 6 3" xfId="44848" xr:uid="{00000000-0005-0000-0000-000011AF0000}"/>
    <cellStyle name="Calculation 8 2 19 6 4" xfId="44849" xr:uid="{00000000-0005-0000-0000-000012AF0000}"/>
    <cellStyle name="Calculation 8 2 19 6 5" xfId="44850" xr:uid="{00000000-0005-0000-0000-000013AF0000}"/>
    <cellStyle name="Calculation 8 2 19 6 6" xfId="44851" xr:uid="{00000000-0005-0000-0000-000014AF0000}"/>
    <cellStyle name="Calculation 8 2 19 7" xfId="44852" xr:uid="{00000000-0005-0000-0000-000015AF0000}"/>
    <cellStyle name="Calculation 8 2 19 7 2" xfId="44853" xr:uid="{00000000-0005-0000-0000-000016AF0000}"/>
    <cellStyle name="Calculation 8 2 19 7 3" xfId="44854" xr:uid="{00000000-0005-0000-0000-000017AF0000}"/>
    <cellStyle name="Calculation 8 2 19 7 4" xfId="44855" xr:uid="{00000000-0005-0000-0000-000018AF0000}"/>
    <cellStyle name="Calculation 8 2 19 7 5" xfId="44856" xr:uid="{00000000-0005-0000-0000-000019AF0000}"/>
    <cellStyle name="Calculation 8 2 19 7 6" xfId="44857" xr:uid="{00000000-0005-0000-0000-00001AAF0000}"/>
    <cellStyle name="Calculation 8 2 19 8" xfId="44858" xr:uid="{00000000-0005-0000-0000-00001BAF0000}"/>
    <cellStyle name="Calculation 8 2 19 9" xfId="44859" xr:uid="{00000000-0005-0000-0000-00001CAF0000}"/>
    <cellStyle name="Calculation 8 2 2" xfId="44860" xr:uid="{00000000-0005-0000-0000-00001DAF0000}"/>
    <cellStyle name="Calculation 8 2 2 10" xfId="44861" xr:uid="{00000000-0005-0000-0000-00001EAF0000}"/>
    <cellStyle name="Calculation 8 2 2 2" xfId="44862" xr:uid="{00000000-0005-0000-0000-00001FAF0000}"/>
    <cellStyle name="Calculation 8 2 2 2 2" xfId="44863" xr:uid="{00000000-0005-0000-0000-000020AF0000}"/>
    <cellStyle name="Calculation 8 2 2 2 3" xfId="44864" xr:uid="{00000000-0005-0000-0000-000021AF0000}"/>
    <cellStyle name="Calculation 8 2 2 2 4" xfId="44865" xr:uid="{00000000-0005-0000-0000-000022AF0000}"/>
    <cellStyle name="Calculation 8 2 2 2 5" xfId="44866" xr:uid="{00000000-0005-0000-0000-000023AF0000}"/>
    <cellStyle name="Calculation 8 2 2 2 6" xfId="44867" xr:uid="{00000000-0005-0000-0000-000024AF0000}"/>
    <cellStyle name="Calculation 8 2 2 3" xfId="44868" xr:uid="{00000000-0005-0000-0000-000025AF0000}"/>
    <cellStyle name="Calculation 8 2 2 3 2" xfId="44869" xr:uid="{00000000-0005-0000-0000-000026AF0000}"/>
    <cellStyle name="Calculation 8 2 2 3 3" xfId="44870" xr:uid="{00000000-0005-0000-0000-000027AF0000}"/>
    <cellStyle name="Calculation 8 2 2 3 4" xfId="44871" xr:uid="{00000000-0005-0000-0000-000028AF0000}"/>
    <cellStyle name="Calculation 8 2 2 3 5" xfId="44872" xr:uid="{00000000-0005-0000-0000-000029AF0000}"/>
    <cellStyle name="Calculation 8 2 2 3 6" xfId="44873" xr:uid="{00000000-0005-0000-0000-00002AAF0000}"/>
    <cellStyle name="Calculation 8 2 2 4" xfId="44874" xr:uid="{00000000-0005-0000-0000-00002BAF0000}"/>
    <cellStyle name="Calculation 8 2 2 4 2" xfId="44875" xr:uid="{00000000-0005-0000-0000-00002CAF0000}"/>
    <cellStyle name="Calculation 8 2 2 4 3" xfId="44876" xr:uid="{00000000-0005-0000-0000-00002DAF0000}"/>
    <cellStyle name="Calculation 8 2 2 4 4" xfId="44877" xr:uid="{00000000-0005-0000-0000-00002EAF0000}"/>
    <cellStyle name="Calculation 8 2 2 4 5" xfId="44878" xr:uid="{00000000-0005-0000-0000-00002FAF0000}"/>
    <cellStyle name="Calculation 8 2 2 4 6" xfId="44879" xr:uid="{00000000-0005-0000-0000-000030AF0000}"/>
    <cellStyle name="Calculation 8 2 2 5" xfId="44880" xr:uid="{00000000-0005-0000-0000-000031AF0000}"/>
    <cellStyle name="Calculation 8 2 2 5 2" xfId="44881" xr:uid="{00000000-0005-0000-0000-000032AF0000}"/>
    <cellStyle name="Calculation 8 2 2 5 3" xfId="44882" xr:uid="{00000000-0005-0000-0000-000033AF0000}"/>
    <cellStyle name="Calculation 8 2 2 5 4" xfId="44883" xr:uid="{00000000-0005-0000-0000-000034AF0000}"/>
    <cellStyle name="Calculation 8 2 2 5 5" xfId="44884" xr:uid="{00000000-0005-0000-0000-000035AF0000}"/>
    <cellStyle name="Calculation 8 2 2 5 6" xfId="44885" xr:uid="{00000000-0005-0000-0000-000036AF0000}"/>
    <cellStyle name="Calculation 8 2 2 6" xfId="44886" xr:uid="{00000000-0005-0000-0000-000037AF0000}"/>
    <cellStyle name="Calculation 8 2 2 6 2" xfId="44887" xr:uid="{00000000-0005-0000-0000-000038AF0000}"/>
    <cellStyle name="Calculation 8 2 2 6 3" xfId="44888" xr:uid="{00000000-0005-0000-0000-000039AF0000}"/>
    <cellStyle name="Calculation 8 2 2 6 4" xfId="44889" xr:uid="{00000000-0005-0000-0000-00003AAF0000}"/>
    <cellStyle name="Calculation 8 2 2 6 5" xfId="44890" xr:uid="{00000000-0005-0000-0000-00003BAF0000}"/>
    <cellStyle name="Calculation 8 2 2 6 6" xfId="44891" xr:uid="{00000000-0005-0000-0000-00003CAF0000}"/>
    <cellStyle name="Calculation 8 2 2 7" xfId="44892" xr:uid="{00000000-0005-0000-0000-00003DAF0000}"/>
    <cellStyle name="Calculation 8 2 2 7 2" xfId="44893" xr:uid="{00000000-0005-0000-0000-00003EAF0000}"/>
    <cellStyle name="Calculation 8 2 2 7 3" xfId="44894" xr:uid="{00000000-0005-0000-0000-00003FAF0000}"/>
    <cellStyle name="Calculation 8 2 2 7 4" xfId="44895" xr:uid="{00000000-0005-0000-0000-000040AF0000}"/>
    <cellStyle name="Calculation 8 2 2 7 5" xfId="44896" xr:uid="{00000000-0005-0000-0000-000041AF0000}"/>
    <cellStyle name="Calculation 8 2 2 7 6" xfId="44897" xr:uid="{00000000-0005-0000-0000-000042AF0000}"/>
    <cellStyle name="Calculation 8 2 2 8" xfId="44898" xr:uid="{00000000-0005-0000-0000-000043AF0000}"/>
    <cellStyle name="Calculation 8 2 2 9" xfId="44899" xr:uid="{00000000-0005-0000-0000-000044AF0000}"/>
    <cellStyle name="Calculation 8 2 20" xfId="44900" xr:uid="{00000000-0005-0000-0000-000045AF0000}"/>
    <cellStyle name="Calculation 8 2 20 10" xfId="44901" xr:uid="{00000000-0005-0000-0000-000046AF0000}"/>
    <cellStyle name="Calculation 8 2 20 2" xfId="44902" xr:uid="{00000000-0005-0000-0000-000047AF0000}"/>
    <cellStyle name="Calculation 8 2 20 2 2" xfId="44903" xr:uid="{00000000-0005-0000-0000-000048AF0000}"/>
    <cellStyle name="Calculation 8 2 20 2 3" xfId="44904" xr:uid="{00000000-0005-0000-0000-000049AF0000}"/>
    <cellStyle name="Calculation 8 2 20 2 4" xfId="44905" xr:uid="{00000000-0005-0000-0000-00004AAF0000}"/>
    <cellStyle name="Calculation 8 2 20 2 5" xfId="44906" xr:uid="{00000000-0005-0000-0000-00004BAF0000}"/>
    <cellStyle name="Calculation 8 2 20 2 6" xfId="44907" xr:uid="{00000000-0005-0000-0000-00004CAF0000}"/>
    <cellStyle name="Calculation 8 2 20 3" xfId="44908" xr:uid="{00000000-0005-0000-0000-00004DAF0000}"/>
    <cellStyle name="Calculation 8 2 20 3 2" xfId="44909" xr:uid="{00000000-0005-0000-0000-00004EAF0000}"/>
    <cellStyle name="Calculation 8 2 20 3 3" xfId="44910" xr:uid="{00000000-0005-0000-0000-00004FAF0000}"/>
    <cellStyle name="Calculation 8 2 20 3 4" xfId="44911" xr:uid="{00000000-0005-0000-0000-000050AF0000}"/>
    <cellStyle name="Calculation 8 2 20 3 5" xfId="44912" xr:uid="{00000000-0005-0000-0000-000051AF0000}"/>
    <cellStyle name="Calculation 8 2 20 3 6" xfId="44913" xr:uid="{00000000-0005-0000-0000-000052AF0000}"/>
    <cellStyle name="Calculation 8 2 20 4" xfId="44914" xr:uid="{00000000-0005-0000-0000-000053AF0000}"/>
    <cellStyle name="Calculation 8 2 20 4 2" xfId="44915" xr:uid="{00000000-0005-0000-0000-000054AF0000}"/>
    <cellStyle name="Calculation 8 2 20 4 3" xfId="44916" xr:uid="{00000000-0005-0000-0000-000055AF0000}"/>
    <cellStyle name="Calculation 8 2 20 4 4" xfId="44917" xr:uid="{00000000-0005-0000-0000-000056AF0000}"/>
    <cellStyle name="Calculation 8 2 20 4 5" xfId="44918" xr:uid="{00000000-0005-0000-0000-000057AF0000}"/>
    <cellStyle name="Calculation 8 2 20 4 6" xfId="44919" xr:uid="{00000000-0005-0000-0000-000058AF0000}"/>
    <cellStyle name="Calculation 8 2 20 5" xfId="44920" xr:uid="{00000000-0005-0000-0000-000059AF0000}"/>
    <cellStyle name="Calculation 8 2 20 5 2" xfId="44921" xr:uid="{00000000-0005-0000-0000-00005AAF0000}"/>
    <cellStyle name="Calculation 8 2 20 5 3" xfId="44922" xr:uid="{00000000-0005-0000-0000-00005BAF0000}"/>
    <cellStyle name="Calculation 8 2 20 5 4" xfId="44923" xr:uid="{00000000-0005-0000-0000-00005CAF0000}"/>
    <cellStyle name="Calculation 8 2 20 5 5" xfId="44924" xr:uid="{00000000-0005-0000-0000-00005DAF0000}"/>
    <cellStyle name="Calculation 8 2 20 5 6" xfId="44925" xr:uid="{00000000-0005-0000-0000-00005EAF0000}"/>
    <cellStyle name="Calculation 8 2 20 6" xfId="44926" xr:uid="{00000000-0005-0000-0000-00005FAF0000}"/>
    <cellStyle name="Calculation 8 2 20 6 2" xfId="44927" xr:uid="{00000000-0005-0000-0000-000060AF0000}"/>
    <cellStyle name="Calculation 8 2 20 6 3" xfId="44928" xr:uid="{00000000-0005-0000-0000-000061AF0000}"/>
    <cellStyle name="Calculation 8 2 20 6 4" xfId="44929" xr:uid="{00000000-0005-0000-0000-000062AF0000}"/>
    <cellStyle name="Calculation 8 2 20 6 5" xfId="44930" xr:uid="{00000000-0005-0000-0000-000063AF0000}"/>
    <cellStyle name="Calculation 8 2 20 6 6" xfId="44931" xr:uid="{00000000-0005-0000-0000-000064AF0000}"/>
    <cellStyle name="Calculation 8 2 20 7" xfId="44932" xr:uid="{00000000-0005-0000-0000-000065AF0000}"/>
    <cellStyle name="Calculation 8 2 20 7 2" xfId="44933" xr:uid="{00000000-0005-0000-0000-000066AF0000}"/>
    <cellStyle name="Calculation 8 2 20 7 3" xfId="44934" xr:uid="{00000000-0005-0000-0000-000067AF0000}"/>
    <cellStyle name="Calculation 8 2 20 7 4" xfId="44935" xr:uid="{00000000-0005-0000-0000-000068AF0000}"/>
    <cellStyle name="Calculation 8 2 20 7 5" xfId="44936" xr:uid="{00000000-0005-0000-0000-000069AF0000}"/>
    <cellStyle name="Calculation 8 2 20 7 6" xfId="44937" xr:uid="{00000000-0005-0000-0000-00006AAF0000}"/>
    <cellStyle name="Calculation 8 2 20 8" xfId="44938" xr:uid="{00000000-0005-0000-0000-00006BAF0000}"/>
    <cellStyle name="Calculation 8 2 20 9" xfId="44939" xr:uid="{00000000-0005-0000-0000-00006CAF0000}"/>
    <cellStyle name="Calculation 8 2 21" xfId="44940" xr:uid="{00000000-0005-0000-0000-00006DAF0000}"/>
    <cellStyle name="Calculation 8 2 21 10" xfId="44941" xr:uid="{00000000-0005-0000-0000-00006EAF0000}"/>
    <cellStyle name="Calculation 8 2 21 2" xfId="44942" xr:uid="{00000000-0005-0000-0000-00006FAF0000}"/>
    <cellStyle name="Calculation 8 2 21 2 2" xfId="44943" xr:uid="{00000000-0005-0000-0000-000070AF0000}"/>
    <cellStyle name="Calculation 8 2 21 2 3" xfId="44944" xr:uid="{00000000-0005-0000-0000-000071AF0000}"/>
    <cellStyle name="Calculation 8 2 21 2 4" xfId="44945" xr:uid="{00000000-0005-0000-0000-000072AF0000}"/>
    <cellStyle name="Calculation 8 2 21 2 5" xfId="44946" xr:uid="{00000000-0005-0000-0000-000073AF0000}"/>
    <cellStyle name="Calculation 8 2 21 2 6" xfId="44947" xr:uid="{00000000-0005-0000-0000-000074AF0000}"/>
    <cellStyle name="Calculation 8 2 21 3" xfId="44948" xr:uid="{00000000-0005-0000-0000-000075AF0000}"/>
    <cellStyle name="Calculation 8 2 21 3 2" xfId="44949" xr:uid="{00000000-0005-0000-0000-000076AF0000}"/>
    <cellStyle name="Calculation 8 2 21 3 3" xfId="44950" xr:uid="{00000000-0005-0000-0000-000077AF0000}"/>
    <cellStyle name="Calculation 8 2 21 3 4" xfId="44951" xr:uid="{00000000-0005-0000-0000-000078AF0000}"/>
    <cellStyle name="Calculation 8 2 21 3 5" xfId="44952" xr:uid="{00000000-0005-0000-0000-000079AF0000}"/>
    <cellStyle name="Calculation 8 2 21 3 6" xfId="44953" xr:uid="{00000000-0005-0000-0000-00007AAF0000}"/>
    <cellStyle name="Calculation 8 2 21 4" xfId="44954" xr:uid="{00000000-0005-0000-0000-00007BAF0000}"/>
    <cellStyle name="Calculation 8 2 21 4 2" xfId="44955" xr:uid="{00000000-0005-0000-0000-00007CAF0000}"/>
    <cellStyle name="Calculation 8 2 21 4 3" xfId="44956" xr:uid="{00000000-0005-0000-0000-00007DAF0000}"/>
    <cellStyle name="Calculation 8 2 21 4 4" xfId="44957" xr:uid="{00000000-0005-0000-0000-00007EAF0000}"/>
    <cellStyle name="Calculation 8 2 21 4 5" xfId="44958" xr:uid="{00000000-0005-0000-0000-00007FAF0000}"/>
    <cellStyle name="Calculation 8 2 21 4 6" xfId="44959" xr:uid="{00000000-0005-0000-0000-000080AF0000}"/>
    <cellStyle name="Calculation 8 2 21 5" xfId="44960" xr:uid="{00000000-0005-0000-0000-000081AF0000}"/>
    <cellStyle name="Calculation 8 2 21 5 2" xfId="44961" xr:uid="{00000000-0005-0000-0000-000082AF0000}"/>
    <cellStyle name="Calculation 8 2 21 5 3" xfId="44962" xr:uid="{00000000-0005-0000-0000-000083AF0000}"/>
    <cellStyle name="Calculation 8 2 21 5 4" xfId="44963" xr:uid="{00000000-0005-0000-0000-000084AF0000}"/>
    <cellStyle name="Calculation 8 2 21 5 5" xfId="44964" xr:uid="{00000000-0005-0000-0000-000085AF0000}"/>
    <cellStyle name="Calculation 8 2 21 5 6" xfId="44965" xr:uid="{00000000-0005-0000-0000-000086AF0000}"/>
    <cellStyle name="Calculation 8 2 21 6" xfId="44966" xr:uid="{00000000-0005-0000-0000-000087AF0000}"/>
    <cellStyle name="Calculation 8 2 21 6 2" xfId="44967" xr:uid="{00000000-0005-0000-0000-000088AF0000}"/>
    <cellStyle name="Calculation 8 2 21 6 3" xfId="44968" xr:uid="{00000000-0005-0000-0000-000089AF0000}"/>
    <cellStyle name="Calculation 8 2 21 6 4" xfId="44969" xr:uid="{00000000-0005-0000-0000-00008AAF0000}"/>
    <cellStyle name="Calculation 8 2 21 6 5" xfId="44970" xr:uid="{00000000-0005-0000-0000-00008BAF0000}"/>
    <cellStyle name="Calculation 8 2 21 6 6" xfId="44971" xr:uid="{00000000-0005-0000-0000-00008CAF0000}"/>
    <cellStyle name="Calculation 8 2 21 7" xfId="44972" xr:uid="{00000000-0005-0000-0000-00008DAF0000}"/>
    <cellStyle name="Calculation 8 2 21 7 2" xfId="44973" xr:uid="{00000000-0005-0000-0000-00008EAF0000}"/>
    <cellStyle name="Calculation 8 2 21 7 3" xfId="44974" xr:uid="{00000000-0005-0000-0000-00008FAF0000}"/>
    <cellStyle name="Calculation 8 2 21 7 4" xfId="44975" xr:uid="{00000000-0005-0000-0000-000090AF0000}"/>
    <cellStyle name="Calculation 8 2 21 7 5" xfId="44976" xr:uid="{00000000-0005-0000-0000-000091AF0000}"/>
    <cellStyle name="Calculation 8 2 21 7 6" xfId="44977" xr:uid="{00000000-0005-0000-0000-000092AF0000}"/>
    <cellStyle name="Calculation 8 2 21 8" xfId="44978" xr:uid="{00000000-0005-0000-0000-000093AF0000}"/>
    <cellStyle name="Calculation 8 2 21 9" xfId="44979" xr:uid="{00000000-0005-0000-0000-000094AF0000}"/>
    <cellStyle name="Calculation 8 2 22" xfId="44980" xr:uid="{00000000-0005-0000-0000-000095AF0000}"/>
    <cellStyle name="Calculation 8 2 22 10" xfId="44981" xr:uid="{00000000-0005-0000-0000-000096AF0000}"/>
    <cellStyle name="Calculation 8 2 22 2" xfId="44982" xr:uid="{00000000-0005-0000-0000-000097AF0000}"/>
    <cellStyle name="Calculation 8 2 22 2 2" xfId="44983" xr:uid="{00000000-0005-0000-0000-000098AF0000}"/>
    <cellStyle name="Calculation 8 2 22 2 3" xfId="44984" xr:uid="{00000000-0005-0000-0000-000099AF0000}"/>
    <cellStyle name="Calculation 8 2 22 2 4" xfId="44985" xr:uid="{00000000-0005-0000-0000-00009AAF0000}"/>
    <cellStyle name="Calculation 8 2 22 2 5" xfId="44986" xr:uid="{00000000-0005-0000-0000-00009BAF0000}"/>
    <cellStyle name="Calculation 8 2 22 2 6" xfId="44987" xr:uid="{00000000-0005-0000-0000-00009CAF0000}"/>
    <cellStyle name="Calculation 8 2 22 3" xfId="44988" xr:uid="{00000000-0005-0000-0000-00009DAF0000}"/>
    <cellStyle name="Calculation 8 2 22 3 2" xfId="44989" xr:uid="{00000000-0005-0000-0000-00009EAF0000}"/>
    <cellStyle name="Calculation 8 2 22 3 3" xfId="44990" xr:uid="{00000000-0005-0000-0000-00009FAF0000}"/>
    <cellStyle name="Calculation 8 2 22 3 4" xfId="44991" xr:uid="{00000000-0005-0000-0000-0000A0AF0000}"/>
    <cellStyle name="Calculation 8 2 22 3 5" xfId="44992" xr:uid="{00000000-0005-0000-0000-0000A1AF0000}"/>
    <cellStyle name="Calculation 8 2 22 3 6" xfId="44993" xr:uid="{00000000-0005-0000-0000-0000A2AF0000}"/>
    <cellStyle name="Calculation 8 2 22 4" xfId="44994" xr:uid="{00000000-0005-0000-0000-0000A3AF0000}"/>
    <cellStyle name="Calculation 8 2 22 4 2" xfId="44995" xr:uid="{00000000-0005-0000-0000-0000A4AF0000}"/>
    <cellStyle name="Calculation 8 2 22 4 3" xfId="44996" xr:uid="{00000000-0005-0000-0000-0000A5AF0000}"/>
    <cellStyle name="Calculation 8 2 22 4 4" xfId="44997" xr:uid="{00000000-0005-0000-0000-0000A6AF0000}"/>
    <cellStyle name="Calculation 8 2 22 4 5" xfId="44998" xr:uid="{00000000-0005-0000-0000-0000A7AF0000}"/>
    <cellStyle name="Calculation 8 2 22 4 6" xfId="44999" xr:uid="{00000000-0005-0000-0000-0000A8AF0000}"/>
    <cellStyle name="Calculation 8 2 22 5" xfId="45000" xr:uid="{00000000-0005-0000-0000-0000A9AF0000}"/>
    <cellStyle name="Calculation 8 2 22 5 2" xfId="45001" xr:uid="{00000000-0005-0000-0000-0000AAAF0000}"/>
    <cellStyle name="Calculation 8 2 22 5 3" xfId="45002" xr:uid="{00000000-0005-0000-0000-0000ABAF0000}"/>
    <cellStyle name="Calculation 8 2 22 5 4" xfId="45003" xr:uid="{00000000-0005-0000-0000-0000ACAF0000}"/>
    <cellStyle name="Calculation 8 2 22 5 5" xfId="45004" xr:uid="{00000000-0005-0000-0000-0000ADAF0000}"/>
    <cellStyle name="Calculation 8 2 22 5 6" xfId="45005" xr:uid="{00000000-0005-0000-0000-0000AEAF0000}"/>
    <cellStyle name="Calculation 8 2 22 6" xfId="45006" xr:uid="{00000000-0005-0000-0000-0000AFAF0000}"/>
    <cellStyle name="Calculation 8 2 22 6 2" xfId="45007" xr:uid="{00000000-0005-0000-0000-0000B0AF0000}"/>
    <cellStyle name="Calculation 8 2 22 6 3" xfId="45008" xr:uid="{00000000-0005-0000-0000-0000B1AF0000}"/>
    <cellStyle name="Calculation 8 2 22 6 4" xfId="45009" xr:uid="{00000000-0005-0000-0000-0000B2AF0000}"/>
    <cellStyle name="Calculation 8 2 22 6 5" xfId="45010" xr:uid="{00000000-0005-0000-0000-0000B3AF0000}"/>
    <cellStyle name="Calculation 8 2 22 6 6" xfId="45011" xr:uid="{00000000-0005-0000-0000-0000B4AF0000}"/>
    <cellStyle name="Calculation 8 2 22 7" xfId="45012" xr:uid="{00000000-0005-0000-0000-0000B5AF0000}"/>
    <cellStyle name="Calculation 8 2 22 7 2" xfId="45013" xr:uid="{00000000-0005-0000-0000-0000B6AF0000}"/>
    <cellStyle name="Calculation 8 2 22 7 3" xfId="45014" xr:uid="{00000000-0005-0000-0000-0000B7AF0000}"/>
    <cellStyle name="Calculation 8 2 22 7 4" xfId="45015" xr:uid="{00000000-0005-0000-0000-0000B8AF0000}"/>
    <cellStyle name="Calculation 8 2 22 7 5" xfId="45016" xr:uid="{00000000-0005-0000-0000-0000B9AF0000}"/>
    <cellStyle name="Calculation 8 2 22 7 6" xfId="45017" xr:uid="{00000000-0005-0000-0000-0000BAAF0000}"/>
    <cellStyle name="Calculation 8 2 22 8" xfId="45018" xr:uid="{00000000-0005-0000-0000-0000BBAF0000}"/>
    <cellStyle name="Calculation 8 2 22 9" xfId="45019" xr:uid="{00000000-0005-0000-0000-0000BCAF0000}"/>
    <cellStyle name="Calculation 8 2 23" xfId="45020" xr:uid="{00000000-0005-0000-0000-0000BDAF0000}"/>
    <cellStyle name="Calculation 8 2 23 10" xfId="45021" xr:uid="{00000000-0005-0000-0000-0000BEAF0000}"/>
    <cellStyle name="Calculation 8 2 23 2" xfId="45022" xr:uid="{00000000-0005-0000-0000-0000BFAF0000}"/>
    <cellStyle name="Calculation 8 2 23 2 2" xfId="45023" xr:uid="{00000000-0005-0000-0000-0000C0AF0000}"/>
    <cellStyle name="Calculation 8 2 23 2 3" xfId="45024" xr:uid="{00000000-0005-0000-0000-0000C1AF0000}"/>
    <cellStyle name="Calculation 8 2 23 2 4" xfId="45025" xr:uid="{00000000-0005-0000-0000-0000C2AF0000}"/>
    <cellStyle name="Calculation 8 2 23 2 5" xfId="45026" xr:uid="{00000000-0005-0000-0000-0000C3AF0000}"/>
    <cellStyle name="Calculation 8 2 23 2 6" xfId="45027" xr:uid="{00000000-0005-0000-0000-0000C4AF0000}"/>
    <cellStyle name="Calculation 8 2 23 3" xfId="45028" xr:uid="{00000000-0005-0000-0000-0000C5AF0000}"/>
    <cellStyle name="Calculation 8 2 23 3 2" xfId="45029" xr:uid="{00000000-0005-0000-0000-0000C6AF0000}"/>
    <cellStyle name="Calculation 8 2 23 3 3" xfId="45030" xr:uid="{00000000-0005-0000-0000-0000C7AF0000}"/>
    <cellStyle name="Calculation 8 2 23 3 4" xfId="45031" xr:uid="{00000000-0005-0000-0000-0000C8AF0000}"/>
    <cellStyle name="Calculation 8 2 23 3 5" xfId="45032" xr:uid="{00000000-0005-0000-0000-0000C9AF0000}"/>
    <cellStyle name="Calculation 8 2 23 3 6" xfId="45033" xr:uid="{00000000-0005-0000-0000-0000CAAF0000}"/>
    <cellStyle name="Calculation 8 2 23 4" xfId="45034" xr:uid="{00000000-0005-0000-0000-0000CBAF0000}"/>
    <cellStyle name="Calculation 8 2 23 4 2" xfId="45035" xr:uid="{00000000-0005-0000-0000-0000CCAF0000}"/>
    <cellStyle name="Calculation 8 2 23 4 3" xfId="45036" xr:uid="{00000000-0005-0000-0000-0000CDAF0000}"/>
    <cellStyle name="Calculation 8 2 23 4 4" xfId="45037" xr:uid="{00000000-0005-0000-0000-0000CEAF0000}"/>
    <cellStyle name="Calculation 8 2 23 4 5" xfId="45038" xr:uid="{00000000-0005-0000-0000-0000CFAF0000}"/>
    <cellStyle name="Calculation 8 2 23 4 6" xfId="45039" xr:uid="{00000000-0005-0000-0000-0000D0AF0000}"/>
    <cellStyle name="Calculation 8 2 23 5" xfId="45040" xr:uid="{00000000-0005-0000-0000-0000D1AF0000}"/>
    <cellStyle name="Calculation 8 2 23 5 2" xfId="45041" xr:uid="{00000000-0005-0000-0000-0000D2AF0000}"/>
    <cellStyle name="Calculation 8 2 23 5 3" xfId="45042" xr:uid="{00000000-0005-0000-0000-0000D3AF0000}"/>
    <cellStyle name="Calculation 8 2 23 5 4" xfId="45043" xr:uid="{00000000-0005-0000-0000-0000D4AF0000}"/>
    <cellStyle name="Calculation 8 2 23 5 5" xfId="45044" xr:uid="{00000000-0005-0000-0000-0000D5AF0000}"/>
    <cellStyle name="Calculation 8 2 23 5 6" xfId="45045" xr:uid="{00000000-0005-0000-0000-0000D6AF0000}"/>
    <cellStyle name="Calculation 8 2 23 6" xfId="45046" xr:uid="{00000000-0005-0000-0000-0000D7AF0000}"/>
    <cellStyle name="Calculation 8 2 23 6 2" xfId="45047" xr:uid="{00000000-0005-0000-0000-0000D8AF0000}"/>
    <cellStyle name="Calculation 8 2 23 6 3" xfId="45048" xr:uid="{00000000-0005-0000-0000-0000D9AF0000}"/>
    <cellStyle name="Calculation 8 2 23 6 4" xfId="45049" xr:uid="{00000000-0005-0000-0000-0000DAAF0000}"/>
    <cellStyle name="Calculation 8 2 23 6 5" xfId="45050" xr:uid="{00000000-0005-0000-0000-0000DBAF0000}"/>
    <cellStyle name="Calculation 8 2 23 6 6" xfId="45051" xr:uid="{00000000-0005-0000-0000-0000DCAF0000}"/>
    <cellStyle name="Calculation 8 2 23 7" xfId="45052" xr:uid="{00000000-0005-0000-0000-0000DDAF0000}"/>
    <cellStyle name="Calculation 8 2 23 7 2" xfId="45053" xr:uid="{00000000-0005-0000-0000-0000DEAF0000}"/>
    <cellStyle name="Calculation 8 2 23 7 3" xfId="45054" xr:uid="{00000000-0005-0000-0000-0000DFAF0000}"/>
    <cellStyle name="Calculation 8 2 23 7 4" xfId="45055" xr:uid="{00000000-0005-0000-0000-0000E0AF0000}"/>
    <cellStyle name="Calculation 8 2 23 7 5" xfId="45056" xr:uid="{00000000-0005-0000-0000-0000E1AF0000}"/>
    <cellStyle name="Calculation 8 2 23 7 6" xfId="45057" xr:uid="{00000000-0005-0000-0000-0000E2AF0000}"/>
    <cellStyle name="Calculation 8 2 23 8" xfId="45058" xr:uid="{00000000-0005-0000-0000-0000E3AF0000}"/>
    <cellStyle name="Calculation 8 2 23 9" xfId="45059" xr:uid="{00000000-0005-0000-0000-0000E4AF0000}"/>
    <cellStyle name="Calculation 8 2 24" xfId="45060" xr:uid="{00000000-0005-0000-0000-0000E5AF0000}"/>
    <cellStyle name="Calculation 8 2 24 10" xfId="45061" xr:uid="{00000000-0005-0000-0000-0000E6AF0000}"/>
    <cellStyle name="Calculation 8 2 24 2" xfId="45062" xr:uid="{00000000-0005-0000-0000-0000E7AF0000}"/>
    <cellStyle name="Calculation 8 2 24 2 2" xfId="45063" xr:uid="{00000000-0005-0000-0000-0000E8AF0000}"/>
    <cellStyle name="Calculation 8 2 24 2 3" xfId="45064" xr:uid="{00000000-0005-0000-0000-0000E9AF0000}"/>
    <cellStyle name="Calculation 8 2 24 2 4" xfId="45065" xr:uid="{00000000-0005-0000-0000-0000EAAF0000}"/>
    <cellStyle name="Calculation 8 2 24 2 5" xfId="45066" xr:uid="{00000000-0005-0000-0000-0000EBAF0000}"/>
    <cellStyle name="Calculation 8 2 24 2 6" xfId="45067" xr:uid="{00000000-0005-0000-0000-0000ECAF0000}"/>
    <cellStyle name="Calculation 8 2 24 3" xfId="45068" xr:uid="{00000000-0005-0000-0000-0000EDAF0000}"/>
    <cellStyle name="Calculation 8 2 24 3 2" xfId="45069" xr:uid="{00000000-0005-0000-0000-0000EEAF0000}"/>
    <cellStyle name="Calculation 8 2 24 3 3" xfId="45070" xr:uid="{00000000-0005-0000-0000-0000EFAF0000}"/>
    <cellStyle name="Calculation 8 2 24 3 4" xfId="45071" xr:uid="{00000000-0005-0000-0000-0000F0AF0000}"/>
    <cellStyle name="Calculation 8 2 24 3 5" xfId="45072" xr:uid="{00000000-0005-0000-0000-0000F1AF0000}"/>
    <cellStyle name="Calculation 8 2 24 3 6" xfId="45073" xr:uid="{00000000-0005-0000-0000-0000F2AF0000}"/>
    <cellStyle name="Calculation 8 2 24 4" xfId="45074" xr:uid="{00000000-0005-0000-0000-0000F3AF0000}"/>
    <cellStyle name="Calculation 8 2 24 4 2" xfId="45075" xr:uid="{00000000-0005-0000-0000-0000F4AF0000}"/>
    <cellStyle name="Calculation 8 2 24 4 3" xfId="45076" xr:uid="{00000000-0005-0000-0000-0000F5AF0000}"/>
    <cellStyle name="Calculation 8 2 24 4 4" xfId="45077" xr:uid="{00000000-0005-0000-0000-0000F6AF0000}"/>
    <cellStyle name="Calculation 8 2 24 4 5" xfId="45078" xr:uid="{00000000-0005-0000-0000-0000F7AF0000}"/>
    <cellStyle name="Calculation 8 2 24 4 6" xfId="45079" xr:uid="{00000000-0005-0000-0000-0000F8AF0000}"/>
    <cellStyle name="Calculation 8 2 24 5" xfId="45080" xr:uid="{00000000-0005-0000-0000-0000F9AF0000}"/>
    <cellStyle name="Calculation 8 2 24 5 2" xfId="45081" xr:uid="{00000000-0005-0000-0000-0000FAAF0000}"/>
    <cellStyle name="Calculation 8 2 24 5 3" xfId="45082" xr:uid="{00000000-0005-0000-0000-0000FBAF0000}"/>
    <cellStyle name="Calculation 8 2 24 5 4" xfId="45083" xr:uid="{00000000-0005-0000-0000-0000FCAF0000}"/>
    <cellStyle name="Calculation 8 2 24 5 5" xfId="45084" xr:uid="{00000000-0005-0000-0000-0000FDAF0000}"/>
    <cellStyle name="Calculation 8 2 24 5 6" xfId="45085" xr:uid="{00000000-0005-0000-0000-0000FEAF0000}"/>
    <cellStyle name="Calculation 8 2 24 6" xfId="45086" xr:uid="{00000000-0005-0000-0000-0000FFAF0000}"/>
    <cellStyle name="Calculation 8 2 24 6 2" xfId="45087" xr:uid="{00000000-0005-0000-0000-000000B00000}"/>
    <cellStyle name="Calculation 8 2 24 6 3" xfId="45088" xr:uid="{00000000-0005-0000-0000-000001B00000}"/>
    <cellStyle name="Calculation 8 2 24 6 4" xfId="45089" xr:uid="{00000000-0005-0000-0000-000002B00000}"/>
    <cellStyle name="Calculation 8 2 24 6 5" xfId="45090" xr:uid="{00000000-0005-0000-0000-000003B00000}"/>
    <cellStyle name="Calculation 8 2 24 6 6" xfId="45091" xr:uid="{00000000-0005-0000-0000-000004B00000}"/>
    <cellStyle name="Calculation 8 2 24 7" xfId="45092" xr:uid="{00000000-0005-0000-0000-000005B00000}"/>
    <cellStyle name="Calculation 8 2 24 7 2" xfId="45093" xr:uid="{00000000-0005-0000-0000-000006B00000}"/>
    <cellStyle name="Calculation 8 2 24 7 3" xfId="45094" xr:uid="{00000000-0005-0000-0000-000007B00000}"/>
    <cellStyle name="Calculation 8 2 24 7 4" xfId="45095" xr:uid="{00000000-0005-0000-0000-000008B00000}"/>
    <cellStyle name="Calculation 8 2 24 7 5" xfId="45096" xr:uid="{00000000-0005-0000-0000-000009B00000}"/>
    <cellStyle name="Calculation 8 2 24 7 6" xfId="45097" xr:uid="{00000000-0005-0000-0000-00000AB00000}"/>
    <cellStyle name="Calculation 8 2 24 8" xfId="45098" xr:uid="{00000000-0005-0000-0000-00000BB00000}"/>
    <cellStyle name="Calculation 8 2 24 9" xfId="45099" xr:uid="{00000000-0005-0000-0000-00000CB00000}"/>
    <cellStyle name="Calculation 8 2 25" xfId="45100" xr:uid="{00000000-0005-0000-0000-00000DB00000}"/>
    <cellStyle name="Calculation 8 2 25 10" xfId="45101" xr:uid="{00000000-0005-0000-0000-00000EB00000}"/>
    <cellStyle name="Calculation 8 2 25 2" xfId="45102" xr:uid="{00000000-0005-0000-0000-00000FB00000}"/>
    <cellStyle name="Calculation 8 2 25 2 2" xfId="45103" xr:uid="{00000000-0005-0000-0000-000010B00000}"/>
    <cellStyle name="Calculation 8 2 25 2 3" xfId="45104" xr:uid="{00000000-0005-0000-0000-000011B00000}"/>
    <cellStyle name="Calculation 8 2 25 2 4" xfId="45105" xr:uid="{00000000-0005-0000-0000-000012B00000}"/>
    <cellStyle name="Calculation 8 2 25 2 5" xfId="45106" xr:uid="{00000000-0005-0000-0000-000013B00000}"/>
    <cellStyle name="Calculation 8 2 25 2 6" xfId="45107" xr:uid="{00000000-0005-0000-0000-000014B00000}"/>
    <cellStyle name="Calculation 8 2 25 3" xfId="45108" xr:uid="{00000000-0005-0000-0000-000015B00000}"/>
    <cellStyle name="Calculation 8 2 25 3 2" xfId="45109" xr:uid="{00000000-0005-0000-0000-000016B00000}"/>
    <cellStyle name="Calculation 8 2 25 3 3" xfId="45110" xr:uid="{00000000-0005-0000-0000-000017B00000}"/>
    <cellStyle name="Calculation 8 2 25 3 4" xfId="45111" xr:uid="{00000000-0005-0000-0000-000018B00000}"/>
    <cellStyle name="Calculation 8 2 25 3 5" xfId="45112" xr:uid="{00000000-0005-0000-0000-000019B00000}"/>
    <cellStyle name="Calculation 8 2 25 3 6" xfId="45113" xr:uid="{00000000-0005-0000-0000-00001AB00000}"/>
    <cellStyle name="Calculation 8 2 25 4" xfId="45114" xr:uid="{00000000-0005-0000-0000-00001BB00000}"/>
    <cellStyle name="Calculation 8 2 25 4 2" xfId="45115" xr:uid="{00000000-0005-0000-0000-00001CB00000}"/>
    <cellStyle name="Calculation 8 2 25 4 3" xfId="45116" xr:uid="{00000000-0005-0000-0000-00001DB00000}"/>
    <cellStyle name="Calculation 8 2 25 4 4" xfId="45117" xr:uid="{00000000-0005-0000-0000-00001EB00000}"/>
    <cellStyle name="Calculation 8 2 25 4 5" xfId="45118" xr:uid="{00000000-0005-0000-0000-00001FB00000}"/>
    <cellStyle name="Calculation 8 2 25 4 6" xfId="45119" xr:uid="{00000000-0005-0000-0000-000020B00000}"/>
    <cellStyle name="Calculation 8 2 25 5" xfId="45120" xr:uid="{00000000-0005-0000-0000-000021B00000}"/>
    <cellStyle name="Calculation 8 2 25 5 2" xfId="45121" xr:uid="{00000000-0005-0000-0000-000022B00000}"/>
    <cellStyle name="Calculation 8 2 25 5 3" xfId="45122" xr:uid="{00000000-0005-0000-0000-000023B00000}"/>
    <cellStyle name="Calculation 8 2 25 5 4" xfId="45123" xr:uid="{00000000-0005-0000-0000-000024B00000}"/>
    <cellStyle name="Calculation 8 2 25 5 5" xfId="45124" xr:uid="{00000000-0005-0000-0000-000025B00000}"/>
    <cellStyle name="Calculation 8 2 25 5 6" xfId="45125" xr:uid="{00000000-0005-0000-0000-000026B00000}"/>
    <cellStyle name="Calculation 8 2 25 6" xfId="45126" xr:uid="{00000000-0005-0000-0000-000027B00000}"/>
    <cellStyle name="Calculation 8 2 25 6 2" xfId="45127" xr:uid="{00000000-0005-0000-0000-000028B00000}"/>
    <cellStyle name="Calculation 8 2 25 6 3" xfId="45128" xr:uid="{00000000-0005-0000-0000-000029B00000}"/>
    <cellStyle name="Calculation 8 2 25 6 4" xfId="45129" xr:uid="{00000000-0005-0000-0000-00002AB00000}"/>
    <cellStyle name="Calculation 8 2 25 6 5" xfId="45130" xr:uid="{00000000-0005-0000-0000-00002BB00000}"/>
    <cellStyle name="Calculation 8 2 25 6 6" xfId="45131" xr:uid="{00000000-0005-0000-0000-00002CB00000}"/>
    <cellStyle name="Calculation 8 2 25 7" xfId="45132" xr:uid="{00000000-0005-0000-0000-00002DB00000}"/>
    <cellStyle name="Calculation 8 2 25 7 2" xfId="45133" xr:uid="{00000000-0005-0000-0000-00002EB00000}"/>
    <cellStyle name="Calculation 8 2 25 7 3" xfId="45134" xr:uid="{00000000-0005-0000-0000-00002FB00000}"/>
    <cellStyle name="Calculation 8 2 25 7 4" xfId="45135" xr:uid="{00000000-0005-0000-0000-000030B00000}"/>
    <cellStyle name="Calculation 8 2 25 7 5" xfId="45136" xr:uid="{00000000-0005-0000-0000-000031B00000}"/>
    <cellStyle name="Calculation 8 2 25 7 6" xfId="45137" xr:uid="{00000000-0005-0000-0000-000032B00000}"/>
    <cellStyle name="Calculation 8 2 25 8" xfId="45138" xr:uid="{00000000-0005-0000-0000-000033B00000}"/>
    <cellStyle name="Calculation 8 2 25 9" xfId="45139" xr:uid="{00000000-0005-0000-0000-000034B00000}"/>
    <cellStyle name="Calculation 8 2 26" xfId="45140" xr:uid="{00000000-0005-0000-0000-000035B00000}"/>
    <cellStyle name="Calculation 8 2 26 10" xfId="45141" xr:uid="{00000000-0005-0000-0000-000036B00000}"/>
    <cellStyle name="Calculation 8 2 26 2" xfId="45142" xr:uid="{00000000-0005-0000-0000-000037B00000}"/>
    <cellStyle name="Calculation 8 2 26 2 2" xfId="45143" xr:uid="{00000000-0005-0000-0000-000038B00000}"/>
    <cellStyle name="Calculation 8 2 26 2 3" xfId="45144" xr:uid="{00000000-0005-0000-0000-000039B00000}"/>
    <cellStyle name="Calculation 8 2 26 2 4" xfId="45145" xr:uid="{00000000-0005-0000-0000-00003AB00000}"/>
    <cellStyle name="Calculation 8 2 26 2 5" xfId="45146" xr:uid="{00000000-0005-0000-0000-00003BB00000}"/>
    <cellStyle name="Calculation 8 2 26 2 6" xfId="45147" xr:uid="{00000000-0005-0000-0000-00003CB00000}"/>
    <cellStyle name="Calculation 8 2 26 3" xfId="45148" xr:uid="{00000000-0005-0000-0000-00003DB00000}"/>
    <cellStyle name="Calculation 8 2 26 3 2" xfId="45149" xr:uid="{00000000-0005-0000-0000-00003EB00000}"/>
    <cellStyle name="Calculation 8 2 26 3 3" xfId="45150" xr:uid="{00000000-0005-0000-0000-00003FB00000}"/>
    <cellStyle name="Calculation 8 2 26 3 4" xfId="45151" xr:uid="{00000000-0005-0000-0000-000040B00000}"/>
    <cellStyle name="Calculation 8 2 26 3 5" xfId="45152" xr:uid="{00000000-0005-0000-0000-000041B00000}"/>
    <cellStyle name="Calculation 8 2 26 3 6" xfId="45153" xr:uid="{00000000-0005-0000-0000-000042B00000}"/>
    <cellStyle name="Calculation 8 2 26 4" xfId="45154" xr:uid="{00000000-0005-0000-0000-000043B00000}"/>
    <cellStyle name="Calculation 8 2 26 4 2" xfId="45155" xr:uid="{00000000-0005-0000-0000-000044B00000}"/>
    <cellStyle name="Calculation 8 2 26 4 3" xfId="45156" xr:uid="{00000000-0005-0000-0000-000045B00000}"/>
    <cellStyle name="Calculation 8 2 26 4 4" xfId="45157" xr:uid="{00000000-0005-0000-0000-000046B00000}"/>
    <cellStyle name="Calculation 8 2 26 4 5" xfId="45158" xr:uid="{00000000-0005-0000-0000-000047B00000}"/>
    <cellStyle name="Calculation 8 2 26 4 6" xfId="45159" xr:uid="{00000000-0005-0000-0000-000048B00000}"/>
    <cellStyle name="Calculation 8 2 26 5" xfId="45160" xr:uid="{00000000-0005-0000-0000-000049B00000}"/>
    <cellStyle name="Calculation 8 2 26 5 2" xfId="45161" xr:uid="{00000000-0005-0000-0000-00004AB00000}"/>
    <cellStyle name="Calculation 8 2 26 5 3" xfId="45162" xr:uid="{00000000-0005-0000-0000-00004BB00000}"/>
    <cellStyle name="Calculation 8 2 26 5 4" xfId="45163" xr:uid="{00000000-0005-0000-0000-00004CB00000}"/>
    <cellStyle name="Calculation 8 2 26 5 5" xfId="45164" xr:uid="{00000000-0005-0000-0000-00004DB00000}"/>
    <cellStyle name="Calculation 8 2 26 5 6" xfId="45165" xr:uid="{00000000-0005-0000-0000-00004EB00000}"/>
    <cellStyle name="Calculation 8 2 26 6" xfId="45166" xr:uid="{00000000-0005-0000-0000-00004FB00000}"/>
    <cellStyle name="Calculation 8 2 26 6 2" xfId="45167" xr:uid="{00000000-0005-0000-0000-000050B00000}"/>
    <cellStyle name="Calculation 8 2 26 6 3" xfId="45168" xr:uid="{00000000-0005-0000-0000-000051B00000}"/>
    <cellStyle name="Calculation 8 2 26 6 4" xfId="45169" xr:uid="{00000000-0005-0000-0000-000052B00000}"/>
    <cellStyle name="Calculation 8 2 26 6 5" xfId="45170" xr:uid="{00000000-0005-0000-0000-000053B00000}"/>
    <cellStyle name="Calculation 8 2 26 6 6" xfId="45171" xr:uid="{00000000-0005-0000-0000-000054B00000}"/>
    <cellStyle name="Calculation 8 2 26 7" xfId="45172" xr:uid="{00000000-0005-0000-0000-000055B00000}"/>
    <cellStyle name="Calculation 8 2 26 7 2" xfId="45173" xr:uid="{00000000-0005-0000-0000-000056B00000}"/>
    <cellStyle name="Calculation 8 2 26 7 3" xfId="45174" xr:uid="{00000000-0005-0000-0000-000057B00000}"/>
    <cellStyle name="Calculation 8 2 26 7 4" xfId="45175" xr:uid="{00000000-0005-0000-0000-000058B00000}"/>
    <cellStyle name="Calculation 8 2 26 7 5" xfId="45176" xr:uid="{00000000-0005-0000-0000-000059B00000}"/>
    <cellStyle name="Calculation 8 2 26 7 6" xfId="45177" xr:uid="{00000000-0005-0000-0000-00005AB00000}"/>
    <cellStyle name="Calculation 8 2 26 8" xfId="45178" xr:uid="{00000000-0005-0000-0000-00005BB00000}"/>
    <cellStyle name="Calculation 8 2 26 9" xfId="45179" xr:uid="{00000000-0005-0000-0000-00005CB00000}"/>
    <cellStyle name="Calculation 8 2 27" xfId="45180" xr:uid="{00000000-0005-0000-0000-00005DB00000}"/>
    <cellStyle name="Calculation 8 2 27 2" xfId="45181" xr:uid="{00000000-0005-0000-0000-00005EB00000}"/>
    <cellStyle name="Calculation 8 2 27 3" xfId="45182" xr:uid="{00000000-0005-0000-0000-00005FB00000}"/>
    <cellStyle name="Calculation 8 2 27 4" xfId="45183" xr:uid="{00000000-0005-0000-0000-000060B00000}"/>
    <cellStyle name="Calculation 8 2 27 5" xfId="45184" xr:uid="{00000000-0005-0000-0000-000061B00000}"/>
    <cellStyle name="Calculation 8 2 27 6" xfId="45185" xr:uid="{00000000-0005-0000-0000-000062B00000}"/>
    <cellStyle name="Calculation 8 2 28" xfId="45186" xr:uid="{00000000-0005-0000-0000-000063B00000}"/>
    <cellStyle name="Calculation 8 2 28 2" xfId="45187" xr:uid="{00000000-0005-0000-0000-000064B00000}"/>
    <cellStyle name="Calculation 8 2 28 3" xfId="45188" xr:uid="{00000000-0005-0000-0000-000065B00000}"/>
    <cellStyle name="Calculation 8 2 28 4" xfId="45189" xr:uid="{00000000-0005-0000-0000-000066B00000}"/>
    <cellStyle name="Calculation 8 2 28 5" xfId="45190" xr:uid="{00000000-0005-0000-0000-000067B00000}"/>
    <cellStyle name="Calculation 8 2 28 6" xfId="45191" xr:uid="{00000000-0005-0000-0000-000068B00000}"/>
    <cellStyle name="Calculation 8 2 29" xfId="45192" xr:uid="{00000000-0005-0000-0000-000069B00000}"/>
    <cellStyle name="Calculation 8 2 29 2" xfId="45193" xr:uid="{00000000-0005-0000-0000-00006AB00000}"/>
    <cellStyle name="Calculation 8 2 29 3" xfId="45194" xr:uid="{00000000-0005-0000-0000-00006BB00000}"/>
    <cellStyle name="Calculation 8 2 29 4" xfId="45195" xr:uid="{00000000-0005-0000-0000-00006CB00000}"/>
    <cellStyle name="Calculation 8 2 29 5" xfId="45196" xr:uid="{00000000-0005-0000-0000-00006DB00000}"/>
    <cellStyle name="Calculation 8 2 29 6" xfId="45197" xr:uid="{00000000-0005-0000-0000-00006EB00000}"/>
    <cellStyle name="Calculation 8 2 3" xfId="45198" xr:uid="{00000000-0005-0000-0000-00006FB00000}"/>
    <cellStyle name="Calculation 8 2 3 10" xfId="45199" xr:uid="{00000000-0005-0000-0000-000070B00000}"/>
    <cellStyle name="Calculation 8 2 3 2" xfId="45200" xr:uid="{00000000-0005-0000-0000-000071B00000}"/>
    <cellStyle name="Calculation 8 2 3 2 2" xfId="45201" xr:uid="{00000000-0005-0000-0000-000072B00000}"/>
    <cellStyle name="Calculation 8 2 3 2 3" xfId="45202" xr:uid="{00000000-0005-0000-0000-000073B00000}"/>
    <cellStyle name="Calculation 8 2 3 2 4" xfId="45203" xr:uid="{00000000-0005-0000-0000-000074B00000}"/>
    <cellStyle name="Calculation 8 2 3 2 5" xfId="45204" xr:uid="{00000000-0005-0000-0000-000075B00000}"/>
    <cellStyle name="Calculation 8 2 3 2 6" xfId="45205" xr:uid="{00000000-0005-0000-0000-000076B00000}"/>
    <cellStyle name="Calculation 8 2 3 3" xfId="45206" xr:uid="{00000000-0005-0000-0000-000077B00000}"/>
    <cellStyle name="Calculation 8 2 3 3 2" xfId="45207" xr:uid="{00000000-0005-0000-0000-000078B00000}"/>
    <cellStyle name="Calculation 8 2 3 3 3" xfId="45208" xr:uid="{00000000-0005-0000-0000-000079B00000}"/>
    <cellStyle name="Calculation 8 2 3 3 4" xfId="45209" xr:uid="{00000000-0005-0000-0000-00007AB00000}"/>
    <cellStyle name="Calculation 8 2 3 3 5" xfId="45210" xr:uid="{00000000-0005-0000-0000-00007BB00000}"/>
    <cellStyle name="Calculation 8 2 3 3 6" xfId="45211" xr:uid="{00000000-0005-0000-0000-00007CB00000}"/>
    <cellStyle name="Calculation 8 2 3 4" xfId="45212" xr:uid="{00000000-0005-0000-0000-00007DB00000}"/>
    <cellStyle name="Calculation 8 2 3 4 2" xfId="45213" xr:uid="{00000000-0005-0000-0000-00007EB00000}"/>
    <cellStyle name="Calculation 8 2 3 4 3" xfId="45214" xr:uid="{00000000-0005-0000-0000-00007FB00000}"/>
    <cellStyle name="Calculation 8 2 3 4 4" xfId="45215" xr:uid="{00000000-0005-0000-0000-000080B00000}"/>
    <cellStyle name="Calculation 8 2 3 4 5" xfId="45216" xr:uid="{00000000-0005-0000-0000-000081B00000}"/>
    <cellStyle name="Calculation 8 2 3 4 6" xfId="45217" xr:uid="{00000000-0005-0000-0000-000082B00000}"/>
    <cellStyle name="Calculation 8 2 3 5" xfId="45218" xr:uid="{00000000-0005-0000-0000-000083B00000}"/>
    <cellStyle name="Calculation 8 2 3 5 2" xfId="45219" xr:uid="{00000000-0005-0000-0000-000084B00000}"/>
    <cellStyle name="Calculation 8 2 3 5 3" xfId="45220" xr:uid="{00000000-0005-0000-0000-000085B00000}"/>
    <cellStyle name="Calculation 8 2 3 5 4" xfId="45221" xr:uid="{00000000-0005-0000-0000-000086B00000}"/>
    <cellStyle name="Calculation 8 2 3 5 5" xfId="45222" xr:uid="{00000000-0005-0000-0000-000087B00000}"/>
    <cellStyle name="Calculation 8 2 3 5 6" xfId="45223" xr:uid="{00000000-0005-0000-0000-000088B00000}"/>
    <cellStyle name="Calculation 8 2 3 6" xfId="45224" xr:uid="{00000000-0005-0000-0000-000089B00000}"/>
    <cellStyle name="Calculation 8 2 3 6 2" xfId="45225" xr:uid="{00000000-0005-0000-0000-00008AB00000}"/>
    <cellStyle name="Calculation 8 2 3 6 3" xfId="45226" xr:uid="{00000000-0005-0000-0000-00008BB00000}"/>
    <cellStyle name="Calculation 8 2 3 6 4" xfId="45227" xr:uid="{00000000-0005-0000-0000-00008CB00000}"/>
    <cellStyle name="Calculation 8 2 3 6 5" xfId="45228" xr:uid="{00000000-0005-0000-0000-00008DB00000}"/>
    <cellStyle name="Calculation 8 2 3 6 6" xfId="45229" xr:uid="{00000000-0005-0000-0000-00008EB00000}"/>
    <cellStyle name="Calculation 8 2 3 7" xfId="45230" xr:uid="{00000000-0005-0000-0000-00008FB00000}"/>
    <cellStyle name="Calculation 8 2 3 7 2" xfId="45231" xr:uid="{00000000-0005-0000-0000-000090B00000}"/>
    <cellStyle name="Calculation 8 2 3 7 3" xfId="45232" xr:uid="{00000000-0005-0000-0000-000091B00000}"/>
    <cellStyle name="Calculation 8 2 3 7 4" xfId="45233" xr:uid="{00000000-0005-0000-0000-000092B00000}"/>
    <cellStyle name="Calculation 8 2 3 7 5" xfId="45234" xr:uid="{00000000-0005-0000-0000-000093B00000}"/>
    <cellStyle name="Calculation 8 2 3 7 6" xfId="45235" xr:uid="{00000000-0005-0000-0000-000094B00000}"/>
    <cellStyle name="Calculation 8 2 3 8" xfId="45236" xr:uid="{00000000-0005-0000-0000-000095B00000}"/>
    <cellStyle name="Calculation 8 2 3 9" xfId="45237" xr:uid="{00000000-0005-0000-0000-000096B00000}"/>
    <cellStyle name="Calculation 8 2 30" xfId="45238" xr:uid="{00000000-0005-0000-0000-000097B00000}"/>
    <cellStyle name="Calculation 8 2 30 2" xfId="45239" xr:uid="{00000000-0005-0000-0000-000098B00000}"/>
    <cellStyle name="Calculation 8 2 30 3" xfId="45240" xr:uid="{00000000-0005-0000-0000-000099B00000}"/>
    <cellStyle name="Calculation 8 2 30 4" xfId="45241" xr:uid="{00000000-0005-0000-0000-00009AB00000}"/>
    <cellStyle name="Calculation 8 2 30 5" xfId="45242" xr:uid="{00000000-0005-0000-0000-00009BB00000}"/>
    <cellStyle name="Calculation 8 2 30 6" xfId="45243" xr:uid="{00000000-0005-0000-0000-00009CB00000}"/>
    <cellStyle name="Calculation 8 2 31" xfId="45244" xr:uid="{00000000-0005-0000-0000-00009DB00000}"/>
    <cellStyle name="Calculation 8 2 31 2" xfId="45245" xr:uid="{00000000-0005-0000-0000-00009EB00000}"/>
    <cellStyle name="Calculation 8 2 31 3" xfId="45246" xr:uid="{00000000-0005-0000-0000-00009FB00000}"/>
    <cellStyle name="Calculation 8 2 31 4" xfId="45247" xr:uid="{00000000-0005-0000-0000-0000A0B00000}"/>
    <cellStyle name="Calculation 8 2 31 5" xfId="45248" xr:uid="{00000000-0005-0000-0000-0000A1B00000}"/>
    <cellStyle name="Calculation 8 2 31 6" xfId="45249" xr:uid="{00000000-0005-0000-0000-0000A2B00000}"/>
    <cellStyle name="Calculation 8 2 32" xfId="45250" xr:uid="{00000000-0005-0000-0000-0000A3B00000}"/>
    <cellStyle name="Calculation 8 2 32 2" xfId="45251" xr:uid="{00000000-0005-0000-0000-0000A4B00000}"/>
    <cellStyle name="Calculation 8 2 32 3" xfId="45252" xr:uid="{00000000-0005-0000-0000-0000A5B00000}"/>
    <cellStyle name="Calculation 8 2 32 4" xfId="45253" xr:uid="{00000000-0005-0000-0000-0000A6B00000}"/>
    <cellStyle name="Calculation 8 2 32 5" xfId="45254" xr:uid="{00000000-0005-0000-0000-0000A7B00000}"/>
    <cellStyle name="Calculation 8 2 32 6" xfId="45255" xr:uid="{00000000-0005-0000-0000-0000A8B00000}"/>
    <cellStyle name="Calculation 8 2 33" xfId="45256" xr:uid="{00000000-0005-0000-0000-0000A9B00000}"/>
    <cellStyle name="Calculation 8 2 34" xfId="45257" xr:uid="{00000000-0005-0000-0000-0000AAB00000}"/>
    <cellStyle name="Calculation 8 2 35" xfId="45258" xr:uid="{00000000-0005-0000-0000-0000ABB00000}"/>
    <cellStyle name="Calculation 8 2 4" xfId="45259" xr:uid="{00000000-0005-0000-0000-0000ACB00000}"/>
    <cellStyle name="Calculation 8 2 4 10" xfId="45260" xr:uid="{00000000-0005-0000-0000-0000ADB00000}"/>
    <cellStyle name="Calculation 8 2 4 2" xfId="45261" xr:uid="{00000000-0005-0000-0000-0000AEB00000}"/>
    <cellStyle name="Calculation 8 2 4 2 2" xfId="45262" xr:uid="{00000000-0005-0000-0000-0000AFB00000}"/>
    <cellStyle name="Calculation 8 2 4 2 3" xfId="45263" xr:uid="{00000000-0005-0000-0000-0000B0B00000}"/>
    <cellStyle name="Calculation 8 2 4 2 4" xfId="45264" xr:uid="{00000000-0005-0000-0000-0000B1B00000}"/>
    <cellStyle name="Calculation 8 2 4 2 5" xfId="45265" xr:uid="{00000000-0005-0000-0000-0000B2B00000}"/>
    <cellStyle name="Calculation 8 2 4 2 6" xfId="45266" xr:uid="{00000000-0005-0000-0000-0000B3B00000}"/>
    <cellStyle name="Calculation 8 2 4 3" xfId="45267" xr:uid="{00000000-0005-0000-0000-0000B4B00000}"/>
    <cellStyle name="Calculation 8 2 4 3 2" xfId="45268" xr:uid="{00000000-0005-0000-0000-0000B5B00000}"/>
    <cellStyle name="Calculation 8 2 4 3 3" xfId="45269" xr:uid="{00000000-0005-0000-0000-0000B6B00000}"/>
    <cellStyle name="Calculation 8 2 4 3 4" xfId="45270" xr:uid="{00000000-0005-0000-0000-0000B7B00000}"/>
    <cellStyle name="Calculation 8 2 4 3 5" xfId="45271" xr:uid="{00000000-0005-0000-0000-0000B8B00000}"/>
    <cellStyle name="Calculation 8 2 4 3 6" xfId="45272" xr:uid="{00000000-0005-0000-0000-0000B9B00000}"/>
    <cellStyle name="Calculation 8 2 4 4" xfId="45273" xr:uid="{00000000-0005-0000-0000-0000BAB00000}"/>
    <cellStyle name="Calculation 8 2 4 4 2" xfId="45274" xr:uid="{00000000-0005-0000-0000-0000BBB00000}"/>
    <cellStyle name="Calculation 8 2 4 4 3" xfId="45275" xr:uid="{00000000-0005-0000-0000-0000BCB00000}"/>
    <cellStyle name="Calculation 8 2 4 4 4" xfId="45276" xr:uid="{00000000-0005-0000-0000-0000BDB00000}"/>
    <cellStyle name="Calculation 8 2 4 4 5" xfId="45277" xr:uid="{00000000-0005-0000-0000-0000BEB00000}"/>
    <cellStyle name="Calculation 8 2 4 4 6" xfId="45278" xr:uid="{00000000-0005-0000-0000-0000BFB00000}"/>
    <cellStyle name="Calculation 8 2 4 5" xfId="45279" xr:uid="{00000000-0005-0000-0000-0000C0B00000}"/>
    <cellStyle name="Calculation 8 2 4 5 2" xfId="45280" xr:uid="{00000000-0005-0000-0000-0000C1B00000}"/>
    <cellStyle name="Calculation 8 2 4 5 3" xfId="45281" xr:uid="{00000000-0005-0000-0000-0000C2B00000}"/>
    <cellStyle name="Calculation 8 2 4 5 4" xfId="45282" xr:uid="{00000000-0005-0000-0000-0000C3B00000}"/>
    <cellStyle name="Calculation 8 2 4 5 5" xfId="45283" xr:uid="{00000000-0005-0000-0000-0000C4B00000}"/>
    <cellStyle name="Calculation 8 2 4 5 6" xfId="45284" xr:uid="{00000000-0005-0000-0000-0000C5B00000}"/>
    <cellStyle name="Calculation 8 2 4 6" xfId="45285" xr:uid="{00000000-0005-0000-0000-0000C6B00000}"/>
    <cellStyle name="Calculation 8 2 4 6 2" xfId="45286" xr:uid="{00000000-0005-0000-0000-0000C7B00000}"/>
    <cellStyle name="Calculation 8 2 4 6 3" xfId="45287" xr:uid="{00000000-0005-0000-0000-0000C8B00000}"/>
    <cellStyle name="Calculation 8 2 4 6 4" xfId="45288" xr:uid="{00000000-0005-0000-0000-0000C9B00000}"/>
    <cellStyle name="Calculation 8 2 4 6 5" xfId="45289" xr:uid="{00000000-0005-0000-0000-0000CAB00000}"/>
    <cellStyle name="Calculation 8 2 4 6 6" xfId="45290" xr:uid="{00000000-0005-0000-0000-0000CBB00000}"/>
    <cellStyle name="Calculation 8 2 4 7" xfId="45291" xr:uid="{00000000-0005-0000-0000-0000CCB00000}"/>
    <cellStyle name="Calculation 8 2 4 7 2" xfId="45292" xr:uid="{00000000-0005-0000-0000-0000CDB00000}"/>
    <cellStyle name="Calculation 8 2 4 7 3" xfId="45293" xr:uid="{00000000-0005-0000-0000-0000CEB00000}"/>
    <cellStyle name="Calculation 8 2 4 7 4" xfId="45294" xr:uid="{00000000-0005-0000-0000-0000CFB00000}"/>
    <cellStyle name="Calculation 8 2 4 7 5" xfId="45295" xr:uid="{00000000-0005-0000-0000-0000D0B00000}"/>
    <cellStyle name="Calculation 8 2 4 7 6" xfId="45296" xr:uid="{00000000-0005-0000-0000-0000D1B00000}"/>
    <cellStyle name="Calculation 8 2 4 8" xfId="45297" xr:uid="{00000000-0005-0000-0000-0000D2B00000}"/>
    <cellStyle name="Calculation 8 2 4 9" xfId="45298" xr:uid="{00000000-0005-0000-0000-0000D3B00000}"/>
    <cellStyle name="Calculation 8 2 5" xfId="45299" xr:uid="{00000000-0005-0000-0000-0000D4B00000}"/>
    <cellStyle name="Calculation 8 2 5 10" xfId="45300" xr:uid="{00000000-0005-0000-0000-0000D5B00000}"/>
    <cellStyle name="Calculation 8 2 5 2" xfId="45301" xr:uid="{00000000-0005-0000-0000-0000D6B00000}"/>
    <cellStyle name="Calculation 8 2 5 2 2" xfId="45302" xr:uid="{00000000-0005-0000-0000-0000D7B00000}"/>
    <cellStyle name="Calculation 8 2 5 2 3" xfId="45303" xr:uid="{00000000-0005-0000-0000-0000D8B00000}"/>
    <cellStyle name="Calculation 8 2 5 2 4" xfId="45304" xr:uid="{00000000-0005-0000-0000-0000D9B00000}"/>
    <cellStyle name="Calculation 8 2 5 2 5" xfId="45305" xr:uid="{00000000-0005-0000-0000-0000DAB00000}"/>
    <cellStyle name="Calculation 8 2 5 2 6" xfId="45306" xr:uid="{00000000-0005-0000-0000-0000DBB00000}"/>
    <cellStyle name="Calculation 8 2 5 3" xfId="45307" xr:uid="{00000000-0005-0000-0000-0000DCB00000}"/>
    <cellStyle name="Calculation 8 2 5 3 2" xfId="45308" xr:uid="{00000000-0005-0000-0000-0000DDB00000}"/>
    <cellStyle name="Calculation 8 2 5 3 3" xfId="45309" xr:uid="{00000000-0005-0000-0000-0000DEB00000}"/>
    <cellStyle name="Calculation 8 2 5 3 4" xfId="45310" xr:uid="{00000000-0005-0000-0000-0000DFB00000}"/>
    <cellStyle name="Calculation 8 2 5 3 5" xfId="45311" xr:uid="{00000000-0005-0000-0000-0000E0B00000}"/>
    <cellStyle name="Calculation 8 2 5 3 6" xfId="45312" xr:uid="{00000000-0005-0000-0000-0000E1B00000}"/>
    <cellStyle name="Calculation 8 2 5 4" xfId="45313" xr:uid="{00000000-0005-0000-0000-0000E2B00000}"/>
    <cellStyle name="Calculation 8 2 5 4 2" xfId="45314" xr:uid="{00000000-0005-0000-0000-0000E3B00000}"/>
    <cellStyle name="Calculation 8 2 5 4 3" xfId="45315" xr:uid="{00000000-0005-0000-0000-0000E4B00000}"/>
    <cellStyle name="Calculation 8 2 5 4 4" xfId="45316" xr:uid="{00000000-0005-0000-0000-0000E5B00000}"/>
    <cellStyle name="Calculation 8 2 5 4 5" xfId="45317" xr:uid="{00000000-0005-0000-0000-0000E6B00000}"/>
    <cellStyle name="Calculation 8 2 5 4 6" xfId="45318" xr:uid="{00000000-0005-0000-0000-0000E7B00000}"/>
    <cellStyle name="Calculation 8 2 5 5" xfId="45319" xr:uid="{00000000-0005-0000-0000-0000E8B00000}"/>
    <cellStyle name="Calculation 8 2 5 5 2" xfId="45320" xr:uid="{00000000-0005-0000-0000-0000E9B00000}"/>
    <cellStyle name="Calculation 8 2 5 5 3" xfId="45321" xr:uid="{00000000-0005-0000-0000-0000EAB00000}"/>
    <cellStyle name="Calculation 8 2 5 5 4" xfId="45322" xr:uid="{00000000-0005-0000-0000-0000EBB00000}"/>
    <cellStyle name="Calculation 8 2 5 5 5" xfId="45323" xr:uid="{00000000-0005-0000-0000-0000ECB00000}"/>
    <cellStyle name="Calculation 8 2 5 5 6" xfId="45324" xr:uid="{00000000-0005-0000-0000-0000EDB00000}"/>
    <cellStyle name="Calculation 8 2 5 6" xfId="45325" xr:uid="{00000000-0005-0000-0000-0000EEB00000}"/>
    <cellStyle name="Calculation 8 2 5 6 2" xfId="45326" xr:uid="{00000000-0005-0000-0000-0000EFB00000}"/>
    <cellStyle name="Calculation 8 2 5 6 3" xfId="45327" xr:uid="{00000000-0005-0000-0000-0000F0B00000}"/>
    <cellStyle name="Calculation 8 2 5 6 4" xfId="45328" xr:uid="{00000000-0005-0000-0000-0000F1B00000}"/>
    <cellStyle name="Calculation 8 2 5 6 5" xfId="45329" xr:uid="{00000000-0005-0000-0000-0000F2B00000}"/>
    <cellStyle name="Calculation 8 2 5 6 6" xfId="45330" xr:uid="{00000000-0005-0000-0000-0000F3B00000}"/>
    <cellStyle name="Calculation 8 2 5 7" xfId="45331" xr:uid="{00000000-0005-0000-0000-0000F4B00000}"/>
    <cellStyle name="Calculation 8 2 5 7 2" xfId="45332" xr:uid="{00000000-0005-0000-0000-0000F5B00000}"/>
    <cellStyle name="Calculation 8 2 5 7 3" xfId="45333" xr:uid="{00000000-0005-0000-0000-0000F6B00000}"/>
    <cellStyle name="Calculation 8 2 5 7 4" xfId="45334" xr:uid="{00000000-0005-0000-0000-0000F7B00000}"/>
    <cellStyle name="Calculation 8 2 5 7 5" xfId="45335" xr:uid="{00000000-0005-0000-0000-0000F8B00000}"/>
    <cellStyle name="Calculation 8 2 5 7 6" xfId="45336" xr:uid="{00000000-0005-0000-0000-0000F9B00000}"/>
    <cellStyle name="Calculation 8 2 5 8" xfId="45337" xr:uid="{00000000-0005-0000-0000-0000FAB00000}"/>
    <cellStyle name="Calculation 8 2 5 9" xfId="45338" xr:uid="{00000000-0005-0000-0000-0000FBB00000}"/>
    <cellStyle name="Calculation 8 2 6" xfId="45339" xr:uid="{00000000-0005-0000-0000-0000FCB00000}"/>
    <cellStyle name="Calculation 8 2 6 10" xfId="45340" xr:uid="{00000000-0005-0000-0000-0000FDB00000}"/>
    <cellStyle name="Calculation 8 2 6 2" xfId="45341" xr:uid="{00000000-0005-0000-0000-0000FEB00000}"/>
    <cellStyle name="Calculation 8 2 6 2 2" xfId="45342" xr:uid="{00000000-0005-0000-0000-0000FFB00000}"/>
    <cellStyle name="Calculation 8 2 6 2 3" xfId="45343" xr:uid="{00000000-0005-0000-0000-000000B10000}"/>
    <cellStyle name="Calculation 8 2 6 2 4" xfId="45344" xr:uid="{00000000-0005-0000-0000-000001B10000}"/>
    <cellStyle name="Calculation 8 2 6 2 5" xfId="45345" xr:uid="{00000000-0005-0000-0000-000002B10000}"/>
    <cellStyle name="Calculation 8 2 6 2 6" xfId="45346" xr:uid="{00000000-0005-0000-0000-000003B10000}"/>
    <cellStyle name="Calculation 8 2 6 3" xfId="45347" xr:uid="{00000000-0005-0000-0000-000004B10000}"/>
    <cellStyle name="Calculation 8 2 6 3 2" xfId="45348" xr:uid="{00000000-0005-0000-0000-000005B10000}"/>
    <cellStyle name="Calculation 8 2 6 3 3" xfId="45349" xr:uid="{00000000-0005-0000-0000-000006B10000}"/>
    <cellStyle name="Calculation 8 2 6 3 4" xfId="45350" xr:uid="{00000000-0005-0000-0000-000007B10000}"/>
    <cellStyle name="Calculation 8 2 6 3 5" xfId="45351" xr:uid="{00000000-0005-0000-0000-000008B10000}"/>
    <cellStyle name="Calculation 8 2 6 3 6" xfId="45352" xr:uid="{00000000-0005-0000-0000-000009B10000}"/>
    <cellStyle name="Calculation 8 2 6 4" xfId="45353" xr:uid="{00000000-0005-0000-0000-00000AB10000}"/>
    <cellStyle name="Calculation 8 2 6 4 2" xfId="45354" xr:uid="{00000000-0005-0000-0000-00000BB10000}"/>
    <cellStyle name="Calculation 8 2 6 4 3" xfId="45355" xr:uid="{00000000-0005-0000-0000-00000CB10000}"/>
    <cellStyle name="Calculation 8 2 6 4 4" xfId="45356" xr:uid="{00000000-0005-0000-0000-00000DB10000}"/>
    <cellStyle name="Calculation 8 2 6 4 5" xfId="45357" xr:uid="{00000000-0005-0000-0000-00000EB10000}"/>
    <cellStyle name="Calculation 8 2 6 4 6" xfId="45358" xr:uid="{00000000-0005-0000-0000-00000FB10000}"/>
    <cellStyle name="Calculation 8 2 6 5" xfId="45359" xr:uid="{00000000-0005-0000-0000-000010B10000}"/>
    <cellStyle name="Calculation 8 2 6 5 2" xfId="45360" xr:uid="{00000000-0005-0000-0000-000011B10000}"/>
    <cellStyle name="Calculation 8 2 6 5 3" xfId="45361" xr:uid="{00000000-0005-0000-0000-000012B10000}"/>
    <cellStyle name="Calculation 8 2 6 5 4" xfId="45362" xr:uid="{00000000-0005-0000-0000-000013B10000}"/>
    <cellStyle name="Calculation 8 2 6 5 5" xfId="45363" xr:uid="{00000000-0005-0000-0000-000014B10000}"/>
    <cellStyle name="Calculation 8 2 6 5 6" xfId="45364" xr:uid="{00000000-0005-0000-0000-000015B10000}"/>
    <cellStyle name="Calculation 8 2 6 6" xfId="45365" xr:uid="{00000000-0005-0000-0000-000016B10000}"/>
    <cellStyle name="Calculation 8 2 6 6 2" xfId="45366" xr:uid="{00000000-0005-0000-0000-000017B10000}"/>
    <cellStyle name="Calculation 8 2 6 6 3" xfId="45367" xr:uid="{00000000-0005-0000-0000-000018B10000}"/>
    <cellStyle name="Calculation 8 2 6 6 4" xfId="45368" xr:uid="{00000000-0005-0000-0000-000019B10000}"/>
    <cellStyle name="Calculation 8 2 6 6 5" xfId="45369" xr:uid="{00000000-0005-0000-0000-00001AB10000}"/>
    <cellStyle name="Calculation 8 2 6 6 6" xfId="45370" xr:uid="{00000000-0005-0000-0000-00001BB10000}"/>
    <cellStyle name="Calculation 8 2 6 7" xfId="45371" xr:uid="{00000000-0005-0000-0000-00001CB10000}"/>
    <cellStyle name="Calculation 8 2 6 7 2" xfId="45372" xr:uid="{00000000-0005-0000-0000-00001DB10000}"/>
    <cellStyle name="Calculation 8 2 6 7 3" xfId="45373" xr:uid="{00000000-0005-0000-0000-00001EB10000}"/>
    <cellStyle name="Calculation 8 2 6 7 4" xfId="45374" xr:uid="{00000000-0005-0000-0000-00001FB10000}"/>
    <cellStyle name="Calculation 8 2 6 7 5" xfId="45375" xr:uid="{00000000-0005-0000-0000-000020B10000}"/>
    <cellStyle name="Calculation 8 2 6 7 6" xfId="45376" xr:uid="{00000000-0005-0000-0000-000021B10000}"/>
    <cellStyle name="Calculation 8 2 6 8" xfId="45377" xr:uid="{00000000-0005-0000-0000-000022B10000}"/>
    <cellStyle name="Calculation 8 2 6 9" xfId="45378" xr:uid="{00000000-0005-0000-0000-000023B10000}"/>
    <cellStyle name="Calculation 8 2 7" xfId="45379" xr:uid="{00000000-0005-0000-0000-000024B10000}"/>
    <cellStyle name="Calculation 8 2 7 10" xfId="45380" xr:uid="{00000000-0005-0000-0000-000025B10000}"/>
    <cellStyle name="Calculation 8 2 7 2" xfId="45381" xr:uid="{00000000-0005-0000-0000-000026B10000}"/>
    <cellStyle name="Calculation 8 2 7 2 2" xfId="45382" xr:uid="{00000000-0005-0000-0000-000027B10000}"/>
    <cellStyle name="Calculation 8 2 7 2 3" xfId="45383" xr:uid="{00000000-0005-0000-0000-000028B10000}"/>
    <cellStyle name="Calculation 8 2 7 2 4" xfId="45384" xr:uid="{00000000-0005-0000-0000-000029B10000}"/>
    <cellStyle name="Calculation 8 2 7 2 5" xfId="45385" xr:uid="{00000000-0005-0000-0000-00002AB10000}"/>
    <cellStyle name="Calculation 8 2 7 2 6" xfId="45386" xr:uid="{00000000-0005-0000-0000-00002BB10000}"/>
    <cellStyle name="Calculation 8 2 7 3" xfId="45387" xr:uid="{00000000-0005-0000-0000-00002CB10000}"/>
    <cellStyle name="Calculation 8 2 7 3 2" xfId="45388" xr:uid="{00000000-0005-0000-0000-00002DB10000}"/>
    <cellStyle name="Calculation 8 2 7 3 3" xfId="45389" xr:uid="{00000000-0005-0000-0000-00002EB10000}"/>
    <cellStyle name="Calculation 8 2 7 3 4" xfId="45390" xr:uid="{00000000-0005-0000-0000-00002FB10000}"/>
    <cellStyle name="Calculation 8 2 7 3 5" xfId="45391" xr:uid="{00000000-0005-0000-0000-000030B10000}"/>
    <cellStyle name="Calculation 8 2 7 3 6" xfId="45392" xr:uid="{00000000-0005-0000-0000-000031B10000}"/>
    <cellStyle name="Calculation 8 2 7 4" xfId="45393" xr:uid="{00000000-0005-0000-0000-000032B10000}"/>
    <cellStyle name="Calculation 8 2 7 4 2" xfId="45394" xr:uid="{00000000-0005-0000-0000-000033B10000}"/>
    <cellStyle name="Calculation 8 2 7 4 3" xfId="45395" xr:uid="{00000000-0005-0000-0000-000034B10000}"/>
    <cellStyle name="Calculation 8 2 7 4 4" xfId="45396" xr:uid="{00000000-0005-0000-0000-000035B10000}"/>
    <cellStyle name="Calculation 8 2 7 4 5" xfId="45397" xr:uid="{00000000-0005-0000-0000-000036B10000}"/>
    <cellStyle name="Calculation 8 2 7 4 6" xfId="45398" xr:uid="{00000000-0005-0000-0000-000037B10000}"/>
    <cellStyle name="Calculation 8 2 7 5" xfId="45399" xr:uid="{00000000-0005-0000-0000-000038B10000}"/>
    <cellStyle name="Calculation 8 2 7 5 2" xfId="45400" xr:uid="{00000000-0005-0000-0000-000039B10000}"/>
    <cellStyle name="Calculation 8 2 7 5 3" xfId="45401" xr:uid="{00000000-0005-0000-0000-00003AB10000}"/>
    <cellStyle name="Calculation 8 2 7 5 4" xfId="45402" xr:uid="{00000000-0005-0000-0000-00003BB10000}"/>
    <cellStyle name="Calculation 8 2 7 5 5" xfId="45403" xr:uid="{00000000-0005-0000-0000-00003CB10000}"/>
    <cellStyle name="Calculation 8 2 7 5 6" xfId="45404" xr:uid="{00000000-0005-0000-0000-00003DB10000}"/>
    <cellStyle name="Calculation 8 2 7 6" xfId="45405" xr:uid="{00000000-0005-0000-0000-00003EB10000}"/>
    <cellStyle name="Calculation 8 2 7 6 2" xfId="45406" xr:uid="{00000000-0005-0000-0000-00003FB10000}"/>
    <cellStyle name="Calculation 8 2 7 6 3" xfId="45407" xr:uid="{00000000-0005-0000-0000-000040B10000}"/>
    <cellStyle name="Calculation 8 2 7 6 4" xfId="45408" xr:uid="{00000000-0005-0000-0000-000041B10000}"/>
    <cellStyle name="Calculation 8 2 7 6 5" xfId="45409" xr:uid="{00000000-0005-0000-0000-000042B10000}"/>
    <cellStyle name="Calculation 8 2 7 6 6" xfId="45410" xr:uid="{00000000-0005-0000-0000-000043B10000}"/>
    <cellStyle name="Calculation 8 2 7 7" xfId="45411" xr:uid="{00000000-0005-0000-0000-000044B10000}"/>
    <cellStyle name="Calculation 8 2 7 7 2" xfId="45412" xr:uid="{00000000-0005-0000-0000-000045B10000}"/>
    <cellStyle name="Calculation 8 2 7 7 3" xfId="45413" xr:uid="{00000000-0005-0000-0000-000046B10000}"/>
    <cellStyle name="Calculation 8 2 7 7 4" xfId="45414" xr:uid="{00000000-0005-0000-0000-000047B10000}"/>
    <cellStyle name="Calculation 8 2 7 7 5" xfId="45415" xr:uid="{00000000-0005-0000-0000-000048B10000}"/>
    <cellStyle name="Calculation 8 2 7 7 6" xfId="45416" xr:uid="{00000000-0005-0000-0000-000049B10000}"/>
    <cellStyle name="Calculation 8 2 7 8" xfId="45417" xr:uid="{00000000-0005-0000-0000-00004AB10000}"/>
    <cellStyle name="Calculation 8 2 7 9" xfId="45418" xr:uid="{00000000-0005-0000-0000-00004BB10000}"/>
    <cellStyle name="Calculation 8 2 8" xfId="45419" xr:uid="{00000000-0005-0000-0000-00004CB10000}"/>
    <cellStyle name="Calculation 8 2 8 10" xfId="45420" xr:uid="{00000000-0005-0000-0000-00004DB10000}"/>
    <cellStyle name="Calculation 8 2 8 2" xfId="45421" xr:uid="{00000000-0005-0000-0000-00004EB10000}"/>
    <cellStyle name="Calculation 8 2 8 2 2" xfId="45422" xr:uid="{00000000-0005-0000-0000-00004FB10000}"/>
    <cellStyle name="Calculation 8 2 8 2 3" xfId="45423" xr:uid="{00000000-0005-0000-0000-000050B10000}"/>
    <cellStyle name="Calculation 8 2 8 2 4" xfId="45424" xr:uid="{00000000-0005-0000-0000-000051B10000}"/>
    <cellStyle name="Calculation 8 2 8 2 5" xfId="45425" xr:uid="{00000000-0005-0000-0000-000052B10000}"/>
    <cellStyle name="Calculation 8 2 8 2 6" xfId="45426" xr:uid="{00000000-0005-0000-0000-000053B10000}"/>
    <cellStyle name="Calculation 8 2 8 3" xfId="45427" xr:uid="{00000000-0005-0000-0000-000054B10000}"/>
    <cellStyle name="Calculation 8 2 8 3 2" xfId="45428" xr:uid="{00000000-0005-0000-0000-000055B10000}"/>
    <cellStyle name="Calculation 8 2 8 3 3" xfId="45429" xr:uid="{00000000-0005-0000-0000-000056B10000}"/>
    <cellStyle name="Calculation 8 2 8 3 4" xfId="45430" xr:uid="{00000000-0005-0000-0000-000057B10000}"/>
    <cellStyle name="Calculation 8 2 8 3 5" xfId="45431" xr:uid="{00000000-0005-0000-0000-000058B10000}"/>
    <cellStyle name="Calculation 8 2 8 3 6" xfId="45432" xr:uid="{00000000-0005-0000-0000-000059B10000}"/>
    <cellStyle name="Calculation 8 2 8 4" xfId="45433" xr:uid="{00000000-0005-0000-0000-00005AB10000}"/>
    <cellStyle name="Calculation 8 2 8 4 2" xfId="45434" xr:uid="{00000000-0005-0000-0000-00005BB10000}"/>
    <cellStyle name="Calculation 8 2 8 4 3" xfId="45435" xr:uid="{00000000-0005-0000-0000-00005CB10000}"/>
    <cellStyle name="Calculation 8 2 8 4 4" xfId="45436" xr:uid="{00000000-0005-0000-0000-00005DB10000}"/>
    <cellStyle name="Calculation 8 2 8 4 5" xfId="45437" xr:uid="{00000000-0005-0000-0000-00005EB10000}"/>
    <cellStyle name="Calculation 8 2 8 4 6" xfId="45438" xr:uid="{00000000-0005-0000-0000-00005FB10000}"/>
    <cellStyle name="Calculation 8 2 8 5" xfId="45439" xr:uid="{00000000-0005-0000-0000-000060B10000}"/>
    <cellStyle name="Calculation 8 2 8 5 2" xfId="45440" xr:uid="{00000000-0005-0000-0000-000061B10000}"/>
    <cellStyle name="Calculation 8 2 8 5 3" xfId="45441" xr:uid="{00000000-0005-0000-0000-000062B10000}"/>
    <cellStyle name="Calculation 8 2 8 5 4" xfId="45442" xr:uid="{00000000-0005-0000-0000-000063B10000}"/>
    <cellStyle name="Calculation 8 2 8 5 5" xfId="45443" xr:uid="{00000000-0005-0000-0000-000064B10000}"/>
    <cellStyle name="Calculation 8 2 8 5 6" xfId="45444" xr:uid="{00000000-0005-0000-0000-000065B10000}"/>
    <cellStyle name="Calculation 8 2 8 6" xfId="45445" xr:uid="{00000000-0005-0000-0000-000066B10000}"/>
    <cellStyle name="Calculation 8 2 8 6 2" xfId="45446" xr:uid="{00000000-0005-0000-0000-000067B10000}"/>
    <cellStyle name="Calculation 8 2 8 6 3" xfId="45447" xr:uid="{00000000-0005-0000-0000-000068B10000}"/>
    <cellStyle name="Calculation 8 2 8 6 4" xfId="45448" xr:uid="{00000000-0005-0000-0000-000069B10000}"/>
    <cellStyle name="Calculation 8 2 8 6 5" xfId="45449" xr:uid="{00000000-0005-0000-0000-00006AB10000}"/>
    <cellStyle name="Calculation 8 2 8 6 6" xfId="45450" xr:uid="{00000000-0005-0000-0000-00006BB10000}"/>
    <cellStyle name="Calculation 8 2 8 7" xfId="45451" xr:uid="{00000000-0005-0000-0000-00006CB10000}"/>
    <cellStyle name="Calculation 8 2 8 7 2" xfId="45452" xr:uid="{00000000-0005-0000-0000-00006DB10000}"/>
    <cellStyle name="Calculation 8 2 8 7 3" xfId="45453" xr:uid="{00000000-0005-0000-0000-00006EB10000}"/>
    <cellStyle name="Calculation 8 2 8 7 4" xfId="45454" xr:uid="{00000000-0005-0000-0000-00006FB10000}"/>
    <cellStyle name="Calculation 8 2 8 7 5" xfId="45455" xr:uid="{00000000-0005-0000-0000-000070B10000}"/>
    <cellStyle name="Calculation 8 2 8 7 6" xfId="45456" xr:uid="{00000000-0005-0000-0000-000071B10000}"/>
    <cellStyle name="Calculation 8 2 8 8" xfId="45457" xr:uid="{00000000-0005-0000-0000-000072B10000}"/>
    <cellStyle name="Calculation 8 2 8 9" xfId="45458" xr:uid="{00000000-0005-0000-0000-000073B10000}"/>
    <cellStyle name="Calculation 8 2 9" xfId="45459" xr:uid="{00000000-0005-0000-0000-000074B10000}"/>
    <cellStyle name="Calculation 8 2 9 10" xfId="45460" xr:uid="{00000000-0005-0000-0000-000075B10000}"/>
    <cellStyle name="Calculation 8 2 9 2" xfId="45461" xr:uid="{00000000-0005-0000-0000-000076B10000}"/>
    <cellStyle name="Calculation 8 2 9 2 2" xfId="45462" xr:uid="{00000000-0005-0000-0000-000077B10000}"/>
    <cellStyle name="Calculation 8 2 9 2 3" xfId="45463" xr:uid="{00000000-0005-0000-0000-000078B10000}"/>
    <cellStyle name="Calculation 8 2 9 2 4" xfId="45464" xr:uid="{00000000-0005-0000-0000-000079B10000}"/>
    <cellStyle name="Calculation 8 2 9 2 5" xfId="45465" xr:uid="{00000000-0005-0000-0000-00007AB10000}"/>
    <cellStyle name="Calculation 8 2 9 2 6" xfId="45466" xr:uid="{00000000-0005-0000-0000-00007BB10000}"/>
    <cellStyle name="Calculation 8 2 9 3" xfId="45467" xr:uid="{00000000-0005-0000-0000-00007CB10000}"/>
    <cellStyle name="Calculation 8 2 9 3 2" xfId="45468" xr:uid="{00000000-0005-0000-0000-00007DB10000}"/>
    <cellStyle name="Calculation 8 2 9 3 3" xfId="45469" xr:uid="{00000000-0005-0000-0000-00007EB10000}"/>
    <cellStyle name="Calculation 8 2 9 3 4" xfId="45470" xr:uid="{00000000-0005-0000-0000-00007FB10000}"/>
    <cellStyle name="Calculation 8 2 9 3 5" xfId="45471" xr:uid="{00000000-0005-0000-0000-000080B10000}"/>
    <cellStyle name="Calculation 8 2 9 3 6" xfId="45472" xr:uid="{00000000-0005-0000-0000-000081B10000}"/>
    <cellStyle name="Calculation 8 2 9 4" xfId="45473" xr:uid="{00000000-0005-0000-0000-000082B10000}"/>
    <cellStyle name="Calculation 8 2 9 4 2" xfId="45474" xr:uid="{00000000-0005-0000-0000-000083B10000}"/>
    <cellStyle name="Calculation 8 2 9 4 3" xfId="45475" xr:uid="{00000000-0005-0000-0000-000084B10000}"/>
    <cellStyle name="Calculation 8 2 9 4 4" xfId="45476" xr:uid="{00000000-0005-0000-0000-000085B10000}"/>
    <cellStyle name="Calculation 8 2 9 4 5" xfId="45477" xr:uid="{00000000-0005-0000-0000-000086B10000}"/>
    <cellStyle name="Calculation 8 2 9 4 6" xfId="45478" xr:uid="{00000000-0005-0000-0000-000087B10000}"/>
    <cellStyle name="Calculation 8 2 9 5" xfId="45479" xr:uid="{00000000-0005-0000-0000-000088B10000}"/>
    <cellStyle name="Calculation 8 2 9 5 2" xfId="45480" xr:uid="{00000000-0005-0000-0000-000089B10000}"/>
    <cellStyle name="Calculation 8 2 9 5 3" xfId="45481" xr:uid="{00000000-0005-0000-0000-00008AB10000}"/>
    <cellStyle name="Calculation 8 2 9 5 4" xfId="45482" xr:uid="{00000000-0005-0000-0000-00008BB10000}"/>
    <cellStyle name="Calculation 8 2 9 5 5" xfId="45483" xr:uid="{00000000-0005-0000-0000-00008CB10000}"/>
    <cellStyle name="Calculation 8 2 9 5 6" xfId="45484" xr:uid="{00000000-0005-0000-0000-00008DB10000}"/>
    <cellStyle name="Calculation 8 2 9 6" xfId="45485" xr:uid="{00000000-0005-0000-0000-00008EB10000}"/>
    <cellStyle name="Calculation 8 2 9 6 2" xfId="45486" xr:uid="{00000000-0005-0000-0000-00008FB10000}"/>
    <cellStyle name="Calculation 8 2 9 6 3" xfId="45487" xr:uid="{00000000-0005-0000-0000-000090B10000}"/>
    <cellStyle name="Calculation 8 2 9 6 4" xfId="45488" xr:uid="{00000000-0005-0000-0000-000091B10000}"/>
    <cellStyle name="Calculation 8 2 9 6 5" xfId="45489" xr:uid="{00000000-0005-0000-0000-000092B10000}"/>
    <cellStyle name="Calculation 8 2 9 6 6" xfId="45490" xr:uid="{00000000-0005-0000-0000-000093B10000}"/>
    <cellStyle name="Calculation 8 2 9 7" xfId="45491" xr:uid="{00000000-0005-0000-0000-000094B10000}"/>
    <cellStyle name="Calculation 8 2 9 7 2" xfId="45492" xr:uid="{00000000-0005-0000-0000-000095B10000}"/>
    <cellStyle name="Calculation 8 2 9 7 3" xfId="45493" xr:uid="{00000000-0005-0000-0000-000096B10000}"/>
    <cellStyle name="Calculation 8 2 9 7 4" xfId="45494" xr:uid="{00000000-0005-0000-0000-000097B10000}"/>
    <cellStyle name="Calculation 8 2 9 7 5" xfId="45495" xr:uid="{00000000-0005-0000-0000-000098B10000}"/>
    <cellStyle name="Calculation 8 2 9 7 6" xfId="45496" xr:uid="{00000000-0005-0000-0000-000099B10000}"/>
    <cellStyle name="Calculation 8 2 9 8" xfId="45497" xr:uid="{00000000-0005-0000-0000-00009AB10000}"/>
    <cellStyle name="Calculation 8 2 9 9" xfId="45498" xr:uid="{00000000-0005-0000-0000-00009BB10000}"/>
    <cellStyle name="Calculation 8 20" xfId="45499" xr:uid="{00000000-0005-0000-0000-00009CB10000}"/>
    <cellStyle name="Calculation 8 20 10" xfId="45500" xr:uid="{00000000-0005-0000-0000-00009DB10000}"/>
    <cellStyle name="Calculation 8 20 2" xfId="45501" xr:uid="{00000000-0005-0000-0000-00009EB10000}"/>
    <cellStyle name="Calculation 8 20 2 2" xfId="45502" xr:uid="{00000000-0005-0000-0000-00009FB10000}"/>
    <cellStyle name="Calculation 8 20 2 3" xfId="45503" xr:uid="{00000000-0005-0000-0000-0000A0B10000}"/>
    <cellStyle name="Calculation 8 20 2 4" xfId="45504" xr:uid="{00000000-0005-0000-0000-0000A1B10000}"/>
    <cellStyle name="Calculation 8 20 2 5" xfId="45505" xr:uid="{00000000-0005-0000-0000-0000A2B10000}"/>
    <cellStyle name="Calculation 8 20 2 6" xfId="45506" xr:uid="{00000000-0005-0000-0000-0000A3B10000}"/>
    <cellStyle name="Calculation 8 20 3" xfId="45507" xr:uid="{00000000-0005-0000-0000-0000A4B10000}"/>
    <cellStyle name="Calculation 8 20 3 2" xfId="45508" xr:uid="{00000000-0005-0000-0000-0000A5B10000}"/>
    <cellStyle name="Calculation 8 20 3 3" xfId="45509" xr:uid="{00000000-0005-0000-0000-0000A6B10000}"/>
    <cellStyle name="Calculation 8 20 3 4" xfId="45510" xr:uid="{00000000-0005-0000-0000-0000A7B10000}"/>
    <cellStyle name="Calculation 8 20 3 5" xfId="45511" xr:uid="{00000000-0005-0000-0000-0000A8B10000}"/>
    <cellStyle name="Calculation 8 20 3 6" xfId="45512" xr:uid="{00000000-0005-0000-0000-0000A9B10000}"/>
    <cellStyle name="Calculation 8 20 4" xfId="45513" xr:uid="{00000000-0005-0000-0000-0000AAB10000}"/>
    <cellStyle name="Calculation 8 20 4 2" xfId="45514" xr:uid="{00000000-0005-0000-0000-0000ABB10000}"/>
    <cellStyle name="Calculation 8 20 4 3" xfId="45515" xr:uid="{00000000-0005-0000-0000-0000ACB10000}"/>
    <cellStyle name="Calculation 8 20 4 4" xfId="45516" xr:uid="{00000000-0005-0000-0000-0000ADB10000}"/>
    <cellStyle name="Calculation 8 20 4 5" xfId="45517" xr:uid="{00000000-0005-0000-0000-0000AEB10000}"/>
    <cellStyle name="Calculation 8 20 4 6" xfId="45518" xr:uid="{00000000-0005-0000-0000-0000AFB10000}"/>
    <cellStyle name="Calculation 8 20 5" xfId="45519" xr:uid="{00000000-0005-0000-0000-0000B0B10000}"/>
    <cellStyle name="Calculation 8 20 5 2" xfId="45520" xr:uid="{00000000-0005-0000-0000-0000B1B10000}"/>
    <cellStyle name="Calculation 8 20 5 3" xfId="45521" xr:uid="{00000000-0005-0000-0000-0000B2B10000}"/>
    <cellStyle name="Calculation 8 20 5 4" xfId="45522" xr:uid="{00000000-0005-0000-0000-0000B3B10000}"/>
    <cellStyle name="Calculation 8 20 5 5" xfId="45523" xr:uid="{00000000-0005-0000-0000-0000B4B10000}"/>
    <cellStyle name="Calculation 8 20 5 6" xfId="45524" xr:uid="{00000000-0005-0000-0000-0000B5B10000}"/>
    <cellStyle name="Calculation 8 20 6" xfId="45525" xr:uid="{00000000-0005-0000-0000-0000B6B10000}"/>
    <cellStyle name="Calculation 8 20 6 2" xfId="45526" xr:uid="{00000000-0005-0000-0000-0000B7B10000}"/>
    <cellStyle name="Calculation 8 20 6 3" xfId="45527" xr:uid="{00000000-0005-0000-0000-0000B8B10000}"/>
    <cellStyle name="Calculation 8 20 6 4" xfId="45528" xr:uid="{00000000-0005-0000-0000-0000B9B10000}"/>
    <cellStyle name="Calculation 8 20 6 5" xfId="45529" xr:uid="{00000000-0005-0000-0000-0000BAB10000}"/>
    <cellStyle name="Calculation 8 20 6 6" xfId="45530" xr:uid="{00000000-0005-0000-0000-0000BBB10000}"/>
    <cellStyle name="Calculation 8 20 7" xfId="45531" xr:uid="{00000000-0005-0000-0000-0000BCB10000}"/>
    <cellStyle name="Calculation 8 20 7 2" xfId="45532" xr:uid="{00000000-0005-0000-0000-0000BDB10000}"/>
    <cellStyle name="Calculation 8 20 7 3" xfId="45533" xr:uid="{00000000-0005-0000-0000-0000BEB10000}"/>
    <cellStyle name="Calculation 8 20 7 4" xfId="45534" xr:uid="{00000000-0005-0000-0000-0000BFB10000}"/>
    <cellStyle name="Calculation 8 20 7 5" xfId="45535" xr:uid="{00000000-0005-0000-0000-0000C0B10000}"/>
    <cellStyle name="Calculation 8 20 7 6" xfId="45536" xr:uid="{00000000-0005-0000-0000-0000C1B10000}"/>
    <cellStyle name="Calculation 8 20 8" xfId="45537" xr:uid="{00000000-0005-0000-0000-0000C2B10000}"/>
    <cellStyle name="Calculation 8 20 9" xfId="45538" xr:uid="{00000000-0005-0000-0000-0000C3B10000}"/>
    <cellStyle name="Calculation 8 21" xfId="45539" xr:uid="{00000000-0005-0000-0000-0000C4B10000}"/>
    <cellStyle name="Calculation 8 21 10" xfId="45540" xr:uid="{00000000-0005-0000-0000-0000C5B10000}"/>
    <cellStyle name="Calculation 8 21 2" xfId="45541" xr:uid="{00000000-0005-0000-0000-0000C6B10000}"/>
    <cellStyle name="Calculation 8 21 2 2" xfId="45542" xr:uid="{00000000-0005-0000-0000-0000C7B10000}"/>
    <cellStyle name="Calculation 8 21 2 3" xfId="45543" xr:uid="{00000000-0005-0000-0000-0000C8B10000}"/>
    <cellStyle name="Calculation 8 21 2 4" xfId="45544" xr:uid="{00000000-0005-0000-0000-0000C9B10000}"/>
    <cellStyle name="Calculation 8 21 2 5" xfId="45545" xr:uid="{00000000-0005-0000-0000-0000CAB10000}"/>
    <cellStyle name="Calculation 8 21 2 6" xfId="45546" xr:uid="{00000000-0005-0000-0000-0000CBB10000}"/>
    <cellStyle name="Calculation 8 21 3" xfId="45547" xr:uid="{00000000-0005-0000-0000-0000CCB10000}"/>
    <cellStyle name="Calculation 8 21 3 2" xfId="45548" xr:uid="{00000000-0005-0000-0000-0000CDB10000}"/>
    <cellStyle name="Calculation 8 21 3 3" xfId="45549" xr:uid="{00000000-0005-0000-0000-0000CEB10000}"/>
    <cellStyle name="Calculation 8 21 3 4" xfId="45550" xr:uid="{00000000-0005-0000-0000-0000CFB10000}"/>
    <cellStyle name="Calculation 8 21 3 5" xfId="45551" xr:uid="{00000000-0005-0000-0000-0000D0B10000}"/>
    <cellStyle name="Calculation 8 21 3 6" xfId="45552" xr:uid="{00000000-0005-0000-0000-0000D1B10000}"/>
    <cellStyle name="Calculation 8 21 4" xfId="45553" xr:uid="{00000000-0005-0000-0000-0000D2B10000}"/>
    <cellStyle name="Calculation 8 21 4 2" xfId="45554" xr:uid="{00000000-0005-0000-0000-0000D3B10000}"/>
    <cellStyle name="Calculation 8 21 4 3" xfId="45555" xr:uid="{00000000-0005-0000-0000-0000D4B10000}"/>
    <cellStyle name="Calculation 8 21 4 4" xfId="45556" xr:uid="{00000000-0005-0000-0000-0000D5B10000}"/>
    <cellStyle name="Calculation 8 21 4 5" xfId="45557" xr:uid="{00000000-0005-0000-0000-0000D6B10000}"/>
    <cellStyle name="Calculation 8 21 4 6" xfId="45558" xr:uid="{00000000-0005-0000-0000-0000D7B10000}"/>
    <cellStyle name="Calculation 8 21 5" xfId="45559" xr:uid="{00000000-0005-0000-0000-0000D8B10000}"/>
    <cellStyle name="Calculation 8 21 5 2" xfId="45560" xr:uid="{00000000-0005-0000-0000-0000D9B10000}"/>
    <cellStyle name="Calculation 8 21 5 3" xfId="45561" xr:uid="{00000000-0005-0000-0000-0000DAB10000}"/>
    <cellStyle name="Calculation 8 21 5 4" xfId="45562" xr:uid="{00000000-0005-0000-0000-0000DBB10000}"/>
    <cellStyle name="Calculation 8 21 5 5" xfId="45563" xr:uid="{00000000-0005-0000-0000-0000DCB10000}"/>
    <cellStyle name="Calculation 8 21 5 6" xfId="45564" xr:uid="{00000000-0005-0000-0000-0000DDB10000}"/>
    <cellStyle name="Calculation 8 21 6" xfId="45565" xr:uid="{00000000-0005-0000-0000-0000DEB10000}"/>
    <cellStyle name="Calculation 8 21 6 2" xfId="45566" xr:uid="{00000000-0005-0000-0000-0000DFB10000}"/>
    <cellStyle name="Calculation 8 21 6 3" xfId="45567" xr:uid="{00000000-0005-0000-0000-0000E0B10000}"/>
    <cellStyle name="Calculation 8 21 6 4" xfId="45568" xr:uid="{00000000-0005-0000-0000-0000E1B10000}"/>
    <cellStyle name="Calculation 8 21 6 5" xfId="45569" xr:uid="{00000000-0005-0000-0000-0000E2B10000}"/>
    <cellStyle name="Calculation 8 21 6 6" xfId="45570" xr:uid="{00000000-0005-0000-0000-0000E3B10000}"/>
    <cellStyle name="Calculation 8 21 7" xfId="45571" xr:uid="{00000000-0005-0000-0000-0000E4B10000}"/>
    <cellStyle name="Calculation 8 21 7 2" xfId="45572" xr:uid="{00000000-0005-0000-0000-0000E5B10000}"/>
    <cellStyle name="Calculation 8 21 7 3" xfId="45573" xr:uid="{00000000-0005-0000-0000-0000E6B10000}"/>
    <cellStyle name="Calculation 8 21 7 4" xfId="45574" xr:uid="{00000000-0005-0000-0000-0000E7B10000}"/>
    <cellStyle name="Calculation 8 21 7 5" xfId="45575" xr:uid="{00000000-0005-0000-0000-0000E8B10000}"/>
    <cellStyle name="Calculation 8 21 7 6" xfId="45576" xr:uid="{00000000-0005-0000-0000-0000E9B10000}"/>
    <cellStyle name="Calculation 8 21 8" xfId="45577" xr:uid="{00000000-0005-0000-0000-0000EAB10000}"/>
    <cellStyle name="Calculation 8 21 9" xfId="45578" xr:uid="{00000000-0005-0000-0000-0000EBB10000}"/>
    <cellStyle name="Calculation 8 22" xfId="45579" xr:uid="{00000000-0005-0000-0000-0000ECB10000}"/>
    <cellStyle name="Calculation 8 22 10" xfId="45580" xr:uid="{00000000-0005-0000-0000-0000EDB10000}"/>
    <cellStyle name="Calculation 8 22 2" xfId="45581" xr:uid="{00000000-0005-0000-0000-0000EEB10000}"/>
    <cellStyle name="Calculation 8 22 2 2" xfId="45582" xr:uid="{00000000-0005-0000-0000-0000EFB10000}"/>
    <cellStyle name="Calculation 8 22 2 3" xfId="45583" xr:uid="{00000000-0005-0000-0000-0000F0B10000}"/>
    <cellStyle name="Calculation 8 22 2 4" xfId="45584" xr:uid="{00000000-0005-0000-0000-0000F1B10000}"/>
    <cellStyle name="Calculation 8 22 2 5" xfId="45585" xr:uid="{00000000-0005-0000-0000-0000F2B10000}"/>
    <cellStyle name="Calculation 8 22 2 6" xfId="45586" xr:uid="{00000000-0005-0000-0000-0000F3B10000}"/>
    <cellStyle name="Calculation 8 22 3" xfId="45587" xr:uid="{00000000-0005-0000-0000-0000F4B10000}"/>
    <cellStyle name="Calculation 8 22 3 2" xfId="45588" xr:uid="{00000000-0005-0000-0000-0000F5B10000}"/>
    <cellStyle name="Calculation 8 22 3 3" xfId="45589" xr:uid="{00000000-0005-0000-0000-0000F6B10000}"/>
    <cellStyle name="Calculation 8 22 3 4" xfId="45590" xr:uid="{00000000-0005-0000-0000-0000F7B10000}"/>
    <cellStyle name="Calculation 8 22 3 5" xfId="45591" xr:uid="{00000000-0005-0000-0000-0000F8B10000}"/>
    <cellStyle name="Calculation 8 22 3 6" xfId="45592" xr:uid="{00000000-0005-0000-0000-0000F9B10000}"/>
    <cellStyle name="Calculation 8 22 4" xfId="45593" xr:uid="{00000000-0005-0000-0000-0000FAB10000}"/>
    <cellStyle name="Calculation 8 22 4 2" xfId="45594" xr:uid="{00000000-0005-0000-0000-0000FBB10000}"/>
    <cellStyle name="Calculation 8 22 4 3" xfId="45595" xr:uid="{00000000-0005-0000-0000-0000FCB10000}"/>
    <cellStyle name="Calculation 8 22 4 4" xfId="45596" xr:uid="{00000000-0005-0000-0000-0000FDB10000}"/>
    <cellStyle name="Calculation 8 22 4 5" xfId="45597" xr:uid="{00000000-0005-0000-0000-0000FEB10000}"/>
    <cellStyle name="Calculation 8 22 4 6" xfId="45598" xr:uid="{00000000-0005-0000-0000-0000FFB10000}"/>
    <cellStyle name="Calculation 8 22 5" xfId="45599" xr:uid="{00000000-0005-0000-0000-000000B20000}"/>
    <cellStyle name="Calculation 8 22 5 2" xfId="45600" xr:uid="{00000000-0005-0000-0000-000001B20000}"/>
    <cellStyle name="Calculation 8 22 5 3" xfId="45601" xr:uid="{00000000-0005-0000-0000-000002B20000}"/>
    <cellStyle name="Calculation 8 22 5 4" xfId="45602" xr:uid="{00000000-0005-0000-0000-000003B20000}"/>
    <cellStyle name="Calculation 8 22 5 5" xfId="45603" xr:uid="{00000000-0005-0000-0000-000004B20000}"/>
    <cellStyle name="Calculation 8 22 5 6" xfId="45604" xr:uid="{00000000-0005-0000-0000-000005B20000}"/>
    <cellStyle name="Calculation 8 22 6" xfId="45605" xr:uid="{00000000-0005-0000-0000-000006B20000}"/>
    <cellStyle name="Calculation 8 22 6 2" xfId="45606" xr:uid="{00000000-0005-0000-0000-000007B20000}"/>
    <cellStyle name="Calculation 8 22 6 3" xfId="45607" xr:uid="{00000000-0005-0000-0000-000008B20000}"/>
    <cellStyle name="Calculation 8 22 6 4" xfId="45608" xr:uid="{00000000-0005-0000-0000-000009B20000}"/>
    <cellStyle name="Calculation 8 22 6 5" xfId="45609" xr:uid="{00000000-0005-0000-0000-00000AB20000}"/>
    <cellStyle name="Calculation 8 22 6 6" xfId="45610" xr:uid="{00000000-0005-0000-0000-00000BB20000}"/>
    <cellStyle name="Calculation 8 22 7" xfId="45611" xr:uid="{00000000-0005-0000-0000-00000CB20000}"/>
    <cellStyle name="Calculation 8 22 7 2" xfId="45612" xr:uid="{00000000-0005-0000-0000-00000DB20000}"/>
    <cellStyle name="Calculation 8 22 7 3" xfId="45613" xr:uid="{00000000-0005-0000-0000-00000EB20000}"/>
    <cellStyle name="Calculation 8 22 7 4" xfId="45614" xr:uid="{00000000-0005-0000-0000-00000FB20000}"/>
    <cellStyle name="Calculation 8 22 7 5" xfId="45615" xr:uid="{00000000-0005-0000-0000-000010B20000}"/>
    <cellStyle name="Calculation 8 22 7 6" xfId="45616" xr:uid="{00000000-0005-0000-0000-000011B20000}"/>
    <cellStyle name="Calculation 8 22 8" xfId="45617" xr:uid="{00000000-0005-0000-0000-000012B20000}"/>
    <cellStyle name="Calculation 8 22 9" xfId="45618" xr:uid="{00000000-0005-0000-0000-000013B20000}"/>
    <cellStyle name="Calculation 8 23" xfId="45619" xr:uid="{00000000-0005-0000-0000-000014B20000}"/>
    <cellStyle name="Calculation 8 23 10" xfId="45620" xr:uid="{00000000-0005-0000-0000-000015B20000}"/>
    <cellStyle name="Calculation 8 23 2" xfId="45621" xr:uid="{00000000-0005-0000-0000-000016B20000}"/>
    <cellStyle name="Calculation 8 23 2 2" xfId="45622" xr:uid="{00000000-0005-0000-0000-000017B20000}"/>
    <cellStyle name="Calculation 8 23 2 3" xfId="45623" xr:uid="{00000000-0005-0000-0000-000018B20000}"/>
    <cellStyle name="Calculation 8 23 2 4" xfId="45624" xr:uid="{00000000-0005-0000-0000-000019B20000}"/>
    <cellStyle name="Calculation 8 23 2 5" xfId="45625" xr:uid="{00000000-0005-0000-0000-00001AB20000}"/>
    <cellStyle name="Calculation 8 23 2 6" xfId="45626" xr:uid="{00000000-0005-0000-0000-00001BB20000}"/>
    <cellStyle name="Calculation 8 23 3" xfId="45627" xr:uid="{00000000-0005-0000-0000-00001CB20000}"/>
    <cellStyle name="Calculation 8 23 3 2" xfId="45628" xr:uid="{00000000-0005-0000-0000-00001DB20000}"/>
    <cellStyle name="Calculation 8 23 3 3" xfId="45629" xr:uid="{00000000-0005-0000-0000-00001EB20000}"/>
    <cellStyle name="Calculation 8 23 3 4" xfId="45630" xr:uid="{00000000-0005-0000-0000-00001FB20000}"/>
    <cellStyle name="Calculation 8 23 3 5" xfId="45631" xr:uid="{00000000-0005-0000-0000-000020B20000}"/>
    <cellStyle name="Calculation 8 23 3 6" xfId="45632" xr:uid="{00000000-0005-0000-0000-000021B20000}"/>
    <cellStyle name="Calculation 8 23 4" xfId="45633" xr:uid="{00000000-0005-0000-0000-000022B20000}"/>
    <cellStyle name="Calculation 8 23 4 2" xfId="45634" xr:uid="{00000000-0005-0000-0000-000023B20000}"/>
    <cellStyle name="Calculation 8 23 4 3" xfId="45635" xr:uid="{00000000-0005-0000-0000-000024B20000}"/>
    <cellStyle name="Calculation 8 23 4 4" xfId="45636" xr:uid="{00000000-0005-0000-0000-000025B20000}"/>
    <cellStyle name="Calculation 8 23 4 5" xfId="45637" xr:uid="{00000000-0005-0000-0000-000026B20000}"/>
    <cellStyle name="Calculation 8 23 4 6" xfId="45638" xr:uid="{00000000-0005-0000-0000-000027B20000}"/>
    <cellStyle name="Calculation 8 23 5" xfId="45639" xr:uid="{00000000-0005-0000-0000-000028B20000}"/>
    <cellStyle name="Calculation 8 23 5 2" xfId="45640" xr:uid="{00000000-0005-0000-0000-000029B20000}"/>
    <cellStyle name="Calculation 8 23 5 3" xfId="45641" xr:uid="{00000000-0005-0000-0000-00002AB20000}"/>
    <cellStyle name="Calculation 8 23 5 4" xfId="45642" xr:uid="{00000000-0005-0000-0000-00002BB20000}"/>
    <cellStyle name="Calculation 8 23 5 5" xfId="45643" xr:uid="{00000000-0005-0000-0000-00002CB20000}"/>
    <cellStyle name="Calculation 8 23 5 6" xfId="45644" xr:uid="{00000000-0005-0000-0000-00002DB20000}"/>
    <cellStyle name="Calculation 8 23 6" xfId="45645" xr:uid="{00000000-0005-0000-0000-00002EB20000}"/>
    <cellStyle name="Calculation 8 23 6 2" xfId="45646" xr:uid="{00000000-0005-0000-0000-00002FB20000}"/>
    <cellStyle name="Calculation 8 23 6 3" xfId="45647" xr:uid="{00000000-0005-0000-0000-000030B20000}"/>
    <cellStyle name="Calculation 8 23 6 4" xfId="45648" xr:uid="{00000000-0005-0000-0000-000031B20000}"/>
    <cellStyle name="Calculation 8 23 6 5" xfId="45649" xr:uid="{00000000-0005-0000-0000-000032B20000}"/>
    <cellStyle name="Calculation 8 23 6 6" xfId="45650" xr:uid="{00000000-0005-0000-0000-000033B20000}"/>
    <cellStyle name="Calculation 8 23 7" xfId="45651" xr:uid="{00000000-0005-0000-0000-000034B20000}"/>
    <cellStyle name="Calculation 8 23 7 2" xfId="45652" xr:uid="{00000000-0005-0000-0000-000035B20000}"/>
    <cellStyle name="Calculation 8 23 7 3" xfId="45653" xr:uid="{00000000-0005-0000-0000-000036B20000}"/>
    <cellStyle name="Calculation 8 23 7 4" xfId="45654" xr:uid="{00000000-0005-0000-0000-000037B20000}"/>
    <cellStyle name="Calculation 8 23 7 5" xfId="45655" xr:uid="{00000000-0005-0000-0000-000038B20000}"/>
    <cellStyle name="Calculation 8 23 7 6" xfId="45656" xr:uid="{00000000-0005-0000-0000-000039B20000}"/>
    <cellStyle name="Calculation 8 23 8" xfId="45657" xr:uid="{00000000-0005-0000-0000-00003AB20000}"/>
    <cellStyle name="Calculation 8 23 9" xfId="45658" xr:uid="{00000000-0005-0000-0000-00003BB20000}"/>
    <cellStyle name="Calculation 8 24" xfId="45659" xr:uid="{00000000-0005-0000-0000-00003CB20000}"/>
    <cellStyle name="Calculation 8 24 10" xfId="45660" xr:uid="{00000000-0005-0000-0000-00003DB20000}"/>
    <cellStyle name="Calculation 8 24 2" xfId="45661" xr:uid="{00000000-0005-0000-0000-00003EB20000}"/>
    <cellStyle name="Calculation 8 24 2 2" xfId="45662" xr:uid="{00000000-0005-0000-0000-00003FB20000}"/>
    <cellStyle name="Calculation 8 24 2 3" xfId="45663" xr:uid="{00000000-0005-0000-0000-000040B20000}"/>
    <cellStyle name="Calculation 8 24 2 4" xfId="45664" xr:uid="{00000000-0005-0000-0000-000041B20000}"/>
    <cellStyle name="Calculation 8 24 2 5" xfId="45665" xr:uid="{00000000-0005-0000-0000-000042B20000}"/>
    <cellStyle name="Calculation 8 24 2 6" xfId="45666" xr:uid="{00000000-0005-0000-0000-000043B20000}"/>
    <cellStyle name="Calculation 8 24 3" xfId="45667" xr:uid="{00000000-0005-0000-0000-000044B20000}"/>
    <cellStyle name="Calculation 8 24 3 2" xfId="45668" xr:uid="{00000000-0005-0000-0000-000045B20000}"/>
    <cellStyle name="Calculation 8 24 3 3" xfId="45669" xr:uid="{00000000-0005-0000-0000-000046B20000}"/>
    <cellStyle name="Calculation 8 24 3 4" xfId="45670" xr:uid="{00000000-0005-0000-0000-000047B20000}"/>
    <cellStyle name="Calculation 8 24 3 5" xfId="45671" xr:uid="{00000000-0005-0000-0000-000048B20000}"/>
    <cellStyle name="Calculation 8 24 3 6" xfId="45672" xr:uid="{00000000-0005-0000-0000-000049B20000}"/>
    <cellStyle name="Calculation 8 24 4" xfId="45673" xr:uid="{00000000-0005-0000-0000-00004AB20000}"/>
    <cellStyle name="Calculation 8 24 4 2" xfId="45674" xr:uid="{00000000-0005-0000-0000-00004BB20000}"/>
    <cellStyle name="Calculation 8 24 4 3" xfId="45675" xr:uid="{00000000-0005-0000-0000-00004CB20000}"/>
    <cellStyle name="Calculation 8 24 4 4" xfId="45676" xr:uid="{00000000-0005-0000-0000-00004DB20000}"/>
    <cellStyle name="Calculation 8 24 4 5" xfId="45677" xr:uid="{00000000-0005-0000-0000-00004EB20000}"/>
    <cellStyle name="Calculation 8 24 4 6" xfId="45678" xr:uid="{00000000-0005-0000-0000-00004FB20000}"/>
    <cellStyle name="Calculation 8 24 5" xfId="45679" xr:uid="{00000000-0005-0000-0000-000050B20000}"/>
    <cellStyle name="Calculation 8 24 5 2" xfId="45680" xr:uid="{00000000-0005-0000-0000-000051B20000}"/>
    <cellStyle name="Calculation 8 24 5 3" xfId="45681" xr:uid="{00000000-0005-0000-0000-000052B20000}"/>
    <cellStyle name="Calculation 8 24 5 4" xfId="45682" xr:uid="{00000000-0005-0000-0000-000053B20000}"/>
    <cellStyle name="Calculation 8 24 5 5" xfId="45683" xr:uid="{00000000-0005-0000-0000-000054B20000}"/>
    <cellStyle name="Calculation 8 24 5 6" xfId="45684" xr:uid="{00000000-0005-0000-0000-000055B20000}"/>
    <cellStyle name="Calculation 8 24 6" xfId="45685" xr:uid="{00000000-0005-0000-0000-000056B20000}"/>
    <cellStyle name="Calculation 8 24 6 2" xfId="45686" xr:uid="{00000000-0005-0000-0000-000057B20000}"/>
    <cellStyle name="Calculation 8 24 6 3" xfId="45687" xr:uid="{00000000-0005-0000-0000-000058B20000}"/>
    <cellStyle name="Calculation 8 24 6 4" xfId="45688" xr:uid="{00000000-0005-0000-0000-000059B20000}"/>
    <cellStyle name="Calculation 8 24 6 5" xfId="45689" xr:uid="{00000000-0005-0000-0000-00005AB20000}"/>
    <cellStyle name="Calculation 8 24 6 6" xfId="45690" xr:uid="{00000000-0005-0000-0000-00005BB20000}"/>
    <cellStyle name="Calculation 8 24 7" xfId="45691" xr:uid="{00000000-0005-0000-0000-00005CB20000}"/>
    <cellStyle name="Calculation 8 24 7 2" xfId="45692" xr:uid="{00000000-0005-0000-0000-00005DB20000}"/>
    <cellStyle name="Calculation 8 24 7 3" xfId="45693" xr:uid="{00000000-0005-0000-0000-00005EB20000}"/>
    <cellStyle name="Calculation 8 24 7 4" xfId="45694" xr:uid="{00000000-0005-0000-0000-00005FB20000}"/>
    <cellStyle name="Calculation 8 24 7 5" xfId="45695" xr:uid="{00000000-0005-0000-0000-000060B20000}"/>
    <cellStyle name="Calculation 8 24 7 6" xfId="45696" xr:uid="{00000000-0005-0000-0000-000061B20000}"/>
    <cellStyle name="Calculation 8 24 8" xfId="45697" xr:uid="{00000000-0005-0000-0000-000062B20000}"/>
    <cellStyle name="Calculation 8 24 9" xfId="45698" xr:uid="{00000000-0005-0000-0000-000063B20000}"/>
    <cellStyle name="Calculation 8 25" xfId="45699" xr:uid="{00000000-0005-0000-0000-000064B20000}"/>
    <cellStyle name="Calculation 8 25 10" xfId="45700" xr:uid="{00000000-0005-0000-0000-000065B20000}"/>
    <cellStyle name="Calculation 8 25 2" xfId="45701" xr:uid="{00000000-0005-0000-0000-000066B20000}"/>
    <cellStyle name="Calculation 8 25 2 2" xfId="45702" xr:uid="{00000000-0005-0000-0000-000067B20000}"/>
    <cellStyle name="Calculation 8 25 2 3" xfId="45703" xr:uid="{00000000-0005-0000-0000-000068B20000}"/>
    <cellStyle name="Calculation 8 25 2 4" xfId="45704" xr:uid="{00000000-0005-0000-0000-000069B20000}"/>
    <cellStyle name="Calculation 8 25 2 5" xfId="45705" xr:uid="{00000000-0005-0000-0000-00006AB20000}"/>
    <cellStyle name="Calculation 8 25 2 6" xfId="45706" xr:uid="{00000000-0005-0000-0000-00006BB20000}"/>
    <cellStyle name="Calculation 8 25 3" xfId="45707" xr:uid="{00000000-0005-0000-0000-00006CB20000}"/>
    <cellStyle name="Calculation 8 25 3 2" xfId="45708" xr:uid="{00000000-0005-0000-0000-00006DB20000}"/>
    <cellStyle name="Calculation 8 25 3 3" xfId="45709" xr:uid="{00000000-0005-0000-0000-00006EB20000}"/>
    <cellStyle name="Calculation 8 25 3 4" xfId="45710" xr:uid="{00000000-0005-0000-0000-00006FB20000}"/>
    <cellStyle name="Calculation 8 25 3 5" xfId="45711" xr:uid="{00000000-0005-0000-0000-000070B20000}"/>
    <cellStyle name="Calculation 8 25 3 6" xfId="45712" xr:uid="{00000000-0005-0000-0000-000071B20000}"/>
    <cellStyle name="Calculation 8 25 4" xfId="45713" xr:uid="{00000000-0005-0000-0000-000072B20000}"/>
    <cellStyle name="Calculation 8 25 4 2" xfId="45714" xr:uid="{00000000-0005-0000-0000-000073B20000}"/>
    <cellStyle name="Calculation 8 25 4 3" xfId="45715" xr:uid="{00000000-0005-0000-0000-000074B20000}"/>
    <cellStyle name="Calculation 8 25 4 4" xfId="45716" xr:uid="{00000000-0005-0000-0000-000075B20000}"/>
    <cellStyle name="Calculation 8 25 4 5" xfId="45717" xr:uid="{00000000-0005-0000-0000-000076B20000}"/>
    <cellStyle name="Calculation 8 25 4 6" xfId="45718" xr:uid="{00000000-0005-0000-0000-000077B20000}"/>
    <cellStyle name="Calculation 8 25 5" xfId="45719" xr:uid="{00000000-0005-0000-0000-000078B20000}"/>
    <cellStyle name="Calculation 8 25 5 2" xfId="45720" xr:uid="{00000000-0005-0000-0000-000079B20000}"/>
    <cellStyle name="Calculation 8 25 5 3" xfId="45721" xr:uid="{00000000-0005-0000-0000-00007AB20000}"/>
    <cellStyle name="Calculation 8 25 5 4" xfId="45722" xr:uid="{00000000-0005-0000-0000-00007BB20000}"/>
    <cellStyle name="Calculation 8 25 5 5" xfId="45723" xr:uid="{00000000-0005-0000-0000-00007CB20000}"/>
    <cellStyle name="Calculation 8 25 5 6" xfId="45724" xr:uid="{00000000-0005-0000-0000-00007DB20000}"/>
    <cellStyle name="Calculation 8 25 6" xfId="45725" xr:uid="{00000000-0005-0000-0000-00007EB20000}"/>
    <cellStyle name="Calculation 8 25 6 2" xfId="45726" xr:uid="{00000000-0005-0000-0000-00007FB20000}"/>
    <cellStyle name="Calculation 8 25 6 3" xfId="45727" xr:uid="{00000000-0005-0000-0000-000080B20000}"/>
    <cellStyle name="Calculation 8 25 6 4" xfId="45728" xr:uid="{00000000-0005-0000-0000-000081B20000}"/>
    <cellStyle name="Calculation 8 25 6 5" xfId="45729" xr:uid="{00000000-0005-0000-0000-000082B20000}"/>
    <cellStyle name="Calculation 8 25 6 6" xfId="45730" xr:uid="{00000000-0005-0000-0000-000083B20000}"/>
    <cellStyle name="Calculation 8 25 7" xfId="45731" xr:uid="{00000000-0005-0000-0000-000084B20000}"/>
    <cellStyle name="Calculation 8 25 7 2" xfId="45732" xr:uid="{00000000-0005-0000-0000-000085B20000}"/>
    <cellStyle name="Calculation 8 25 7 3" xfId="45733" xr:uid="{00000000-0005-0000-0000-000086B20000}"/>
    <cellStyle name="Calculation 8 25 7 4" xfId="45734" xr:uid="{00000000-0005-0000-0000-000087B20000}"/>
    <cellStyle name="Calculation 8 25 7 5" xfId="45735" xr:uid="{00000000-0005-0000-0000-000088B20000}"/>
    <cellStyle name="Calculation 8 25 7 6" xfId="45736" xr:uid="{00000000-0005-0000-0000-000089B20000}"/>
    <cellStyle name="Calculation 8 25 8" xfId="45737" xr:uid="{00000000-0005-0000-0000-00008AB20000}"/>
    <cellStyle name="Calculation 8 25 9" xfId="45738" xr:uid="{00000000-0005-0000-0000-00008BB20000}"/>
    <cellStyle name="Calculation 8 26" xfId="45739" xr:uid="{00000000-0005-0000-0000-00008CB20000}"/>
    <cellStyle name="Calculation 8 26 2" xfId="45740" xr:uid="{00000000-0005-0000-0000-00008DB20000}"/>
    <cellStyle name="Calculation 8 26 3" xfId="45741" xr:uid="{00000000-0005-0000-0000-00008EB20000}"/>
    <cellStyle name="Calculation 8 26 4" xfId="45742" xr:uid="{00000000-0005-0000-0000-00008FB20000}"/>
    <cellStyle name="Calculation 8 26 5" xfId="45743" xr:uid="{00000000-0005-0000-0000-000090B20000}"/>
    <cellStyle name="Calculation 8 26 6" xfId="45744" xr:uid="{00000000-0005-0000-0000-000091B20000}"/>
    <cellStyle name="Calculation 8 27" xfId="45745" xr:uid="{00000000-0005-0000-0000-000092B20000}"/>
    <cellStyle name="Calculation 8 27 2" xfId="45746" xr:uid="{00000000-0005-0000-0000-000093B20000}"/>
    <cellStyle name="Calculation 8 27 3" xfId="45747" xr:uid="{00000000-0005-0000-0000-000094B20000}"/>
    <cellStyle name="Calculation 8 27 4" xfId="45748" xr:uid="{00000000-0005-0000-0000-000095B20000}"/>
    <cellStyle name="Calculation 8 27 5" xfId="45749" xr:uid="{00000000-0005-0000-0000-000096B20000}"/>
    <cellStyle name="Calculation 8 27 6" xfId="45750" xr:uid="{00000000-0005-0000-0000-000097B20000}"/>
    <cellStyle name="Calculation 8 28" xfId="45751" xr:uid="{00000000-0005-0000-0000-000098B20000}"/>
    <cellStyle name="Calculation 8 28 2" xfId="45752" xr:uid="{00000000-0005-0000-0000-000099B20000}"/>
    <cellStyle name="Calculation 8 28 3" xfId="45753" xr:uid="{00000000-0005-0000-0000-00009AB20000}"/>
    <cellStyle name="Calculation 8 28 4" xfId="45754" xr:uid="{00000000-0005-0000-0000-00009BB20000}"/>
    <cellStyle name="Calculation 8 28 5" xfId="45755" xr:uid="{00000000-0005-0000-0000-00009CB20000}"/>
    <cellStyle name="Calculation 8 28 6" xfId="45756" xr:uid="{00000000-0005-0000-0000-00009DB20000}"/>
    <cellStyle name="Calculation 8 29" xfId="45757" xr:uid="{00000000-0005-0000-0000-00009EB20000}"/>
    <cellStyle name="Calculation 8 29 2" xfId="45758" xr:uid="{00000000-0005-0000-0000-00009FB20000}"/>
    <cellStyle name="Calculation 8 29 3" xfId="45759" xr:uid="{00000000-0005-0000-0000-0000A0B20000}"/>
    <cellStyle name="Calculation 8 29 4" xfId="45760" xr:uid="{00000000-0005-0000-0000-0000A1B20000}"/>
    <cellStyle name="Calculation 8 29 5" xfId="45761" xr:uid="{00000000-0005-0000-0000-0000A2B20000}"/>
    <cellStyle name="Calculation 8 29 6" xfId="45762" xr:uid="{00000000-0005-0000-0000-0000A3B20000}"/>
    <cellStyle name="Calculation 8 3" xfId="45763" xr:uid="{00000000-0005-0000-0000-0000A4B20000}"/>
    <cellStyle name="Calculation 8 3 10" xfId="45764" xr:uid="{00000000-0005-0000-0000-0000A5B20000}"/>
    <cellStyle name="Calculation 8 3 10 10" xfId="45765" xr:uid="{00000000-0005-0000-0000-0000A6B20000}"/>
    <cellStyle name="Calculation 8 3 10 2" xfId="45766" xr:uid="{00000000-0005-0000-0000-0000A7B20000}"/>
    <cellStyle name="Calculation 8 3 10 2 2" xfId="45767" xr:uid="{00000000-0005-0000-0000-0000A8B20000}"/>
    <cellStyle name="Calculation 8 3 10 2 3" xfId="45768" xr:uid="{00000000-0005-0000-0000-0000A9B20000}"/>
    <cellStyle name="Calculation 8 3 10 2 4" xfId="45769" xr:uid="{00000000-0005-0000-0000-0000AAB20000}"/>
    <cellStyle name="Calculation 8 3 10 2 5" xfId="45770" xr:uid="{00000000-0005-0000-0000-0000ABB20000}"/>
    <cellStyle name="Calculation 8 3 10 2 6" xfId="45771" xr:uid="{00000000-0005-0000-0000-0000ACB20000}"/>
    <cellStyle name="Calculation 8 3 10 3" xfId="45772" xr:uid="{00000000-0005-0000-0000-0000ADB20000}"/>
    <cellStyle name="Calculation 8 3 10 3 2" xfId="45773" xr:uid="{00000000-0005-0000-0000-0000AEB20000}"/>
    <cellStyle name="Calculation 8 3 10 3 3" xfId="45774" xr:uid="{00000000-0005-0000-0000-0000AFB20000}"/>
    <cellStyle name="Calculation 8 3 10 3 4" xfId="45775" xr:uid="{00000000-0005-0000-0000-0000B0B20000}"/>
    <cellStyle name="Calculation 8 3 10 3 5" xfId="45776" xr:uid="{00000000-0005-0000-0000-0000B1B20000}"/>
    <cellStyle name="Calculation 8 3 10 3 6" xfId="45777" xr:uid="{00000000-0005-0000-0000-0000B2B20000}"/>
    <cellStyle name="Calculation 8 3 10 4" xfId="45778" xr:uid="{00000000-0005-0000-0000-0000B3B20000}"/>
    <cellStyle name="Calculation 8 3 10 4 2" xfId="45779" xr:uid="{00000000-0005-0000-0000-0000B4B20000}"/>
    <cellStyle name="Calculation 8 3 10 4 3" xfId="45780" xr:uid="{00000000-0005-0000-0000-0000B5B20000}"/>
    <cellStyle name="Calculation 8 3 10 4 4" xfId="45781" xr:uid="{00000000-0005-0000-0000-0000B6B20000}"/>
    <cellStyle name="Calculation 8 3 10 4 5" xfId="45782" xr:uid="{00000000-0005-0000-0000-0000B7B20000}"/>
    <cellStyle name="Calculation 8 3 10 4 6" xfId="45783" xr:uid="{00000000-0005-0000-0000-0000B8B20000}"/>
    <cellStyle name="Calculation 8 3 10 5" xfId="45784" xr:uid="{00000000-0005-0000-0000-0000B9B20000}"/>
    <cellStyle name="Calculation 8 3 10 5 2" xfId="45785" xr:uid="{00000000-0005-0000-0000-0000BAB20000}"/>
    <cellStyle name="Calculation 8 3 10 5 3" xfId="45786" xr:uid="{00000000-0005-0000-0000-0000BBB20000}"/>
    <cellStyle name="Calculation 8 3 10 5 4" xfId="45787" xr:uid="{00000000-0005-0000-0000-0000BCB20000}"/>
    <cellStyle name="Calculation 8 3 10 5 5" xfId="45788" xr:uid="{00000000-0005-0000-0000-0000BDB20000}"/>
    <cellStyle name="Calculation 8 3 10 5 6" xfId="45789" xr:uid="{00000000-0005-0000-0000-0000BEB20000}"/>
    <cellStyle name="Calculation 8 3 10 6" xfId="45790" xr:uid="{00000000-0005-0000-0000-0000BFB20000}"/>
    <cellStyle name="Calculation 8 3 10 6 2" xfId="45791" xr:uid="{00000000-0005-0000-0000-0000C0B20000}"/>
    <cellStyle name="Calculation 8 3 10 6 3" xfId="45792" xr:uid="{00000000-0005-0000-0000-0000C1B20000}"/>
    <cellStyle name="Calculation 8 3 10 6 4" xfId="45793" xr:uid="{00000000-0005-0000-0000-0000C2B20000}"/>
    <cellStyle name="Calculation 8 3 10 6 5" xfId="45794" xr:uid="{00000000-0005-0000-0000-0000C3B20000}"/>
    <cellStyle name="Calculation 8 3 10 6 6" xfId="45795" xr:uid="{00000000-0005-0000-0000-0000C4B20000}"/>
    <cellStyle name="Calculation 8 3 10 7" xfId="45796" xr:uid="{00000000-0005-0000-0000-0000C5B20000}"/>
    <cellStyle name="Calculation 8 3 10 7 2" xfId="45797" xr:uid="{00000000-0005-0000-0000-0000C6B20000}"/>
    <cellStyle name="Calculation 8 3 10 7 3" xfId="45798" xr:uid="{00000000-0005-0000-0000-0000C7B20000}"/>
    <cellStyle name="Calculation 8 3 10 7 4" xfId="45799" xr:uid="{00000000-0005-0000-0000-0000C8B20000}"/>
    <cellStyle name="Calculation 8 3 10 7 5" xfId="45800" xr:uid="{00000000-0005-0000-0000-0000C9B20000}"/>
    <cellStyle name="Calculation 8 3 10 7 6" xfId="45801" xr:uid="{00000000-0005-0000-0000-0000CAB20000}"/>
    <cellStyle name="Calculation 8 3 10 8" xfId="45802" xr:uid="{00000000-0005-0000-0000-0000CBB20000}"/>
    <cellStyle name="Calculation 8 3 10 9" xfId="45803" xr:uid="{00000000-0005-0000-0000-0000CCB20000}"/>
    <cellStyle name="Calculation 8 3 11" xfId="45804" xr:uid="{00000000-0005-0000-0000-0000CDB20000}"/>
    <cellStyle name="Calculation 8 3 11 10" xfId="45805" xr:uid="{00000000-0005-0000-0000-0000CEB20000}"/>
    <cellStyle name="Calculation 8 3 11 2" xfId="45806" xr:uid="{00000000-0005-0000-0000-0000CFB20000}"/>
    <cellStyle name="Calculation 8 3 11 2 2" xfId="45807" xr:uid="{00000000-0005-0000-0000-0000D0B20000}"/>
    <cellStyle name="Calculation 8 3 11 2 3" xfId="45808" xr:uid="{00000000-0005-0000-0000-0000D1B20000}"/>
    <cellStyle name="Calculation 8 3 11 2 4" xfId="45809" xr:uid="{00000000-0005-0000-0000-0000D2B20000}"/>
    <cellStyle name="Calculation 8 3 11 2 5" xfId="45810" xr:uid="{00000000-0005-0000-0000-0000D3B20000}"/>
    <cellStyle name="Calculation 8 3 11 2 6" xfId="45811" xr:uid="{00000000-0005-0000-0000-0000D4B20000}"/>
    <cellStyle name="Calculation 8 3 11 3" xfId="45812" xr:uid="{00000000-0005-0000-0000-0000D5B20000}"/>
    <cellStyle name="Calculation 8 3 11 3 2" xfId="45813" xr:uid="{00000000-0005-0000-0000-0000D6B20000}"/>
    <cellStyle name="Calculation 8 3 11 3 3" xfId="45814" xr:uid="{00000000-0005-0000-0000-0000D7B20000}"/>
    <cellStyle name="Calculation 8 3 11 3 4" xfId="45815" xr:uid="{00000000-0005-0000-0000-0000D8B20000}"/>
    <cellStyle name="Calculation 8 3 11 3 5" xfId="45816" xr:uid="{00000000-0005-0000-0000-0000D9B20000}"/>
    <cellStyle name="Calculation 8 3 11 3 6" xfId="45817" xr:uid="{00000000-0005-0000-0000-0000DAB20000}"/>
    <cellStyle name="Calculation 8 3 11 4" xfId="45818" xr:uid="{00000000-0005-0000-0000-0000DBB20000}"/>
    <cellStyle name="Calculation 8 3 11 4 2" xfId="45819" xr:uid="{00000000-0005-0000-0000-0000DCB20000}"/>
    <cellStyle name="Calculation 8 3 11 4 3" xfId="45820" xr:uid="{00000000-0005-0000-0000-0000DDB20000}"/>
    <cellStyle name="Calculation 8 3 11 4 4" xfId="45821" xr:uid="{00000000-0005-0000-0000-0000DEB20000}"/>
    <cellStyle name="Calculation 8 3 11 4 5" xfId="45822" xr:uid="{00000000-0005-0000-0000-0000DFB20000}"/>
    <cellStyle name="Calculation 8 3 11 4 6" xfId="45823" xr:uid="{00000000-0005-0000-0000-0000E0B20000}"/>
    <cellStyle name="Calculation 8 3 11 5" xfId="45824" xr:uid="{00000000-0005-0000-0000-0000E1B20000}"/>
    <cellStyle name="Calculation 8 3 11 5 2" xfId="45825" xr:uid="{00000000-0005-0000-0000-0000E2B20000}"/>
    <cellStyle name="Calculation 8 3 11 5 3" xfId="45826" xr:uid="{00000000-0005-0000-0000-0000E3B20000}"/>
    <cellStyle name="Calculation 8 3 11 5 4" xfId="45827" xr:uid="{00000000-0005-0000-0000-0000E4B20000}"/>
    <cellStyle name="Calculation 8 3 11 5 5" xfId="45828" xr:uid="{00000000-0005-0000-0000-0000E5B20000}"/>
    <cellStyle name="Calculation 8 3 11 5 6" xfId="45829" xr:uid="{00000000-0005-0000-0000-0000E6B20000}"/>
    <cellStyle name="Calculation 8 3 11 6" xfId="45830" xr:uid="{00000000-0005-0000-0000-0000E7B20000}"/>
    <cellStyle name="Calculation 8 3 11 6 2" xfId="45831" xr:uid="{00000000-0005-0000-0000-0000E8B20000}"/>
    <cellStyle name="Calculation 8 3 11 6 3" xfId="45832" xr:uid="{00000000-0005-0000-0000-0000E9B20000}"/>
    <cellStyle name="Calculation 8 3 11 6 4" xfId="45833" xr:uid="{00000000-0005-0000-0000-0000EAB20000}"/>
    <cellStyle name="Calculation 8 3 11 6 5" xfId="45834" xr:uid="{00000000-0005-0000-0000-0000EBB20000}"/>
    <cellStyle name="Calculation 8 3 11 6 6" xfId="45835" xr:uid="{00000000-0005-0000-0000-0000ECB20000}"/>
    <cellStyle name="Calculation 8 3 11 7" xfId="45836" xr:uid="{00000000-0005-0000-0000-0000EDB20000}"/>
    <cellStyle name="Calculation 8 3 11 7 2" xfId="45837" xr:uid="{00000000-0005-0000-0000-0000EEB20000}"/>
    <cellStyle name="Calculation 8 3 11 7 3" xfId="45838" xr:uid="{00000000-0005-0000-0000-0000EFB20000}"/>
    <cellStyle name="Calculation 8 3 11 7 4" xfId="45839" xr:uid="{00000000-0005-0000-0000-0000F0B20000}"/>
    <cellStyle name="Calculation 8 3 11 7 5" xfId="45840" xr:uid="{00000000-0005-0000-0000-0000F1B20000}"/>
    <cellStyle name="Calculation 8 3 11 7 6" xfId="45841" xr:uid="{00000000-0005-0000-0000-0000F2B20000}"/>
    <cellStyle name="Calculation 8 3 11 8" xfId="45842" xr:uid="{00000000-0005-0000-0000-0000F3B20000}"/>
    <cellStyle name="Calculation 8 3 11 9" xfId="45843" xr:uid="{00000000-0005-0000-0000-0000F4B20000}"/>
    <cellStyle name="Calculation 8 3 12" xfId="45844" xr:uid="{00000000-0005-0000-0000-0000F5B20000}"/>
    <cellStyle name="Calculation 8 3 12 10" xfId="45845" xr:uid="{00000000-0005-0000-0000-0000F6B20000}"/>
    <cellStyle name="Calculation 8 3 12 2" xfId="45846" xr:uid="{00000000-0005-0000-0000-0000F7B20000}"/>
    <cellStyle name="Calculation 8 3 12 2 2" xfId="45847" xr:uid="{00000000-0005-0000-0000-0000F8B20000}"/>
    <cellStyle name="Calculation 8 3 12 2 3" xfId="45848" xr:uid="{00000000-0005-0000-0000-0000F9B20000}"/>
    <cellStyle name="Calculation 8 3 12 2 4" xfId="45849" xr:uid="{00000000-0005-0000-0000-0000FAB20000}"/>
    <cellStyle name="Calculation 8 3 12 2 5" xfId="45850" xr:uid="{00000000-0005-0000-0000-0000FBB20000}"/>
    <cellStyle name="Calculation 8 3 12 2 6" xfId="45851" xr:uid="{00000000-0005-0000-0000-0000FCB20000}"/>
    <cellStyle name="Calculation 8 3 12 3" xfId="45852" xr:uid="{00000000-0005-0000-0000-0000FDB20000}"/>
    <cellStyle name="Calculation 8 3 12 3 2" xfId="45853" xr:uid="{00000000-0005-0000-0000-0000FEB20000}"/>
    <cellStyle name="Calculation 8 3 12 3 3" xfId="45854" xr:uid="{00000000-0005-0000-0000-0000FFB20000}"/>
    <cellStyle name="Calculation 8 3 12 3 4" xfId="45855" xr:uid="{00000000-0005-0000-0000-000000B30000}"/>
    <cellStyle name="Calculation 8 3 12 3 5" xfId="45856" xr:uid="{00000000-0005-0000-0000-000001B30000}"/>
    <cellStyle name="Calculation 8 3 12 3 6" xfId="45857" xr:uid="{00000000-0005-0000-0000-000002B30000}"/>
    <cellStyle name="Calculation 8 3 12 4" xfId="45858" xr:uid="{00000000-0005-0000-0000-000003B30000}"/>
    <cellStyle name="Calculation 8 3 12 4 2" xfId="45859" xr:uid="{00000000-0005-0000-0000-000004B30000}"/>
    <cellStyle name="Calculation 8 3 12 4 3" xfId="45860" xr:uid="{00000000-0005-0000-0000-000005B30000}"/>
    <cellStyle name="Calculation 8 3 12 4 4" xfId="45861" xr:uid="{00000000-0005-0000-0000-000006B30000}"/>
    <cellStyle name="Calculation 8 3 12 4 5" xfId="45862" xr:uid="{00000000-0005-0000-0000-000007B30000}"/>
    <cellStyle name="Calculation 8 3 12 4 6" xfId="45863" xr:uid="{00000000-0005-0000-0000-000008B30000}"/>
    <cellStyle name="Calculation 8 3 12 5" xfId="45864" xr:uid="{00000000-0005-0000-0000-000009B30000}"/>
    <cellStyle name="Calculation 8 3 12 5 2" xfId="45865" xr:uid="{00000000-0005-0000-0000-00000AB30000}"/>
    <cellStyle name="Calculation 8 3 12 5 3" xfId="45866" xr:uid="{00000000-0005-0000-0000-00000BB30000}"/>
    <cellStyle name="Calculation 8 3 12 5 4" xfId="45867" xr:uid="{00000000-0005-0000-0000-00000CB30000}"/>
    <cellStyle name="Calculation 8 3 12 5 5" xfId="45868" xr:uid="{00000000-0005-0000-0000-00000DB30000}"/>
    <cellStyle name="Calculation 8 3 12 5 6" xfId="45869" xr:uid="{00000000-0005-0000-0000-00000EB30000}"/>
    <cellStyle name="Calculation 8 3 12 6" xfId="45870" xr:uid="{00000000-0005-0000-0000-00000FB30000}"/>
    <cellStyle name="Calculation 8 3 12 6 2" xfId="45871" xr:uid="{00000000-0005-0000-0000-000010B30000}"/>
    <cellStyle name="Calculation 8 3 12 6 3" xfId="45872" xr:uid="{00000000-0005-0000-0000-000011B30000}"/>
    <cellStyle name="Calculation 8 3 12 6 4" xfId="45873" xr:uid="{00000000-0005-0000-0000-000012B30000}"/>
    <cellStyle name="Calculation 8 3 12 6 5" xfId="45874" xr:uid="{00000000-0005-0000-0000-000013B30000}"/>
    <cellStyle name="Calculation 8 3 12 6 6" xfId="45875" xr:uid="{00000000-0005-0000-0000-000014B30000}"/>
    <cellStyle name="Calculation 8 3 12 7" xfId="45876" xr:uid="{00000000-0005-0000-0000-000015B30000}"/>
    <cellStyle name="Calculation 8 3 12 7 2" xfId="45877" xr:uid="{00000000-0005-0000-0000-000016B30000}"/>
    <cellStyle name="Calculation 8 3 12 7 3" xfId="45878" xr:uid="{00000000-0005-0000-0000-000017B30000}"/>
    <cellStyle name="Calculation 8 3 12 7 4" xfId="45879" xr:uid="{00000000-0005-0000-0000-000018B30000}"/>
    <cellStyle name="Calculation 8 3 12 7 5" xfId="45880" xr:uid="{00000000-0005-0000-0000-000019B30000}"/>
    <cellStyle name="Calculation 8 3 12 7 6" xfId="45881" xr:uid="{00000000-0005-0000-0000-00001AB30000}"/>
    <cellStyle name="Calculation 8 3 12 8" xfId="45882" xr:uid="{00000000-0005-0000-0000-00001BB30000}"/>
    <cellStyle name="Calculation 8 3 12 9" xfId="45883" xr:uid="{00000000-0005-0000-0000-00001CB30000}"/>
    <cellStyle name="Calculation 8 3 13" xfId="45884" xr:uid="{00000000-0005-0000-0000-00001DB30000}"/>
    <cellStyle name="Calculation 8 3 13 10" xfId="45885" xr:uid="{00000000-0005-0000-0000-00001EB30000}"/>
    <cellStyle name="Calculation 8 3 13 2" xfId="45886" xr:uid="{00000000-0005-0000-0000-00001FB30000}"/>
    <cellStyle name="Calculation 8 3 13 2 2" xfId="45887" xr:uid="{00000000-0005-0000-0000-000020B30000}"/>
    <cellStyle name="Calculation 8 3 13 2 3" xfId="45888" xr:uid="{00000000-0005-0000-0000-000021B30000}"/>
    <cellStyle name="Calculation 8 3 13 2 4" xfId="45889" xr:uid="{00000000-0005-0000-0000-000022B30000}"/>
    <cellStyle name="Calculation 8 3 13 2 5" xfId="45890" xr:uid="{00000000-0005-0000-0000-000023B30000}"/>
    <cellStyle name="Calculation 8 3 13 2 6" xfId="45891" xr:uid="{00000000-0005-0000-0000-000024B30000}"/>
    <cellStyle name="Calculation 8 3 13 3" xfId="45892" xr:uid="{00000000-0005-0000-0000-000025B30000}"/>
    <cellStyle name="Calculation 8 3 13 3 2" xfId="45893" xr:uid="{00000000-0005-0000-0000-000026B30000}"/>
    <cellStyle name="Calculation 8 3 13 3 3" xfId="45894" xr:uid="{00000000-0005-0000-0000-000027B30000}"/>
    <cellStyle name="Calculation 8 3 13 3 4" xfId="45895" xr:uid="{00000000-0005-0000-0000-000028B30000}"/>
    <cellStyle name="Calculation 8 3 13 3 5" xfId="45896" xr:uid="{00000000-0005-0000-0000-000029B30000}"/>
    <cellStyle name="Calculation 8 3 13 3 6" xfId="45897" xr:uid="{00000000-0005-0000-0000-00002AB30000}"/>
    <cellStyle name="Calculation 8 3 13 4" xfId="45898" xr:uid="{00000000-0005-0000-0000-00002BB30000}"/>
    <cellStyle name="Calculation 8 3 13 4 2" xfId="45899" xr:uid="{00000000-0005-0000-0000-00002CB30000}"/>
    <cellStyle name="Calculation 8 3 13 4 3" xfId="45900" xr:uid="{00000000-0005-0000-0000-00002DB30000}"/>
    <cellStyle name="Calculation 8 3 13 4 4" xfId="45901" xr:uid="{00000000-0005-0000-0000-00002EB30000}"/>
    <cellStyle name="Calculation 8 3 13 4 5" xfId="45902" xr:uid="{00000000-0005-0000-0000-00002FB30000}"/>
    <cellStyle name="Calculation 8 3 13 4 6" xfId="45903" xr:uid="{00000000-0005-0000-0000-000030B30000}"/>
    <cellStyle name="Calculation 8 3 13 5" xfId="45904" xr:uid="{00000000-0005-0000-0000-000031B30000}"/>
    <cellStyle name="Calculation 8 3 13 5 2" xfId="45905" xr:uid="{00000000-0005-0000-0000-000032B30000}"/>
    <cellStyle name="Calculation 8 3 13 5 3" xfId="45906" xr:uid="{00000000-0005-0000-0000-000033B30000}"/>
    <cellStyle name="Calculation 8 3 13 5 4" xfId="45907" xr:uid="{00000000-0005-0000-0000-000034B30000}"/>
    <cellStyle name="Calculation 8 3 13 5 5" xfId="45908" xr:uid="{00000000-0005-0000-0000-000035B30000}"/>
    <cellStyle name="Calculation 8 3 13 5 6" xfId="45909" xr:uid="{00000000-0005-0000-0000-000036B30000}"/>
    <cellStyle name="Calculation 8 3 13 6" xfId="45910" xr:uid="{00000000-0005-0000-0000-000037B30000}"/>
    <cellStyle name="Calculation 8 3 13 6 2" xfId="45911" xr:uid="{00000000-0005-0000-0000-000038B30000}"/>
    <cellStyle name="Calculation 8 3 13 6 3" xfId="45912" xr:uid="{00000000-0005-0000-0000-000039B30000}"/>
    <cellStyle name="Calculation 8 3 13 6 4" xfId="45913" xr:uid="{00000000-0005-0000-0000-00003AB30000}"/>
    <cellStyle name="Calculation 8 3 13 6 5" xfId="45914" xr:uid="{00000000-0005-0000-0000-00003BB30000}"/>
    <cellStyle name="Calculation 8 3 13 6 6" xfId="45915" xr:uid="{00000000-0005-0000-0000-00003CB30000}"/>
    <cellStyle name="Calculation 8 3 13 7" xfId="45916" xr:uid="{00000000-0005-0000-0000-00003DB30000}"/>
    <cellStyle name="Calculation 8 3 13 7 2" xfId="45917" xr:uid="{00000000-0005-0000-0000-00003EB30000}"/>
    <cellStyle name="Calculation 8 3 13 7 3" xfId="45918" xr:uid="{00000000-0005-0000-0000-00003FB30000}"/>
    <cellStyle name="Calculation 8 3 13 7 4" xfId="45919" xr:uid="{00000000-0005-0000-0000-000040B30000}"/>
    <cellStyle name="Calculation 8 3 13 7 5" xfId="45920" xr:uid="{00000000-0005-0000-0000-000041B30000}"/>
    <cellStyle name="Calculation 8 3 13 7 6" xfId="45921" xr:uid="{00000000-0005-0000-0000-000042B30000}"/>
    <cellStyle name="Calculation 8 3 13 8" xfId="45922" xr:uid="{00000000-0005-0000-0000-000043B30000}"/>
    <cellStyle name="Calculation 8 3 13 9" xfId="45923" xr:uid="{00000000-0005-0000-0000-000044B30000}"/>
    <cellStyle name="Calculation 8 3 14" xfId="45924" xr:uid="{00000000-0005-0000-0000-000045B30000}"/>
    <cellStyle name="Calculation 8 3 14 10" xfId="45925" xr:uid="{00000000-0005-0000-0000-000046B30000}"/>
    <cellStyle name="Calculation 8 3 14 2" xfId="45926" xr:uid="{00000000-0005-0000-0000-000047B30000}"/>
    <cellStyle name="Calculation 8 3 14 2 2" xfId="45927" xr:uid="{00000000-0005-0000-0000-000048B30000}"/>
    <cellStyle name="Calculation 8 3 14 2 3" xfId="45928" xr:uid="{00000000-0005-0000-0000-000049B30000}"/>
    <cellStyle name="Calculation 8 3 14 2 4" xfId="45929" xr:uid="{00000000-0005-0000-0000-00004AB30000}"/>
    <cellStyle name="Calculation 8 3 14 2 5" xfId="45930" xr:uid="{00000000-0005-0000-0000-00004BB30000}"/>
    <cellStyle name="Calculation 8 3 14 2 6" xfId="45931" xr:uid="{00000000-0005-0000-0000-00004CB30000}"/>
    <cellStyle name="Calculation 8 3 14 3" xfId="45932" xr:uid="{00000000-0005-0000-0000-00004DB30000}"/>
    <cellStyle name="Calculation 8 3 14 3 2" xfId="45933" xr:uid="{00000000-0005-0000-0000-00004EB30000}"/>
    <cellStyle name="Calculation 8 3 14 3 3" xfId="45934" xr:uid="{00000000-0005-0000-0000-00004FB30000}"/>
    <cellStyle name="Calculation 8 3 14 3 4" xfId="45935" xr:uid="{00000000-0005-0000-0000-000050B30000}"/>
    <cellStyle name="Calculation 8 3 14 3 5" xfId="45936" xr:uid="{00000000-0005-0000-0000-000051B30000}"/>
    <cellStyle name="Calculation 8 3 14 3 6" xfId="45937" xr:uid="{00000000-0005-0000-0000-000052B30000}"/>
    <cellStyle name="Calculation 8 3 14 4" xfId="45938" xr:uid="{00000000-0005-0000-0000-000053B30000}"/>
    <cellStyle name="Calculation 8 3 14 4 2" xfId="45939" xr:uid="{00000000-0005-0000-0000-000054B30000}"/>
    <cellStyle name="Calculation 8 3 14 4 3" xfId="45940" xr:uid="{00000000-0005-0000-0000-000055B30000}"/>
    <cellStyle name="Calculation 8 3 14 4 4" xfId="45941" xr:uid="{00000000-0005-0000-0000-000056B30000}"/>
    <cellStyle name="Calculation 8 3 14 4 5" xfId="45942" xr:uid="{00000000-0005-0000-0000-000057B30000}"/>
    <cellStyle name="Calculation 8 3 14 4 6" xfId="45943" xr:uid="{00000000-0005-0000-0000-000058B30000}"/>
    <cellStyle name="Calculation 8 3 14 5" xfId="45944" xr:uid="{00000000-0005-0000-0000-000059B30000}"/>
    <cellStyle name="Calculation 8 3 14 5 2" xfId="45945" xr:uid="{00000000-0005-0000-0000-00005AB30000}"/>
    <cellStyle name="Calculation 8 3 14 5 3" xfId="45946" xr:uid="{00000000-0005-0000-0000-00005BB30000}"/>
    <cellStyle name="Calculation 8 3 14 5 4" xfId="45947" xr:uid="{00000000-0005-0000-0000-00005CB30000}"/>
    <cellStyle name="Calculation 8 3 14 5 5" xfId="45948" xr:uid="{00000000-0005-0000-0000-00005DB30000}"/>
    <cellStyle name="Calculation 8 3 14 5 6" xfId="45949" xr:uid="{00000000-0005-0000-0000-00005EB30000}"/>
    <cellStyle name="Calculation 8 3 14 6" xfId="45950" xr:uid="{00000000-0005-0000-0000-00005FB30000}"/>
    <cellStyle name="Calculation 8 3 14 6 2" xfId="45951" xr:uid="{00000000-0005-0000-0000-000060B30000}"/>
    <cellStyle name="Calculation 8 3 14 6 3" xfId="45952" xr:uid="{00000000-0005-0000-0000-000061B30000}"/>
    <cellStyle name="Calculation 8 3 14 6 4" xfId="45953" xr:uid="{00000000-0005-0000-0000-000062B30000}"/>
    <cellStyle name="Calculation 8 3 14 6 5" xfId="45954" xr:uid="{00000000-0005-0000-0000-000063B30000}"/>
    <cellStyle name="Calculation 8 3 14 6 6" xfId="45955" xr:uid="{00000000-0005-0000-0000-000064B30000}"/>
    <cellStyle name="Calculation 8 3 14 7" xfId="45956" xr:uid="{00000000-0005-0000-0000-000065B30000}"/>
    <cellStyle name="Calculation 8 3 14 7 2" xfId="45957" xr:uid="{00000000-0005-0000-0000-000066B30000}"/>
    <cellStyle name="Calculation 8 3 14 7 3" xfId="45958" xr:uid="{00000000-0005-0000-0000-000067B30000}"/>
    <cellStyle name="Calculation 8 3 14 7 4" xfId="45959" xr:uid="{00000000-0005-0000-0000-000068B30000}"/>
    <cellStyle name="Calculation 8 3 14 7 5" xfId="45960" xr:uid="{00000000-0005-0000-0000-000069B30000}"/>
    <cellStyle name="Calculation 8 3 14 7 6" xfId="45961" xr:uid="{00000000-0005-0000-0000-00006AB30000}"/>
    <cellStyle name="Calculation 8 3 14 8" xfId="45962" xr:uid="{00000000-0005-0000-0000-00006BB30000}"/>
    <cellStyle name="Calculation 8 3 14 9" xfId="45963" xr:uid="{00000000-0005-0000-0000-00006CB30000}"/>
    <cellStyle name="Calculation 8 3 15" xfId="45964" xr:uid="{00000000-0005-0000-0000-00006DB30000}"/>
    <cellStyle name="Calculation 8 3 15 10" xfId="45965" xr:uid="{00000000-0005-0000-0000-00006EB30000}"/>
    <cellStyle name="Calculation 8 3 15 2" xfId="45966" xr:uid="{00000000-0005-0000-0000-00006FB30000}"/>
    <cellStyle name="Calculation 8 3 15 2 2" xfId="45967" xr:uid="{00000000-0005-0000-0000-000070B30000}"/>
    <cellStyle name="Calculation 8 3 15 2 3" xfId="45968" xr:uid="{00000000-0005-0000-0000-000071B30000}"/>
    <cellStyle name="Calculation 8 3 15 2 4" xfId="45969" xr:uid="{00000000-0005-0000-0000-000072B30000}"/>
    <cellStyle name="Calculation 8 3 15 2 5" xfId="45970" xr:uid="{00000000-0005-0000-0000-000073B30000}"/>
    <cellStyle name="Calculation 8 3 15 2 6" xfId="45971" xr:uid="{00000000-0005-0000-0000-000074B30000}"/>
    <cellStyle name="Calculation 8 3 15 3" xfId="45972" xr:uid="{00000000-0005-0000-0000-000075B30000}"/>
    <cellStyle name="Calculation 8 3 15 3 2" xfId="45973" xr:uid="{00000000-0005-0000-0000-000076B30000}"/>
    <cellStyle name="Calculation 8 3 15 3 3" xfId="45974" xr:uid="{00000000-0005-0000-0000-000077B30000}"/>
    <cellStyle name="Calculation 8 3 15 3 4" xfId="45975" xr:uid="{00000000-0005-0000-0000-000078B30000}"/>
    <cellStyle name="Calculation 8 3 15 3 5" xfId="45976" xr:uid="{00000000-0005-0000-0000-000079B30000}"/>
    <cellStyle name="Calculation 8 3 15 3 6" xfId="45977" xr:uid="{00000000-0005-0000-0000-00007AB30000}"/>
    <cellStyle name="Calculation 8 3 15 4" xfId="45978" xr:uid="{00000000-0005-0000-0000-00007BB30000}"/>
    <cellStyle name="Calculation 8 3 15 4 2" xfId="45979" xr:uid="{00000000-0005-0000-0000-00007CB30000}"/>
    <cellStyle name="Calculation 8 3 15 4 3" xfId="45980" xr:uid="{00000000-0005-0000-0000-00007DB30000}"/>
    <cellStyle name="Calculation 8 3 15 4 4" xfId="45981" xr:uid="{00000000-0005-0000-0000-00007EB30000}"/>
    <cellStyle name="Calculation 8 3 15 4 5" xfId="45982" xr:uid="{00000000-0005-0000-0000-00007FB30000}"/>
    <cellStyle name="Calculation 8 3 15 4 6" xfId="45983" xr:uid="{00000000-0005-0000-0000-000080B30000}"/>
    <cellStyle name="Calculation 8 3 15 5" xfId="45984" xr:uid="{00000000-0005-0000-0000-000081B30000}"/>
    <cellStyle name="Calculation 8 3 15 5 2" xfId="45985" xr:uid="{00000000-0005-0000-0000-000082B30000}"/>
    <cellStyle name="Calculation 8 3 15 5 3" xfId="45986" xr:uid="{00000000-0005-0000-0000-000083B30000}"/>
    <cellStyle name="Calculation 8 3 15 5 4" xfId="45987" xr:uid="{00000000-0005-0000-0000-000084B30000}"/>
    <cellStyle name="Calculation 8 3 15 5 5" xfId="45988" xr:uid="{00000000-0005-0000-0000-000085B30000}"/>
    <cellStyle name="Calculation 8 3 15 5 6" xfId="45989" xr:uid="{00000000-0005-0000-0000-000086B30000}"/>
    <cellStyle name="Calculation 8 3 15 6" xfId="45990" xr:uid="{00000000-0005-0000-0000-000087B30000}"/>
    <cellStyle name="Calculation 8 3 15 6 2" xfId="45991" xr:uid="{00000000-0005-0000-0000-000088B30000}"/>
    <cellStyle name="Calculation 8 3 15 6 3" xfId="45992" xr:uid="{00000000-0005-0000-0000-000089B30000}"/>
    <cellStyle name="Calculation 8 3 15 6 4" xfId="45993" xr:uid="{00000000-0005-0000-0000-00008AB30000}"/>
    <cellStyle name="Calculation 8 3 15 6 5" xfId="45994" xr:uid="{00000000-0005-0000-0000-00008BB30000}"/>
    <cellStyle name="Calculation 8 3 15 6 6" xfId="45995" xr:uid="{00000000-0005-0000-0000-00008CB30000}"/>
    <cellStyle name="Calculation 8 3 15 7" xfId="45996" xr:uid="{00000000-0005-0000-0000-00008DB30000}"/>
    <cellStyle name="Calculation 8 3 15 7 2" xfId="45997" xr:uid="{00000000-0005-0000-0000-00008EB30000}"/>
    <cellStyle name="Calculation 8 3 15 7 3" xfId="45998" xr:uid="{00000000-0005-0000-0000-00008FB30000}"/>
    <cellStyle name="Calculation 8 3 15 7 4" xfId="45999" xr:uid="{00000000-0005-0000-0000-000090B30000}"/>
    <cellStyle name="Calculation 8 3 15 7 5" xfId="46000" xr:uid="{00000000-0005-0000-0000-000091B30000}"/>
    <cellStyle name="Calculation 8 3 15 7 6" xfId="46001" xr:uid="{00000000-0005-0000-0000-000092B30000}"/>
    <cellStyle name="Calculation 8 3 15 8" xfId="46002" xr:uid="{00000000-0005-0000-0000-000093B30000}"/>
    <cellStyle name="Calculation 8 3 15 9" xfId="46003" xr:uid="{00000000-0005-0000-0000-000094B30000}"/>
    <cellStyle name="Calculation 8 3 16" xfId="46004" xr:uid="{00000000-0005-0000-0000-000095B30000}"/>
    <cellStyle name="Calculation 8 3 16 10" xfId="46005" xr:uid="{00000000-0005-0000-0000-000096B30000}"/>
    <cellStyle name="Calculation 8 3 16 2" xfId="46006" xr:uid="{00000000-0005-0000-0000-000097B30000}"/>
    <cellStyle name="Calculation 8 3 16 2 2" xfId="46007" xr:uid="{00000000-0005-0000-0000-000098B30000}"/>
    <cellStyle name="Calculation 8 3 16 2 3" xfId="46008" xr:uid="{00000000-0005-0000-0000-000099B30000}"/>
    <cellStyle name="Calculation 8 3 16 2 4" xfId="46009" xr:uid="{00000000-0005-0000-0000-00009AB30000}"/>
    <cellStyle name="Calculation 8 3 16 2 5" xfId="46010" xr:uid="{00000000-0005-0000-0000-00009BB30000}"/>
    <cellStyle name="Calculation 8 3 16 2 6" xfId="46011" xr:uid="{00000000-0005-0000-0000-00009CB30000}"/>
    <cellStyle name="Calculation 8 3 16 3" xfId="46012" xr:uid="{00000000-0005-0000-0000-00009DB30000}"/>
    <cellStyle name="Calculation 8 3 16 3 2" xfId="46013" xr:uid="{00000000-0005-0000-0000-00009EB30000}"/>
    <cellStyle name="Calculation 8 3 16 3 3" xfId="46014" xr:uid="{00000000-0005-0000-0000-00009FB30000}"/>
    <cellStyle name="Calculation 8 3 16 3 4" xfId="46015" xr:uid="{00000000-0005-0000-0000-0000A0B30000}"/>
    <cellStyle name="Calculation 8 3 16 3 5" xfId="46016" xr:uid="{00000000-0005-0000-0000-0000A1B30000}"/>
    <cellStyle name="Calculation 8 3 16 3 6" xfId="46017" xr:uid="{00000000-0005-0000-0000-0000A2B30000}"/>
    <cellStyle name="Calculation 8 3 16 4" xfId="46018" xr:uid="{00000000-0005-0000-0000-0000A3B30000}"/>
    <cellStyle name="Calculation 8 3 16 4 2" xfId="46019" xr:uid="{00000000-0005-0000-0000-0000A4B30000}"/>
    <cellStyle name="Calculation 8 3 16 4 3" xfId="46020" xr:uid="{00000000-0005-0000-0000-0000A5B30000}"/>
    <cellStyle name="Calculation 8 3 16 4 4" xfId="46021" xr:uid="{00000000-0005-0000-0000-0000A6B30000}"/>
    <cellStyle name="Calculation 8 3 16 4 5" xfId="46022" xr:uid="{00000000-0005-0000-0000-0000A7B30000}"/>
    <cellStyle name="Calculation 8 3 16 4 6" xfId="46023" xr:uid="{00000000-0005-0000-0000-0000A8B30000}"/>
    <cellStyle name="Calculation 8 3 16 5" xfId="46024" xr:uid="{00000000-0005-0000-0000-0000A9B30000}"/>
    <cellStyle name="Calculation 8 3 16 5 2" xfId="46025" xr:uid="{00000000-0005-0000-0000-0000AAB30000}"/>
    <cellStyle name="Calculation 8 3 16 5 3" xfId="46026" xr:uid="{00000000-0005-0000-0000-0000ABB30000}"/>
    <cellStyle name="Calculation 8 3 16 5 4" xfId="46027" xr:uid="{00000000-0005-0000-0000-0000ACB30000}"/>
    <cellStyle name="Calculation 8 3 16 5 5" xfId="46028" xr:uid="{00000000-0005-0000-0000-0000ADB30000}"/>
    <cellStyle name="Calculation 8 3 16 5 6" xfId="46029" xr:uid="{00000000-0005-0000-0000-0000AEB30000}"/>
    <cellStyle name="Calculation 8 3 16 6" xfId="46030" xr:uid="{00000000-0005-0000-0000-0000AFB30000}"/>
    <cellStyle name="Calculation 8 3 16 6 2" xfId="46031" xr:uid="{00000000-0005-0000-0000-0000B0B30000}"/>
    <cellStyle name="Calculation 8 3 16 6 3" xfId="46032" xr:uid="{00000000-0005-0000-0000-0000B1B30000}"/>
    <cellStyle name="Calculation 8 3 16 6 4" xfId="46033" xr:uid="{00000000-0005-0000-0000-0000B2B30000}"/>
    <cellStyle name="Calculation 8 3 16 6 5" xfId="46034" xr:uid="{00000000-0005-0000-0000-0000B3B30000}"/>
    <cellStyle name="Calculation 8 3 16 6 6" xfId="46035" xr:uid="{00000000-0005-0000-0000-0000B4B30000}"/>
    <cellStyle name="Calculation 8 3 16 7" xfId="46036" xr:uid="{00000000-0005-0000-0000-0000B5B30000}"/>
    <cellStyle name="Calculation 8 3 16 7 2" xfId="46037" xr:uid="{00000000-0005-0000-0000-0000B6B30000}"/>
    <cellStyle name="Calculation 8 3 16 7 3" xfId="46038" xr:uid="{00000000-0005-0000-0000-0000B7B30000}"/>
    <cellStyle name="Calculation 8 3 16 7 4" xfId="46039" xr:uid="{00000000-0005-0000-0000-0000B8B30000}"/>
    <cellStyle name="Calculation 8 3 16 7 5" xfId="46040" xr:uid="{00000000-0005-0000-0000-0000B9B30000}"/>
    <cellStyle name="Calculation 8 3 16 7 6" xfId="46041" xr:uid="{00000000-0005-0000-0000-0000BAB30000}"/>
    <cellStyle name="Calculation 8 3 16 8" xfId="46042" xr:uid="{00000000-0005-0000-0000-0000BBB30000}"/>
    <cellStyle name="Calculation 8 3 16 9" xfId="46043" xr:uid="{00000000-0005-0000-0000-0000BCB30000}"/>
    <cellStyle name="Calculation 8 3 17" xfId="46044" xr:uid="{00000000-0005-0000-0000-0000BDB30000}"/>
    <cellStyle name="Calculation 8 3 17 10" xfId="46045" xr:uid="{00000000-0005-0000-0000-0000BEB30000}"/>
    <cellStyle name="Calculation 8 3 17 2" xfId="46046" xr:uid="{00000000-0005-0000-0000-0000BFB30000}"/>
    <cellStyle name="Calculation 8 3 17 2 2" xfId="46047" xr:uid="{00000000-0005-0000-0000-0000C0B30000}"/>
    <cellStyle name="Calculation 8 3 17 2 3" xfId="46048" xr:uid="{00000000-0005-0000-0000-0000C1B30000}"/>
    <cellStyle name="Calculation 8 3 17 2 4" xfId="46049" xr:uid="{00000000-0005-0000-0000-0000C2B30000}"/>
    <cellStyle name="Calculation 8 3 17 2 5" xfId="46050" xr:uid="{00000000-0005-0000-0000-0000C3B30000}"/>
    <cellStyle name="Calculation 8 3 17 2 6" xfId="46051" xr:uid="{00000000-0005-0000-0000-0000C4B30000}"/>
    <cellStyle name="Calculation 8 3 17 3" xfId="46052" xr:uid="{00000000-0005-0000-0000-0000C5B30000}"/>
    <cellStyle name="Calculation 8 3 17 3 2" xfId="46053" xr:uid="{00000000-0005-0000-0000-0000C6B30000}"/>
    <cellStyle name="Calculation 8 3 17 3 3" xfId="46054" xr:uid="{00000000-0005-0000-0000-0000C7B30000}"/>
    <cellStyle name="Calculation 8 3 17 3 4" xfId="46055" xr:uid="{00000000-0005-0000-0000-0000C8B30000}"/>
    <cellStyle name="Calculation 8 3 17 3 5" xfId="46056" xr:uid="{00000000-0005-0000-0000-0000C9B30000}"/>
    <cellStyle name="Calculation 8 3 17 3 6" xfId="46057" xr:uid="{00000000-0005-0000-0000-0000CAB30000}"/>
    <cellStyle name="Calculation 8 3 17 4" xfId="46058" xr:uid="{00000000-0005-0000-0000-0000CBB30000}"/>
    <cellStyle name="Calculation 8 3 17 4 2" xfId="46059" xr:uid="{00000000-0005-0000-0000-0000CCB30000}"/>
    <cellStyle name="Calculation 8 3 17 4 3" xfId="46060" xr:uid="{00000000-0005-0000-0000-0000CDB30000}"/>
    <cellStyle name="Calculation 8 3 17 4 4" xfId="46061" xr:uid="{00000000-0005-0000-0000-0000CEB30000}"/>
    <cellStyle name="Calculation 8 3 17 4 5" xfId="46062" xr:uid="{00000000-0005-0000-0000-0000CFB30000}"/>
    <cellStyle name="Calculation 8 3 17 4 6" xfId="46063" xr:uid="{00000000-0005-0000-0000-0000D0B30000}"/>
    <cellStyle name="Calculation 8 3 17 5" xfId="46064" xr:uid="{00000000-0005-0000-0000-0000D1B30000}"/>
    <cellStyle name="Calculation 8 3 17 5 2" xfId="46065" xr:uid="{00000000-0005-0000-0000-0000D2B30000}"/>
    <cellStyle name="Calculation 8 3 17 5 3" xfId="46066" xr:uid="{00000000-0005-0000-0000-0000D3B30000}"/>
    <cellStyle name="Calculation 8 3 17 5 4" xfId="46067" xr:uid="{00000000-0005-0000-0000-0000D4B30000}"/>
    <cellStyle name="Calculation 8 3 17 5 5" xfId="46068" xr:uid="{00000000-0005-0000-0000-0000D5B30000}"/>
    <cellStyle name="Calculation 8 3 17 5 6" xfId="46069" xr:uid="{00000000-0005-0000-0000-0000D6B30000}"/>
    <cellStyle name="Calculation 8 3 17 6" xfId="46070" xr:uid="{00000000-0005-0000-0000-0000D7B30000}"/>
    <cellStyle name="Calculation 8 3 17 6 2" xfId="46071" xr:uid="{00000000-0005-0000-0000-0000D8B30000}"/>
    <cellStyle name="Calculation 8 3 17 6 3" xfId="46072" xr:uid="{00000000-0005-0000-0000-0000D9B30000}"/>
    <cellStyle name="Calculation 8 3 17 6 4" xfId="46073" xr:uid="{00000000-0005-0000-0000-0000DAB30000}"/>
    <cellStyle name="Calculation 8 3 17 6 5" xfId="46074" xr:uid="{00000000-0005-0000-0000-0000DBB30000}"/>
    <cellStyle name="Calculation 8 3 17 6 6" xfId="46075" xr:uid="{00000000-0005-0000-0000-0000DCB30000}"/>
    <cellStyle name="Calculation 8 3 17 7" xfId="46076" xr:uid="{00000000-0005-0000-0000-0000DDB30000}"/>
    <cellStyle name="Calculation 8 3 17 7 2" xfId="46077" xr:uid="{00000000-0005-0000-0000-0000DEB30000}"/>
    <cellStyle name="Calculation 8 3 17 7 3" xfId="46078" xr:uid="{00000000-0005-0000-0000-0000DFB30000}"/>
    <cellStyle name="Calculation 8 3 17 7 4" xfId="46079" xr:uid="{00000000-0005-0000-0000-0000E0B30000}"/>
    <cellStyle name="Calculation 8 3 17 7 5" xfId="46080" xr:uid="{00000000-0005-0000-0000-0000E1B30000}"/>
    <cellStyle name="Calculation 8 3 17 7 6" xfId="46081" xr:uid="{00000000-0005-0000-0000-0000E2B30000}"/>
    <cellStyle name="Calculation 8 3 17 8" xfId="46082" xr:uid="{00000000-0005-0000-0000-0000E3B30000}"/>
    <cellStyle name="Calculation 8 3 17 9" xfId="46083" xr:uid="{00000000-0005-0000-0000-0000E4B30000}"/>
    <cellStyle name="Calculation 8 3 18" xfId="46084" xr:uid="{00000000-0005-0000-0000-0000E5B30000}"/>
    <cellStyle name="Calculation 8 3 18 10" xfId="46085" xr:uid="{00000000-0005-0000-0000-0000E6B30000}"/>
    <cellStyle name="Calculation 8 3 18 2" xfId="46086" xr:uid="{00000000-0005-0000-0000-0000E7B30000}"/>
    <cellStyle name="Calculation 8 3 18 2 2" xfId="46087" xr:uid="{00000000-0005-0000-0000-0000E8B30000}"/>
    <cellStyle name="Calculation 8 3 18 2 3" xfId="46088" xr:uid="{00000000-0005-0000-0000-0000E9B30000}"/>
    <cellStyle name="Calculation 8 3 18 2 4" xfId="46089" xr:uid="{00000000-0005-0000-0000-0000EAB30000}"/>
    <cellStyle name="Calculation 8 3 18 2 5" xfId="46090" xr:uid="{00000000-0005-0000-0000-0000EBB30000}"/>
    <cellStyle name="Calculation 8 3 18 2 6" xfId="46091" xr:uid="{00000000-0005-0000-0000-0000ECB30000}"/>
    <cellStyle name="Calculation 8 3 18 3" xfId="46092" xr:uid="{00000000-0005-0000-0000-0000EDB30000}"/>
    <cellStyle name="Calculation 8 3 18 3 2" xfId="46093" xr:uid="{00000000-0005-0000-0000-0000EEB30000}"/>
    <cellStyle name="Calculation 8 3 18 3 3" xfId="46094" xr:uid="{00000000-0005-0000-0000-0000EFB30000}"/>
    <cellStyle name="Calculation 8 3 18 3 4" xfId="46095" xr:uid="{00000000-0005-0000-0000-0000F0B30000}"/>
    <cellStyle name="Calculation 8 3 18 3 5" xfId="46096" xr:uid="{00000000-0005-0000-0000-0000F1B30000}"/>
    <cellStyle name="Calculation 8 3 18 3 6" xfId="46097" xr:uid="{00000000-0005-0000-0000-0000F2B30000}"/>
    <cellStyle name="Calculation 8 3 18 4" xfId="46098" xr:uid="{00000000-0005-0000-0000-0000F3B30000}"/>
    <cellStyle name="Calculation 8 3 18 4 2" xfId="46099" xr:uid="{00000000-0005-0000-0000-0000F4B30000}"/>
    <cellStyle name="Calculation 8 3 18 4 3" xfId="46100" xr:uid="{00000000-0005-0000-0000-0000F5B30000}"/>
    <cellStyle name="Calculation 8 3 18 4 4" xfId="46101" xr:uid="{00000000-0005-0000-0000-0000F6B30000}"/>
    <cellStyle name="Calculation 8 3 18 4 5" xfId="46102" xr:uid="{00000000-0005-0000-0000-0000F7B30000}"/>
    <cellStyle name="Calculation 8 3 18 4 6" xfId="46103" xr:uid="{00000000-0005-0000-0000-0000F8B30000}"/>
    <cellStyle name="Calculation 8 3 18 5" xfId="46104" xr:uid="{00000000-0005-0000-0000-0000F9B30000}"/>
    <cellStyle name="Calculation 8 3 18 5 2" xfId="46105" xr:uid="{00000000-0005-0000-0000-0000FAB30000}"/>
    <cellStyle name="Calculation 8 3 18 5 3" xfId="46106" xr:uid="{00000000-0005-0000-0000-0000FBB30000}"/>
    <cellStyle name="Calculation 8 3 18 5 4" xfId="46107" xr:uid="{00000000-0005-0000-0000-0000FCB30000}"/>
    <cellStyle name="Calculation 8 3 18 5 5" xfId="46108" xr:uid="{00000000-0005-0000-0000-0000FDB30000}"/>
    <cellStyle name="Calculation 8 3 18 5 6" xfId="46109" xr:uid="{00000000-0005-0000-0000-0000FEB30000}"/>
    <cellStyle name="Calculation 8 3 18 6" xfId="46110" xr:uid="{00000000-0005-0000-0000-0000FFB30000}"/>
    <cellStyle name="Calculation 8 3 18 6 2" xfId="46111" xr:uid="{00000000-0005-0000-0000-000000B40000}"/>
    <cellStyle name="Calculation 8 3 18 6 3" xfId="46112" xr:uid="{00000000-0005-0000-0000-000001B40000}"/>
    <cellStyle name="Calculation 8 3 18 6 4" xfId="46113" xr:uid="{00000000-0005-0000-0000-000002B40000}"/>
    <cellStyle name="Calculation 8 3 18 6 5" xfId="46114" xr:uid="{00000000-0005-0000-0000-000003B40000}"/>
    <cellStyle name="Calculation 8 3 18 6 6" xfId="46115" xr:uid="{00000000-0005-0000-0000-000004B40000}"/>
    <cellStyle name="Calculation 8 3 18 7" xfId="46116" xr:uid="{00000000-0005-0000-0000-000005B40000}"/>
    <cellStyle name="Calculation 8 3 18 7 2" xfId="46117" xr:uid="{00000000-0005-0000-0000-000006B40000}"/>
    <cellStyle name="Calculation 8 3 18 7 3" xfId="46118" xr:uid="{00000000-0005-0000-0000-000007B40000}"/>
    <cellStyle name="Calculation 8 3 18 7 4" xfId="46119" xr:uid="{00000000-0005-0000-0000-000008B40000}"/>
    <cellStyle name="Calculation 8 3 18 7 5" xfId="46120" xr:uid="{00000000-0005-0000-0000-000009B40000}"/>
    <cellStyle name="Calculation 8 3 18 7 6" xfId="46121" xr:uid="{00000000-0005-0000-0000-00000AB40000}"/>
    <cellStyle name="Calculation 8 3 18 8" xfId="46122" xr:uid="{00000000-0005-0000-0000-00000BB40000}"/>
    <cellStyle name="Calculation 8 3 18 9" xfId="46123" xr:uid="{00000000-0005-0000-0000-00000CB40000}"/>
    <cellStyle name="Calculation 8 3 19" xfId="46124" xr:uid="{00000000-0005-0000-0000-00000DB40000}"/>
    <cellStyle name="Calculation 8 3 19 10" xfId="46125" xr:uid="{00000000-0005-0000-0000-00000EB40000}"/>
    <cellStyle name="Calculation 8 3 19 2" xfId="46126" xr:uid="{00000000-0005-0000-0000-00000FB40000}"/>
    <cellStyle name="Calculation 8 3 19 2 2" xfId="46127" xr:uid="{00000000-0005-0000-0000-000010B40000}"/>
    <cellStyle name="Calculation 8 3 19 2 3" xfId="46128" xr:uid="{00000000-0005-0000-0000-000011B40000}"/>
    <cellStyle name="Calculation 8 3 19 2 4" xfId="46129" xr:uid="{00000000-0005-0000-0000-000012B40000}"/>
    <cellStyle name="Calculation 8 3 19 2 5" xfId="46130" xr:uid="{00000000-0005-0000-0000-000013B40000}"/>
    <cellStyle name="Calculation 8 3 19 2 6" xfId="46131" xr:uid="{00000000-0005-0000-0000-000014B40000}"/>
    <cellStyle name="Calculation 8 3 19 3" xfId="46132" xr:uid="{00000000-0005-0000-0000-000015B40000}"/>
    <cellStyle name="Calculation 8 3 19 3 2" xfId="46133" xr:uid="{00000000-0005-0000-0000-000016B40000}"/>
    <cellStyle name="Calculation 8 3 19 3 3" xfId="46134" xr:uid="{00000000-0005-0000-0000-000017B40000}"/>
    <cellStyle name="Calculation 8 3 19 3 4" xfId="46135" xr:uid="{00000000-0005-0000-0000-000018B40000}"/>
    <cellStyle name="Calculation 8 3 19 3 5" xfId="46136" xr:uid="{00000000-0005-0000-0000-000019B40000}"/>
    <cellStyle name="Calculation 8 3 19 3 6" xfId="46137" xr:uid="{00000000-0005-0000-0000-00001AB40000}"/>
    <cellStyle name="Calculation 8 3 19 4" xfId="46138" xr:uid="{00000000-0005-0000-0000-00001BB40000}"/>
    <cellStyle name="Calculation 8 3 19 4 2" xfId="46139" xr:uid="{00000000-0005-0000-0000-00001CB40000}"/>
    <cellStyle name="Calculation 8 3 19 4 3" xfId="46140" xr:uid="{00000000-0005-0000-0000-00001DB40000}"/>
    <cellStyle name="Calculation 8 3 19 4 4" xfId="46141" xr:uid="{00000000-0005-0000-0000-00001EB40000}"/>
    <cellStyle name="Calculation 8 3 19 4 5" xfId="46142" xr:uid="{00000000-0005-0000-0000-00001FB40000}"/>
    <cellStyle name="Calculation 8 3 19 4 6" xfId="46143" xr:uid="{00000000-0005-0000-0000-000020B40000}"/>
    <cellStyle name="Calculation 8 3 19 5" xfId="46144" xr:uid="{00000000-0005-0000-0000-000021B40000}"/>
    <cellStyle name="Calculation 8 3 19 5 2" xfId="46145" xr:uid="{00000000-0005-0000-0000-000022B40000}"/>
    <cellStyle name="Calculation 8 3 19 5 3" xfId="46146" xr:uid="{00000000-0005-0000-0000-000023B40000}"/>
    <cellStyle name="Calculation 8 3 19 5 4" xfId="46147" xr:uid="{00000000-0005-0000-0000-000024B40000}"/>
    <cellStyle name="Calculation 8 3 19 5 5" xfId="46148" xr:uid="{00000000-0005-0000-0000-000025B40000}"/>
    <cellStyle name="Calculation 8 3 19 5 6" xfId="46149" xr:uid="{00000000-0005-0000-0000-000026B40000}"/>
    <cellStyle name="Calculation 8 3 19 6" xfId="46150" xr:uid="{00000000-0005-0000-0000-000027B40000}"/>
    <cellStyle name="Calculation 8 3 19 6 2" xfId="46151" xr:uid="{00000000-0005-0000-0000-000028B40000}"/>
    <cellStyle name="Calculation 8 3 19 6 3" xfId="46152" xr:uid="{00000000-0005-0000-0000-000029B40000}"/>
    <cellStyle name="Calculation 8 3 19 6 4" xfId="46153" xr:uid="{00000000-0005-0000-0000-00002AB40000}"/>
    <cellStyle name="Calculation 8 3 19 6 5" xfId="46154" xr:uid="{00000000-0005-0000-0000-00002BB40000}"/>
    <cellStyle name="Calculation 8 3 19 6 6" xfId="46155" xr:uid="{00000000-0005-0000-0000-00002CB40000}"/>
    <cellStyle name="Calculation 8 3 19 7" xfId="46156" xr:uid="{00000000-0005-0000-0000-00002DB40000}"/>
    <cellStyle name="Calculation 8 3 19 7 2" xfId="46157" xr:uid="{00000000-0005-0000-0000-00002EB40000}"/>
    <cellStyle name="Calculation 8 3 19 7 3" xfId="46158" xr:uid="{00000000-0005-0000-0000-00002FB40000}"/>
    <cellStyle name="Calculation 8 3 19 7 4" xfId="46159" xr:uid="{00000000-0005-0000-0000-000030B40000}"/>
    <cellStyle name="Calculation 8 3 19 7 5" xfId="46160" xr:uid="{00000000-0005-0000-0000-000031B40000}"/>
    <cellStyle name="Calculation 8 3 19 7 6" xfId="46161" xr:uid="{00000000-0005-0000-0000-000032B40000}"/>
    <cellStyle name="Calculation 8 3 19 8" xfId="46162" xr:uid="{00000000-0005-0000-0000-000033B40000}"/>
    <cellStyle name="Calculation 8 3 19 9" xfId="46163" xr:uid="{00000000-0005-0000-0000-000034B40000}"/>
    <cellStyle name="Calculation 8 3 2" xfId="46164" xr:uid="{00000000-0005-0000-0000-000035B40000}"/>
    <cellStyle name="Calculation 8 3 2 10" xfId="46165" xr:uid="{00000000-0005-0000-0000-000036B40000}"/>
    <cellStyle name="Calculation 8 3 2 2" xfId="46166" xr:uid="{00000000-0005-0000-0000-000037B40000}"/>
    <cellStyle name="Calculation 8 3 2 2 2" xfId="46167" xr:uid="{00000000-0005-0000-0000-000038B40000}"/>
    <cellStyle name="Calculation 8 3 2 2 3" xfId="46168" xr:uid="{00000000-0005-0000-0000-000039B40000}"/>
    <cellStyle name="Calculation 8 3 2 2 4" xfId="46169" xr:uid="{00000000-0005-0000-0000-00003AB40000}"/>
    <cellStyle name="Calculation 8 3 2 2 5" xfId="46170" xr:uid="{00000000-0005-0000-0000-00003BB40000}"/>
    <cellStyle name="Calculation 8 3 2 2 6" xfId="46171" xr:uid="{00000000-0005-0000-0000-00003CB40000}"/>
    <cellStyle name="Calculation 8 3 2 3" xfId="46172" xr:uid="{00000000-0005-0000-0000-00003DB40000}"/>
    <cellStyle name="Calculation 8 3 2 3 2" xfId="46173" xr:uid="{00000000-0005-0000-0000-00003EB40000}"/>
    <cellStyle name="Calculation 8 3 2 3 3" xfId="46174" xr:uid="{00000000-0005-0000-0000-00003FB40000}"/>
    <cellStyle name="Calculation 8 3 2 3 4" xfId="46175" xr:uid="{00000000-0005-0000-0000-000040B40000}"/>
    <cellStyle name="Calculation 8 3 2 3 5" xfId="46176" xr:uid="{00000000-0005-0000-0000-000041B40000}"/>
    <cellStyle name="Calculation 8 3 2 3 6" xfId="46177" xr:uid="{00000000-0005-0000-0000-000042B40000}"/>
    <cellStyle name="Calculation 8 3 2 4" xfId="46178" xr:uid="{00000000-0005-0000-0000-000043B40000}"/>
    <cellStyle name="Calculation 8 3 2 4 2" xfId="46179" xr:uid="{00000000-0005-0000-0000-000044B40000}"/>
    <cellStyle name="Calculation 8 3 2 4 3" xfId="46180" xr:uid="{00000000-0005-0000-0000-000045B40000}"/>
    <cellStyle name="Calculation 8 3 2 4 4" xfId="46181" xr:uid="{00000000-0005-0000-0000-000046B40000}"/>
    <cellStyle name="Calculation 8 3 2 4 5" xfId="46182" xr:uid="{00000000-0005-0000-0000-000047B40000}"/>
    <cellStyle name="Calculation 8 3 2 4 6" xfId="46183" xr:uid="{00000000-0005-0000-0000-000048B40000}"/>
    <cellStyle name="Calculation 8 3 2 5" xfId="46184" xr:uid="{00000000-0005-0000-0000-000049B40000}"/>
    <cellStyle name="Calculation 8 3 2 5 2" xfId="46185" xr:uid="{00000000-0005-0000-0000-00004AB40000}"/>
    <cellStyle name="Calculation 8 3 2 5 3" xfId="46186" xr:uid="{00000000-0005-0000-0000-00004BB40000}"/>
    <cellStyle name="Calculation 8 3 2 5 4" xfId="46187" xr:uid="{00000000-0005-0000-0000-00004CB40000}"/>
    <cellStyle name="Calculation 8 3 2 5 5" xfId="46188" xr:uid="{00000000-0005-0000-0000-00004DB40000}"/>
    <cellStyle name="Calculation 8 3 2 5 6" xfId="46189" xr:uid="{00000000-0005-0000-0000-00004EB40000}"/>
    <cellStyle name="Calculation 8 3 2 6" xfId="46190" xr:uid="{00000000-0005-0000-0000-00004FB40000}"/>
    <cellStyle name="Calculation 8 3 2 6 2" xfId="46191" xr:uid="{00000000-0005-0000-0000-000050B40000}"/>
    <cellStyle name="Calculation 8 3 2 6 3" xfId="46192" xr:uid="{00000000-0005-0000-0000-000051B40000}"/>
    <cellStyle name="Calculation 8 3 2 6 4" xfId="46193" xr:uid="{00000000-0005-0000-0000-000052B40000}"/>
    <cellStyle name="Calculation 8 3 2 6 5" xfId="46194" xr:uid="{00000000-0005-0000-0000-000053B40000}"/>
    <cellStyle name="Calculation 8 3 2 6 6" xfId="46195" xr:uid="{00000000-0005-0000-0000-000054B40000}"/>
    <cellStyle name="Calculation 8 3 2 7" xfId="46196" xr:uid="{00000000-0005-0000-0000-000055B40000}"/>
    <cellStyle name="Calculation 8 3 2 7 2" xfId="46197" xr:uid="{00000000-0005-0000-0000-000056B40000}"/>
    <cellStyle name="Calculation 8 3 2 7 3" xfId="46198" xr:uid="{00000000-0005-0000-0000-000057B40000}"/>
    <cellStyle name="Calculation 8 3 2 7 4" xfId="46199" xr:uid="{00000000-0005-0000-0000-000058B40000}"/>
    <cellStyle name="Calculation 8 3 2 7 5" xfId="46200" xr:uid="{00000000-0005-0000-0000-000059B40000}"/>
    <cellStyle name="Calculation 8 3 2 7 6" xfId="46201" xr:uid="{00000000-0005-0000-0000-00005AB40000}"/>
    <cellStyle name="Calculation 8 3 2 8" xfId="46202" xr:uid="{00000000-0005-0000-0000-00005BB40000}"/>
    <cellStyle name="Calculation 8 3 2 9" xfId="46203" xr:uid="{00000000-0005-0000-0000-00005CB40000}"/>
    <cellStyle name="Calculation 8 3 20" xfId="46204" xr:uid="{00000000-0005-0000-0000-00005DB40000}"/>
    <cellStyle name="Calculation 8 3 20 10" xfId="46205" xr:uid="{00000000-0005-0000-0000-00005EB40000}"/>
    <cellStyle name="Calculation 8 3 20 2" xfId="46206" xr:uid="{00000000-0005-0000-0000-00005FB40000}"/>
    <cellStyle name="Calculation 8 3 20 2 2" xfId="46207" xr:uid="{00000000-0005-0000-0000-000060B40000}"/>
    <cellStyle name="Calculation 8 3 20 2 3" xfId="46208" xr:uid="{00000000-0005-0000-0000-000061B40000}"/>
    <cellStyle name="Calculation 8 3 20 2 4" xfId="46209" xr:uid="{00000000-0005-0000-0000-000062B40000}"/>
    <cellStyle name="Calculation 8 3 20 2 5" xfId="46210" xr:uid="{00000000-0005-0000-0000-000063B40000}"/>
    <cellStyle name="Calculation 8 3 20 2 6" xfId="46211" xr:uid="{00000000-0005-0000-0000-000064B40000}"/>
    <cellStyle name="Calculation 8 3 20 3" xfId="46212" xr:uid="{00000000-0005-0000-0000-000065B40000}"/>
    <cellStyle name="Calculation 8 3 20 3 2" xfId="46213" xr:uid="{00000000-0005-0000-0000-000066B40000}"/>
    <cellStyle name="Calculation 8 3 20 3 3" xfId="46214" xr:uid="{00000000-0005-0000-0000-000067B40000}"/>
    <cellStyle name="Calculation 8 3 20 3 4" xfId="46215" xr:uid="{00000000-0005-0000-0000-000068B40000}"/>
    <cellStyle name="Calculation 8 3 20 3 5" xfId="46216" xr:uid="{00000000-0005-0000-0000-000069B40000}"/>
    <cellStyle name="Calculation 8 3 20 3 6" xfId="46217" xr:uid="{00000000-0005-0000-0000-00006AB40000}"/>
    <cellStyle name="Calculation 8 3 20 4" xfId="46218" xr:uid="{00000000-0005-0000-0000-00006BB40000}"/>
    <cellStyle name="Calculation 8 3 20 4 2" xfId="46219" xr:uid="{00000000-0005-0000-0000-00006CB40000}"/>
    <cellStyle name="Calculation 8 3 20 4 3" xfId="46220" xr:uid="{00000000-0005-0000-0000-00006DB40000}"/>
    <cellStyle name="Calculation 8 3 20 4 4" xfId="46221" xr:uid="{00000000-0005-0000-0000-00006EB40000}"/>
    <cellStyle name="Calculation 8 3 20 4 5" xfId="46222" xr:uid="{00000000-0005-0000-0000-00006FB40000}"/>
    <cellStyle name="Calculation 8 3 20 4 6" xfId="46223" xr:uid="{00000000-0005-0000-0000-000070B40000}"/>
    <cellStyle name="Calculation 8 3 20 5" xfId="46224" xr:uid="{00000000-0005-0000-0000-000071B40000}"/>
    <cellStyle name="Calculation 8 3 20 5 2" xfId="46225" xr:uid="{00000000-0005-0000-0000-000072B40000}"/>
    <cellStyle name="Calculation 8 3 20 5 3" xfId="46226" xr:uid="{00000000-0005-0000-0000-000073B40000}"/>
    <cellStyle name="Calculation 8 3 20 5 4" xfId="46227" xr:uid="{00000000-0005-0000-0000-000074B40000}"/>
    <cellStyle name="Calculation 8 3 20 5 5" xfId="46228" xr:uid="{00000000-0005-0000-0000-000075B40000}"/>
    <cellStyle name="Calculation 8 3 20 5 6" xfId="46229" xr:uid="{00000000-0005-0000-0000-000076B40000}"/>
    <cellStyle name="Calculation 8 3 20 6" xfId="46230" xr:uid="{00000000-0005-0000-0000-000077B40000}"/>
    <cellStyle name="Calculation 8 3 20 6 2" xfId="46231" xr:uid="{00000000-0005-0000-0000-000078B40000}"/>
    <cellStyle name="Calculation 8 3 20 6 3" xfId="46232" xr:uid="{00000000-0005-0000-0000-000079B40000}"/>
    <cellStyle name="Calculation 8 3 20 6 4" xfId="46233" xr:uid="{00000000-0005-0000-0000-00007AB40000}"/>
    <cellStyle name="Calculation 8 3 20 6 5" xfId="46234" xr:uid="{00000000-0005-0000-0000-00007BB40000}"/>
    <cellStyle name="Calculation 8 3 20 6 6" xfId="46235" xr:uid="{00000000-0005-0000-0000-00007CB40000}"/>
    <cellStyle name="Calculation 8 3 20 7" xfId="46236" xr:uid="{00000000-0005-0000-0000-00007DB40000}"/>
    <cellStyle name="Calculation 8 3 20 7 2" xfId="46237" xr:uid="{00000000-0005-0000-0000-00007EB40000}"/>
    <cellStyle name="Calculation 8 3 20 7 3" xfId="46238" xr:uid="{00000000-0005-0000-0000-00007FB40000}"/>
    <cellStyle name="Calculation 8 3 20 7 4" xfId="46239" xr:uid="{00000000-0005-0000-0000-000080B40000}"/>
    <cellStyle name="Calculation 8 3 20 7 5" xfId="46240" xr:uid="{00000000-0005-0000-0000-000081B40000}"/>
    <cellStyle name="Calculation 8 3 20 7 6" xfId="46241" xr:uid="{00000000-0005-0000-0000-000082B40000}"/>
    <cellStyle name="Calculation 8 3 20 8" xfId="46242" xr:uid="{00000000-0005-0000-0000-000083B40000}"/>
    <cellStyle name="Calculation 8 3 20 9" xfId="46243" xr:uid="{00000000-0005-0000-0000-000084B40000}"/>
    <cellStyle name="Calculation 8 3 21" xfId="46244" xr:uid="{00000000-0005-0000-0000-000085B40000}"/>
    <cellStyle name="Calculation 8 3 21 10" xfId="46245" xr:uid="{00000000-0005-0000-0000-000086B40000}"/>
    <cellStyle name="Calculation 8 3 21 2" xfId="46246" xr:uid="{00000000-0005-0000-0000-000087B40000}"/>
    <cellStyle name="Calculation 8 3 21 2 2" xfId="46247" xr:uid="{00000000-0005-0000-0000-000088B40000}"/>
    <cellStyle name="Calculation 8 3 21 2 3" xfId="46248" xr:uid="{00000000-0005-0000-0000-000089B40000}"/>
    <cellStyle name="Calculation 8 3 21 2 4" xfId="46249" xr:uid="{00000000-0005-0000-0000-00008AB40000}"/>
    <cellStyle name="Calculation 8 3 21 2 5" xfId="46250" xr:uid="{00000000-0005-0000-0000-00008BB40000}"/>
    <cellStyle name="Calculation 8 3 21 2 6" xfId="46251" xr:uid="{00000000-0005-0000-0000-00008CB40000}"/>
    <cellStyle name="Calculation 8 3 21 3" xfId="46252" xr:uid="{00000000-0005-0000-0000-00008DB40000}"/>
    <cellStyle name="Calculation 8 3 21 3 2" xfId="46253" xr:uid="{00000000-0005-0000-0000-00008EB40000}"/>
    <cellStyle name="Calculation 8 3 21 3 3" xfId="46254" xr:uid="{00000000-0005-0000-0000-00008FB40000}"/>
    <cellStyle name="Calculation 8 3 21 3 4" xfId="46255" xr:uid="{00000000-0005-0000-0000-000090B40000}"/>
    <cellStyle name="Calculation 8 3 21 3 5" xfId="46256" xr:uid="{00000000-0005-0000-0000-000091B40000}"/>
    <cellStyle name="Calculation 8 3 21 3 6" xfId="46257" xr:uid="{00000000-0005-0000-0000-000092B40000}"/>
    <cellStyle name="Calculation 8 3 21 4" xfId="46258" xr:uid="{00000000-0005-0000-0000-000093B40000}"/>
    <cellStyle name="Calculation 8 3 21 4 2" xfId="46259" xr:uid="{00000000-0005-0000-0000-000094B40000}"/>
    <cellStyle name="Calculation 8 3 21 4 3" xfId="46260" xr:uid="{00000000-0005-0000-0000-000095B40000}"/>
    <cellStyle name="Calculation 8 3 21 4 4" xfId="46261" xr:uid="{00000000-0005-0000-0000-000096B40000}"/>
    <cellStyle name="Calculation 8 3 21 4 5" xfId="46262" xr:uid="{00000000-0005-0000-0000-000097B40000}"/>
    <cellStyle name="Calculation 8 3 21 4 6" xfId="46263" xr:uid="{00000000-0005-0000-0000-000098B40000}"/>
    <cellStyle name="Calculation 8 3 21 5" xfId="46264" xr:uid="{00000000-0005-0000-0000-000099B40000}"/>
    <cellStyle name="Calculation 8 3 21 5 2" xfId="46265" xr:uid="{00000000-0005-0000-0000-00009AB40000}"/>
    <cellStyle name="Calculation 8 3 21 5 3" xfId="46266" xr:uid="{00000000-0005-0000-0000-00009BB40000}"/>
    <cellStyle name="Calculation 8 3 21 5 4" xfId="46267" xr:uid="{00000000-0005-0000-0000-00009CB40000}"/>
    <cellStyle name="Calculation 8 3 21 5 5" xfId="46268" xr:uid="{00000000-0005-0000-0000-00009DB40000}"/>
    <cellStyle name="Calculation 8 3 21 5 6" xfId="46269" xr:uid="{00000000-0005-0000-0000-00009EB40000}"/>
    <cellStyle name="Calculation 8 3 21 6" xfId="46270" xr:uid="{00000000-0005-0000-0000-00009FB40000}"/>
    <cellStyle name="Calculation 8 3 21 6 2" xfId="46271" xr:uid="{00000000-0005-0000-0000-0000A0B40000}"/>
    <cellStyle name="Calculation 8 3 21 6 3" xfId="46272" xr:uid="{00000000-0005-0000-0000-0000A1B40000}"/>
    <cellStyle name="Calculation 8 3 21 6 4" xfId="46273" xr:uid="{00000000-0005-0000-0000-0000A2B40000}"/>
    <cellStyle name="Calculation 8 3 21 6 5" xfId="46274" xr:uid="{00000000-0005-0000-0000-0000A3B40000}"/>
    <cellStyle name="Calculation 8 3 21 6 6" xfId="46275" xr:uid="{00000000-0005-0000-0000-0000A4B40000}"/>
    <cellStyle name="Calculation 8 3 21 7" xfId="46276" xr:uid="{00000000-0005-0000-0000-0000A5B40000}"/>
    <cellStyle name="Calculation 8 3 21 7 2" xfId="46277" xr:uid="{00000000-0005-0000-0000-0000A6B40000}"/>
    <cellStyle name="Calculation 8 3 21 7 3" xfId="46278" xr:uid="{00000000-0005-0000-0000-0000A7B40000}"/>
    <cellStyle name="Calculation 8 3 21 7 4" xfId="46279" xr:uid="{00000000-0005-0000-0000-0000A8B40000}"/>
    <cellStyle name="Calculation 8 3 21 7 5" xfId="46280" xr:uid="{00000000-0005-0000-0000-0000A9B40000}"/>
    <cellStyle name="Calculation 8 3 21 7 6" xfId="46281" xr:uid="{00000000-0005-0000-0000-0000AAB40000}"/>
    <cellStyle name="Calculation 8 3 21 8" xfId="46282" xr:uid="{00000000-0005-0000-0000-0000ABB40000}"/>
    <cellStyle name="Calculation 8 3 21 9" xfId="46283" xr:uid="{00000000-0005-0000-0000-0000ACB40000}"/>
    <cellStyle name="Calculation 8 3 22" xfId="46284" xr:uid="{00000000-0005-0000-0000-0000ADB40000}"/>
    <cellStyle name="Calculation 8 3 22 10" xfId="46285" xr:uid="{00000000-0005-0000-0000-0000AEB40000}"/>
    <cellStyle name="Calculation 8 3 22 2" xfId="46286" xr:uid="{00000000-0005-0000-0000-0000AFB40000}"/>
    <cellStyle name="Calculation 8 3 22 2 2" xfId="46287" xr:uid="{00000000-0005-0000-0000-0000B0B40000}"/>
    <cellStyle name="Calculation 8 3 22 2 3" xfId="46288" xr:uid="{00000000-0005-0000-0000-0000B1B40000}"/>
    <cellStyle name="Calculation 8 3 22 2 4" xfId="46289" xr:uid="{00000000-0005-0000-0000-0000B2B40000}"/>
    <cellStyle name="Calculation 8 3 22 2 5" xfId="46290" xr:uid="{00000000-0005-0000-0000-0000B3B40000}"/>
    <cellStyle name="Calculation 8 3 22 2 6" xfId="46291" xr:uid="{00000000-0005-0000-0000-0000B4B40000}"/>
    <cellStyle name="Calculation 8 3 22 3" xfId="46292" xr:uid="{00000000-0005-0000-0000-0000B5B40000}"/>
    <cellStyle name="Calculation 8 3 22 3 2" xfId="46293" xr:uid="{00000000-0005-0000-0000-0000B6B40000}"/>
    <cellStyle name="Calculation 8 3 22 3 3" xfId="46294" xr:uid="{00000000-0005-0000-0000-0000B7B40000}"/>
    <cellStyle name="Calculation 8 3 22 3 4" xfId="46295" xr:uid="{00000000-0005-0000-0000-0000B8B40000}"/>
    <cellStyle name="Calculation 8 3 22 3 5" xfId="46296" xr:uid="{00000000-0005-0000-0000-0000B9B40000}"/>
    <cellStyle name="Calculation 8 3 22 3 6" xfId="46297" xr:uid="{00000000-0005-0000-0000-0000BAB40000}"/>
    <cellStyle name="Calculation 8 3 22 4" xfId="46298" xr:uid="{00000000-0005-0000-0000-0000BBB40000}"/>
    <cellStyle name="Calculation 8 3 22 4 2" xfId="46299" xr:uid="{00000000-0005-0000-0000-0000BCB40000}"/>
    <cellStyle name="Calculation 8 3 22 4 3" xfId="46300" xr:uid="{00000000-0005-0000-0000-0000BDB40000}"/>
    <cellStyle name="Calculation 8 3 22 4 4" xfId="46301" xr:uid="{00000000-0005-0000-0000-0000BEB40000}"/>
    <cellStyle name="Calculation 8 3 22 4 5" xfId="46302" xr:uid="{00000000-0005-0000-0000-0000BFB40000}"/>
    <cellStyle name="Calculation 8 3 22 4 6" xfId="46303" xr:uid="{00000000-0005-0000-0000-0000C0B40000}"/>
    <cellStyle name="Calculation 8 3 22 5" xfId="46304" xr:uid="{00000000-0005-0000-0000-0000C1B40000}"/>
    <cellStyle name="Calculation 8 3 22 5 2" xfId="46305" xr:uid="{00000000-0005-0000-0000-0000C2B40000}"/>
    <cellStyle name="Calculation 8 3 22 5 3" xfId="46306" xr:uid="{00000000-0005-0000-0000-0000C3B40000}"/>
    <cellStyle name="Calculation 8 3 22 5 4" xfId="46307" xr:uid="{00000000-0005-0000-0000-0000C4B40000}"/>
    <cellStyle name="Calculation 8 3 22 5 5" xfId="46308" xr:uid="{00000000-0005-0000-0000-0000C5B40000}"/>
    <cellStyle name="Calculation 8 3 22 5 6" xfId="46309" xr:uid="{00000000-0005-0000-0000-0000C6B40000}"/>
    <cellStyle name="Calculation 8 3 22 6" xfId="46310" xr:uid="{00000000-0005-0000-0000-0000C7B40000}"/>
    <cellStyle name="Calculation 8 3 22 6 2" xfId="46311" xr:uid="{00000000-0005-0000-0000-0000C8B40000}"/>
    <cellStyle name="Calculation 8 3 22 6 3" xfId="46312" xr:uid="{00000000-0005-0000-0000-0000C9B40000}"/>
    <cellStyle name="Calculation 8 3 22 6 4" xfId="46313" xr:uid="{00000000-0005-0000-0000-0000CAB40000}"/>
    <cellStyle name="Calculation 8 3 22 6 5" xfId="46314" xr:uid="{00000000-0005-0000-0000-0000CBB40000}"/>
    <cellStyle name="Calculation 8 3 22 6 6" xfId="46315" xr:uid="{00000000-0005-0000-0000-0000CCB40000}"/>
    <cellStyle name="Calculation 8 3 22 7" xfId="46316" xr:uid="{00000000-0005-0000-0000-0000CDB40000}"/>
    <cellStyle name="Calculation 8 3 22 7 2" xfId="46317" xr:uid="{00000000-0005-0000-0000-0000CEB40000}"/>
    <cellStyle name="Calculation 8 3 22 7 3" xfId="46318" xr:uid="{00000000-0005-0000-0000-0000CFB40000}"/>
    <cellStyle name="Calculation 8 3 22 7 4" xfId="46319" xr:uid="{00000000-0005-0000-0000-0000D0B40000}"/>
    <cellStyle name="Calculation 8 3 22 7 5" xfId="46320" xr:uid="{00000000-0005-0000-0000-0000D1B40000}"/>
    <cellStyle name="Calculation 8 3 22 7 6" xfId="46321" xr:uid="{00000000-0005-0000-0000-0000D2B40000}"/>
    <cellStyle name="Calculation 8 3 22 8" xfId="46322" xr:uid="{00000000-0005-0000-0000-0000D3B40000}"/>
    <cellStyle name="Calculation 8 3 22 9" xfId="46323" xr:uid="{00000000-0005-0000-0000-0000D4B40000}"/>
    <cellStyle name="Calculation 8 3 23" xfId="46324" xr:uid="{00000000-0005-0000-0000-0000D5B40000}"/>
    <cellStyle name="Calculation 8 3 23 10" xfId="46325" xr:uid="{00000000-0005-0000-0000-0000D6B40000}"/>
    <cellStyle name="Calculation 8 3 23 2" xfId="46326" xr:uid="{00000000-0005-0000-0000-0000D7B40000}"/>
    <cellStyle name="Calculation 8 3 23 2 2" xfId="46327" xr:uid="{00000000-0005-0000-0000-0000D8B40000}"/>
    <cellStyle name="Calculation 8 3 23 2 3" xfId="46328" xr:uid="{00000000-0005-0000-0000-0000D9B40000}"/>
    <cellStyle name="Calculation 8 3 23 2 4" xfId="46329" xr:uid="{00000000-0005-0000-0000-0000DAB40000}"/>
    <cellStyle name="Calculation 8 3 23 2 5" xfId="46330" xr:uid="{00000000-0005-0000-0000-0000DBB40000}"/>
    <cellStyle name="Calculation 8 3 23 2 6" xfId="46331" xr:uid="{00000000-0005-0000-0000-0000DCB40000}"/>
    <cellStyle name="Calculation 8 3 23 3" xfId="46332" xr:uid="{00000000-0005-0000-0000-0000DDB40000}"/>
    <cellStyle name="Calculation 8 3 23 3 2" xfId="46333" xr:uid="{00000000-0005-0000-0000-0000DEB40000}"/>
    <cellStyle name="Calculation 8 3 23 3 3" xfId="46334" xr:uid="{00000000-0005-0000-0000-0000DFB40000}"/>
    <cellStyle name="Calculation 8 3 23 3 4" xfId="46335" xr:uid="{00000000-0005-0000-0000-0000E0B40000}"/>
    <cellStyle name="Calculation 8 3 23 3 5" xfId="46336" xr:uid="{00000000-0005-0000-0000-0000E1B40000}"/>
    <cellStyle name="Calculation 8 3 23 3 6" xfId="46337" xr:uid="{00000000-0005-0000-0000-0000E2B40000}"/>
    <cellStyle name="Calculation 8 3 23 4" xfId="46338" xr:uid="{00000000-0005-0000-0000-0000E3B40000}"/>
    <cellStyle name="Calculation 8 3 23 4 2" xfId="46339" xr:uid="{00000000-0005-0000-0000-0000E4B40000}"/>
    <cellStyle name="Calculation 8 3 23 4 3" xfId="46340" xr:uid="{00000000-0005-0000-0000-0000E5B40000}"/>
    <cellStyle name="Calculation 8 3 23 4 4" xfId="46341" xr:uid="{00000000-0005-0000-0000-0000E6B40000}"/>
    <cellStyle name="Calculation 8 3 23 4 5" xfId="46342" xr:uid="{00000000-0005-0000-0000-0000E7B40000}"/>
    <cellStyle name="Calculation 8 3 23 4 6" xfId="46343" xr:uid="{00000000-0005-0000-0000-0000E8B40000}"/>
    <cellStyle name="Calculation 8 3 23 5" xfId="46344" xr:uid="{00000000-0005-0000-0000-0000E9B40000}"/>
    <cellStyle name="Calculation 8 3 23 5 2" xfId="46345" xr:uid="{00000000-0005-0000-0000-0000EAB40000}"/>
    <cellStyle name="Calculation 8 3 23 5 3" xfId="46346" xr:uid="{00000000-0005-0000-0000-0000EBB40000}"/>
    <cellStyle name="Calculation 8 3 23 5 4" xfId="46347" xr:uid="{00000000-0005-0000-0000-0000ECB40000}"/>
    <cellStyle name="Calculation 8 3 23 5 5" xfId="46348" xr:uid="{00000000-0005-0000-0000-0000EDB40000}"/>
    <cellStyle name="Calculation 8 3 23 5 6" xfId="46349" xr:uid="{00000000-0005-0000-0000-0000EEB40000}"/>
    <cellStyle name="Calculation 8 3 23 6" xfId="46350" xr:uid="{00000000-0005-0000-0000-0000EFB40000}"/>
    <cellStyle name="Calculation 8 3 23 6 2" xfId="46351" xr:uid="{00000000-0005-0000-0000-0000F0B40000}"/>
    <cellStyle name="Calculation 8 3 23 6 3" xfId="46352" xr:uid="{00000000-0005-0000-0000-0000F1B40000}"/>
    <cellStyle name="Calculation 8 3 23 6 4" xfId="46353" xr:uid="{00000000-0005-0000-0000-0000F2B40000}"/>
    <cellStyle name="Calculation 8 3 23 6 5" xfId="46354" xr:uid="{00000000-0005-0000-0000-0000F3B40000}"/>
    <cellStyle name="Calculation 8 3 23 6 6" xfId="46355" xr:uid="{00000000-0005-0000-0000-0000F4B40000}"/>
    <cellStyle name="Calculation 8 3 23 7" xfId="46356" xr:uid="{00000000-0005-0000-0000-0000F5B40000}"/>
    <cellStyle name="Calculation 8 3 23 7 2" xfId="46357" xr:uid="{00000000-0005-0000-0000-0000F6B40000}"/>
    <cellStyle name="Calculation 8 3 23 7 3" xfId="46358" xr:uid="{00000000-0005-0000-0000-0000F7B40000}"/>
    <cellStyle name="Calculation 8 3 23 7 4" xfId="46359" xr:uid="{00000000-0005-0000-0000-0000F8B40000}"/>
    <cellStyle name="Calculation 8 3 23 7 5" xfId="46360" xr:uid="{00000000-0005-0000-0000-0000F9B40000}"/>
    <cellStyle name="Calculation 8 3 23 7 6" xfId="46361" xr:uid="{00000000-0005-0000-0000-0000FAB40000}"/>
    <cellStyle name="Calculation 8 3 23 8" xfId="46362" xr:uid="{00000000-0005-0000-0000-0000FBB40000}"/>
    <cellStyle name="Calculation 8 3 23 9" xfId="46363" xr:uid="{00000000-0005-0000-0000-0000FCB40000}"/>
    <cellStyle name="Calculation 8 3 24" xfId="46364" xr:uid="{00000000-0005-0000-0000-0000FDB40000}"/>
    <cellStyle name="Calculation 8 3 24 10" xfId="46365" xr:uid="{00000000-0005-0000-0000-0000FEB40000}"/>
    <cellStyle name="Calculation 8 3 24 2" xfId="46366" xr:uid="{00000000-0005-0000-0000-0000FFB40000}"/>
    <cellStyle name="Calculation 8 3 24 2 2" xfId="46367" xr:uid="{00000000-0005-0000-0000-000000B50000}"/>
    <cellStyle name="Calculation 8 3 24 2 3" xfId="46368" xr:uid="{00000000-0005-0000-0000-000001B50000}"/>
    <cellStyle name="Calculation 8 3 24 2 4" xfId="46369" xr:uid="{00000000-0005-0000-0000-000002B50000}"/>
    <cellStyle name="Calculation 8 3 24 2 5" xfId="46370" xr:uid="{00000000-0005-0000-0000-000003B50000}"/>
    <cellStyle name="Calculation 8 3 24 2 6" xfId="46371" xr:uid="{00000000-0005-0000-0000-000004B50000}"/>
    <cellStyle name="Calculation 8 3 24 3" xfId="46372" xr:uid="{00000000-0005-0000-0000-000005B50000}"/>
    <cellStyle name="Calculation 8 3 24 3 2" xfId="46373" xr:uid="{00000000-0005-0000-0000-000006B50000}"/>
    <cellStyle name="Calculation 8 3 24 3 3" xfId="46374" xr:uid="{00000000-0005-0000-0000-000007B50000}"/>
    <cellStyle name="Calculation 8 3 24 3 4" xfId="46375" xr:uid="{00000000-0005-0000-0000-000008B50000}"/>
    <cellStyle name="Calculation 8 3 24 3 5" xfId="46376" xr:uid="{00000000-0005-0000-0000-000009B50000}"/>
    <cellStyle name="Calculation 8 3 24 3 6" xfId="46377" xr:uid="{00000000-0005-0000-0000-00000AB50000}"/>
    <cellStyle name="Calculation 8 3 24 4" xfId="46378" xr:uid="{00000000-0005-0000-0000-00000BB50000}"/>
    <cellStyle name="Calculation 8 3 24 4 2" xfId="46379" xr:uid="{00000000-0005-0000-0000-00000CB50000}"/>
    <cellStyle name="Calculation 8 3 24 4 3" xfId="46380" xr:uid="{00000000-0005-0000-0000-00000DB50000}"/>
    <cellStyle name="Calculation 8 3 24 4 4" xfId="46381" xr:uid="{00000000-0005-0000-0000-00000EB50000}"/>
    <cellStyle name="Calculation 8 3 24 4 5" xfId="46382" xr:uid="{00000000-0005-0000-0000-00000FB50000}"/>
    <cellStyle name="Calculation 8 3 24 4 6" xfId="46383" xr:uid="{00000000-0005-0000-0000-000010B50000}"/>
    <cellStyle name="Calculation 8 3 24 5" xfId="46384" xr:uid="{00000000-0005-0000-0000-000011B50000}"/>
    <cellStyle name="Calculation 8 3 24 5 2" xfId="46385" xr:uid="{00000000-0005-0000-0000-000012B50000}"/>
    <cellStyle name="Calculation 8 3 24 5 3" xfId="46386" xr:uid="{00000000-0005-0000-0000-000013B50000}"/>
    <cellStyle name="Calculation 8 3 24 5 4" xfId="46387" xr:uid="{00000000-0005-0000-0000-000014B50000}"/>
    <cellStyle name="Calculation 8 3 24 5 5" xfId="46388" xr:uid="{00000000-0005-0000-0000-000015B50000}"/>
    <cellStyle name="Calculation 8 3 24 5 6" xfId="46389" xr:uid="{00000000-0005-0000-0000-000016B50000}"/>
    <cellStyle name="Calculation 8 3 24 6" xfId="46390" xr:uid="{00000000-0005-0000-0000-000017B50000}"/>
    <cellStyle name="Calculation 8 3 24 6 2" xfId="46391" xr:uid="{00000000-0005-0000-0000-000018B50000}"/>
    <cellStyle name="Calculation 8 3 24 6 3" xfId="46392" xr:uid="{00000000-0005-0000-0000-000019B50000}"/>
    <cellStyle name="Calculation 8 3 24 6 4" xfId="46393" xr:uid="{00000000-0005-0000-0000-00001AB50000}"/>
    <cellStyle name="Calculation 8 3 24 6 5" xfId="46394" xr:uid="{00000000-0005-0000-0000-00001BB50000}"/>
    <cellStyle name="Calculation 8 3 24 6 6" xfId="46395" xr:uid="{00000000-0005-0000-0000-00001CB50000}"/>
    <cellStyle name="Calculation 8 3 24 7" xfId="46396" xr:uid="{00000000-0005-0000-0000-00001DB50000}"/>
    <cellStyle name="Calculation 8 3 24 7 2" xfId="46397" xr:uid="{00000000-0005-0000-0000-00001EB50000}"/>
    <cellStyle name="Calculation 8 3 24 7 3" xfId="46398" xr:uid="{00000000-0005-0000-0000-00001FB50000}"/>
    <cellStyle name="Calculation 8 3 24 7 4" xfId="46399" xr:uid="{00000000-0005-0000-0000-000020B50000}"/>
    <cellStyle name="Calculation 8 3 24 7 5" xfId="46400" xr:uid="{00000000-0005-0000-0000-000021B50000}"/>
    <cellStyle name="Calculation 8 3 24 7 6" xfId="46401" xr:uid="{00000000-0005-0000-0000-000022B50000}"/>
    <cellStyle name="Calculation 8 3 24 8" xfId="46402" xr:uid="{00000000-0005-0000-0000-000023B50000}"/>
    <cellStyle name="Calculation 8 3 24 9" xfId="46403" xr:uid="{00000000-0005-0000-0000-000024B50000}"/>
    <cellStyle name="Calculation 8 3 25" xfId="46404" xr:uid="{00000000-0005-0000-0000-000025B50000}"/>
    <cellStyle name="Calculation 8 3 25 10" xfId="46405" xr:uid="{00000000-0005-0000-0000-000026B50000}"/>
    <cellStyle name="Calculation 8 3 25 2" xfId="46406" xr:uid="{00000000-0005-0000-0000-000027B50000}"/>
    <cellStyle name="Calculation 8 3 25 2 2" xfId="46407" xr:uid="{00000000-0005-0000-0000-000028B50000}"/>
    <cellStyle name="Calculation 8 3 25 2 3" xfId="46408" xr:uid="{00000000-0005-0000-0000-000029B50000}"/>
    <cellStyle name="Calculation 8 3 25 2 4" xfId="46409" xr:uid="{00000000-0005-0000-0000-00002AB50000}"/>
    <cellStyle name="Calculation 8 3 25 2 5" xfId="46410" xr:uid="{00000000-0005-0000-0000-00002BB50000}"/>
    <cellStyle name="Calculation 8 3 25 2 6" xfId="46411" xr:uid="{00000000-0005-0000-0000-00002CB50000}"/>
    <cellStyle name="Calculation 8 3 25 3" xfId="46412" xr:uid="{00000000-0005-0000-0000-00002DB50000}"/>
    <cellStyle name="Calculation 8 3 25 3 2" xfId="46413" xr:uid="{00000000-0005-0000-0000-00002EB50000}"/>
    <cellStyle name="Calculation 8 3 25 3 3" xfId="46414" xr:uid="{00000000-0005-0000-0000-00002FB50000}"/>
    <cellStyle name="Calculation 8 3 25 3 4" xfId="46415" xr:uid="{00000000-0005-0000-0000-000030B50000}"/>
    <cellStyle name="Calculation 8 3 25 3 5" xfId="46416" xr:uid="{00000000-0005-0000-0000-000031B50000}"/>
    <cellStyle name="Calculation 8 3 25 3 6" xfId="46417" xr:uid="{00000000-0005-0000-0000-000032B50000}"/>
    <cellStyle name="Calculation 8 3 25 4" xfId="46418" xr:uid="{00000000-0005-0000-0000-000033B50000}"/>
    <cellStyle name="Calculation 8 3 25 4 2" xfId="46419" xr:uid="{00000000-0005-0000-0000-000034B50000}"/>
    <cellStyle name="Calculation 8 3 25 4 3" xfId="46420" xr:uid="{00000000-0005-0000-0000-000035B50000}"/>
    <cellStyle name="Calculation 8 3 25 4 4" xfId="46421" xr:uid="{00000000-0005-0000-0000-000036B50000}"/>
    <cellStyle name="Calculation 8 3 25 4 5" xfId="46422" xr:uid="{00000000-0005-0000-0000-000037B50000}"/>
    <cellStyle name="Calculation 8 3 25 4 6" xfId="46423" xr:uid="{00000000-0005-0000-0000-000038B50000}"/>
    <cellStyle name="Calculation 8 3 25 5" xfId="46424" xr:uid="{00000000-0005-0000-0000-000039B50000}"/>
    <cellStyle name="Calculation 8 3 25 5 2" xfId="46425" xr:uid="{00000000-0005-0000-0000-00003AB50000}"/>
    <cellStyle name="Calculation 8 3 25 5 3" xfId="46426" xr:uid="{00000000-0005-0000-0000-00003BB50000}"/>
    <cellStyle name="Calculation 8 3 25 5 4" xfId="46427" xr:uid="{00000000-0005-0000-0000-00003CB50000}"/>
    <cellStyle name="Calculation 8 3 25 5 5" xfId="46428" xr:uid="{00000000-0005-0000-0000-00003DB50000}"/>
    <cellStyle name="Calculation 8 3 25 5 6" xfId="46429" xr:uid="{00000000-0005-0000-0000-00003EB50000}"/>
    <cellStyle name="Calculation 8 3 25 6" xfId="46430" xr:uid="{00000000-0005-0000-0000-00003FB50000}"/>
    <cellStyle name="Calculation 8 3 25 6 2" xfId="46431" xr:uid="{00000000-0005-0000-0000-000040B50000}"/>
    <cellStyle name="Calculation 8 3 25 6 3" xfId="46432" xr:uid="{00000000-0005-0000-0000-000041B50000}"/>
    <cellStyle name="Calculation 8 3 25 6 4" xfId="46433" xr:uid="{00000000-0005-0000-0000-000042B50000}"/>
    <cellStyle name="Calculation 8 3 25 6 5" xfId="46434" xr:uid="{00000000-0005-0000-0000-000043B50000}"/>
    <cellStyle name="Calculation 8 3 25 6 6" xfId="46435" xr:uid="{00000000-0005-0000-0000-000044B50000}"/>
    <cellStyle name="Calculation 8 3 25 7" xfId="46436" xr:uid="{00000000-0005-0000-0000-000045B50000}"/>
    <cellStyle name="Calculation 8 3 25 7 2" xfId="46437" xr:uid="{00000000-0005-0000-0000-000046B50000}"/>
    <cellStyle name="Calculation 8 3 25 7 3" xfId="46438" xr:uid="{00000000-0005-0000-0000-000047B50000}"/>
    <cellStyle name="Calculation 8 3 25 7 4" xfId="46439" xr:uid="{00000000-0005-0000-0000-000048B50000}"/>
    <cellStyle name="Calculation 8 3 25 7 5" xfId="46440" xr:uid="{00000000-0005-0000-0000-000049B50000}"/>
    <cellStyle name="Calculation 8 3 25 7 6" xfId="46441" xr:uid="{00000000-0005-0000-0000-00004AB50000}"/>
    <cellStyle name="Calculation 8 3 25 8" xfId="46442" xr:uid="{00000000-0005-0000-0000-00004BB50000}"/>
    <cellStyle name="Calculation 8 3 25 9" xfId="46443" xr:uid="{00000000-0005-0000-0000-00004CB50000}"/>
    <cellStyle name="Calculation 8 3 26" xfId="46444" xr:uid="{00000000-0005-0000-0000-00004DB50000}"/>
    <cellStyle name="Calculation 8 3 26 10" xfId="46445" xr:uid="{00000000-0005-0000-0000-00004EB50000}"/>
    <cellStyle name="Calculation 8 3 26 2" xfId="46446" xr:uid="{00000000-0005-0000-0000-00004FB50000}"/>
    <cellStyle name="Calculation 8 3 26 2 2" xfId="46447" xr:uid="{00000000-0005-0000-0000-000050B50000}"/>
    <cellStyle name="Calculation 8 3 26 2 3" xfId="46448" xr:uid="{00000000-0005-0000-0000-000051B50000}"/>
    <cellStyle name="Calculation 8 3 26 2 4" xfId="46449" xr:uid="{00000000-0005-0000-0000-000052B50000}"/>
    <cellStyle name="Calculation 8 3 26 2 5" xfId="46450" xr:uid="{00000000-0005-0000-0000-000053B50000}"/>
    <cellStyle name="Calculation 8 3 26 2 6" xfId="46451" xr:uid="{00000000-0005-0000-0000-000054B50000}"/>
    <cellStyle name="Calculation 8 3 26 3" xfId="46452" xr:uid="{00000000-0005-0000-0000-000055B50000}"/>
    <cellStyle name="Calculation 8 3 26 3 2" xfId="46453" xr:uid="{00000000-0005-0000-0000-000056B50000}"/>
    <cellStyle name="Calculation 8 3 26 3 3" xfId="46454" xr:uid="{00000000-0005-0000-0000-000057B50000}"/>
    <cellStyle name="Calculation 8 3 26 3 4" xfId="46455" xr:uid="{00000000-0005-0000-0000-000058B50000}"/>
    <cellStyle name="Calculation 8 3 26 3 5" xfId="46456" xr:uid="{00000000-0005-0000-0000-000059B50000}"/>
    <cellStyle name="Calculation 8 3 26 3 6" xfId="46457" xr:uid="{00000000-0005-0000-0000-00005AB50000}"/>
    <cellStyle name="Calculation 8 3 26 4" xfId="46458" xr:uid="{00000000-0005-0000-0000-00005BB50000}"/>
    <cellStyle name="Calculation 8 3 26 4 2" xfId="46459" xr:uid="{00000000-0005-0000-0000-00005CB50000}"/>
    <cellStyle name="Calculation 8 3 26 4 3" xfId="46460" xr:uid="{00000000-0005-0000-0000-00005DB50000}"/>
    <cellStyle name="Calculation 8 3 26 4 4" xfId="46461" xr:uid="{00000000-0005-0000-0000-00005EB50000}"/>
    <cellStyle name="Calculation 8 3 26 4 5" xfId="46462" xr:uid="{00000000-0005-0000-0000-00005FB50000}"/>
    <cellStyle name="Calculation 8 3 26 4 6" xfId="46463" xr:uid="{00000000-0005-0000-0000-000060B50000}"/>
    <cellStyle name="Calculation 8 3 26 5" xfId="46464" xr:uid="{00000000-0005-0000-0000-000061B50000}"/>
    <cellStyle name="Calculation 8 3 26 5 2" xfId="46465" xr:uid="{00000000-0005-0000-0000-000062B50000}"/>
    <cellStyle name="Calculation 8 3 26 5 3" xfId="46466" xr:uid="{00000000-0005-0000-0000-000063B50000}"/>
    <cellStyle name="Calculation 8 3 26 5 4" xfId="46467" xr:uid="{00000000-0005-0000-0000-000064B50000}"/>
    <cellStyle name="Calculation 8 3 26 5 5" xfId="46468" xr:uid="{00000000-0005-0000-0000-000065B50000}"/>
    <cellStyle name="Calculation 8 3 26 5 6" xfId="46469" xr:uid="{00000000-0005-0000-0000-000066B50000}"/>
    <cellStyle name="Calculation 8 3 26 6" xfId="46470" xr:uid="{00000000-0005-0000-0000-000067B50000}"/>
    <cellStyle name="Calculation 8 3 26 6 2" xfId="46471" xr:uid="{00000000-0005-0000-0000-000068B50000}"/>
    <cellStyle name="Calculation 8 3 26 6 3" xfId="46472" xr:uid="{00000000-0005-0000-0000-000069B50000}"/>
    <cellStyle name="Calculation 8 3 26 6 4" xfId="46473" xr:uid="{00000000-0005-0000-0000-00006AB50000}"/>
    <cellStyle name="Calculation 8 3 26 6 5" xfId="46474" xr:uid="{00000000-0005-0000-0000-00006BB50000}"/>
    <cellStyle name="Calculation 8 3 26 6 6" xfId="46475" xr:uid="{00000000-0005-0000-0000-00006CB50000}"/>
    <cellStyle name="Calculation 8 3 26 7" xfId="46476" xr:uid="{00000000-0005-0000-0000-00006DB50000}"/>
    <cellStyle name="Calculation 8 3 26 7 2" xfId="46477" xr:uid="{00000000-0005-0000-0000-00006EB50000}"/>
    <cellStyle name="Calculation 8 3 26 7 3" xfId="46478" xr:uid="{00000000-0005-0000-0000-00006FB50000}"/>
    <cellStyle name="Calculation 8 3 26 7 4" xfId="46479" xr:uid="{00000000-0005-0000-0000-000070B50000}"/>
    <cellStyle name="Calculation 8 3 26 7 5" xfId="46480" xr:uid="{00000000-0005-0000-0000-000071B50000}"/>
    <cellStyle name="Calculation 8 3 26 7 6" xfId="46481" xr:uid="{00000000-0005-0000-0000-000072B50000}"/>
    <cellStyle name="Calculation 8 3 26 8" xfId="46482" xr:uid="{00000000-0005-0000-0000-000073B50000}"/>
    <cellStyle name="Calculation 8 3 26 9" xfId="46483" xr:uid="{00000000-0005-0000-0000-000074B50000}"/>
    <cellStyle name="Calculation 8 3 27" xfId="46484" xr:uid="{00000000-0005-0000-0000-000075B50000}"/>
    <cellStyle name="Calculation 8 3 27 2" xfId="46485" xr:uid="{00000000-0005-0000-0000-000076B50000}"/>
    <cellStyle name="Calculation 8 3 27 3" xfId="46486" xr:uid="{00000000-0005-0000-0000-000077B50000}"/>
    <cellStyle name="Calculation 8 3 27 4" xfId="46487" xr:uid="{00000000-0005-0000-0000-000078B50000}"/>
    <cellStyle name="Calculation 8 3 27 5" xfId="46488" xr:uid="{00000000-0005-0000-0000-000079B50000}"/>
    <cellStyle name="Calculation 8 3 27 6" xfId="46489" xr:uid="{00000000-0005-0000-0000-00007AB50000}"/>
    <cellStyle name="Calculation 8 3 28" xfId="46490" xr:uid="{00000000-0005-0000-0000-00007BB50000}"/>
    <cellStyle name="Calculation 8 3 28 2" xfId="46491" xr:uid="{00000000-0005-0000-0000-00007CB50000}"/>
    <cellStyle name="Calculation 8 3 28 3" xfId="46492" xr:uid="{00000000-0005-0000-0000-00007DB50000}"/>
    <cellStyle name="Calculation 8 3 28 4" xfId="46493" xr:uid="{00000000-0005-0000-0000-00007EB50000}"/>
    <cellStyle name="Calculation 8 3 28 5" xfId="46494" xr:uid="{00000000-0005-0000-0000-00007FB50000}"/>
    <cellStyle name="Calculation 8 3 28 6" xfId="46495" xr:uid="{00000000-0005-0000-0000-000080B50000}"/>
    <cellStyle name="Calculation 8 3 29" xfId="46496" xr:uid="{00000000-0005-0000-0000-000081B50000}"/>
    <cellStyle name="Calculation 8 3 29 2" xfId="46497" xr:uid="{00000000-0005-0000-0000-000082B50000}"/>
    <cellStyle name="Calculation 8 3 29 3" xfId="46498" xr:uid="{00000000-0005-0000-0000-000083B50000}"/>
    <cellStyle name="Calculation 8 3 29 4" xfId="46499" xr:uid="{00000000-0005-0000-0000-000084B50000}"/>
    <cellStyle name="Calculation 8 3 29 5" xfId="46500" xr:uid="{00000000-0005-0000-0000-000085B50000}"/>
    <cellStyle name="Calculation 8 3 29 6" xfId="46501" xr:uid="{00000000-0005-0000-0000-000086B50000}"/>
    <cellStyle name="Calculation 8 3 3" xfId="46502" xr:uid="{00000000-0005-0000-0000-000087B50000}"/>
    <cellStyle name="Calculation 8 3 3 10" xfId="46503" xr:uid="{00000000-0005-0000-0000-000088B50000}"/>
    <cellStyle name="Calculation 8 3 3 2" xfId="46504" xr:uid="{00000000-0005-0000-0000-000089B50000}"/>
    <cellStyle name="Calculation 8 3 3 2 2" xfId="46505" xr:uid="{00000000-0005-0000-0000-00008AB50000}"/>
    <cellStyle name="Calculation 8 3 3 2 3" xfId="46506" xr:uid="{00000000-0005-0000-0000-00008BB50000}"/>
    <cellStyle name="Calculation 8 3 3 2 4" xfId="46507" xr:uid="{00000000-0005-0000-0000-00008CB50000}"/>
    <cellStyle name="Calculation 8 3 3 2 5" xfId="46508" xr:uid="{00000000-0005-0000-0000-00008DB50000}"/>
    <cellStyle name="Calculation 8 3 3 2 6" xfId="46509" xr:uid="{00000000-0005-0000-0000-00008EB50000}"/>
    <cellStyle name="Calculation 8 3 3 3" xfId="46510" xr:uid="{00000000-0005-0000-0000-00008FB50000}"/>
    <cellStyle name="Calculation 8 3 3 3 2" xfId="46511" xr:uid="{00000000-0005-0000-0000-000090B50000}"/>
    <cellStyle name="Calculation 8 3 3 3 3" xfId="46512" xr:uid="{00000000-0005-0000-0000-000091B50000}"/>
    <cellStyle name="Calculation 8 3 3 3 4" xfId="46513" xr:uid="{00000000-0005-0000-0000-000092B50000}"/>
    <cellStyle name="Calculation 8 3 3 3 5" xfId="46514" xr:uid="{00000000-0005-0000-0000-000093B50000}"/>
    <cellStyle name="Calculation 8 3 3 3 6" xfId="46515" xr:uid="{00000000-0005-0000-0000-000094B50000}"/>
    <cellStyle name="Calculation 8 3 3 4" xfId="46516" xr:uid="{00000000-0005-0000-0000-000095B50000}"/>
    <cellStyle name="Calculation 8 3 3 4 2" xfId="46517" xr:uid="{00000000-0005-0000-0000-000096B50000}"/>
    <cellStyle name="Calculation 8 3 3 4 3" xfId="46518" xr:uid="{00000000-0005-0000-0000-000097B50000}"/>
    <cellStyle name="Calculation 8 3 3 4 4" xfId="46519" xr:uid="{00000000-0005-0000-0000-000098B50000}"/>
    <cellStyle name="Calculation 8 3 3 4 5" xfId="46520" xr:uid="{00000000-0005-0000-0000-000099B50000}"/>
    <cellStyle name="Calculation 8 3 3 4 6" xfId="46521" xr:uid="{00000000-0005-0000-0000-00009AB50000}"/>
    <cellStyle name="Calculation 8 3 3 5" xfId="46522" xr:uid="{00000000-0005-0000-0000-00009BB50000}"/>
    <cellStyle name="Calculation 8 3 3 5 2" xfId="46523" xr:uid="{00000000-0005-0000-0000-00009CB50000}"/>
    <cellStyle name="Calculation 8 3 3 5 3" xfId="46524" xr:uid="{00000000-0005-0000-0000-00009DB50000}"/>
    <cellStyle name="Calculation 8 3 3 5 4" xfId="46525" xr:uid="{00000000-0005-0000-0000-00009EB50000}"/>
    <cellStyle name="Calculation 8 3 3 5 5" xfId="46526" xr:uid="{00000000-0005-0000-0000-00009FB50000}"/>
    <cellStyle name="Calculation 8 3 3 5 6" xfId="46527" xr:uid="{00000000-0005-0000-0000-0000A0B50000}"/>
    <cellStyle name="Calculation 8 3 3 6" xfId="46528" xr:uid="{00000000-0005-0000-0000-0000A1B50000}"/>
    <cellStyle name="Calculation 8 3 3 6 2" xfId="46529" xr:uid="{00000000-0005-0000-0000-0000A2B50000}"/>
    <cellStyle name="Calculation 8 3 3 6 3" xfId="46530" xr:uid="{00000000-0005-0000-0000-0000A3B50000}"/>
    <cellStyle name="Calculation 8 3 3 6 4" xfId="46531" xr:uid="{00000000-0005-0000-0000-0000A4B50000}"/>
    <cellStyle name="Calculation 8 3 3 6 5" xfId="46532" xr:uid="{00000000-0005-0000-0000-0000A5B50000}"/>
    <cellStyle name="Calculation 8 3 3 6 6" xfId="46533" xr:uid="{00000000-0005-0000-0000-0000A6B50000}"/>
    <cellStyle name="Calculation 8 3 3 7" xfId="46534" xr:uid="{00000000-0005-0000-0000-0000A7B50000}"/>
    <cellStyle name="Calculation 8 3 3 7 2" xfId="46535" xr:uid="{00000000-0005-0000-0000-0000A8B50000}"/>
    <cellStyle name="Calculation 8 3 3 7 3" xfId="46536" xr:uid="{00000000-0005-0000-0000-0000A9B50000}"/>
    <cellStyle name="Calculation 8 3 3 7 4" xfId="46537" xr:uid="{00000000-0005-0000-0000-0000AAB50000}"/>
    <cellStyle name="Calculation 8 3 3 7 5" xfId="46538" xr:uid="{00000000-0005-0000-0000-0000ABB50000}"/>
    <cellStyle name="Calculation 8 3 3 7 6" xfId="46539" xr:uid="{00000000-0005-0000-0000-0000ACB50000}"/>
    <cellStyle name="Calculation 8 3 3 8" xfId="46540" xr:uid="{00000000-0005-0000-0000-0000ADB50000}"/>
    <cellStyle name="Calculation 8 3 3 9" xfId="46541" xr:uid="{00000000-0005-0000-0000-0000AEB50000}"/>
    <cellStyle name="Calculation 8 3 30" xfId="46542" xr:uid="{00000000-0005-0000-0000-0000AFB50000}"/>
    <cellStyle name="Calculation 8 3 30 2" xfId="46543" xr:uid="{00000000-0005-0000-0000-0000B0B50000}"/>
    <cellStyle name="Calculation 8 3 30 3" xfId="46544" xr:uid="{00000000-0005-0000-0000-0000B1B50000}"/>
    <cellStyle name="Calculation 8 3 30 4" xfId="46545" xr:uid="{00000000-0005-0000-0000-0000B2B50000}"/>
    <cellStyle name="Calculation 8 3 30 5" xfId="46546" xr:uid="{00000000-0005-0000-0000-0000B3B50000}"/>
    <cellStyle name="Calculation 8 3 30 6" xfId="46547" xr:uid="{00000000-0005-0000-0000-0000B4B50000}"/>
    <cellStyle name="Calculation 8 3 31" xfId="46548" xr:uid="{00000000-0005-0000-0000-0000B5B50000}"/>
    <cellStyle name="Calculation 8 3 31 2" xfId="46549" xr:uid="{00000000-0005-0000-0000-0000B6B50000}"/>
    <cellStyle name="Calculation 8 3 31 3" xfId="46550" xr:uid="{00000000-0005-0000-0000-0000B7B50000}"/>
    <cellStyle name="Calculation 8 3 31 4" xfId="46551" xr:uid="{00000000-0005-0000-0000-0000B8B50000}"/>
    <cellStyle name="Calculation 8 3 31 5" xfId="46552" xr:uid="{00000000-0005-0000-0000-0000B9B50000}"/>
    <cellStyle name="Calculation 8 3 31 6" xfId="46553" xr:uid="{00000000-0005-0000-0000-0000BAB50000}"/>
    <cellStyle name="Calculation 8 3 32" xfId="46554" xr:uid="{00000000-0005-0000-0000-0000BBB50000}"/>
    <cellStyle name="Calculation 8 3 32 2" xfId="46555" xr:uid="{00000000-0005-0000-0000-0000BCB50000}"/>
    <cellStyle name="Calculation 8 3 32 3" xfId="46556" xr:uid="{00000000-0005-0000-0000-0000BDB50000}"/>
    <cellStyle name="Calculation 8 3 32 4" xfId="46557" xr:uid="{00000000-0005-0000-0000-0000BEB50000}"/>
    <cellStyle name="Calculation 8 3 32 5" xfId="46558" xr:uid="{00000000-0005-0000-0000-0000BFB50000}"/>
    <cellStyle name="Calculation 8 3 32 6" xfId="46559" xr:uid="{00000000-0005-0000-0000-0000C0B50000}"/>
    <cellStyle name="Calculation 8 3 33" xfId="46560" xr:uid="{00000000-0005-0000-0000-0000C1B50000}"/>
    <cellStyle name="Calculation 8 3 34" xfId="46561" xr:uid="{00000000-0005-0000-0000-0000C2B50000}"/>
    <cellStyle name="Calculation 8 3 35" xfId="46562" xr:uid="{00000000-0005-0000-0000-0000C3B50000}"/>
    <cellStyle name="Calculation 8 3 4" xfId="46563" xr:uid="{00000000-0005-0000-0000-0000C4B50000}"/>
    <cellStyle name="Calculation 8 3 4 10" xfId="46564" xr:uid="{00000000-0005-0000-0000-0000C5B50000}"/>
    <cellStyle name="Calculation 8 3 4 2" xfId="46565" xr:uid="{00000000-0005-0000-0000-0000C6B50000}"/>
    <cellStyle name="Calculation 8 3 4 2 2" xfId="46566" xr:uid="{00000000-0005-0000-0000-0000C7B50000}"/>
    <cellStyle name="Calculation 8 3 4 2 3" xfId="46567" xr:uid="{00000000-0005-0000-0000-0000C8B50000}"/>
    <cellStyle name="Calculation 8 3 4 2 4" xfId="46568" xr:uid="{00000000-0005-0000-0000-0000C9B50000}"/>
    <cellStyle name="Calculation 8 3 4 2 5" xfId="46569" xr:uid="{00000000-0005-0000-0000-0000CAB50000}"/>
    <cellStyle name="Calculation 8 3 4 2 6" xfId="46570" xr:uid="{00000000-0005-0000-0000-0000CBB50000}"/>
    <cellStyle name="Calculation 8 3 4 3" xfId="46571" xr:uid="{00000000-0005-0000-0000-0000CCB50000}"/>
    <cellStyle name="Calculation 8 3 4 3 2" xfId="46572" xr:uid="{00000000-0005-0000-0000-0000CDB50000}"/>
    <cellStyle name="Calculation 8 3 4 3 3" xfId="46573" xr:uid="{00000000-0005-0000-0000-0000CEB50000}"/>
    <cellStyle name="Calculation 8 3 4 3 4" xfId="46574" xr:uid="{00000000-0005-0000-0000-0000CFB50000}"/>
    <cellStyle name="Calculation 8 3 4 3 5" xfId="46575" xr:uid="{00000000-0005-0000-0000-0000D0B50000}"/>
    <cellStyle name="Calculation 8 3 4 3 6" xfId="46576" xr:uid="{00000000-0005-0000-0000-0000D1B50000}"/>
    <cellStyle name="Calculation 8 3 4 4" xfId="46577" xr:uid="{00000000-0005-0000-0000-0000D2B50000}"/>
    <cellStyle name="Calculation 8 3 4 4 2" xfId="46578" xr:uid="{00000000-0005-0000-0000-0000D3B50000}"/>
    <cellStyle name="Calculation 8 3 4 4 3" xfId="46579" xr:uid="{00000000-0005-0000-0000-0000D4B50000}"/>
    <cellStyle name="Calculation 8 3 4 4 4" xfId="46580" xr:uid="{00000000-0005-0000-0000-0000D5B50000}"/>
    <cellStyle name="Calculation 8 3 4 4 5" xfId="46581" xr:uid="{00000000-0005-0000-0000-0000D6B50000}"/>
    <cellStyle name="Calculation 8 3 4 4 6" xfId="46582" xr:uid="{00000000-0005-0000-0000-0000D7B50000}"/>
    <cellStyle name="Calculation 8 3 4 5" xfId="46583" xr:uid="{00000000-0005-0000-0000-0000D8B50000}"/>
    <cellStyle name="Calculation 8 3 4 5 2" xfId="46584" xr:uid="{00000000-0005-0000-0000-0000D9B50000}"/>
    <cellStyle name="Calculation 8 3 4 5 3" xfId="46585" xr:uid="{00000000-0005-0000-0000-0000DAB50000}"/>
    <cellStyle name="Calculation 8 3 4 5 4" xfId="46586" xr:uid="{00000000-0005-0000-0000-0000DBB50000}"/>
    <cellStyle name="Calculation 8 3 4 5 5" xfId="46587" xr:uid="{00000000-0005-0000-0000-0000DCB50000}"/>
    <cellStyle name="Calculation 8 3 4 5 6" xfId="46588" xr:uid="{00000000-0005-0000-0000-0000DDB50000}"/>
    <cellStyle name="Calculation 8 3 4 6" xfId="46589" xr:uid="{00000000-0005-0000-0000-0000DEB50000}"/>
    <cellStyle name="Calculation 8 3 4 6 2" xfId="46590" xr:uid="{00000000-0005-0000-0000-0000DFB50000}"/>
    <cellStyle name="Calculation 8 3 4 6 3" xfId="46591" xr:uid="{00000000-0005-0000-0000-0000E0B50000}"/>
    <cellStyle name="Calculation 8 3 4 6 4" xfId="46592" xr:uid="{00000000-0005-0000-0000-0000E1B50000}"/>
    <cellStyle name="Calculation 8 3 4 6 5" xfId="46593" xr:uid="{00000000-0005-0000-0000-0000E2B50000}"/>
    <cellStyle name="Calculation 8 3 4 6 6" xfId="46594" xr:uid="{00000000-0005-0000-0000-0000E3B50000}"/>
    <cellStyle name="Calculation 8 3 4 7" xfId="46595" xr:uid="{00000000-0005-0000-0000-0000E4B50000}"/>
    <cellStyle name="Calculation 8 3 4 7 2" xfId="46596" xr:uid="{00000000-0005-0000-0000-0000E5B50000}"/>
    <cellStyle name="Calculation 8 3 4 7 3" xfId="46597" xr:uid="{00000000-0005-0000-0000-0000E6B50000}"/>
    <cellStyle name="Calculation 8 3 4 7 4" xfId="46598" xr:uid="{00000000-0005-0000-0000-0000E7B50000}"/>
    <cellStyle name="Calculation 8 3 4 7 5" xfId="46599" xr:uid="{00000000-0005-0000-0000-0000E8B50000}"/>
    <cellStyle name="Calculation 8 3 4 7 6" xfId="46600" xr:uid="{00000000-0005-0000-0000-0000E9B50000}"/>
    <cellStyle name="Calculation 8 3 4 8" xfId="46601" xr:uid="{00000000-0005-0000-0000-0000EAB50000}"/>
    <cellStyle name="Calculation 8 3 4 9" xfId="46602" xr:uid="{00000000-0005-0000-0000-0000EBB50000}"/>
    <cellStyle name="Calculation 8 3 5" xfId="46603" xr:uid="{00000000-0005-0000-0000-0000ECB50000}"/>
    <cellStyle name="Calculation 8 3 5 10" xfId="46604" xr:uid="{00000000-0005-0000-0000-0000EDB50000}"/>
    <cellStyle name="Calculation 8 3 5 2" xfId="46605" xr:uid="{00000000-0005-0000-0000-0000EEB50000}"/>
    <cellStyle name="Calculation 8 3 5 2 2" xfId="46606" xr:uid="{00000000-0005-0000-0000-0000EFB50000}"/>
    <cellStyle name="Calculation 8 3 5 2 3" xfId="46607" xr:uid="{00000000-0005-0000-0000-0000F0B50000}"/>
    <cellStyle name="Calculation 8 3 5 2 4" xfId="46608" xr:uid="{00000000-0005-0000-0000-0000F1B50000}"/>
    <cellStyle name="Calculation 8 3 5 2 5" xfId="46609" xr:uid="{00000000-0005-0000-0000-0000F2B50000}"/>
    <cellStyle name="Calculation 8 3 5 2 6" xfId="46610" xr:uid="{00000000-0005-0000-0000-0000F3B50000}"/>
    <cellStyle name="Calculation 8 3 5 3" xfId="46611" xr:uid="{00000000-0005-0000-0000-0000F4B50000}"/>
    <cellStyle name="Calculation 8 3 5 3 2" xfId="46612" xr:uid="{00000000-0005-0000-0000-0000F5B50000}"/>
    <cellStyle name="Calculation 8 3 5 3 3" xfId="46613" xr:uid="{00000000-0005-0000-0000-0000F6B50000}"/>
    <cellStyle name="Calculation 8 3 5 3 4" xfId="46614" xr:uid="{00000000-0005-0000-0000-0000F7B50000}"/>
    <cellStyle name="Calculation 8 3 5 3 5" xfId="46615" xr:uid="{00000000-0005-0000-0000-0000F8B50000}"/>
    <cellStyle name="Calculation 8 3 5 3 6" xfId="46616" xr:uid="{00000000-0005-0000-0000-0000F9B50000}"/>
    <cellStyle name="Calculation 8 3 5 4" xfId="46617" xr:uid="{00000000-0005-0000-0000-0000FAB50000}"/>
    <cellStyle name="Calculation 8 3 5 4 2" xfId="46618" xr:uid="{00000000-0005-0000-0000-0000FBB50000}"/>
    <cellStyle name="Calculation 8 3 5 4 3" xfId="46619" xr:uid="{00000000-0005-0000-0000-0000FCB50000}"/>
    <cellStyle name="Calculation 8 3 5 4 4" xfId="46620" xr:uid="{00000000-0005-0000-0000-0000FDB50000}"/>
    <cellStyle name="Calculation 8 3 5 4 5" xfId="46621" xr:uid="{00000000-0005-0000-0000-0000FEB50000}"/>
    <cellStyle name="Calculation 8 3 5 4 6" xfId="46622" xr:uid="{00000000-0005-0000-0000-0000FFB50000}"/>
    <cellStyle name="Calculation 8 3 5 5" xfId="46623" xr:uid="{00000000-0005-0000-0000-000000B60000}"/>
    <cellStyle name="Calculation 8 3 5 5 2" xfId="46624" xr:uid="{00000000-0005-0000-0000-000001B60000}"/>
    <cellStyle name="Calculation 8 3 5 5 3" xfId="46625" xr:uid="{00000000-0005-0000-0000-000002B60000}"/>
    <cellStyle name="Calculation 8 3 5 5 4" xfId="46626" xr:uid="{00000000-0005-0000-0000-000003B60000}"/>
    <cellStyle name="Calculation 8 3 5 5 5" xfId="46627" xr:uid="{00000000-0005-0000-0000-000004B60000}"/>
    <cellStyle name="Calculation 8 3 5 5 6" xfId="46628" xr:uid="{00000000-0005-0000-0000-000005B60000}"/>
    <cellStyle name="Calculation 8 3 5 6" xfId="46629" xr:uid="{00000000-0005-0000-0000-000006B60000}"/>
    <cellStyle name="Calculation 8 3 5 6 2" xfId="46630" xr:uid="{00000000-0005-0000-0000-000007B60000}"/>
    <cellStyle name="Calculation 8 3 5 6 3" xfId="46631" xr:uid="{00000000-0005-0000-0000-000008B60000}"/>
    <cellStyle name="Calculation 8 3 5 6 4" xfId="46632" xr:uid="{00000000-0005-0000-0000-000009B60000}"/>
    <cellStyle name="Calculation 8 3 5 6 5" xfId="46633" xr:uid="{00000000-0005-0000-0000-00000AB60000}"/>
    <cellStyle name="Calculation 8 3 5 6 6" xfId="46634" xr:uid="{00000000-0005-0000-0000-00000BB60000}"/>
    <cellStyle name="Calculation 8 3 5 7" xfId="46635" xr:uid="{00000000-0005-0000-0000-00000CB60000}"/>
    <cellStyle name="Calculation 8 3 5 7 2" xfId="46636" xr:uid="{00000000-0005-0000-0000-00000DB60000}"/>
    <cellStyle name="Calculation 8 3 5 7 3" xfId="46637" xr:uid="{00000000-0005-0000-0000-00000EB60000}"/>
    <cellStyle name="Calculation 8 3 5 7 4" xfId="46638" xr:uid="{00000000-0005-0000-0000-00000FB60000}"/>
    <cellStyle name="Calculation 8 3 5 7 5" xfId="46639" xr:uid="{00000000-0005-0000-0000-000010B60000}"/>
    <cellStyle name="Calculation 8 3 5 7 6" xfId="46640" xr:uid="{00000000-0005-0000-0000-000011B60000}"/>
    <cellStyle name="Calculation 8 3 5 8" xfId="46641" xr:uid="{00000000-0005-0000-0000-000012B60000}"/>
    <cellStyle name="Calculation 8 3 5 9" xfId="46642" xr:uid="{00000000-0005-0000-0000-000013B60000}"/>
    <cellStyle name="Calculation 8 3 6" xfId="46643" xr:uid="{00000000-0005-0000-0000-000014B60000}"/>
    <cellStyle name="Calculation 8 3 6 10" xfId="46644" xr:uid="{00000000-0005-0000-0000-000015B60000}"/>
    <cellStyle name="Calculation 8 3 6 2" xfId="46645" xr:uid="{00000000-0005-0000-0000-000016B60000}"/>
    <cellStyle name="Calculation 8 3 6 2 2" xfId="46646" xr:uid="{00000000-0005-0000-0000-000017B60000}"/>
    <cellStyle name="Calculation 8 3 6 2 3" xfId="46647" xr:uid="{00000000-0005-0000-0000-000018B60000}"/>
    <cellStyle name="Calculation 8 3 6 2 4" xfId="46648" xr:uid="{00000000-0005-0000-0000-000019B60000}"/>
    <cellStyle name="Calculation 8 3 6 2 5" xfId="46649" xr:uid="{00000000-0005-0000-0000-00001AB60000}"/>
    <cellStyle name="Calculation 8 3 6 2 6" xfId="46650" xr:uid="{00000000-0005-0000-0000-00001BB60000}"/>
    <cellStyle name="Calculation 8 3 6 3" xfId="46651" xr:uid="{00000000-0005-0000-0000-00001CB60000}"/>
    <cellStyle name="Calculation 8 3 6 3 2" xfId="46652" xr:uid="{00000000-0005-0000-0000-00001DB60000}"/>
    <cellStyle name="Calculation 8 3 6 3 3" xfId="46653" xr:uid="{00000000-0005-0000-0000-00001EB60000}"/>
    <cellStyle name="Calculation 8 3 6 3 4" xfId="46654" xr:uid="{00000000-0005-0000-0000-00001FB60000}"/>
    <cellStyle name="Calculation 8 3 6 3 5" xfId="46655" xr:uid="{00000000-0005-0000-0000-000020B60000}"/>
    <cellStyle name="Calculation 8 3 6 3 6" xfId="46656" xr:uid="{00000000-0005-0000-0000-000021B60000}"/>
    <cellStyle name="Calculation 8 3 6 4" xfId="46657" xr:uid="{00000000-0005-0000-0000-000022B60000}"/>
    <cellStyle name="Calculation 8 3 6 4 2" xfId="46658" xr:uid="{00000000-0005-0000-0000-000023B60000}"/>
    <cellStyle name="Calculation 8 3 6 4 3" xfId="46659" xr:uid="{00000000-0005-0000-0000-000024B60000}"/>
    <cellStyle name="Calculation 8 3 6 4 4" xfId="46660" xr:uid="{00000000-0005-0000-0000-000025B60000}"/>
    <cellStyle name="Calculation 8 3 6 4 5" xfId="46661" xr:uid="{00000000-0005-0000-0000-000026B60000}"/>
    <cellStyle name="Calculation 8 3 6 4 6" xfId="46662" xr:uid="{00000000-0005-0000-0000-000027B60000}"/>
    <cellStyle name="Calculation 8 3 6 5" xfId="46663" xr:uid="{00000000-0005-0000-0000-000028B60000}"/>
    <cellStyle name="Calculation 8 3 6 5 2" xfId="46664" xr:uid="{00000000-0005-0000-0000-000029B60000}"/>
    <cellStyle name="Calculation 8 3 6 5 3" xfId="46665" xr:uid="{00000000-0005-0000-0000-00002AB60000}"/>
    <cellStyle name="Calculation 8 3 6 5 4" xfId="46666" xr:uid="{00000000-0005-0000-0000-00002BB60000}"/>
    <cellStyle name="Calculation 8 3 6 5 5" xfId="46667" xr:uid="{00000000-0005-0000-0000-00002CB60000}"/>
    <cellStyle name="Calculation 8 3 6 5 6" xfId="46668" xr:uid="{00000000-0005-0000-0000-00002DB60000}"/>
    <cellStyle name="Calculation 8 3 6 6" xfId="46669" xr:uid="{00000000-0005-0000-0000-00002EB60000}"/>
    <cellStyle name="Calculation 8 3 6 6 2" xfId="46670" xr:uid="{00000000-0005-0000-0000-00002FB60000}"/>
    <cellStyle name="Calculation 8 3 6 6 3" xfId="46671" xr:uid="{00000000-0005-0000-0000-000030B60000}"/>
    <cellStyle name="Calculation 8 3 6 6 4" xfId="46672" xr:uid="{00000000-0005-0000-0000-000031B60000}"/>
    <cellStyle name="Calculation 8 3 6 6 5" xfId="46673" xr:uid="{00000000-0005-0000-0000-000032B60000}"/>
    <cellStyle name="Calculation 8 3 6 6 6" xfId="46674" xr:uid="{00000000-0005-0000-0000-000033B60000}"/>
    <cellStyle name="Calculation 8 3 6 7" xfId="46675" xr:uid="{00000000-0005-0000-0000-000034B60000}"/>
    <cellStyle name="Calculation 8 3 6 7 2" xfId="46676" xr:uid="{00000000-0005-0000-0000-000035B60000}"/>
    <cellStyle name="Calculation 8 3 6 7 3" xfId="46677" xr:uid="{00000000-0005-0000-0000-000036B60000}"/>
    <cellStyle name="Calculation 8 3 6 7 4" xfId="46678" xr:uid="{00000000-0005-0000-0000-000037B60000}"/>
    <cellStyle name="Calculation 8 3 6 7 5" xfId="46679" xr:uid="{00000000-0005-0000-0000-000038B60000}"/>
    <cellStyle name="Calculation 8 3 6 7 6" xfId="46680" xr:uid="{00000000-0005-0000-0000-000039B60000}"/>
    <cellStyle name="Calculation 8 3 6 8" xfId="46681" xr:uid="{00000000-0005-0000-0000-00003AB60000}"/>
    <cellStyle name="Calculation 8 3 6 9" xfId="46682" xr:uid="{00000000-0005-0000-0000-00003BB60000}"/>
    <cellStyle name="Calculation 8 3 7" xfId="46683" xr:uid="{00000000-0005-0000-0000-00003CB60000}"/>
    <cellStyle name="Calculation 8 3 7 10" xfId="46684" xr:uid="{00000000-0005-0000-0000-00003DB60000}"/>
    <cellStyle name="Calculation 8 3 7 2" xfId="46685" xr:uid="{00000000-0005-0000-0000-00003EB60000}"/>
    <cellStyle name="Calculation 8 3 7 2 2" xfId="46686" xr:uid="{00000000-0005-0000-0000-00003FB60000}"/>
    <cellStyle name="Calculation 8 3 7 2 3" xfId="46687" xr:uid="{00000000-0005-0000-0000-000040B60000}"/>
    <cellStyle name="Calculation 8 3 7 2 4" xfId="46688" xr:uid="{00000000-0005-0000-0000-000041B60000}"/>
    <cellStyle name="Calculation 8 3 7 2 5" xfId="46689" xr:uid="{00000000-0005-0000-0000-000042B60000}"/>
    <cellStyle name="Calculation 8 3 7 2 6" xfId="46690" xr:uid="{00000000-0005-0000-0000-000043B60000}"/>
    <cellStyle name="Calculation 8 3 7 3" xfId="46691" xr:uid="{00000000-0005-0000-0000-000044B60000}"/>
    <cellStyle name="Calculation 8 3 7 3 2" xfId="46692" xr:uid="{00000000-0005-0000-0000-000045B60000}"/>
    <cellStyle name="Calculation 8 3 7 3 3" xfId="46693" xr:uid="{00000000-0005-0000-0000-000046B60000}"/>
    <cellStyle name="Calculation 8 3 7 3 4" xfId="46694" xr:uid="{00000000-0005-0000-0000-000047B60000}"/>
    <cellStyle name="Calculation 8 3 7 3 5" xfId="46695" xr:uid="{00000000-0005-0000-0000-000048B60000}"/>
    <cellStyle name="Calculation 8 3 7 3 6" xfId="46696" xr:uid="{00000000-0005-0000-0000-000049B60000}"/>
    <cellStyle name="Calculation 8 3 7 4" xfId="46697" xr:uid="{00000000-0005-0000-0000-00004AB60000}"/>
    <cellStyle name="Calculation 8 3 7 4 2" xfId="46698" xr:uid="{00000000-0005-0000-0000-00004BB60000}"/>
    <cellStyle name="Calculation 8 3 7 4 3" xfId="46699" xr:uid="{00000000-0005-0000-0000-00004CB60000}"/>
    <cellStyle name="Calculation 8 3 7 4 4" xfId="46700" xr:uid="{00000000-0005-0000-0000-00004DB60000}"/>
    <cellStyle name="Calculation 8 3 7 4 5" xfId="46701" xr:uid="{00000000-0005-0000-0000-00004EB60000}"/>
    <cellStyle name="Calculation 8 3 7 4 6" xfId="46702" xr:uid="{00000000-0005-0000-0000-00004FB60000}"/>
    <cellStyle name="Calculation 8 3 7 5" xfId="46703" xr:uid="{00000000-0005-0000-0000-000050B60000}"/>
    <cellStyle name="Calculation 8 3 7 5 2" xfId="46704" xr:uid="{00000000-0005-0000-0000-000051B60000}"/>
    <cellStyle name="Calculation 8 3 7 5 3" xfId="46705" xr:uid="{00000000-0005-0000-0000-000052B60000}"/>
    <cellStyle name="Calculation 8 3 7 5 4" xfId="46706" xr:uid="{00000000-0005-0000-0000-000053B60000}"/>
    <cellStyle name="Calculation 8 3 7 5 5" xfId="46707" xr:uid="{00000000-0005-0000-0000-000054B60000}"/>
    <cellStyle name="Calculation 8 3 7 5 6" xfId="46708" xr:uid="{00000000-0005-0000-0000-000055B60000}"/>
    <cellStyle name="Calculation 8 3 7 6" xfId="46709" xr:uid="{00000000-0005-0000-0000-000056B60000}"/>
    <cellStyle name="Calculation 8 3 7 6 2" xfId="46710" xr:uid="{00000000-0005-0000-0000-000057B60000}"/>
    <cellStyle name="Calculation 8 3 7 6 3" xfId="46711" xr:uid="{00000000-0005-0000-0000-000058B60000}"/>
    <cellStyle name="Calculation 8 3 7 6 4" xfId="46712" xr:uid="{00000000-0005-0000-0000-000059B60000}"/>
    <cellStyle name="Calculation 8 3 7 6 5" xfId="46713" xr:uid="{00000000-0005-0000-0000-00005AB60000}"/>
    <cellStyle name="Calculation 8 3 7 6 6" xfId="46714" xr:uid="{00000000-0005-0000-0000-00005BB60000}"/>
    <cellStyle name="Calculation 8 3 7 7" xfId="46715" xr:uid="{00000000-0005-0000-0000-00005CB60000}"/>
    <cellStyle name="Calculation 8 3 7 7 2" xfId="46716" xr:uid="{00000000-0005-0000-0000-00005DB60000}"/>
    <cellStyle name="Calculation 8 3 7 7 3" xfId="46717" xr:uid="{00000000-0005-0000-0000-00005EB60000}"/>
    <cellStyle name="Calculation 8 3 7 7 4" xfId="46718" xr:uid="{00000000-0005-0000-0000-00005FB60000}"/>
    <cellStyle name="Calculation 8 3 7 7 5" xfId="46719" xr:uid="{00000000-0005-0000-0000-000060B60000}"/>
    <cellStyle name="Calculation 8 3 7 7 6" xfId="46720" xr:uid="{00000000-0005-0000-0000-000061B60000}"/>
    <cellStyle name="Calculation 8 3 7 8" xfId="46721" xr:uid="{00000000-0005-0000-0000-000062B60000}"/>
    <cellStyle name="Calculation 8 3 7 9" xfId="46722" xr:uid="{00000000-0005-0000-0000-000063B60000}"/>
    <cellStyle name="Calculation 8 3 8" xfId="46723" xr:uid="{00000000-0005-0000-0000-000064B60000}"/>
    <cellStyle name="Calculation 8 3 8 10" xfId="46724" xr:uid="{00000000-0005-0000-0000-000065B60000}"/>
    <cellStyle name="Calculation 8 3 8 2" xfId="46725" xr:uid="{00000000-0005-0000-0000-000066B60000}"/>
    <cellStyle name="Calculation 8 3 8 2 2" xfId="46726" xr:uid="{00000000-0005-0000-0000-000067B60000}"/>
    <cellStyle name="Calculation 8 3 8 2 3" xfId="46727" xr:uid="{00000000-0005-0000-0000-000068B60000}"/>
    <cellStyle name="Calculation 8 3 8 2 4" xfId="46728" xr:uid="{00000000-0005-0000-0000-000069B60000}"/>
    <cellStyle name="Calculation 8 3 8 2 5" xfId="46729" xr:uid="{00000000-0005-0000-0000-00006AB60000}"/>
    <cellStyle name="Calculation 8 3 8 2 6" xfId="46730" xr:uid="{00000000-0005-0000-0000-00006BB60000}"/>
    <cellStyle name="Calculation 8 3 8 3" xfId="46731" xr:uid="{00000000-0005-0000-0000-00006CB60000}"/>
    <cellStyle name="Calculation 8 3 8 3 2" xfId="46732" xr:uid="{00000000-0005-0000-0000-00006DB60000}"/>
    <cellStyle name="Calculation 8 3 8 3 3" xfId="46733" xr:uid="{00000000-0005-0000-0000-00006EB60000}"/>
    <cellStyle name="Calculation 8 3 8 3 4" xfId="46734" xr:uid="{00000000-0005-0000-0000-00006FB60000}"/>
    <cellStyle name="Calculation 8 3 8 3 5" xfId="46735" xr:uid="{00000000-0005-0000-0000-000070B60000}"/>
    <cellStyle name="Calculation 8 3 8 3 6" xfId="46736" xr:uid="{00000000-0005-0000-0000-000071B60000}"/>
    <cellStyle name="Calculation 8 3 8 4" xfId="46737" xr:uid="{00000000-0005-0000-0000-000072B60000}"/>
    <cellStyle name="Calculation 8 3 8 4 2" xfId="46738" xr:uid="{00000000-0005-0000-0000-000073B60000}"/>
    <cellStyle name="Calculation 8 3 8 4 3" xfId="46739" xr:uid="{00000000-0005-0000-0000-000074B60000}"/>
    <cellStyle name="Calculation 8 3 8 4 4" xfId="46740" xr:uid="{00000000-0005-0000-0000-000075B60000}"/>
    <cellStyle name="Calculation 8 3 8 4 5" xfId="46741" xr:uid="{00000000-0005-0000-0000-000076B60000}"/>
    <cellStyle name="Calculation 8 3 8 4 6" xfId="46742" xr:uid="{00000000-0005-0000-0000-000077B60000}"/>
    <cellStyle name="Calculation 8 3 8 5" xfId="46743" xr:uid="{00000000-0005-0000-0000-000078B60000}"/>
    <cellStyle name="Calculation 8 3 8 5 2" xfId="46744" xr:uid="{00000000-0005-0000-0000-000079B60000}"/>
    <cellStyle name="Calculation 8 3 8 5 3" xfId="46745" xr:uid="{00000000-0005-0000-0000-00007AB60000}"/>
    <cellStyle name="Calculation 8 3 8 5 4" xfId="46746" xr:uid="{00000000-0005-0000-0000-00007BB60000}"/>
    <cellStyle name="Calculation 8 3 8 5 5" xfId="46747" xr:uid="{00000000-0005-0000-0000-00007CB60000}"/>
    <cellStyle name="Calculation 8 3 8 5 6" xfId="46748" xr:uid="{00000000-0005-0000-0000-00007DB60000}"/>
    <cellStyle name="Calculation 8 3 8 6" xfId="46749" xr:uid="{00000000-0005-0000-0000-00007EB60000}"/>
    <cellStyle name="Calculation 8 3 8 6 2" xfId="46750" xr:uid="{00000000-0005-0000-0000-00007FB60000}"/>
    <cellStyle name="Calculation 8 3 8 6 3" xfId="46751" xr:uid="{00000000-0005-0000-0000-000080B60000}"/>
    <cellStyle name="Calculation 8 3 8 6 4" xfId="46752" xr:uid="{00000000-0005-0000-0000-000081B60000}"/>
    <cellStyle name="Calculation 8 3 8 6 5" xfId="46753" xr:uid="{00000000-0005-0000-0000-000082B60000}"/>
    <cellStyle name="Calculation 8 3 8 6 6" xfId="46754" xr:uid="{00000000-0005-0000-0000-000083B60000}"/>
    <cellStyle name="Calculation 8 3 8 7" xfId="46755" xr:uid="{00000000-0005-0000-0000-000084B60000}"/>
    <cellStyle name="Calculation 8 3 8 7 2" xfId="46756" xr:uid="{00000000-0005-0000-0000-000085B60000}"/>
    <cellStyle name="Calculation 8 3 8 7 3" xfId="46757" xr:uid="{00000000-0005-0000-0000-000086B60000}"/>
    <cellStyle name="Calculation 8 3 8 7 4" xfId="46758" xr:uid="{00000000-0005-0000-0000-000087B60000}"/>
    <cellStyle name="Calculation 8 3 8 7 5" xfId="46759" xr:uid="{00000000-0005-0000-0000-000088B60000}"/>
    <cellStyle name="Calculation 8 3 8 7 6" xfId="46760" xr:uid="{00000000-0005-0000-0000-000089B60000}"/>
    <cellStyle name="Calculation 8 3 8 8" xfId="46761" xr:uid="{00000000-0005-0000-0000-00008AB60000}"/>
    <cellStyle name="Calculation 8 3 8 9" xfId="46762" xr:uid="{00000000-0005-0000-0000-00008BB60000}"/>
    <cellStyle name="Calculation 8 3 9" xfId="46763" xr:uid="{00000000-0005-0000-0000-00008CB60000}"/>
    <cellStyle name="Calculation 8 3 9 10" xfId="46764" xr:uid="{00000000-0005-0000-0000-00008DB60000}"/>
    <cellStyle name="Calculation 8 3 9 2" xfId="46765" xr:uid="{00000000-0005-0000-0000-00008EB60000}"/>
    <cellStyle name="Calculation 8 3 9 2 2" xfId="46766" xr:uid="{00000000-0005-0000-0000-00008FB60000}"/>
    <cellStyle name="Calculation 8 3 9 2 3" xfId="46767" xr:uid="{00000000-0005-0000-0000-000090B60000}"/>
    <cellStyle name="Calculation 8 3 9 2 4" xfId="46768" xr:uid="{00000000-0005-0000-0000-000091B60000}"/>
    <cellStyle name="Calculation 8 3 9 2 5" xfId="46769" xr:uid="{00000000-0005-0000-0000-000092B60000}"/>
    <cellStyle name="Calculation 8 3 9 2 6" xfId="46770" xr:uid="{00000000-0005-0000-0000-000093B60000}"/>
    <cellStyle name="Calculation 8 3 9 3" xfId="46771" xr:uid="{00000000-0005-0000-0000-000094B60000}"/>
    <cellStyle name="Calculation 8 3 9 3 2" xfId="46772" xr:uid="{00000000-0005-0000-0000-000095B60000}"/>
    <cellStyle name="Calculation 8 3 9 3 3" xfId="46773" xr:uid="{00000000-0005-0000-0000-000096B60000}"/>
    <cellStyle name="Calculation 8 3 9 3 4" xfId="46774" xr:uid="{00000000-0005-0000-0000-000097B60000}"/>
    <cellStyle name="Calculation 8 3 9 3 5" xfId="46775" xr:uid="{00000000-0005-0000-0000-000098B60000}"/>
    <cellStyle name="Calculation 8 3 9 3 6" xfId="46776" xr:uid="{00000000-0005-0000-0000-000099B60000}"/>
    <cellStyle name="Calculation 8 3 9 4" xfId="46777" xr:uid="{00000000-0005-0000-0000-00009AB60000}"/>
    <cellStyle name="Calculation 8 3 9 4 2" xfId="46778" xr:uid="{00000000-0005-0000-0000-00009BB60000}"/>
    <cellStyle name="Calculation 8 3 9 4 3" xfId="46779" xr:uid="{00000000-0005-0000-0000-00009CB60000}"/>
    <cellStyle name="Calculation 8 3 9 4 4" xfId="46780" xr:uid="{00000000-0005-0000-0000-00009DB60000}"/>
    <cellStyle name="Calculation 8 3 9 4 5" xfId="46781" xr:uid="{00000000-0005-0000-0000-00009EB60000}"/>
    <cellStyle name="Calculation 8 3 9 4 6" xfId="46782" xr:uid="{00000000-0005-0000-0000-00009FB60000}"/>
    <cellStyle name="Calculation 8 3 9 5" xfId="46783" xr:uid="{00000000-0005-0000-0000-0000A0B60000}"/>
    <cellStyle name="Calculation 8 3 9 5 2" xfId="46784" xr:uid="{00000000-0005-0000-0000-0000A1B60000}"/>
    <cellStyle name="Calculation 8 3 9 5 3" xfId="46785" xr:uid="{00000000-0005-0000-0000-0000A2B60000}"/>
    <cellStyle name="Calculation 8 3 9 5 4" xfId="46786" xr:uid="{00000000-0005-0000-0000-0000A3B60000}"/>
    <cellStyle name="Calculation 8 3 9 5 5" xfId="46787" xr:uid="{00000000-0005-0000-0000-0000A4B60000}"/>
    <cellStyle name="Calculation 8 3 9 5 6" xfId="46788" xr:uid="{00000000-0005-0000-0000-0000A5B60000}"/>
    <cellStyle name="Calculation 8 3 9 6" xfId="46789" xr:uid="{00000000-0005-0000-0000-0000A6B60000}"/>
    <cellStyle name="Calculation 8 3 9 6 2" xfId="46790" xr:uid="{00000000-0005-0000-0000-0000A7B60000}"/>
    <cellStyle name="Calculation 8 3 9 6 3" xfId="46791" xr:uid="{00000000-0005-0000-0000-0000A8B60000}"/>
    <cellStyle name="Calculation 8 3 9 6 4" xfId="46792" xr:uid="{00000000-0005-0000-0000-0000A9B60000}"/>
    <cellStyle name="Calculation 8 3 9 6 5" xfId="46793" xr:uid="{00000000-0005-0000-0000-0000AAB60000}"/>
    <cellStyle name="Calculation 8 3 9 6 6" xfId="46794" xr:uid="{00000000-0005-0000-0000-0000ABB60000}"/>
    <cellStyle name="Calculation 8 3 9 7" xfId="46795" xr:uid="{00000000-0005-0000-0000-0000ACB60000}"/>
    <cellStyle name="Calculation 8 3 9 7 2" xfId="46796" xr:uid="{00000000-0005-0000-0000-0000ADB60000}"/>
    <cellStyle name="Calculation 8 3 9 7 3" xfId="46797" xr:uid="{00000000-0005-0000-0000-0000AEB60000}"/>
    <cellStyle name="Calculation 8 3 9 7 4" xfId="46798" xr:uid="{00000000-0005-0000-0000-0000AFB60000}"/>
    <cellStyle name="Calculation 8 3 9 7 5" xfId="46799" xr:uid="{00000000-0005-0000-0000-0000B0B60000}"/>
    <cellStyle name="Calculation 8 3 9 7 6" xfId="46800" xr:uid="{00000000-0005-0000-0000-0000B1B60000}"/>
    <cellStyle name="Calculation 8 3 9 8" xfId="46801" xr:uid="{00000000-0005-0000-0000-0000B2B60000}"/>
    <cellStyle name="Calculation 8 3 9 9" xfId="46802" xr:uid="{00000000-0005-0000-0000-0000B3B60000}"/>
    <cellStyle name="Calculation 8 30" xfId="46803" xr:uid="{00000000-0005-0000-0000-0000B4B60000}"/>
    <cellStyle name="Calculation 8 30 2" xfId="46804" xr:uid="{00000000-0005-0000-0000-0000B5B60000}"/>
    <cellStyle name="Calculation 8 30 3" xfId="46805" xr:uid="{00000000-0005-0000-0000-0000B6B60000}"/>
    <cellStyle name="Calculation 8 30 4" xfId="46806" xr:uid="{00000000-0005-0000-0000-0000B7B60000}"/>
    <cellStyle name="Calculation 8 30 5" xfId="46807" xr:uid="{00000000-0005-0000-0000-0000B8B60000}"/>
    <cellStyle name="Calculation 8 30 6" xfId="46808" xr:uid="{00000000-0005-0000-0000-0000B9B60000}"/>
    <cellStyle name="Calculation 8 31" xfId="46809" xr:uid="{00000000-0005-0000-0000-0000BAB60000}"/>
    <cellStyle name="Calculation 8 31 2" xfId="46810" xr:uid="{00000000-0005-0000-0000-0000BBB60000}"/>
    <cellStyle name="Calculation 8 31 3" xfId="46811" xr:uid="{00000000-0005-0000-0000-0000BCB60000}"/>
    <cellStyle name="Calculation 8 31 4" xfId="46812" xr:uid="{00000000-0005-0000-0000-0000BDB60000}"/>
    <cellStyle name="Calculation 8 31 5" xfId="46813" xr:uid="{00000000-0005-0000-0000-0000BEB60000}"/>
    <cellStyle name="Calculation 8 31 6" xfId="46814" xr:uid="{00000000-0005-0000-0000-0000BFB60000}"/>
    <cellStyle name="Calculation 8 32" xfId="46815" xr:uid="{00000000-0005-0000-0000-0000C0B60000}"/>
    <cellStyle name="Calculation 8 33" xfId="46816" xr:uid="{00000000-0005-0000-0000-0000C1B60000}"/>
    <cellStyle name="Calculation 8 34" xfId="46817" xr:uid="{00000000-0005-0000-0000-0000C2B60000}"/>
    <cellStyle name="Calculation 8 4" xfId="46818" xr:uid="{00000000-0005-0000-0000-0000C3B60000}"/>
    <cellStyle name="Calculation 8 4 10" xfId="46819" xr:uid="{00000000-0005-0000-0000-0000C4B60000}"/>
    <cellStyle name="Calculation 8 4 2" xfId="46820" xr:uid="{00000000-0005-0000-0000-0000C5B60000}"/>
    <cellStyle name="Calculation 8 4 2 2" xfId="46821" xr:uid="{00000000-0005-0000-0000-0000C6B60000}"/>
    <cellStyle name="Calculation 8 4 2 3" xfId="46822" xr:uid="{00000000-0005-0000-0000-0000C7B60000}"/>
    <cellStyle name="Calculation 8 4 2 4" xfId="46823" xr:uid="{00000000-0005-0000-0000-0000C8B60000}"/>
    <cellStyle name="Calculation 8 4 2 5" xfId="46824" xr:uid="{00000000-0005-0000-0000-0000C9B60000}"/>
    <cellStyle name="Calculation 8 4 2 6" xfId="46825" xr:uid="{00000000-0005-0000-0000-0000CAB60000}"/>
    <cellStyle name="Calculation 8 4 3" xfId="46826" xr:uid="{00000000-0005-0000-0000-0000CBB60000}"/>
    <cellStyle name="Calculation 8 4 3 2" xfId="46827" xr:uid="{00000000-0005-0000-0000-0000CCB60000}"/>
    <cellStyle name="Calculation 8 4 3 3" xfId="46828" xr:uid="{00000000-0005-0000-0000-0000CDB60000}"/>
    <cellStyle name="Calculation 8 4 3 4" xfId="46829" xr:uid="{00000000-0005-0000-0000-0000CEB60000}"/>
    <cellStyle name="Calculation 8 4 3 5" xfId="46830" xr:uid="{00000000-0005-0000-0000-0000CFB60000}"/>
    <cellStyle name="Calculation 8 4 3 6" xfId="46831" xr:uid="{00000000-0005-0000-0000-0000D0B60000}"/>
    <cellStyle name="Calculation 8 4 4" xfId="46832" xr:uid="{00000000-0005-0000-0000-0000D1B60000}"/>
    <cellStyle name="Calculation 8 4 4 2" xfId="46833" xr:uid="{00000000-0005-0000-0000-0000D2B60000}"/>
    <cellStyle name="Calculation 8 4 4 3" xfId="46834" xr:uid="{00000000-0005-0000-0000-0000D3B60000}"/>
    <cellStyle name="Calculation 8 4 4 4" xfId="46835" xr:uid="{00000000-0005-0000-0000-0000D4B60000}"/>
    <cellStyle name="Calculation 8 4 4 5" xfId="46836" xr:uid="{00000000-0005-0000-0000-0000D5B60000}"/>
    <cellStyle name="Calculation 8 4 4 6" xfId="46837" xr:uid="{00000000-0005-0000-0000-0000D6B60000}"/>
    <cellStyle name="Calculation 8 4 5" xfId="46838" xr:uid="{00000000-0005-0000-0000-0000D7B60000}"/>
    <cellStyle name="Calculation 8 4 5 2" xfId="46839" xr:uid="{00000000-0005-0000-0000-0000D8B60000}"/>
    <cellStyle name="Calculation 8 4 5 3" xfId="46840" xr:uid="{00000000-0005-0000-0000-0000D9B60000}"/>
    <cellStyle name="Calculation 8 4 5 4" xfId="46841" xr:uid="{00000000-0005-0000-0000-0000DAB60000}"/>
    <cellStyle name="Calculation 8 4 5 5" xfId="46842" xr:uid="{00000000-0005-0000-0000-0000DBB60000}"/>
    <cellStyle name="Calculation 8 4 5 6" xfId="46843" xr:uid="{00000000-0005-0000-0000-0000DCB60000}"/>
    <cellStyle name="Calculation 8 4 6" xfId="46844" xr:uid="{00000000-0005-0000-0000-0000DDB60000}"/>
    <cellStyle name="Calculation 8 4 6 2" xfId="46845" xr:uid="{00000000-0005-0000-0000-0000DEB60000}"/>
    <cellStyle name="Calculation 8 4 6 3" xfId="46846" xr:uid="{00000000-0005-0000-0000-0000DFB60000}"/>
    <cellStyle name="Calculation 8 4 6 4" xfId="46847" xr:uid="{00000000-0005-0000-0000-0000E0B60000}"/>
    <cellStyle name="Calculation 8 4 6 5" xfId="46848" xr:uid="{00000000-0005-0000-0000-0000E1B60000}"/>
    <cellStyle name="Calculation 8 4 6 6" xfId="46849" xr:uid="{00000000-0005-0000-0000-0000E2B60000}"/>
    <cellStyle name="Calculation 8 4 7" xfId="46850" xr:uid="{00000000-0005-0000-0000-0000E3B60000}"/>
    <cellStyle name="Calculation 8 4 7 2" xfId="46851" xr:uid="{00000000-0005-0000-0000-0000E4B60000}"/>
    <cellStyle name="Calculation 8 4 7 3" xfId="46852" xr:uid="{00000000-0005-0000-0000-0000E5B60000}"/>
    <cellStyle name="Calculation 8 4 7 4" xfId="46853" xr:uid="{00000000-0005-0000-0000-0000E6B60000}"/>
    <cellStyle name="Calculation 8 4 7 5" xfId="46854" xr:uid="{00000000-0005-0000-0000-0000E7B60000}"/>
    <cellStyle name="Calculation 8 4 7 6" xfId="46855" xr:uid="{00000000-0005-0000-0000-0000E8B60000}"/>
    <cellStyle name="Calculation 8 4 8" xfId="46856" xr:uid="{00000000-0005-0000-0000-0000E9B60000}"/>
    <cellStyle name="Calculation 8 4 9" xfId="46857" xr:uid="{00000000-0005-0000-0000-0000EAB60000}"/>
    <cellStyle name="Calculation 8 5" xfId="46858" xr:uid="{00000000-0005-0000-0000-0000EBB60000}"/>
    <cellStyle name="Calculation 8 5 10" xfId="46859" xr:uid="{00000000-0005-0000-0000-0000ECB60000}"/>
    <cellStyle name="Calculation 8 5 2" xfId="46860" xr:uid="{00000000-0005-0000-0000-0000EDB60000}"/>
    <cellStyle name="Calculation 8 5 2 2" xfId="46861" xr:uid="{00000000-0005-0000-0000-0000EEB60000}"/>
    <cellStyle name="Calculation 8 5 2 3" xfId="46862" xr:uid="{00000000-0005-0000-0000-0000EFB60000}"/>
    <cellStyle name="Calculation 8 5 2 4" xfId="46863" xr:uid="{00000000-0005-0000-0000-0000F0B60000}"/>
    <cellStyle name="Calculation 8 5 2 5" xfId="46864" xr:uid="{00000000-0005-0000-0000-0000F1B60000}"/>
    <cellStyle name="Calculation 8 5 2 6" xfId="46865" xr:uid="{00000000-0005-0000-0000-0000F2B60000}"/>
    <cellStyle name="Calculation 8 5 3" xfId="46866" xr:uid="{00000000-0005-0000-0000-0000F3B60000}"/>
    <cellStyle name="Calculation 8 5 3 2" xfId="46867" xr:uid="{00000000-0005-0000-0000-0000F4B60000}"/>
    <cellStyle name="Calculation 8 5 3 3" xfId="46868" xr:uid="{00000000-0005-0000-0000-0000F5B60000}"/>
    <cellStyle name="Calculation 8 5 3 4" xfId="46869" xr:uid="{00000000-0005-0000-0000-0000F6B60000}"/>
    <cellStyle name="Calculation 8 5 3 5" xfId="46870" xr:uid="{00000000-0005-0000-0000-0000F7B60000}"/>
    <cellStyle name="Calculation 8 5 3 6" xfId="46871" xr:uid="{00000000-0005-0000-0000-0000F8B60000}"/>
    <cellStyle name="Calculation 8 5 4" xfId="46872" xr:uid="{00000000-0005-0000-0000-0000F9B60000}"/>
    <cellStyle name="Calculation 8 5 4 2" xfId="46873" xr:uid="{00000000-0005-0000-0000-0000FAB60000}"/>
    <cellStyle name="Calculation 8 5 4 3" xfId="46874" xr:uid="{00000000-0005-0000-0000-0000FBB60000}"/>
    <cellStyle name="Calculation 8 5 4 4" xfId="46875" xr:uid="{00000000-0005-0000-0000-0000FCB60000}"/>
    <cellStyle name="Calculation 8 5 4 5" xfId="46876" xr:uid="{00000000-0005-0000-0000-0000FDB60000}"/>
    <cellStyle name="Calculation 8 5 4 6" xfId="46877" xr:uid="{00000000-0005-0000-0000-0000FEB60000}"/>
    <cellStyle name="Calculation 8 5 5" xfId="46878" xr:uid="{00000000-0005-0000-0000-0000FFB60000}"/>
    <cellStyle name="Calculation 8 5 5 2" xfId="46879" xr:uid="{00000000-0005-0000-0000-000000B70000}"/>
    <cellStyle name="Calculation 8 5 5 3" xfId="46880" xr:uid="{00000000-0005-0000-0000-000001B70000}"/>
    <cellStyle name="Calculation 8 5 5 4" xfId="46881" xr:uid="{00000000-0005-0000-0000-000002B70000}"/>
    <cellStyle name="Calculation 8 5 5 5" xfId="46882" xr:uid="{00000000-0005-0000-0000-000003B70000}"/>
    <cellStyle name="Calculation 8 5 5 6" xfId="46883" xr:uid="{00000000-0005-0000-0000-000004B70000}"/>
    <cellStyle name="Calculation 8 5 6" xfId="46884" xr:uid="{00000000-0005-0000-0000-000005B70000}"/>
    <cellStyle name="Calculation 8 5 6 2" xfId="46885" xr:uid="{00000000-0005-0000-0000-000006B70000}"/>
    <cellStyle name="Calculation 8 5 6 3" xfId="46886" xr:uid="{00000000-0005-0000-0000-000007B70000}"/>
    <cellStyle name="Calculation 8 5 6 4" xfId="46887" xr:uid="{00000000-0005-0000-0000-000008B70000}"/>
    <cellStyle name="Calculation 8 5 6 5" xfId="46888" xr:uid="{00000000-0005-0000-0000-000009B70000}"/>
    <cellStyle name="Calculation 8 5 6 6" xfId="46889" xr:uid="{00000000-0005-0000-0000-00000AB70000}"/>
    <cellStyle name="Calculation 8 5 7" xfId="46890" xr:uid="{00000000-0005-0000-0000-00000BB70000}"/>
    <cellStyle name="Calculation 8 5 7 2" xfId="46891" xr:uid="{00000000-0005-0000-0000-00000CB70000}"/>
    <cellStyle name="Calculation 8 5 7 3" xfId="46892" xr:uid="{00000000-0005-0000-0000-00000DB70000}"/>
    <cellStyle name="Calculation 8 5 7 4" xfId="46893" xr:uid="{00000000-0005-0000-0000-00000EB70000}"/>
    <cellStyle name="Calculation 8 5 7 5" xfId="46894" xr:uid="{00000000-0005-0000-0000-00000FB70000}"/>
    <cellStyle name="Calculation 8 5 7 6" xfId="46895" xr:uid="{00000000-0005-0000-0000-000010B70000}"/>
    <cellStyle name="Calculation 8 5 8" xfId="46896" xr:uid="{00000000-0005-0000-0000-000011B70000}"/>
    <cellStyle name="Calculation 8 5 9" xfId="46897" xr:uid="{00000000-0005-0000-0000-000012B70000}"/>
    <cellStyle name="Calculation 8 6" xfId="46898" xr:uid="{00000000-0005-0000-0000-000013B70000}"/>
    <cellStyle name="Calculation 8 6 10" xfId="46899" xr:uid="{00000000-0005-0000-0000-000014B70000}"/>
    <cellStyle name="Calculation 8 6 2" xfId="46900" xr:uid="{00000000-0005-0000-0000-000015B70000}"/>
    <cellStyle name="Calculation 8 6 2 2" xfId="46901" xr:uid="{00000000-0005-0000-0000-000016B70000}"/>
    <cellStyle name="Calculation 8 6 2 3" xfId="46902" xr:uid="{00000000-0005-0000-0000-000017B70000}"/>
    <cellStyle name="Calculation 8 6 2 4" xfId="46903" xr:uid="{00000000-0005-0000-0000-000018B70000}"/>
    <cellStyle name="Calculation 8 6 2 5" xfId="46904" xr:uid="{00000000-0005-0000-0000-000019B70000}"/>
    <cellStyle name="Calculation 8 6 2 6" xfId="46905" xr:uid="{00000000-0005-0000-0000-00001AB70000}"/>
    <cellStyle name="Calculation 8 6 3" xfId="46906" xr:uid="{00000000-0005-0000-0000-00001BB70000}"/>
    <cellStyle name="Calculation 8 6 3 2" xfId="46907" xr:uid="{00000000-0005-0000-0000-00001CB70000}"/>
    <cellStyle name="Calculation 8 6 3 3" xfId="46908" xr:uid="{00000000-0005-0000-0000-00001DB70000}"/>
    <cellStyle name="Calculation 8 6 3 4" xfId="46909" xr:uid="{00000000-0005-0000-0000-00001EB70000}"/>
    <cellStyle name="Calculation 8 6 3 5" xfId="46910" xr:uid="{00000000-0005-0000-0000-00001FB70000}"/>
    <cellStyle name="Calculation 8 6 3 6" xfId="46911" xr:uid="{00000000-0005-0000-0000-000020B70000}"/>
    <cellStyle name="Calculation 8 6 4" xfId="46912" xr:uid="{00000000-0005-0000-0000-000021B70000}"/>
    <cellStyle name="Calculation 8 6 4 2" xfId="46913" xr:uid="{00000000-0005-0000-0000-000022B70000}"/>
    <cellStyle name="Calculation 8 6 4 3" xfId="46914" xr:uid="{00000000-0005-0000-0000-000023B70000}"/>
    <cellStyle name="Calculation 8 6 4 4" xfId="46915" xr:uid="{00000000-0005-0000-0000-000024B70000}"/>
    <cellStyle name="Calculation 8 6 4 5" xfId="46916" xr:uid="{00000000-0005-0000-0000-000025B70000}"/>
    <cellStyle name="Calculation 8 6 4 6" xfId="46917" xr:uid="{00000000-0005-0000-0000-000026B70000}"/>
    <cellStyle name="Calculation 8 6 5" xfId="46918" xr:uid="{00000000-0005-0000-0000-000027B70000}"/>
    <cellStyle name="Calculation 8 6 5 2" xfId="46919" xr:uid="{00000000-0005-0000-0000-000028B70000}"/>
    <cellStyle name="Calculation 8 6 5 3" xfId="46920" xr:uid="{00000000-0005-0000-0000-000029B70000}"/>
    <cellStyle name="Calculation 8 6 5 4" xfId="46921" xr:uid="{00000000-0005-0000-0000-00002AB70000}"/>
    <cellStyle name="Calculation 8 6 5 5" xfId="46922" xr:uid="{00000000-0005-0000-0000-00002BB70000}"/>
    <cellStyle name="Calculation 8 6 5 6" xfId="46923" xr:uid="{00000000-0005-0000-0000-00002CB70000}"/>
    <cellStyle name="Calculation 8 6 6" xfId="46924" xr:uid="{00000000-0005-0000-0000-00002DB70000}"/>
    <cellStyle name="Calculation 8 6 6 2" xfId="46925" xr:uid="{00000000-0005-0000-0000-00002EB70000}"/>
    <cellStyle name="Calculation 8 6 6 3" xfId="46926" xr:uid="{00000000-0005-0000-0000-00002FB70000}"/>
    <cellStyle name="Calculation 8 6 6 4" xfId="46927" xr:uid="{00000000-0005-0000-0000-000030B70000}"/>
    <cellStyle name="Calculation 8 6 6 5" xfId="46928" xr:uid="{00000000-0005-0000-0000-000031B70000}"/>
    <cellStyle name="Calculation 8 6 6 6" xfId="46929" xr:uid="{00000000-0005-0000-0000-000032B70000}"/>
    <cellStyle name="Calculation 8 6 7" xfId="46930" xr:uid="{00000000-0005-0000-0000-000033B70000}"/>
    <cellStyle name="Calculation 8 6 7 2" xfId="46931" xr:uid="{00000000-0005-0000-0000-000034B70000}"/>
    <cellStyle name="Calculation 8 6 7 3" xfId="46932" xr:uid="{00000000-0005-0000-0000-000035B70000}"/>
    <cellStyle name="Calculation 8 6 7 4" xfId="46933" xr:uid="{00000000-0005-0000-0000-000036B70000}"/>
    <cellStyle name="Calculation 8 6 7 5" xfId="46934" xr:uid="{00000000-0005-0000-0000-000037B70000}"/>
    <cellStyle name="Calculation 8 6 7 6" xfId="46935" xr:uid="{00000000-0005-0000-0000-000038B70000}"/>
    <cellStyle name="Calculation 8 6 8" xfId="46936" xr:uid="{00000000-0005-0000-0000-000039B70000}"/>
    <cellStyle name="Calculation 8 6 9" xfId="46937" xr:uid="{00000000-0005-0000-0000-00003AB70000}"/>
    <cellStyle name="Calculation 8 7" xfId="46938" xr:uid="{00000000-0005-0000-0000-00003BB70000}"/>
    <cellStyle name="Calculation 8 7 10" xfId="46939" xr:uid="{00000000-0005-0000-0000-00003CB70000}"/>
    <cellStyle name="Calculation 8 7 2" xfId="46940" xr:uid="{00000000-0005-0000-0000-00003DB70000}"/>
    <cellStyle name="Calculation 8 7 2 2" xfId="46941" xr:uid="{00000000-0005-0000-0000-00003EB70000}"/>
    <cellStyle name="Calculation 8 7 2 3" xfId="46942" xr:uid="{00000000-0005-0000-0000-00003FB70000}"/>
    <cellStyle name="Calculation 8 7 2 4" xfId="46943" xr:uid="{00000000-0005-0000-0000-000040B70000}"/>
    <cellStyle name="Calculation 8 7 2 5" xfId="46944" xr:uid="{00000000-0005-0000-0000-000041B70000}"/>
    <cellStyle name="Calculation 8 7 2 6" xfId="46945" xr:uid="{00000000-0005-0000-0000-000042B70000}"/>
    <cellStyle name="Calculation 8 7 3" xfId="46946" xr:uid="{00000000-0005-0000-0000-000043B70000}"/>
    <cellStyle name="Calculation 8 7 3 2" xfId="46947" xr:uid="{00000000-0005-0000-0000-000044B70000}"/>
    <cellStyle name="Calculation 8 7 3 3" xfId="46948" xr:uid="{00000000-0005-0000-0000-000045B70000}"/>
    <cellStyle name="Calculation 8 7 3 4" xfId="46949" xr:uid="{00000000-0005-0000-0000-000046B70000}"/>
    <cellStyle name="Calculation 8 7 3 5" xfId="46950" xr:uid="{00000000-0005-0000-0000-000047B70000}"/>
    <cellStyle name="Calculation 8 7 3 6" xfId="46951" xr:uid="{00000000-0005-0000-0000-000048B70000}"/>
    <cellStyle name="Calculation 8 7 4" xfId="46952" xr:uid="{00000000-0005-0000-0000-000049B70000}"/>
    <cellStyle name="Calculation 8 7 4 2" xfId="46953" xr:uid="{00000000-0005-0000-0000-00004AB70000}"/>
    <cellStyle name="Calculation 8 7 4 3" xfId="46954" xr:uid="{00000000-0005-0000-0000-00004BB70000}"/>
    <cellStyle name="Calculation 8 7 4 4" xfId="46955" xr:uid="{00000000-0005-0000-0000-00004CB70000}"/>
    <cellStyle name="Calculation 8 7 4 5" xfId="46956" xr:uid="{00000000-0005-0000-0000-00004DB70000}"/>
    <cellStyle name="Calculation 8 7 4 6" xfId="46957" xr:uid="{00000000-0005-0000-0000-00004EB70000}"/>
    <cellStyle name="Calculation 8 7 5" xfId="46958" xr:uid="{00000000-0005-0000-0000-00004FB70000}"/>
    <cellStyle name="Calculation 8 7 5 2" xfId="46959" xr:uid="{00000000-0005-0000-0000-000050B70000}"/>
    <cellStyle name="Calculation 8 7 5 3" xfId="46960" xr:uid="{00000000-0005-0000-0000-000051B70000}"/>
    <cellStyle name="Calculation 8 7 5 4" xfId="46961" xr:uid="{00000000-0005-0000-0000-000052B70000}"/>
    <cellStyle name="Calculation 8 7 5 5" xfId="46962" xr:uid="{00000000-0005-0000-0000-000053B70000}"/>
    <cellStyle name="Calculation 8 7 5 6" xfId="46963" xr:uid="{00000000-0005-0000-0000-000054B70000}"/>
    <cellStyle name="Calculation 8 7 6" xfId="46964" xr:uid="{00000000-0005-0000-0000-000055B70000}"/>
    <cellStyle name="Calculation 8 7 6 2" xfId="46965" xr:uid="{00000000-0005-0000-0000-000056B70000}"/>
    <cellStyle name="Calculation 8 7 6 3" xfId="46966" xr:uid="{00000000-0005-0000-0000-000057B70000}"/>
    <cellStyle name="Calculation 8 7 6 4" xfId="46967" xr:uid="{00000000-0005-0000-0000-000058B70000}"/>
    <cellStyle name="Calculation 8 7 6 5" xfId="46968" xr:uid="{00000000-0005-0000-0000-000059B70000}"/>
    <cellStyle name="Calculation 8 7 6 6" xfId="46969" xr:uid="{00000000-0005-0000-0000-00005AB70000}"/>
    <cellStyle name="Calculation 8 7 7" xfId="46970" xr:uid="{00000000-0005-0000-0000-00005BB70000}"/>
    <cellStyle name="Calculation 8 7 7 2" xfId="46971" xr:uid="{00000000-0005-0000-0000-00005CB70000}"/>
    <cellStyle name="Calculation 8 7 7 3" xfId="46972" xr:uid="{00000000-0005-0000-0000-00005DB70000}"/>
    <cellStyle name="Calculation 8 7 7 4" xfId="46973" xr:uid="{00000000-0005-0000-0000-00005EB70000}"/>
    <cellStyle name="Calculation 8 7 7 5" xfId="46974" xr:uid="{00000000-0005-0000-0000-00005FB70000}"/>
    <cellStyle name="Calculation 8 7 7 6" xfId="46975" xr:uid="{00000000-0005-0000-0000-000060B70000}"/>
    <cellStyle name="Calculation 8 7 8" xfId="46976" xr:uid="{00000000-0005-0000-0000-000061B70000}"/>
    <cellStyle name="Calculation 8 7 9" xfId="46977" xr:uid="{00000000-0005-0000-0000-000062B70000}"/>
    <cellStyle name="Calculation 8 8" xfId="46978" xr:uid="{00000000-0005-0000-0000-000063B70000}"/>
    <cellStyle name="Calculation 8 8 10" xfId="46979" xr:uid="{00000000-0005-0000-0000-000064B70000}"/>
    <cellStyle name="Calculation 8 8 2" xfId="46980" xr:uid="{00000000-0005-0000-0000-000065B70000}"/>
    <cellStyle name="Calculation 8 8 2 2" xfId="46981" xr:uid="{00000000-0005-0000-0000-000066B70000}"/>
    <cellStyle name="Calculation 8 8 2 3" xfId="46982" xr:uid="{00000000-0005-0000-0000-000067B70000}"/>
    <cellStyle name="Calculation 8 8 2 4" xfId="46983" xr:uid="{00000000-0005-0000-0000-000068B70000}"/>
    <cellStyle name="Calculation 8 8 2 5" xfId="46984" xr:uid="{00000000-0005-0000-0000-000069B70000}"/>
    <cellStyle name="Calculation 8 8 2 6" xfId="46985" xr:uid="{00000000-0005-0000-0000-00006AB70000}"/>
    <cellStyle name="Calculation 8 8 3" xfId="46986" xr:uid="{00000000-0005-0000-0000-00006BB70000}"/>
    <cellStyle name="Calculation 8 8 3 2" xfId="46987" xr:uid="{00000000-0005-0000-0000-00006CB70000}"/>
    <cellStyle name="Calculation 8 8 3 3" xfId="46988" xr:uid="{00000000-0005-0000-0000-00006DB70000}"/>
    <cellStyle name="Calculation 8 8 3 4" xfId="46989" xr:uid="{00000000-0005-0000-0000-00006EB70000}"/>
    <cellStyle name="Calculation 8 8 3 5" xfId="46990" xr:uid="{00000000-0005-0000-0000-00006FB70000}"/>
    <cellStyle name="Calculation 8 8 3 6" xfId="46991" xr:uid="{00000000-0005-0000-0000-000070B70000}"/>
    <cellStyle name="Calculation 8 8 4" xfId="46992" xr:uid="{00000000-0005-0000-0000-000071B70000}"/>
    <cellStyle name="Calculation 8 8 4 2" xfId="46993" xr:uid="{00000000-0005-0000-0000-000072B70000}"/>
    <cellStyle name="Calculation 8 8 4 3" xfId="46994" xr:uid="{00000000-0005-0000-0000-000073B70000}"/>
    <cellStyle name="Calculation 8 8 4 4" xfId="46995" xr:uid="{00000000-0005-0000-0000-000074B70000}"/>
    <cellStyle name="Calculation 8 8 4 5" xfId="46996" xr:uid="{00000000-0005-0000-0000-000075B70000}"/>
    <cellStyle name="Calculation 8 8 4 6" xfId="46997" xr:uid="{00000000-0005-0000-0000-000076B70000}"/>
    <cellStyle name="Calculation 8 8 5" xfId="46998" xr:uid="{00000000-0005-0000-0000-000077B70000}"/>
    <cellStyle name="Calculation 8 8 5 2" xfId="46999" xr:uid="{00000000-0005-0000-0000-000078B70000}"/>
    <cellStyle name="Calculation 8 8 5 3" xfId="47000" xr:uid="{00000000-0005-0000-0000-000079B70000}"/>
    <cellStyle name="Calculation 8 8 5 4" xfId="47001" xr:uid="{00000000-0005-0000-0000-00007AB70000}"/>
    <cellStyle name="Calculation 8 8 5 5" xfId="47002" xr:uid="{00000000-0005-0000-0000-00007BB70000}"/>
    <cellStyle name="Calculation 8 8 5 6" xfId="47003" xr:uid="{00000000-0005-0000-0000-00007CB70000}"/>
    <cellStyle name="Calculation 8 8 6" xfId="47004" xr:uid="{00000000-0005-0000-0000-00007DB70000}"/>
    <cellStyle name="Calculation 8 8 6 2" xfId="47005" xr:uid="{00000000-0005-0000-0000-00007EB70000}"/>
    <cellStyle name="Calculation 8 8 6 3" xfId="47006" xr:uid="{00000000-0005-0000-0000-00007FB70000}"/>
    <cellStyle name="Calculation 8 8 6 4" xfId="47007" xr:uid="{00000000-0005-0000-0000-000080B70000}"/>
    <cellStyle name="Calculation 8 8 6 5" xfId="47008" xr:uid="{00000000-0005-0000-0000-000081B70000}"/>
    <cellStyle name="Calculation 8 8 6 6" xfId="47009" xr:uid="{00000000-0005-0000-0000-000082B70000}"/>
    <cellStyle name="Calculation 8 8 7" xfId="47010" xr:uid="{00000000-0005-0000-0000-000083B70000}"/>
    <cellStyle name="Calculation 8 8 7 2" xfId="47011" xr:uid="{00000000-0005-0000-0000-000084B70000}"/>
    <cellStyle name="Calculation 8 8 7 3" xfId="47012" xr:uid="{00000000-0005-0000-0000-000085B70000}"/>
    <cellStyle name="Calculation 8 8 7 4" xfId="47013" xr:uid="{00000000-0005-0000-0000-000086B70000}"/>
    <cellStyle name="Calculation 8 8 7 5" xfId="47014" xr:uid="{00000000-0005-0000-0000-000087B70000}"/>
    <cellStyle name="Calculation 8 8 7 6" xfId="47015" xr:uid="{00000000-0005-0000-0000-000088B70000}"/>
    <cellStyle name="Calculation 8 8 8" xfId="47016" xr:uid="{00000000-0005-0000-0000-000089B70000}"/>
    <cellStyle name="Calculation 8 8 9" xfId="47017" xr:uid="{00000000-0005-0000-0000-00008AB70000}"/>
    <cellStyle name="Calculation 8 9" xfId="47018" xr:uid="{00000000-0005-0000-0000-00008BB70000}"/>
    <cellStyle name="Calculation 8 9 10" xfId="47019" xr:uid="{00000000-0005-0000-0000-00008CB70000}"/>
    <cellStyle name="Calculation 8 9 2" xfId="47020" xr:uid="{00000000-0005-0000-0000-00008DB70000}"/>
    <cellStyle name="Calculation 8 9 2 2" xfId="47021" xr:uid="{00000000-0005-0000-0000-00008EB70000}"/>
    <cellStyle name="Calculation 8 9 2 3" xfId="47022" xr:uid="{00000000-0005-0000-0000-00008FB70000}"/>
    <cellStyle name="Calculation 8 9 2 4" xfId="47023" xr:uid="{00000000-0005-0000-0000-000090B70000}"/>
    <cellStyle name="Calculation 8 9 2 5" xfId="47024" xr:uid="{00000000-0005-0000-0000-000091B70000}"/>
    <cellStyle name="Calculation 8 9 2 6" xfId="47025" xr:uid="{00000000-0005-0000-0000-000092B70000}"/>
    <cellStyle name="Calculation 8 9 3" xfId="47026" xr:uid="{00000000-0005-0000-0000-000093B70000}"/>
    <cellStyle name="Calculation 8 9 3 2" xfId="47027" xr:uid="{00000000-0005-0000-0000-000094B70000}"/>
    <cellStyle name="Calculation 8 9 3 3" xfId="47028" xr:uid="{00000000-0005-0000-0000-000095B70000}"/>
    <cellStyle name="Calculation 8 9 3 4" xfId="47029" xr:uid="{00000000-0005-0000-0000-000096B70000}"/>
    <cellStyle name="Calculation 8 9 3 5" xfId="47030" xr:uid="{00000000-0005-0000-0000-000097B70000}"/>
    <cellStyle name="Calculation 8 9 3 6" xfId="47031" xr:uid="{00000000-0005-0000-0000-000098B70000}"/>
    <cellStyle name="Calculation 8 9 4" xfId="47032" xr:uid="{00000000-0005-0000-0000-000099B70000}"/>
    <cellStyle name="Calculation 8 9 4 2" xfId="47033" xr:uid="{00000000-0005-0000-0000-00009AB70000}"/>
    <cellStyle name="Calculation 8 9 4 3" xfId="47034" xr:uid="{00000000-0005-0000-0000-00009BB70000}"/>
    <cellStyle name="Calculation 8 9 4 4" xfId="47035" xr:uid="{00000000-0005-0000-0000-00009CB70000}"/>
    <cellStyle name="Calculation 8 9 4 5" xfId="47036" xr:uid="{00000000-0005-0000-0000-00009DB70000}"/>
    <cellStyle name="Calculation 8 9 4 6" xfId="47037" xr:uid="{00000000-0005-0000-0000-00009EB70000}"/>
    <cellStyle name="Calculation 8 9 5" xfId="47038" xr:uid="{00000000-0005-0000-0000-00009FB70000}"/>
    <cellStyle name="Calculation 8 9 5 2" xfId="47039" xr:uid="{00000000-0005-0000-0000-0000A0B70000}"/>
    <cellStyle name="Calculation 8 9 5 3" xfId="47040" xr:uid="{00000000-0005-0000-0000-0000A1B70000}"/>
    <cellStyle name="Calculation 8 9 5 4" xfId="47041" xr:uid="{00000000-0005-0000-0000-0000A2B70000}"/>
    <cellStyle name="Calculation 8 9 5 5" xfId="47042" xr:uid="{00000000-0005-0000-0000-0000A3B70000}"/>
    <cellStyle name="Calculation 8 9 5 6" xfId="47043" xr:uid="{00000000-0005-0000-0000-0000A4B70000}"/>
    <cellStyle name="Calculation 8 9 6" xfId="47044" xr:uid="{00000000-0005-0000-0000-0000A5B70000}"/>
    <cellStyle name="Calculation 8 9 6 2" xfId="47045" xr:uid="{00000000-0005-0000-0000-0000A6B70000}"/>
    <cellStyle name="Calculation 8 9 6 3" xfId="47046" xr:uid="{00000000-0005-0000-0000-0000A7B70000}"/>
    <cellStyle name="Calculation 8 9 6 4" xfId="47047" xr:uid="{00000000-0005-0000-0000-0000A8B70000}"/>
    <cellStyle name="Calculation 8 9 6 5" xfId="47048" xr:uid="{00000000-0005-0000-0000-0000A9B70000}"/>
    <cellStyle name="Calculation 8 9 6 6" xfId="47049" xr:uid="{00000000-0005-0000-0000-0000AAB70000}"/>
    <cellStyle name="Calculation 8 9 7" xfId="47050" xr:uid="{00000000-0005-0000-0000-0000ABB70000}"/>
    <cellStyle name="Calculation 8 9 7 2" xfId="47051" xr:uid="{00000000-0005-0000-0000-0000ACB70000}"/>
    <cellStyle name="Calculation 8 9 7 3" xfId="47052" xr:uid="{00000000-0005-0000-0000-0000ADB70000}"/>
    <cellStyle name="Calculation 8 9 7 4" xfId="47053" xr:uid="{00000000-0005-0000-0000-0000AEB70000}"/>
    <cellStyle name="Calculation 8 9 7 5" xfId="47054" xr:uid="{00000000-0005-0000-0000-0000AFB70000}"/>
    <cellStyle name="Calculation 8 9 7 6" xfId="47055" xr:uid="{00000000-0005-0000-0000-0000B0B70000}"/>
    <cellStyle name="Calculation 8 9 8" xfId="47056" xr:uid="{00000000-0005-0000-0000-0000B1B70000}"/>
    <cellStyle name="Calculation 8 9 9" xfId="47057" xr:uid="{00000000-0005-0000-0000-0000B2B70000}"/>
    <cellStyle name="Calculation 9" xfId="47058" xr:uid="{00000000-0005-0000-0000-0000B3B70000}"/>
    <cellStyle name="Calculation 9 10" xfId="47059" xr:uid="{00000000-0005-0000-0000-0000B4B70000}"/>
    <cellStyle name="Calculation 9 10 10" xfId="47060" xr:uid="{00000000-0005-0000-0000-0000B5B70000}"/>
    <cellStyle name="Calculation 9 10 2" xfId="47061" xr:uid="{00000000-0005-0000-0000-0000B6B70000}"/>
    <cellStyle name="Calculation 9 10 2 2" xfId="47062" xr:uid="{00000000-0005-0000-0000-0000B7B70000}"/>
    <cellStyle name="Calculation 9 10 2 3" xfId="47063" xr:uid="{00000000-0005-0000-0000-0000B8B70000}"/>
    <cellStyle name="Calculation 9 10 2 4" xfId="47064" xr:uid="{00000000-0005-0000-0000-0000B9B70000}"/>
    <cellStyle name="Calculation 9 10 2 5" xfId="47065" xr:uid="{00000000-0005-0000-0000-0000BAB70000}"/>
    <cellStyle name="Calculation 9 10 2 6" xfId="47066" xr:uid="{00000000-0005-0000-0000-0000BBB70000}"/>
    <cellStyle name="Calculation 9 10 3" xfId="47067" xr:uid="{00000000-0005-0000-0000-0000BCB70000}"/>
    <cellStyle name="Calculation 9 10 3 2" xfId="47068" xr:uid="{00000000-0005-0000-0000-0000BDB70000}"/>
    <cellStyle name="Calculation 9 10 3 3" xfId="47069" xr:uid="{00000000-0005-0000-0000-0000BEB70000}"/>
    <cellStyle name="Calculation 9 10 3 4" xfId="47070" xr:uid="{00000000-0005-0000-0000-0000BFB70000}"/>
    <cellStyle name="Calculation 9 10 3 5" xfId="47071" xr:uid="{00000000-0005-0000-0000-0000C0B70000}"/>
    <cellStyle name="Calculation 9 10 3 6" xfId="47072" xr:uid="{00000000-0005-0000-0000-0000C1B70000}"/>
    <cellStyle name="Calculation 9 10 4" xfId="47073" xr:uid="{00000000-0005-0000-0000-0000C2B70000}"/>
    <cellStyle name="Calculation 9 10 4 2" xfId="47074" xr:uid="{00000000-0005-0000-0000-0000C3B70000}"/>
    <cellStyle name="Calculation 9 10 4 3" xfId="47075" xr:uid="{00000000-0005-0000-0000-0000C4B70000}"/>
    <cellStyle name="Calculation 9 10 4 4" xfId="47076" xr:uid="{00000000-0005-0000-0000-0000C5B70000}"/>
    <cellStyle name="Calculation 9 10 4 5" xfId="47077" xr:uid="{00000000-0005-0000-0000-0000C6B70000}"/>
    <cellStyle name="Calculation 9 10 4 6" xfId="47078" xr:uid="{00000000-0005-0000-0000-0000C7B70000}"/>
    <cellStyle name="Calculation 9 10 5" xfId="47079" xr:uid="{00000000-0005-0000-0000-0000C8B70000}"/>
    <cellStyle name="Calculation 9 10 5 2" xfId="47080" xr:uid="{00000000-0005-0000-0000-0000C9B70000}"/>
    <cellStyle name="Calculation 9 10 5 3" xfId="47081" xr:uid="{00000000-0005-0000-0000-0000CAB70000}"/>
    <cellStyle name="Calculation 9 10 5 4" xfId="47082" xr:uid="{00000000-0005-0000-0000-0000CBB70000}"/>
    <cellStyle name="Calculation 9 10 5 5" xfId="47083" xr:uid="{00000000-0005-0000-0000-0000CCB70000}"/>
    <cellStyle name="Calculation 9 10 5 6" xfId="47084" xr:uid="{00000000-0005-0000-0000-0000CDB70000}"/>
    <cellStyle name="Calculation 9 10 6" xfId="47085" xr:uid="{00000000-0005-0000-0000-0000CEB70000}"/>
    <cellStyle name="Calculation 9 10 6 2" xfId="47086" xr:uid="{00000000-0005-0000-0000-0000CFB70000}"/>
    <cellStyle name="Calculation 9 10 6 3" xfId="47087" xr:uid="{00000000-0005-0000-0000-0000D0B70000}"/>
    <cellStyle name="Calculation 9 10 6 4" xfId="47088" xr:uid="{00000000-0005-0000-0000-0000D1B70000}"/>
    <cellStyle name="Calculation 9 10 6 5" xfId="47089" xr:uid="{00000000-0005-0000-0000-0000D2B70000}"/>
    <cellStyle name="Calculation 9 10 6 6" xfId="47090" xr:uid="{00000000-0005-0000-0000-0000D3B70000}"/>
    <cellStyle name="Calculation 9 10 7" xfId="47091" xr:uid="{00000000-0005-0000-0000-0000D4B70000}"/>
    <cellStyle name="Calculation 9 10 7 2" xfId="47092" xr:uid="{00000000-0005-0000-0000-0000D5B70000}"/>
    <cellStyle name="Calculation 9 10 7 3" xfId="47093" xr:uid="{00000000-0005-0000-0000-0000D6B70000}"/>
    <cellStyle name="Calculation 9 10 7 4" xfId="47094" xr:uid="{00000000-0005-0000-0000-0000D7B70000}"/>
    <cellStyle name="Calculation 9 10 7 5" xfId="47095" xr:uid="{00000000-0005-0000-0000-0000D8B70000}"/>
    <cellStyle name="Calculation 9 10 7 6" xfId="47096" xr:uid="{00000000-0005-0000-0000-0000D9B70000}"/>
    <cellStyle name="Calculation 9 10 8" xfId="47097" xr:uid="{00000000-0005-0000-0000-0000DAB70000}"/>
    <cellStyle name="Calculation 9 10 9" xfId="47098" xr:uid="{00000000-0005-0000-0000-0000DBB70000}"/>
    <cellStyle name="Calculation 9 11" xfId="47099" xr:uid="{00000000-0005-0000-0000-0000DCB70000}"/>
    <cellStyle name="Calculation 9 11 10" xfId="47100" xr:uid="{00000000-0005-0000-0000-0000DDB70000}"/>
    <cellStyle name="Calculation 9 11 2" xfId="47101" xr:uid="{00000000-0005-0000-0000-0000DEB70000}"/>
    <cellStyle name="Calculation 9 11 2 2" xfId="47102" xr:uid="{00000000-0005-0000-0000-0000DFB70000}"/>
    <cellStyle name="Calculation 9 11 2 3" xfId="47103" xr:uid="{00000000-0005-0000-0000-0000E0B70000}"/>
    <cellStyle name="Calculation 9 11 2 4" xfId="47104" xr:uid="{00000000-0005-0000-0000-0000E1B70000}"/>
    <cellStyle name="Calculation 9 11 2 5" xfId="47105" xr:uid="{00000000-0005-0000-0000-0000E2B70000}"/>
    <cellStyle name="Calculation 9 11 2 6" xfId="47106" xr:uid="{00000000-0005-0000-0000-0000E3B70000}"/>
    <cellStyle name="Calculation 9 11 3" xfId="47107" xr:uid="{00000000-0005-0000-0000-0000E4B70000}"/>
    <cellStyle name="Calculation 9 11 3 2" xfId="47108" xr:uid="{00000000-0005-0000-0000-0000E5B70000}"/>
    <cellStyle name="Calculation 9 11 3 3" xfId="47109" xr:uid="{00000000-0005-0000-0000-0000E6B70000}"/>
    <cellStyle name="Calculation 9 11 3 4" xfId="47110" xr:uid="{00000000-0005-0000-0000-0000E7B70000}"/>
    <cellStyle name="Calculation 9 11 3 5" xfId="47111" xr:uid="{00000000-0005-0000-0000-0000E8B70000}"/>
    <cellStyle name="Calculation 9 11 3 6" xfId="47112" xr:uid="{00000000-0005-0000-0000-0000E9B70000}"/>
    <cellStyle name="Calculation 9 11 4" xfId="47113" xr:uid="{00000000-0005-0000-0000-0000EAB70000}"/>
    <cellStyle name="Calculation 9 11 4 2" xfId="47114" xr:uid="{00000000-0005-0000-0000-0000EBB70000}"/>
    <cellStyle name="Calculation 9 11 4 3" xfId="47115" xr:uid="{00000000-0005-0000-0000-0000ECB70000}"/>
    <cellStyle name="Calculation 9 11 4 4" xfId="47116" xr:uid="{00000000-0005-0000-0000-0000EDB70000}"/>
    <cellStyle name="Calculation 9 11 4 5" xfId="47117" xr:uid="{00000000-0005-0000-0000-0000EEB70000}"/>
    <cellStyle name="Calculation 9 11 4 6" xfId="47118" xr:uid="{00000000-0005-0000-0000-0000EFB70000}"/>
    <cellStyle name="Calculation 9 11 5" xfId="47119" xr:uid="{00000000-0005-0000-0000-0000F0B70000}"/>
    <cellStyle name="Calculation 9 11 5 2" xfId="47120" xr:uid="{00000000-0005-0000-0000-0000F1B70000}"/>
    <cellStyle name="Calculation 9 11 5 3" xfId="47121" xr:uid="{00000000-0005-0000-0000-0000F2B70000}"/>
    <cellStyle name="Calculation 9 11 5 4" xfId="47122" xr:uid="{00000000-0005-0000-0000-0000F3B70000}"/>
    <cellStyle name="Calculation 9 11 5 5" xfId="47123" xr:uid="{00000000-0005-0000-0000-0000F4B70000}"/>
    <cellStyle name="Calculation 9 11 5 6" xfId="47124" xr:uid="{00000000-0005-0000-0000-0000F5B70000}"/>
    <cellStyle name="Calculation 9 11 6" xfId="47125" xr:uid="{00000000-0005-0000-0000-0000F6B70000}"/>
    <cellStyle name="Calculation 9 11 6 2" xfId="47126" xr:uid="{00000000-0005-0000-0000-0000F7B70000}"/>
    <cellStyle name="Calculation 9 11 6 3" xfId="47127" xr:uid="{00000000-0005-0000-0000-0000F8B70000}"/>
    <cellStyle name="Calculation 9 11 6 4" xfId="47128" xr:uid="{00000000-0005-0000-0000-0000F9B70000}"/>
    <cellStyle name="Calculation 9 11 6 5" xfId="47129" xr:uid="{00000000-0005-0000-0000-0000FAB70000}"/>
    <cellStyle name="Calculation 9 11 6 6" xfId="47130" xr:uid="{00000000-0005-0000-0000-0000FBB70000}"/>
    <cellStyle name="Calculation 9 11 7" xfId="47131" xr:uid="{00000000-0005-0000-0000-0000FCB70000}"/>
    <cellStyle name="Calculation 9 11 7 2" xfId="47132" xr:uid="{00000000-0005-0000-0000-0000FDB70000}"/>
    <cellStyle name="Calculation 9 11 7 3" xfId="47133" xr:uid="{00000000-0005-0000-0000-0000FEB70000}"/>
    <cellStyle name="Calculation 9 11 7 4" xfId="47134" xr:uid="{00000000-0005-0000-0000-0000FFB70000}"/>
    <cellStyle name="Calculation 9 11 7 5" xfId="47135" xr:uid="{00000000-0005-0000-0000-000000B80000}"/>
    <cellStyle name="Calculation 9 11 7 6" xfId="47136" xr:uid="{00000000-0005-0000-0000-000001B80000}"/>
    <cellStyle name="Calculation 9 11 8" xfId="47137" xr:uid="{00000000-0005-0000-0000-000002B80000}"/>
    <cellStyle name="Calculation 9 11 9" xfId="47138" xr:uid="{00000000-0005-0000-0000-000003B80000}"/>
    <cellStyle name="Calculation 9 12" xfId="47139" xr:uid="{00000000-0005-0000-0000-000004B80000}"/>
    <cellStyle name="Calculation 9 12 10" xfId="47140" xr:uid="{00000000-0005-0000-0000-000005B80000}"/>
    <cellStyle name="Calculation 9 12 2" xfId="47141" xr:uid="{00000000-0005-0000-0000-000006B80000}"/>
    <cellStyle name="Calculation 9 12 2 2" xfId="47142" xr:uid="{00000000-0005-0000-0000-000007B80000}"/>
    <cellStyle name="Calculation 9 12 2 3" xfId="47143" xr:uid="{00000000-0005-0000-0000-000008B80000}"/>
    <cellStyle name="Calculation 9 12 2 4" xfId="47144" xr:uid="{00000000-0005-0000-0000-000009B80000}"/>
    <cellStyle name="Calculation 9 12 2 5" xfId="47145" xr:uid="{00000000-0005-0000-0000-00000AB80000}"/>
    <cellStyle name="Calculation 9 12 2 6" xfId="47146" xr:uid="{00000000-0005-0000-0000-00000BB80000}"/>
    <cellStyle name="Calculation 9 12 3" xfId="47147" xr:uid="{00000000-0005-0000-0000-00000CB80000}"/>
    <cellStyle name="Calculation 9 12 3 2" xfId="47148" xr:uid="{00000000-0005-0000-0000-00000DB80000}"/>
    <cellStyle name="Calculation 9 12 3 3" xfId="47149" xr:uid="{00000000-0005-0000-0000-00000EB80000}"/>
    <cellStyle name="Calculation 9 12 3 4" xfId="47150" xr:uid="{00000000-0005-0000-0000-00000FB80000}"/>
    <cellStyle name="Calculation 9 12 3 5" xfId="47151" xr:uid="{00000000-0005-0000-0000-000010B80000}"/>
    <cellStyle name="Calculation 9 12 3 6" xfId="47152" xr:uid="{00000000-0005-0000-0000-000011B80000}"/>
    <cellStyle name="Calculation 9 12 4" xfId="47153" xr:uid="{00000000-0005-0000-0000-000012B80000}"/>
    <cellStyle name="Calculation 9 12 4 2" xfId="47154" xr:uid="{00000000-0005-0000-0000-000013B80000}"/>
    <cellStyle name="Calculation 9 12 4 3" xfId="47155" xr:uid="{00000000-0005-0000-0000-000014B80000}"/>
    <cellStyle name="Calculation 9 12 4 4" xfId="47156" xr:uid="{00000000-0005-0000-0000-000015B80000}"/>
    <cellStyle name="Calculation 9 12 4 5" xfId="47157" xr:uid="{00000000-0005-0000-0000-000016B80000}"/>
    <cellStyle name="Calculation 9 12 4 6" xfId="47158" xr:uid="{00000000-0005-0000-0000-000017B80000}"/>
    <cellStyle name="Calculation 9 12 5" xfId="47159" xr:uid="{00000000-0005-0000-0000-000018B80000}"/>
    <cellStyle name="Calculation 9 12 5 2" xfId="47160" xr:uid="{00000000-0005-0000-0000-000019B80000}"/>
    <cellStyle name="Calculation 9 12 5 3" xfId="47161" xr:uid="{00000000-0005-0000-0000-00001AB80000}"/>
    <cellStyle name="Calculation 9 12 5 4" xfId="47162" xr:uid="{00000000-0005-0000-0000-00001BB80000}"/>
    <cellStyle name="Calculation 9 12 5 5" xfId="47163" xr:uid="{00000000-0005-0000-0000-00001CB80000}"/>
    <cellStyle name="Calculation 9 12 5 6" xfId="47164" xr:uid="{00000000-0005-0000-0000-00001DB80000}"/>
    <cellStyle name="Calculation 9 12 6" xfId="47165" xr:uid="{00000000-0005-0000-0000-00001EB80000}"/>
    <cellStyle name="Calculation 9 12 6 2" xfId="47166" xr:uid="{00000000-0005-0000-0000-00001FB80000}"/>
    <cellStyle name="Calculation 9 12 6 3" xfId="47167" xr:uid="{00000000-0005-0000-0000-000020B80000}"/>
    <cellStyle name="Calculation 9 12 6 4" xfId="47168" xr:uid="{00000000-0005-0000-0000-000021B80000}"/>
    <cellStyle name="Calculation 9 12 6 5" xfId="47169" xr:uid="{00000000-0005-0000-0000-000022B80000}"/>
    <cellStyle name="Calculation 9 12 6 6" xfId="47170" xr:uid="{00000000-0005-0000-0000-000023B80000}"/>
    <cellStyle name="Calculation 9 12 7" xfId="47171" xr:uid="{00000000-0005-0000-0000-000024B80000}"/>
    <cellStyle name="Calculation 9 12 7 2" xfId="47172" xr:uid="{00000000-0005-0000-0000-000025B80000}"/>
    <cellStyle name="Calculation 9 12 7 3" xfId="47173" xr:uid="{00000000-0005-0000-0000-000026B80000}"/>
    <cellStyle name="Calculation 9 12 7 4" xfId="47174" xr:uid="{00000000-0005-0000-0000-000027B80000}"/>
    <cellStyle name="Calculation 9 12 7 5" xfId="47175" xr:uid="{00000000-0005-0000-0000-000028B80000}"/>
    <cellStyle name="Calculation 9 12 7 6" xfId="47176" xr:uid="{00000000-0005-0000-0000-000029B80000}"/>
    <cellStyle name="Calculation 9 12 8" xfId="47177" xr:uid="{00000000-0005-0000-0000-00002AB80000}"/>
    <cellStyle name="Calculation 9 12 9" xfId="47178" xr:uid="{00000000-0005-0000-0000-00002BB80000}"/>
    <cellStyle name="Calculation 9 13" xfId="47179" xr:uid="{00000000-0005-0000-0000-00002CB80000}"/>
    <cellStyle name="Calculation 9 13 10" xfId="47180" xr:uid="{00000000-0005-0000-0000-00002DB80000}"/>
    <cellStyle name="Calculation 9 13 2" xfId="47181" xr:uid="{00000000-0005-0000-0000-00002EB80000}"/>
    <cellStyle name="Calculation 9 13 2 2" xfId="47182" xr:uid="{00000000-0005-0000-0000-00002FB80000}"/>
    <cellStyle name="Calculation 9 13 2 3" xfId="47183" xr:uid="{00000000-0005-0000-0000-000030B80000}"/>
    <cellStyle name="Calculation 9 13 2 4" xfId="47184" xr:uid="{00000000-0005-0000-0000-000031B80000}"/>
    <cellStyle name="Calculation 9 13 2 5" xfId="47185" xr:uid="{00000000-0005-0000-0000-000032B80000}"/>
    <cellStyle name="Calculation 9 13 2 6" xfId="47186" xr:uid="{00000000-0005-0000-0000-000033B80000}"/>
    <cellStyle name="Calculation 9 13 3" xfId="47187" xr:uid="{00000000-0005-0000-0000-000034B80000}"/>
    <cellStyle name="Calculation 9 13 3 2" xfId="47188" xr:uid="{00000000-0005-0000-0000-000035B80000}"/>
    <cellStyle name="Calculation 9 13 3 3" xfId="47189" xr:uid="{00000000-0005-0000-0000-000036B80000}"/>
    <cellStyle name="Calculation 9 13 3 4" xfId="47190" xr:uid="{00000000-0005-0000-0000-000037B80000}"/>
    <cellStyle name="Calculation 9 13 3 5" xfId="47191" xr:uid="{00000000-0005-0000-0000-000038B80000}"/>
    <cellStyle name="Calculation 9 13 3 6" xfId="47192" xr:uid="{00000000-0005-0000-0000-000039B80000}"/>
    <cellStyle name="Calculation 9 13 4" xfId="47193" xr:uid="{00000000-0005-0000-0000-00003AB80000}"/>
    <cellStyle name="Calculation 9 13 4 2" xfId="47194" xr:uid="{00000000-0005-0000-0000-00003BB80000}"/>
    <cellStyle name="Calculation 9 13 4 3" xfId="47195" xr:uid="{00000000-0005-0000-0000-00003CB80000}"/>
    <cellStyle name="Calculation 9 13 4 4" xfId="47196" xr:uid="{00000000-0005-0000-0000-00003DB80000}"/>
    <cellStyle name="Calculation 9 13 4 5" xfId="47197" xr:uid="{00000000-0005-0000-0000-00003EB80000}"/>
    <cellStyle name="Calculation 9 13 4 6" xfId="47198" xr:uid="{00000000-0005-0000-0000-00003FB80000}"/>
    <cellStyle name="Calculation 9 13 5" xfId="47199" xr:uid="{00000000-0005-0000-0000-000040B80000}"/>
    <cellStyle name="Calculation 9 13 5 2" xfId="47200" xr:uid="{00000000-0005-0000-0000-000041B80000}"/>
    <cellStyle name="Calculation 9 13 5 3" xfId="47201" xr:uid="{00000000-0005-0000-0000-000042B80000}"/>
    <cellStyle name="Calculation 9 13 5 4" xfId="47202" xr:uid="{00000000-0005-0000-0000-000043B80000}"/>
    <cellStyle name="Calculation 9 13 5 5" xfId="47203" xr:uid="{00000000-0005-0000-0000-000044B80000}"/>
    <cellStyle name="Calculation 9 13 5 6" xfId="47204" xr:uid="{00000000-0005-0000-0000-000045B80000}"/>
    <cellStyle name="Calculation 9 13 6" xfId="47205" xr:uid="{00000000-0005-0000-0000-000046B80000}"/>
    <cellStyle name="Calculation 9 13 6 2" xfId="47206" xr:uid="{00000000-0005-0000-0000-000047B80000}"/>
    <cellStyle name="Calculation 9 13 6 3" xfId="47207" xr:uid="{00000000-0005-0000-0000-000048B80000}"/>
    <cellStyle name="Calculation 9 13 6 4" xfId="47208" xr:uid="{00000000-0005-0000-0000-000049B80000}"/>
    <cellStyle name="Calculation 9 13 6 5" xfId="47209" xr:uid="{00000000-0005-0000-0000-00004AB80000}"/>
    <cellStyle name="Calculation 9 13 6 6" xfId="47210" xr:uid="{00000000-0005-0000-0000-00004BB80000}"/>
    <cellStyle name="Calculation 9 13 7" xfId="47211" xr:uid="{00000000-0005-0000-0000-00004CB80000}"/>
    <cellStyle name="Calculation 9 13 7 2" xfId="47212" xr:uid="{00000000-0005-0000-0000-00004DB80000}"/>
    <cellStyle name="Calculation 9 13 7 3" xfId="47213" xr:uid="{00000000-0005-0000-0000-00004EB80000}"/>
    <cellStyle name="Calculation 9 13 7 4" xfId="47214" xr:uid="{00000000-0005-0000-0000-00004FB80000}"/>
    <cellStyle name="Calculation 9 13 7 5" xfId="47215" xr:uid="{00000000-0005-0000-0000-000050B80000}"/>
    <cellStyle name="Calculation 9 13 7 6" xfId="47216" xr:uid="{00000000-0005-0000-0000-000051B80000}"/>
    <cellStyle name="Calculation 9 13 8" xfId="47217" xr:uid="{00000000-0005-0000-0000-000052B80000}"/>
    <cellStyle name="Calculation 9 13 9" xfId="47218" xr:uid="{00000000-0005-0000-0000-000053B80000}"/>
    <cellStyle name="Calculation 9 14" xfId="47219" xr:uid="{00000000-0005-0000-0000-000054B80000}"/>
    <cellStyle name="Calculation 9 14 10" xfId="47220" xr:uid="{00000000-0005-0000-0000-000055B80000}"/>
    <cellStyle name="Calculation 9 14 2" xfId="47221" xr:uid="{00000000-0005-0000-0000-000056B80000}"/>
    <cellStyle name="Calculation 9 14 2 2" xfId="47222" xr:uid="{00000000-0005-0000-0000-000057B80000}"/>
    <cellStyle name="Calculation 9 14 2 3" xfId="47223" xr:uid="{00000000-0005-0000-0000-000058B80000}"/>
    <cellStyle name="Calculation 9 14 2 4" xfId="47224" xr:uid="{00000000-0005-0000-0000-000059B80000}"/>
    <cellStyle name="Calculation 9 14 2 5" xfId="47225" xr:uid="{00000000-0005-0000-0000-00005AB80000}"/>
    <cellStyle name="Calculation 9 14 2 6" xfId="47226" xr:uid="{00000000-0005-0000-0000-00005BB80000}"/>
    <cellStyle name="Calculation 9 14 3" xfId="47227" xr:uid="{00000000-0005-0000-0000-00005CB80000}"/>
    <cellStyle name="Calculation 9 14 3 2" xfId="47228" xr:uid="{00000000-0005-0000-0000-00005DB80000}"/>
    <cellStyle name="Calculation 9 14 3 3" xfId="47229" xr:uid="{00000000-0005-0000-0000-00005EB80000}"/>
    <cellStyle name="Calculation 9 14 3 4" xfId="47230" xr:uid="{00000000-0005-0000-0000-00005FB80000}"/>
    <cellStyle name="Calculation 9 14 3 5" xfId="47231" xr:uid="{00000000-0005-0000-0000-000060B80000}"/>
    <cellStyle name="Calculation 9 14 3 6" xfId="47232" xr:uid="{00000000-0005-0000-0000-000061B80000}"/>
    <cellStyle name="Calculation 9 14 4" xfId="47233" xr:uid="{00000000-0005-0000-0000-000062B80000}"/>
    <cellStyle name="Calculation 9 14 4 2" xfId="47234" xr:uid="{00000000-0005-0000-0000-000063B80000}"/>
    <cellStyle name="Calculation 9 14 4 3" xfId="47235" xr:uid="{00000000-0005-0000-0000-000064B80000}"/>
    <cellStyle name="Calculation 9 14 4 4" xfId="47236" xr:uid="{00000000-0005-0000-0000-000065B80000}"/>
    <cellStyle name="Calculation 9 14 4 5" xfId="47237" xr:uid="{00000000-0005-0000-0000-000066B80000}"/>
    <cellStyle name="Calculation 9 14 4 6" xfId="47238" xr:uid="{00000000-0005-0000-0000-000067B80000}"/>
    <cellStyle name="Calculation 9 14 5" xfId="47239" xr:uid="{00000000-0005-0000-0000-000068B80000}"/>
    <cellStyle name="Calculation 9 14 5 2" xfId="47240" xr:uid="{00000000-0005-0000-0000-000069B80000}"/>
    <cellStyle name="Calculation 9 14 5 3" xfId="47241" xr:uid="{00000000-0005-0000-0000-00006AB80000}"/>
    <cellStyle name="Calculation 9 14 5 4" xfId="47242" xr:uid="{00000000-0005-0000-0000-00006BB80000}"/>
    <cellStyle name="Calculation 9 14 5 5" xfId="47243" xr:uid="{00000000-0005-0000-0000-00006CB80000}"/>
    <cellStyle name="Calculation 9 14 5 6" xfId="47244" xr:uid="{00000000-0005-0000-0000-00006DB80000}"/>
    <cellStyle name="Calculation 9 14 6" xfId="47245" xr:uid="{00000000-0005-0000-0000-00006EB80000}"/>
    <cellStyle name="Calculation 9 14 6 2" xfId="47246" xr:uid="{00000000-0005-0000-0000-00006FB80000}"/>
    <cellStyle name="Calculation 9 14 6 3" xfId="47247" xr:uid="{00000000-0005-0000-0000-000070B80000}"/>
    <cellStyle name="Calculation 9 14 6 4" xfId="47248" xr:uid="{00000000-0005-0000-0000-000071B80000}"/>
    <cellStyle name="Calculation 9 14 6 5" xfId="47249" xr:uid="{00000000-0005-0000-0000-000072B80000}"/>
    <cellStyle name="Calculation 9 14 6 6" xfId="47250" xr:uid="{00000000-0005-0000-0000-000073B80000}"/>
    <cellStyle name="Calculation 9 14 7" xfId="47251" xr:uid="{00000000-0005-0000-0000-000074B80000}"/>
    <cellStyle name="Calculation 9 14 7 2" xfId="47252" xr:uid="{00000000-0005-0000-0000-000075B80000}"/>
    <cellStyle name="Calculation 9 14 7 3" xfId="47253" xr:uid="{00000000-0005-0000-0000-000076B80000}"/>
    <cellStyle name="Calculation 9 14 7 4" xfId="47254" xr:uid="{00000000-0005-0000-0000-000077B80000}"/>
    <cellStyle name="Calculation 9 14 7 5" xfId="47255" xr:uid="{00000000-0005-0000-0000-000078B80000}"/>
    <cellStyle name="Calculation 9 14 7 6" xfId="47256" xr:uid="{00000000-0005-0000-0000-000079B80000}"/>
    <cellStyle name="Calculation 9 14 8" xfId="47257" xr:uid="{00000000-0005-0000-0000-00007AB80000}"/>
    <cellStyle name="Calculation 9 14 9" xfId="47258" xr:uid="{00000000-0005-0000-0000-00007BB80000}"/>
    <cellStyle name="Calculation 9 15" xfId="47259" xr:uid="{00000000-0005-0000-0000-00007CB80000}"/>
    <cellStyle name="Calculation 9 15 10" xfId="47260" xr:uid="{00000000-0005-0000-0000-00007DB80000}"/>
    <cellStyle name="Calculation 9 15 2" xfId="47261" xr:uid="{00000000-0005-0000-0000-00007EB80000}"/>
    <cellStyle name="Calculation 9 15 2 2" xfId="47262" xr:uid="{00000000-0005-0000-0000-00007FB80000}"/>
    <cellStyle name="Calculation 9 15 2 3" xfId="47263" xr:uid="{00000000-0005-0000-0000-000080B80000}"/>
    <cellStyle name="Calculation 9 15 2 4" xfId="47264" xr:uid="{00000000-0005-0000-0000-000081B80000}"/>
    <cellStyle name="Calculation 9 15 2 5" xfId="47265" xr:uid="{00000000-0005-0000-0000-000082B80000}"/>
    <cellStyle name="Calculation 9 15 2 6" xfId="47266" xr:uid="{00000000-0005-0000-0000-000083B80000}"/>
    <cellStyle name="Calculation 9 15 3" xfId="47267" xr:uid="{00000000-0005-0000-0000-000084B80000}"/>
    <cellStyle name="Calculation 9 15 3 2" xfId="47268" xr:uid="{00000000-0005-0000-0000-000085B80000}"/>
    <cellStyle name="Calculation 9 15 3 3" xfId="47269" xr:uid="{00000000-0005-0000-0000-000086B80000}"/>
    <cellStyle name="Calculation 9 15 3 4" xfId="47270" xr:uid="{00000000-0005-0000-0000-000087B80000}"/>
    <cellStyle name="Calculation 9 15 3 5" xfId="47271" xr:uid="{00000000-0005-0000-0000-000088B80000}"/>
    <cellStyle name="Calculation 9 15 3 6" xfId="47272" xr:uid="{00000000-0005-0000-0000-000089B80000}"/>
    <cellStyle name="Calculation 9 15 4" xfId="47273" xr:uid="{00000000-0005-0000-0000-00008AB80000}"/>
    <cellStyle name="Calculation 9 15 4 2" xfId="47274" xr:uid="{00000000-0005-0000-0000-00008BB80000}"/>
    <cellStyle name="Calculation 9 15 4 3" xfId="47275" xr:uid="{00000000-0005-0000-0000-00008CB80000}"/>
    <cellStyle name="Calculation 9 15 4 4" xfId="47276" xr:uid="{00000000-0005-0000-0000-00008DB80000}"/>
    <cellStyle name="Calculation 9 15 4 5" xfId="47277" xr:uid="{00000000-0005-0000-0000-00008EB80000}"/>
    <cellStyle name="Calculation 9 15 4 6" xfId="47278" xr:uid="{00000000-0005-0000-0000-00008FB80000}"/>
    <cellStyle name="Calculation 9 15 5" xfId="47279" xr:uid="{00000000-0005-0000-0000-000090B80000}"/>
    <cellStyle name="Calculation 9 15 5 2" xfId="47280" xr:uid="{00000000-0005-0000-0000-000091B80000}"/>
    <cellStyle name="Calculation 9 15 5 3" xfId="47281" xr:uid="{00000000-0005-0000-0000-000092B80000}"/>
    <cellStyle name="Calculation 9 15 5 4" xfId="47282" xr:uid="{00000000-0005-0000-0000-000093B80000}"/>
    <cellStyle name="Calculation 9 15 5 5" xfId="47283" xr:uid="{00000000-0005-0000-0000-000094B80000}"/>
    <cellStyle name="Calculation 9 15 5 6" xfId="47284" xr:uid="{00000000-0005-0000-0000-000095B80000}"/>
    <cellStyle name="Calculation 9 15 6" xfId="47285" xr:uid="{00000000-0005-0000-0000-000096B80000}"/>
    <cellStyle name="Calculation 9 15 6 2" xfId="47286" xr:uid="{00000000-0005-0000-0000-000097B80000}"/>
    <cellStyle name="Calculation 9 15 6 3" xfId="47287" xr:uid="{00000000-0005-0000-0000-000098B80000}"/>
    <cellStyle name="Calculation 9 15 6 4" xfId="47288" xr:uid="{00000000-0005-0000-0000-000099B80000}"/>
    <cellStyle name="Calculation 9 15 6 5" xfId="47289" xr:uid="{00000000-0005-0000-0000-00009AB80000}"/>
    <cellStyle name="Calculation 9 15 6 6" xfId="47290" xr:uid="{00000000-0005-0000-0000-00009BB80000}"/>
    <cellStyle name="Calculation 9 15 7" xfId="47291" xr:uid="{00000000-0005-0000-0000-00009CB80000}"/>
    <cellStyle name="Calculation 9 15 7 2" xfId="47292" xr:uid="{00000000-0005-0000-0000-00009DB80000}"/>
    <cellStyle name="Calculation 9 15 7 3" xfId="47293" xr:uid="{00000000-0005-0000-0000-00009EB80000}"/>
    <cellStyle name="Calculation 9 15 7 4" xfId="47294" xr:uid="{00000000-0005-0000-0000-00009FB80000}"/>
    <cellStyle name="Calculation 9 15 7 5" xfId="47295" xr:uid="{00000000-0005-0000-0000-0000A0B80000}"/>
    <cellStyle name="Calculation 9 15 7 6" xfId="47296" xr:uid="{00000000-0005-0000-0000-0000A1B80000}"/>
    <cellStyle name="Calculation 9 15 8" xfId="47297" xr:uid="{00000000-0005-0000-0000-0000A2B80000}"/>
    <cellStyle name="Calculation 9 15 9" xfId="47298" xr:uid="{00000000-0005-0000-0000-0000A3B80000}"/>
    <cellStyle name="Calculation 9 16" xfId="47299" xr:uid="{00000000-0005-0000-0000-0000A4B80000}"/>
    <cellStyle name="Calculation 9 16 10" xfId="47300" xr:uid="{00000000-0005-0000-0000-0000A5B80000}"/>
    <cellStyle name="Calculation 9 16 2" xfId="47301" xr:uid="{00000000-0005-0000-0000-0000A6B80000}"/>
    <cellStyle name="Calculation 9 16 2 2" xfId="47302" xr:uid="{00000000-0005-0000-0000-0000A7B80000}"/>
    <cellStyle name="Calculation 9 16 2 3" xfId="47303" xr:uid="{00000000-0005-0000-0000-0000A8B80000}"/>
    <cellStyle name="Calculation 9 16 2 4" xfId="47304" xr:uid="{00000000-0005-0000-0000-0000A9B80000}"/>
    <cellStyle name="Calculation 9 16 2 5" xfId="47305" xr:uid="{00000000-0005-0000-0000-0000AAB80000}"/>
    <cellStyle name="Calculation 9 16 2 6" xfId="47306" xr:uid="{00000000-0005-0000-0000-0000ABB80000}"/>
    <cellStyle name="Calculation 9 16 3" xfId="47307" xr:uid="{00000000-0005-0000-0000-0000ACB80000}"/>
    <cellStyle name="Calculation 9 16 3 2" xfId="47308" xr:uid="{00000000-0005-0000-0000-0000ADB80000}"/>
    <cellStyle name="Calculation 9 16 3 3" xfId="47309" xr:uid="{00000000-0005-0000-0000-0000AEB80000}"/>
    <cellStyle name="Calculation 9 16 3 4" xfId="47310" xr:uid="{00000000-0005-0000-0000-0000AFB80000}"/>
    <cellStyle name="Calculation 9 16 3 5" xfId="47311" xr:uid="{00000000-0005-0000-0000-0000B0B80000}"/>
    <cellStyle name="Calculation 9 16 3 6" xfId="47312" xr:uid="{00000000-0005-0000-0000-0000B1B80000}"/>
    <cellStyle name="Calculation 9 16 4" xfId="47313" xr:uid="{00000000-0005-0000-0000-0000B2B80000}"/>
    <cellStyle name="Calculation 9 16 4 2" xfId="47314" xr:uid="{00000000-0005-0000-0000-0000B3B80000}"/>
    <cellStyle name="Calculation 9 16 4 3" xfId="47315" xr:uid="{00000000-0005-0000-0000-0000B4B80000}"/>
    <cellStyle name="Calculation 9 16 4 4" xfId="47316" xr:uid="{00000000-0005-0000-0000-0000B5B80000}"/>
    <cellStyle name="Calculation 9 16 4 5" xfId="47317" xr:uid="{00000000-0005-0000-0000-0000B6B80000}"/>
    <cellStyle name="Calculation 9 16 4 6" xfId="47318" xr:uid="{00000000-0005-0000-0000-0000B7B80000}"/>
    <cellStyle name="Calculation 9 16 5" xfId="47319" xr:uid="{00000000-0005-0000-0000-0000B8B80000}"/>
    <cellStyle name="Calculation 9 16 5 2" xfId="47320" xr:uid="{00000000-0005-0000-0000-0000B9B80000}"/>
    <cellStyle name="Calculation 9 16 5 3" xfId="47321" xr:uid="{00000000-0005-0000-0000-0000BAB80000}"/>
    <cellStyle name="Calculation 9 16 5 4" xfId="47322" xr:uid="{00000000-0005-0000-0000-0000BBB80000}"/>
    <cellStyle name="Calculation 9 16 5 5" xfId="47323" xr:uid="{00000000-0005-0000-0000-0000BCB80000}"/>
    <cellStyle name="Calculation 9 16 5 6" xfId="47324" xr:uid="{00000000-0005-0000-0000-0000BDB80000}"/>
    <cellStyle name="Calculation 9 16 6" xfId="47325" xr:uid="{00000000-0005-0000-0000-0000BEB80000}"/>
    <cellStyle name="Calculation 9 16 6 2" xfId="47326" xr:uid="{00000000-0005-0000-0000-0000BFB80000}"/>
    <cellStyle name="Calculation 9 16 6 3" xfId="47327" xr:uid="{00000000-0005-0000-0000-0000C0B80000}"/>
    <cellStyle name="Calculation 9 16 6 4" xfId="47328" xr:uid="{00000000-0005-0000-0000-0000C1B80000}"/>
    <cellStyle name="Calculation 9 16 6 5" xfId="47329" xr:uid="{00000000-0005-0000-0000-0000C2B80000}"/>
    <cellStyle name="Calculation 9 16 6 6" xfId="47330" xr:uid="{00000000-0005-0000-0000-0000C3B80000}"/>
    <cellStyle name="Calculation 9 16 7" xfId="47331" xr:uid="{00000000-0005-0000-0000-0000C4B80000}"/>
    <cellStyle name="Calculation 9 16 7 2" xfId="47332" xr:uid="{00000000-0005-0000-0000-0000C5B80000}"/>
    <cellStyle name="Calculation 9 16 7 3" xfId="47333" xr:uid="{00000000-0005-0000-0000-0000C6B80000}"/>
    <cellStyle name="Calculation 9 16 7 4" xfId="47334" xr:uid="{00000000-0005-0000-0000-0000C7B80000}"/>
    <cellStyle name="Calculation 9 16 7 5" xfId="47335" xr:uid="{00000000-0005-0000-0000-0000C8B80000}"/>
    <cellStyle name="Calculation 9 16 7 6" xfId="47336" xr:uid="{00000000-0005-0000-0000-0000C9B80000}"/>
    <cellStyle name="Calculation 9 16 8" xfId="47337" xr:uid="{00000000-0005-0000-0000-0000CAB80000}"/>
    <cellStyle name="Calculation 9 16 9" xfId="47338" xr:uid="{00000000-0005-0000-0000-0000CBB80000}"/>
    <cellStyle name="Calculation 9 17" xfId="47339" xr:uid="{00000000-0005-0000-0000-0000CCB80000}"/>
    <cellStyle name="Calculation 9 17 10" xfId="47340" xr:uid="{00000000-0005-0000-0000-0000CDB80000}"/>
    <cellStyle name="Calculation 9 17 2" xfId="47341" xr:uid="{00000000-0005-0000-0000-0000CEB80000}"/>
    <cellStyle name="Calculation 9 17 2 2" xfId="47342" xr:uid="{00000000-0005-0000-0000-0000CFB80000}"/>
    <cellStyle name="Calculation 9 17 2 3" xfId="47343" xr:uid="{00000000-0005-0000-0000-0000D0B80000}"/>
    <cellStyle name="Calculation 9 17 2 4" xfId="47344" xr:uid="{00000000-0005-0000-0000-0000D1B80000}"/>
    <cellStyle name="Calculation 9 17 2 5" xfId="47345" xr:uid="{00000000-0005-0000-0000-0000D2B80000}"/>
    <cellStyle name="Calculation 9 17 2 6" xfId="47346" xr:uid="{00000000-0005-0000-0000-0000D3B80000}"/>
    <cellStyle name="Calculation 9 17 3" xfId="47347" xr:uid="{00000000-0005-0000-0000-0000D4B80000}"/>
    <cellStyle name="Calculation 9 17 3 2" xfId="47348" xr:uid="{00000000-0005-0000-0000-0000D5B80000}"/>
    <cellStyle name="Calculation 9 17 3 3" xfId="47349" xr:uid="{00000000-0005-0000-0000-0000D6B80000}"/>
    <cellStyle name="Calculation 9 17 3 4" xfId="47350" xr:uid="{00000000-0005-0000-0000-0000D7B80000}"/>
    <cellStyle name="Calculation 9 17 3 5" xfId="47351" xr:uid="{00000000-0005-0000-0000-0000D8B80000}"/>
    <cellStyle name="Calculation 9 17 3 6" xfId="47352" xr:uid="{00000000-0005-0000-0000-0000D9B80000}"/>
    <cellStyle name="Calculation 9 17 4" xfId="47353" xr:uid="{00000000-0005-0000-0000-0000DAB80000}"/>
    <cellStyle name="Calculation 9 17 4 2" xfId="47354" xr:uid="{00000000-0005-0000-0000-0000DBB80000}"/>
    <cellStyle name="Calculation 9 17 4 3" xfId="47355" xr:uid="{00000000-0005-0000-0000-0000DCB80000}"/>
    <cellStyle name="Calculation 9 17 4 4" xfId="47356" xr:uid="{00000000-0005-0000-0000-0000DDB80000}"/>
    <cellStyle name="Calculation 9 17 4 5" xfId="47357" xr:uid="{00000000-0005-0000-0000-0000DEB80000}"/>
    <cellStyle name="Calculation 9 17 4 6" xfId="47358" xr:uid="{00000000-0005-0000-0000-0000DFB80000}"/>
    <cellStyle name="Calculation 9 17 5" xfId="47359" xr:uid="{00000000-0005-0000-0000-0000E0B80000}"/>
    <cellStyle name="Calculation 9 17 5 2" xfId="47360" xr:uid="{00000000-0005-0000-0000-0000E1B80000}"/>
    <cellStyle name="Calculation 9 17 5 3" xfId="47361" xr:uid="{00000000-0005-0000-0000-0000E2B80000}"/>
    <cellStyle name="Calculation 9 17 5 4" xfId="47362" xr:uid="{00000000-0005-0000-0000-0000E3B80000}"/>
    <cellStyle name="Calculation 9 17 5 5" xfId="47363" xr:uid="{00000000-0005-0000-0000-0000E4B80000}"/>
    <cellStyle name="Calculation 9 17 5 6" xfId="47364" xr:uid="{00000000-0005-0000-0000-0000E5B80000}"/>
    <cellStyle name="Calculation 9 17 6" xfId="47365" xr:uid="{00000000-0005-0000-0000-0000E6B80000}"/>
    <cellStyle name="Calculation 9 17 6 2" xfId="47366" xr:uid="{00000000-0005-0000-0000-0000E7B80000}"/>
    <cellStyle name="Calculation 9 17 6 3" xfId="47367" xr:uid="{00000000-0005-0000-0000-0000E8B80000}"/>
    <cellStyle name="Calculation 9 17 6 4" xfId="47368" xr:uid="{00000000-0005-0000-0000-0000E9B80000}"/>
    <cellStyle name="Calculation 9 17 6 5" xfId="47369" xr:uid="{00000000-0005-0000-0000-0000EAB80000}"/>
    <cellStyle name="Calculation 9 17 6 6" xfId="47370" xr:uid="{00000000-0005-0000-0000-0000EBB80000}"/>
    <cellStyle name="Calculation 9 17 7" xfId="47371" xr:uid="{00000000-0005-0000-0000-0000ECB80000}"/>
    <cellStyle name="Calculation 9 17 7 2" xfId="47372" xr:uid="{00000000-0005-0000-0000-0000EDB80000}"/>
    <cellStyle name="Calculation 9 17 7 3" xfId="47373" xr:uid="{00000000-0005-0000-0000-0000EEB80000}"/>
    <cellStyle name="Calculation 9 17 7 4" xfId="47374" xr:uid="{00000000-0005-0000-0000-0000EFB80000}"/>
    <cellStyle name="Calculation 9 17 7 5" xfId="47375" xr:uid="{00000000-0005-0000-0000-0000F0B80000}"/>
    <cellStyle name="Calculation 9 17 7 6" xfId="47376" xr:uid="{00000000-0005-0000-0000-0000F1B80000}"/>
    <cellStyle name="Calculation 9 17 8" xfId="47377" xr:uid="{00000000-0005-0000-0000-0000F2B80000}"/>
    <cellStyle name="Calculation 9 17 9" xfId="47378" xr:uid="{00000000-0005-0000-0000-0000F3B80000}"/>
    <cellStyle name="Calculation 9 18" xfId="47379" xr:uid="{00000000-0005-0000-0000-0000F4B80000}"/>
    <cellStyle name="Calculation 9 18 10" xfId="47380" xr:uid="{00000000-0005-0000-0000-0000F5B80000}"/>
    <cellStyle name="Calculation 9 18 2" xfId="47381" xr:uid="{00000000-0005-0000-0000-0000F6B80000}"/>
    <cellStyle name="Calculation 9 18 2 2" xfId="47382" xr:uid="{00000000-0005-0000-0000-0000F7B80000}"/>
    <cellStyle name="Calculation 9 18 2 3" xfId="47383" xr:uid="{00000000-0005-0000-0000-0000F8B80000}"/>
    <cellStyle name="Calculation 9 18 2 4" xfId="47384" xr:uid="{00000000-0005-0000-0000-0000F9B80000}"/>
    <cellStyle name="Calculation 9 18 2 5" xfId="47385" xr:uid="{00000000-0005-0000-0000-0000FAB80000}"/>
    <cellStyle name="Calculation 9 18 2 6" xfId="47386" xr:uid="{00000000-0005-0000-0000-0000FBB80000}"/>
    <cellStyle name="Calculation 9 18 3" xfId="47387" xr:uid="{00000000-0005-0000-0000-0000FCB80000}"/>
    <cellStyle name="Calculation 9 18 3 2" xfId="47388" xr:uid="{00000000-0005-0000-0000-0000FDB80000}"/>
    <cellStyle name="Calculation 9 18 3 3" xfId="47389" xr:uid="{00000000-0005-0000-0000-0000FEB80000}"/>
    <cellStyle name="Calculation 9 18 3 4" xfId="47390" xr:uid="{00000000-0005-0000-0000-0000FFB80000}"/>
    <cellStyle name="Calculation 9 18 3 5" xfId="47391" xr:uid="{00000000-0005-0000-0000-000000B90000}"/>
    <cellStyle name="Calculation 9 18 3 6" xfId="47392" xr:uid="{00000000-0005-0000-0000-000001B90000}"/>
    <cellStyle name="Calculation 9 18 4" xfId="47393" xr:uid="{00000000-0005-0000-0000-000002B90000}"/>
    <cellStyle name="Calculation 9 18 4 2" xfId="47394" xr:uid="{00000000-0005-0000-0000-000003B90000}"/>
    <cellStyle name="Calculation 9 18 4 3" xfId="47395" xr:uid="{00000000-0005-0000-0000-000004B90000}"/>
    <cellStyle name="Calculation 9 18 4 4" xfId="47396" xr:uid="{00000000-0005-0000-0000-000005B90000}"/>
    <cellStyle name="Calculation 9 18 4 5" xfId="47397" xr:uid="{00000000-0005-0000-0000-000006B90000}"/>
    <cellStyle name="Calculation 9 18 4 6" xfId="47398" xr:uid="{00000000-0005-0000-0000-000007B90000}"/>
    <cellStyle name="Calculation 9 18 5" xfId="47399" xr:uid="{00000000-0005-0000-0000-000008B90000}"/>
    <cellStyle name="Calculation 9 18 5 2" xfId="47400" xr:uid="{00000000-0005-0000-0000-000009B90000}"/>
    <cellStyle name="Calculation 9 18 5 3" xfId="47401" xr:uid="{00000000-0005-0000-0000-00000AB90000}"/>
    <cellStyle name="Calculation 9 18 5 4" xfId="47402" xr:uid="{00000000-0005-0000-0000-00000BB90000}"/>
    <cellStyle name="Calculation 9 18 5 5" xfId="47403" xr:uid="{00000000-0005-0000-0000-00000CB90000}"/>
    <cellStyle name="Calculation 9 18 5 6" xfId="47404" xr:uid="{00000000-0005-0000-0000-00000DB90000}"/>
    <cellStyle name="Calculation 9 18 6" xfId="47405" xr:uid="{00000000-0005-0000-0000-00000EB90000}"/>
    <cellStyle name="Calculation 9 18 6 2" xfId="47406" xr:uid="{00000000-0005-0000-0000-00000FB90000}"/>
    <cellStyle name="Calculation 9 18 6 3" xfId="47407" xr:uid="{00000000-0005-0000-0000-000010B90000}"/>
    <cellStyle name="Calculation 9 18 6 4" xfId="47408" xr:uid="{00000000-0005-0000-0000-000011B90000}"/>
    <cellStyle name="Calculation 9 18 6 5" xfId="47409" xr:uid="{00000000-0005-0000-0000-000012B90000}"/>
    <cellStyle name="Calculation 9 18 6 6" xfId="47410" xr:uid="{00000000-0005-0000-0000-000013B90000}"/>
    <cellStyle name="Calculation 9 18 7" xfId="47411" xr:uid="{00000000-0005-0000-0000-000014B90000}"/>
    <cellStyle name="Calculation 9 18 7 2" xfId="47412" xr:uid="{00000000-0005-0000-0000-000015B90000}"/>
    <cellStyle name="Calculation 9 18 7 3" xfId="47413" xr:uid="{00000000-0005-0000-0000-000016B90000}"/>
    <cellStyle name="Calculation 9 18 7 4" xfId="47414" xr:uid="{00000000-0005-0000-0000-000017B90000}"/>
    <cellStyle name="Calculation 9 18 7 5" xfId="47415" xr:uid="{00000000-0005-0000-0000-000018B90000}"/>
    <cellStyle name="Calculation 9 18 7 6" xfId="47416" xr:uid="{00000000-0005-0000-0000-000019B90000}"/>
    <cellStyle name="Calculation 9 18 8" xfId="47417" xr:uid="{00000000-0005-0000-0000-00001AB90000}"/>
    <cellStyle name="Calculation 9 18 9" xfId="47418" xr:uid="{00000000-0005-0000-0000-00001BB90000}"/>
    <cellStyle name="Calculation 9 19" xfId="47419" xr:uid="{00000000-0005-0000-0000-00001CB90000}"/>
    <cellStyle name="Calculation 9 19 10" xfId="47420" xr:uid="{00000000-0005-0000-0000-00001DB90000}"/>
    <cellStyle name="Calculation 9 19 2" xfId="47421" xr:uid="{00000000-0005-0000-0000-00001EB90000}"/>
    <cellStyle name="Calculation 9 19 2 2" xfId="47422" xr:uid="{00000000-0005-0000-0000-00001FB90000}"/>
    <cellStyle name="Calculation 9 19 2 3" xfId="47423" xr:uid="{00000000-0005-0000-0000-000020B90000}"/>
    <cellStyle name="Calculation 9 19 2 4" xfId="47424" xr:uid="{00000000-0005-0000-0000-000021B90000}"/>
    <cellStyle name="Calculation 9 19 2 5" xfId="47425" xr:uid="{00000000-0005-0000-0000-000022B90000}"/>
    <cellStyle name="Calculation 9 19 2 6" xfId="47426" xr:uid="{00000000-0005-0000-0000-000023B90000}"/>
    <cellStyle name="Calculation 9 19 3" xfId="47427" xr:uid="{00000000-0005-0000-0000-000024B90000}"/>
    <cellStyle name="Calculation 9 19 3 2" xfId="47428" xr:uid="{00000000-0005-0000-0000-000025B90000}"/>
    <cellStyle name="Calculation 9 19 3 3" xfId="47429" xr:uid="{00000000-0005-0000-0000-000026B90000}"/>
    <cellStyle name="Calculation 9 19 3 4" xfId="47430" xr:uid="{00000000-0005-0000-0000-000027B90000}"/>
    <cellStyle name="Calculation 9 19 3 5" xfId="47431" xr:uid="{00000000-0005-0000-0000-000028B90000}"/>
    <cellStyle name="Calculation 9 19 3 6" xfId="47432" xr:uid="{00000000-0005-0000-0000-000029B90000}"/>
    <cellStyle name="Calculation 9 19 4" xfId="47433" xr:uid="{00000000-0005-0000-0000-00002AB90000}"/>
    <cellStyle name="Calculation 9 19 4 2" xfId="47434" xr:uid="{00000000-0005-0000-0000-00002BB90000}"/>
    <cellStyle name="Calculation 9 19 4 3" xfId="47435" xr:uid="{00000000-0005-0000-0000-00002CB90000}"/>
    <cellStyle name="Calculation 9 19 4 4" xfId="47436" xr:uid="{00000000-0005-0000-0000-00002DB90000}"/>
    <cellStyle name="Calculation 9 19 4 5" xfId="47437" xr:uid="{00000000-0005-0000-0000-00002EB90000}"/>
    <cellStyle name="Calculation 9 19 4 6" xfId="47438" xr:uid="{00000000-0005-0000-0000-00002FB90000}"/>
    <cellStyle name="Calculation 9 19 5" xfId="47439" xr:uid="{00000000-0005-0000-0000-000030B90000}"/>
    <cellStyle name="Calculation 9 19 5 2" xfId="47440" xr:uid="{00000000-0005-0000-0000-000031B90000}"/>
    <cellStyle name="Calculation 9 19 5 3" xfId="47441" xr:uid="{00000000-0005-0000-0000-000032B90000}"/>
    <cellStyle name="Calculation 9 19 5 4" xfId="47442" xr:uid="{00000000-0005-0000-0000-000033B90000}"/>
    <cellStyle name="Calculation 9 19 5 5" xfId="47443" xr:uid="{00000000-0005-0000-0000-000034B90000}"/>
    <cellStyle name="Calculation 9 19 5 6" xfId="47444" xr:uid="{00000000-0005-0000-0000-000035B90000}"/>
    <cellStyle name="Calculation 9 19 6" xfId="47445" xr:uid="{00000000-0005-0000-0000-000036B90000}"/>
    <cellStyle name="Calculation 9 19 6 2" xfId="47446" xr:uid="{00000000-0005-0000-0000-000037B90000}"/>
    <cellStyle name="Calculation 9 19 6 3" xfId="47447" xr:uid="{00000000-0005-0000-0000-000038B90000}"/>
    <cellStyle name="Calculation 9 19 6 4" xfId="47448" xr:uid="{00000000-0005-0000-0000-000039B90000}"/>
    <cellStyle name="Calculation 9 19 6 5" xfId="47449" xr:uid="{00000000-0005-0000-0000-00003AB90000}"/>
    <cellStyle name="Calculation 9 19 6 6" xfId="47450" xr:uid="{00000000-0005-0000-0000-00003BB90000}"/>
    <cellStyle name="Calculation 9 19 7" xfId="47451" xr:uid="{00000000-0005-0000-0000-00003CB90000}"/>
    <cellStyle name="Calculation 9 19 7 2" xfId="47452" xr:uid="{00000000-0005-0000-0000-00003DB90000}"/>
    <cellStyle name="Calculation 9 19 7 3" xfId="47453" xr:uid="{00000000-0005-0000-0000-00003EB90000}"/>
    <cellStyle name="Calculation 9 19 7 4" xfId="47454" xr:uid="{00000000-0005-0000-0000-00003FB90000}"/>
    <cellStyle name="Calculation 9 19 7 5" xfId="47455" xr:uid="{00000000-0005-0000-0000-000040B90000}"/>
    <cellStyle name="Calculation 9 19 7 6" xfId="47456" xr:uid="{00000000-0005-0000-0000-000041B90000}"/>
    <cellStyle name="Calculation 9 19 8" xfId="47457" xr:uid="{00000000-0005-0000-0000-000042B90000}"/>
    <cellStyle name="Calculation 9 19 9" xfId="47458" xr:uid="{00000000-0005-0000-0000-000043B90000}"/>
    <cellStyle name="Calculation 9 2" xfId="47459" xr:uid="{00000000-0005-0000-0000-000044B90000}"/>
    <cellStyle name="Calculation 9 2 10" xfId="47460" xr:uid="{00000000-0005-0000-0000-000045B90000}"/>
    <cellStyle name="Calculation 9 2 10 10" xfId="47461" xr:uid="{00000000-0005-0000-0000-000046B90000}"/>
    <cellStyle name="Calculation 9 2 10 2" xfId="47462" xr:uid="{00000000-0005-0000-0000-000047B90000}"/>
    <cellStyle name="Calculation 9 2 10 2 2" xfId="47463" xr:uid="{00000000-0005-0000-0000-000048B90000}"/>
    <cellStyle name="Calculation 9 2 10 2 3" xfId="47464" xr:uid="{00000000-0005-0000-0000-000049B90000}"/>
    <cellStyle name="Calculation 9 2 10 2 4" xfId="47465" xr:uid="{00000000-0005-0000-0000-00004AB90000}"/>
    <cellStyle name="Calculation 9 2 10 2 5" xfId="47466" xr:uid="{00000000-0005-0000-0000-00004BB90000}"/>
    <cellStyle name="Calculation 9 2 10 2 6" xfId="47467" xr:uid="{00000000-0005-0000-0000-00004CB90000}"/>
    <cellStyle name="Calculation 9 2 10 3" xfId="47468" xr:uid="{00000000-0005-0000-0000-00004DB90000}"/>
    <cellStyle name="Calculation 9 2 10 3 2" xfId="47469" xr:uid="{00000000-0005-0000-0000-00004EB90000}"/>
    <cellStyle name="Calculation 9 2 10 3 3" xfId="47470" xr:uid="{00000000-0005-0000-0000-00004FB90000}"/>
    <cellStyle name="Calculation 9 2 10 3 4" xfId="47471" xr:uid="{00000000-0005-0000-0000-000050B90000}"/>
    <cellStyle name="Calculation 9 2 10 3 5" xfId="47472" xr:uid="{00000000-0005-0000-0000-000051B90000}"/>
    <cellStyle name="Calculation 9 2 10 3 6" xfId="47473" xr:uid="{00000000-0005-0000-0000-000052B90000}"/>
    <cellStyle name="Calculation 9 2 10 4" xfId="47474" xr:uid="{00000000-0005-0000-0000-000053B90000}"/>
    <cellStyle name="Calculation 9 2 10 4 2" xfId="47475" xr:uid="{00000000-0005-0000-0000-000054B90000}"/>
    <cellStyle name="Calculation 9 2 10 4 3" xfId="47476" xr:uid="{00000000-0005-0000-0000-000055B90000}"/>
    <cellStyle name="Calculation 9 2 10 4 4" xfId="47477" xr:uid="{00000000-0005-0000-0000-000056B90000}"/>
    <cellStyle name="Calculation 9 2 10 4 5" xfId="47478" xr:uid="{00000000-0005-0000-0000-000057B90000}"/>
    <cellStyle name="Calculation 9 2 10 4 6" xfId="47479" xr:uid="{00000000-0005-0000-0000-000058B90000}"/>
    <cellStyle name="Calculation 9 2 10 5" xfId="47480" xr:uid="{00000000-0005-0000-0000-000059B90000}"/>
    <cellStyle name="Calculation 9 2 10 5 2" xfId="47481" xr:uid="{00000000-0005-0000-0000-00005AB90000}"/>
    <cellStyle name="Calculation 9 2 10 5 3" xfId="47482" xr:uid="{00000000-0005-0000-0000-00005BB90000}"/>
    <cellStyle name="Calculation 9 2 10 5 4" xfId="47483" xr:uid="{00000000-0005-0000-0000-00005CB90000}"/>
    <cellStyle name="Calculation 9 2 10 5 5" xfId="47484" xr:uid="{00000000-0005-0000-0000-00005DB90000}"/>
    <cellStyle name="Calculation 9 2 10 5 6" xfId="47485" xr:uid="{00000000-0005-0000-0000-00005EB90000}"/>
    <cellStyle name="Calculation 9 2 10 6" xfId="47486" xr:uid="{00000000-0005-0000-0000-00005FB90000}"/>
    <cellStyle name="Calculation 9 2 10 6 2" xfId="47487" xr:uid="{00000000-0005-0000-0000-000060B90000}"/>
    <cellStyle name="Calculation 9 2 10 6 3" xfId="47488" xr:uid="{00000000-0005-0000-0000-000061B90000}"/>
    <cellStyle name="Calculation 9 2 10 6 4" xfId="47489" xr:uid="{00000000-0005-0000-0000-000062B90000}"/>
    <cellStyle name="Calculation 9 2 10 6 5" xfId="47490" xr:uid="{00000000-0005-0000-0000-000063B90000}"/>
    <cellStyle name="Calculation 9 2 10 6 6" xfId="47491" xr:uid="{00000000-0005-0000-0000-000064B90000}"/>
    <cellStyle name="Calculation 9 2 10 7" xfId="47492" xr:uid="{00000000-0005-0000-0000-000065B90000}"/>
    <cellStyle name="Calculation 9 2 10 7 2" xfId="47493" xr:uid="{00000000-0005-0000-0000-000066B90000}"/>
    <cellStyle name="Calculation 9 2 10 7 3" xfId="47494" xr:uid="{00000000-0005-0000-0000-000067B90000}"/>
    <cellStyle name="Calculation 9 2 10 7 4" xfId="47495" xr:uid="{00000000-0005-0000-0000-000068B90000}"/>
    <cellStyle name="Calculation 9 2 10 7 5" xfId="47496" xr:uid="{00000000-0005-0000-0000-000069B90000}"/>
    <cellStyle name="Calculation 9 2 10 7 6" xfId="47497" xr:uid="{00000000-0005-0000-0000-00006AB90000}"/>
    <cellStyle name="Calculation 9 2 10 8" xfId="47498" xr:uid="{00000000-0005-0000-0000-00006BB90000}"/>
    <cellStyle name="Calculation 9 2 10 9" xfId="47499" xr:uid="{00000000-0005-0000-0000-00006CB90000}"/>
    <cellStyle name="Calculation 9 2 11" xfId="47500" xr:uid="{00000000-0005-0000-0000-00006DB90000}"/>
    <cellStyle name="Calculation 9 2 11 10" xfId="47501" xr:uid="{00000000-0005-0000-0000-00006EB90000}"/>
    <cellStyle name="Calculation 9 2 11 2" xfId="47502" xr:uid="{00000000-0005-0000-0000-00006FB90000}"/>
    <cellStyle name="Calculation 9 2 11 2 2" xfId="47503" xr:uid="{00000000-0005-0000-0000-000070B90000}"/>
    <cellStyle name="Calculation 9 2 11 2 3" xfId="47504" xr:uid="{00000000-0005-0000-0000-000071B90000}"/>
    <cellStyle name="Calculation 9 2 11 2 4" xfId="47505" xr:uid="{00000000-0005-0000-0000-000072B90000}"/>
    <cellStyle name="Calculation 9 2 11 2 5" xfId="47506" xr:uid="{00000000-0005-0000-0000-000073B90000}"/>
    <cellStyle name="Calculation 9 2 11 2 6" xfId="47507" xr:uid="{00000000-0005-0000-0000-000074B90000}"/>
    <cellStyle name="Calculation 9 2 11 3" xfId="47508" xr:uid="{00000000-0005-0000-0000-000075B90000}"/>
    <cellStyle name="Calculation 9 2 11 3 2" xfId="47509" xr:uid="{00000000-0005-0000-0000-000076B90000}"/>
    <cellStyle name="Calculation 9 2 11 3 3" xfId="47510" xr:uid="{00000000-0005-0000-0000-000077B90000}"/>
    <cellStyle name="Calculation 9 2 11 3 4" xfId="47511" xr:uid="{00000000-0005-0000-0000-000078B90000}"/>
    <cellStyle name="Calculation 9 2 11 3 5" xfId="47512" xr:uid="{00000000-0005-0000-0000-000079B90000}"/>
    <cellStyle name="Calculation 9 2 11 3 6" xfId="47513" xr:uid="{00000000-0005-0000-0000-00007AB90000}"/>
    <cellStyle name="Calculation 9 2 11 4" xfId="47514" xr:uid="{00000000-0005-0000-0000-00007BB90000}"/>
    <cellStyle name="Calculation 9 2 11 4 2" xfId="47515" xr:uid="{00000000-0005-0000-0000-00007CB90000}"/>
    <cellStyle name="Calculation 9 2 11 4 3" xfId="47516" xr:uid="{00000000-0005-0000-0000-00007DB90000}"/>
    <cellStyle name="Calculation 9 2 11 4 4" xfId="47517" xr:uid="{00000000-0005-0000-0000-00007EB90000}"/>
    <cellStyle name="Calculation 9 2 11 4 5" xfId="47518" xr:uid="{00000000-0005-0000-0000-00007FB90000}"/>
    <cellStyle name="Calculation 9 2 11 4 6" xfId="47519" xr:uid="{00000000-0005-0000-0000-000080B90000}"/>
    <cellStyle name="Calculation 9 2 11 5" xfId="47520" xr:uid="{00000000-0005-0000-0000-000081B90000}"/>
    <cellStyle name="Calculation 9 2 11 5 2" xfId="47521" xr:uid="{00000000-0005-0000-0000-000082B90000}"/>
    <cellStyle name="Calculation 9 2 11 5 3" xfId="47522" xr:uid="{00000000-0005-0000-0000-000083B90000}"/>
    <cellStyle name="Calculation 9 2 11 5 4" xfId="47523" xr:uid="{00000000-0005-0000-0000-000084B90000}"/>
    <cellStyle name="Calculation 9 2 11 5 5" xfId="47524" xr:uid="{00000000-0005-0000-0000-000085B90000}"/>
    <cellStyle name="Calculation 9 2 11 5 6" xfId="47525" xr:uid="{00000000-0005-0000-0000-000086B90000}"/>
    <cellStyle name="Calculation 9 2 11 6" xfId="47526" xr:uid="{00000000-0005-0000-0000-000087B90000}"/>
    <cellStyle name="Calculation 9 2 11 6 2" xfId="47527" xr:uid="{00000000-0005-0000-0000-000088B90000}"/>
    <cellStyle name="Calculation 9 2 11 6 3" xfId="47528" xr:uid="{00000000-0005-0000-0000-000089B90000}"/>
    <cellStyle name="Calculation 9 2 11 6 4" xfId="47529" xr:uid="{00000000-0005-0000-0000-00008AB90000}"/>
    <cellStyle name="Calculation 9 2 11 6 5" xfId="47530" xr:uid="{00000000-0005-0000-0000-00008BB90000}"/>
    <cellStyle name="Calculation 9 2 11 6 6" xfId="47531" xr:uid="{00000000-0005-0000-0000-00008CB90000}"/>
    <cellStyle name="Calculation 9 2 11 7" xfId="47532" xr:uid="{00000000-0005-0000-0000-00008DB90000}"/>
    <cellStyle name="Calculation 9 2 11 7 2" xfId="47533" xr:uid="{00000000-0005-0000-0000-00008EB90000}"/>
    <cellStyle name="Calculation 9 2 11 7 3" xfId="47534" xr:uid="{00000000-0005-0000-0000-00008FB90000}"/>
    <cellStyle name="Calculation 9 2 11 7 4" xfId="47535" xr:uid="{00000000-0005-0000-0000-000090B90000}"/>
    <cellStyle name="Calculation 9 2 11 7 5" xfId="47536" xr:uid="{00000000-0005-0000-0000-000091B90000}"/>
    <cellStyle name="Calculation 9 2 11 7 6" xfId="47537" xr:uid="{00000000-0005-0000-0000-000092B90000}"/>
    <cellStyle name="Calculation 9 2 11 8" xfId="47538" xr:uid="{00000000-0005-0000-0000-000093B90000}"/>
    <cellStyle name="Calculation 9 2 11 9" xfId="47539" xr:uid="{00000000-0005-0000-0000-000094B90000}"/>
    <cellStyle name="Calculation 9 2 12" xfId="47540" xr:uid="{00000000-0005-0000-0000-000095B90000}"/>
    <cellStyle name="Calculation 9 2 12 10" xfId="47541" xr:uid="{00000000-0005-0000-0000-000096B90000}"/>
    <cellStyle name="Calculation 9 2 12 2" xfId="47542" xr:uid="{00000000-0005-0000-0000-000097B90000}"/>
    <cellStyle name="Calculation 9 2 12 2 2" xfId="47543" xr:uid="{00000000-0005-0000-0000-000098B90000}"/>
    <cellStyle name="Calculation 9 2 12 2 3" xfId="47544" xr:uid="{00000000-0005-0000-0000-000099B90000}"/>
    <cellStyle name="Calculation 9 2 12 2 4" xfId="47545" xr:uid="{00000000-0005-0000-0000-00009AB90000}"/>
    <cellStyle name="Calculation 9 2 12 2 5" xfId="47546" xr:uid="{00000000-0005-0000-0000-00009BB90000}"/>
    <cellStyle name="Calculation 9 2 12 2 6" xfId="47547" xr:uid="{00000000-0005-0000-0000-00009CB90000}"/>
    <cellStyle name="Calculation 9 2 12 3" xfId="47548" xr:uid="{00000000-0005-0000-0000-00009DB90000}"/>
    <cellStyle name="Calculation 9 2 12 3 2" xfId="47549" xr:uid="{00000000-0005-0000-0000-00009EB90000}"/>
    <cellStyle name="Calculation 9 2 12 3 3" xfId="47550" xr:uid="{00000000-0005-0000-0000-00009FB90000}"/>
    <cellStyle name="Calculation 9 2 12 3 4" xfId="47551" xr:uid="{00000000-0005-0000-0000-0000A0B90000}"/>
    <cellStyle name="Calculation 9 2 12 3 5" xfId="47552" xr:uid="{00000000-0005-0000-0000-0000A1B90000}"/>
    <cellStyle name="Calculation 9 2 12 3 6" xfId="47553" xr:uid="{00000000-0005-0000-0000-0000A2B90000}"/>
    <cellStyle name="Calculation 9 2 12 4" xfId="47554" xr:uid="{00000000-0005-0000-0000-0000A3B90000}"/>
    <cellStyle name="Calculation 9 2 12 4 2" xfId="47555" xr:uid="{00000000-0005-0000-0000-0000A4B90000}"/>
    <cellStyle name="Calculation 9 2 12 4 3" xfId="47556" xr:uid="{00000000-0005-0000-0000-0000A5B90000}"/>
    <cellStyle name="Calculation 9 2 12 4 4" xfId="47557" xr:uid="{00000000-0005-0000-0000-0000A6B90000}"/>
    <cellStyle name="Calculation 9 2 12 4 5" xfId="47558" xr:uid="{00000000-0005-0000-0000-0000A7B90000}"/>
    <cellStyle name="Calculation 9 2 12 4 6" xfId="47559" xr:uid="{00000000-0005-0000-0000-0000A8B90000}"/>
    <cellStyle name="Calculation 9 2 12 5" xfId="47560" xr:uid="{00000000-0005-0000-0000-0000A9B90000}"/>
    <cellStyle name="Calculation 9 2 12 5 2" xfId="47561" xr:uid="{00000000-0005-0000-0000-0000AAB90000}"/>
    <cellStyle name="Calculation 9 2 12 5 3" xfId="47562" xr:uid="{00000000-0005-0000-0000-0000ABB90000}"/>
    <cellStyle name="Calculation 9 2 12 5 4" xfId="47563" xr:uid="{00000000-0005-0000-0000-0000ACB90000}"/>
    <cellStyle name="Calculation 9 2 12 5 5" xfId="47564" xr:uid="{00000000-0005-0000-0000-0000ADB90000}"/>
    <cellStyle name="Calculation 9 2 12 5 6" xfId="47565" xr:uid="{00000000-0005-0000-0000-0000AEB90000}"/>
    <cellStyle name="Calculation 9 2 12 6" xfId="47566" xr:uid="{00000000-0005-0000-0000-0000AFB90000}"/>
    <cellStyle name="Calculation 9 2 12 6 2" xfId="47567" xr:uid="{00000000-0005-0000-0000-0000B0B90000}"/>
    <cellStyle name="Calculation 9 2 12 6 3" xfId="47568" xr:uid="{00000000-0005-0000-0000-0000B1B90000}"/>
    <cellStyle name="Calculation 9 2 12 6 4" xfId="47569" xr:uid="{00000000-0005-0000-0000-0000B2B90000}"/>
    <cellStyle name="Calculation 9 2 12 6 5" xfId="47570" xr:uid="{00000000-0005-0000-0000-0000B3B90000}"/>
    <cellStyle name="Calculation 9 2 12 6 6" xfId="47571" xr:uid="{00000000-0005-0000-0000-0000B4B90000}"/>
    <cellStyle name="Calculation 9 2 12 7" xfId="47572" xr:uid="{00000000-0005-0000-0000-0000B5B90000}"/>
    <cellStyle name="Calculation 9 2 12 7 2" xfId="47573" xr:uid="{00000000-0005-0000-0000-0000B6B90000}"/>
    <cellStyle name="Calculation 9 2 12 7 3" xfId="47574" xr:uid="{00000000-0005-0000-0000-0000B7B90000}"/>
    <cellStyle name="Calculation 9 2 12 7 4" xfId="47575" xr:uid="{00000000-0005-0000-0000-0000B8B90000}"/>
    <cellStyle name="Calculation 9 2 12 7 5" xfId="47576" xr:uid="{00000000-0005-0000-0000-0000B9B90000}"/>
    <cellStyle name="Calculation 9 2 12 7 6" xfId="47577" xr:uid="{00000000-0005-0000-0000-0000BAB90000}"/>
    <cellStyle name="Calculation 9 2 12 8" xfId="47578" xr:uid="{00000000-0005-0000-0000-0000BBB90000}"/>
    <cellStyle name="Calculation 9 2 12 9" xfId="47579" xr:uid="{00000000-0005-0000-0000-0000BCB90000}"/>
    <cellStyle name="Calculation 9 2 13" xfId="47580" xr:uid="{00000000-0005-0000-0000-0000BDB90000}"/>
    <cellStyle name="Calculation 9 2 13 10" xfId="47581" xr:uid="{00000000-0005-0000-0000-0000BEB90000}"/>
    <cellStyle name="Calculation 9 2 13 2" xfId="47582" xr:uid="{00000000-0005-0000-0000-0000BFB90000}"/>
    <cellStyle name="Calculation 9 2 13 2 2" xfId="47583" xr:uid="{00000000-0005-0000-0000-0000C0B90000}"/>
    <cellStyle name="Calculation 9 2 13 2 3" xfId="47584" xr:uid="{00000000-0005-0000-0000-0000C1B90000}"/>
    <cellStyle name="Calculation 9 2 13 2 4" xfId="47585" xr:uid="{00000000-0005-0000-0000-0000C2B90000}"/>
    <cellStyle name="Calculation 9 2 13 2 5" xfId="47586" xr:uid="{00000000-0005-0000-0000-0000C3B90000}"/>
    <cellStyle name="Calculation 9 2 13 2 6" xfId="47587" xr:uid="{00000000-0005-0000-0000-0000C4B90000}"/>
    <cellStyle name="Calculation 9 2 13 3" xfId="47588" xr:uid="{00000000-0005-0000-0000-0000C5B90000}"/>
    <cellStyle name="Calculation 9 2 13 3 2" xfId="47589" xr:uid="{00000000-0005-0000-0000-0000C6B90000}"/>
    <cellStyle name="Calculation 9 2 13 3 3" xfId="47590" xr:uid="{00000000-0005-0000-0000-0000C7B90000}"/>
    <cellStyle name="Calculation 9 2 13 3 4" xfId="47591" xr:uid="{00000000-0005-0000-0000-0000C8B90000}"/>
    <cellStyle name="Calculation 9 2 13 3 5" xfId="47592" xr:uid="{00000000-0005-0000-0000-0000C9B90000}"/>
    <cellStyle name="Calculation 9 2 13 3 6" xfId="47593" xr:uid="{00000000-0005-0000-0000-0000CAB90000}"/>
    <cellStyle name="Calculation 9 2 13 4" xfId="47594" xr:uid="{00000000-0005-0000-0000-0000CBB90000}"/>
    <cellStyle name="Calculation 9 2 13 4 2" xfId="47595" xr:uid="{00000000-0005-0000-0000-0000CCB90000}"/>
    <cellStyle name="Calculation 9 2 13 4 3" xfId="47596" xr:uid="{00000000-0005-0000-0000-0000CDB90000}"/>
    <cellStyle name="Calculation 9 2 13 4 4" xfId="47597" xr:uid="{00000000-0005-0000-0000-0000CEB90000}"/>
    <cellStyle name="Calculation 9 2 13 4 5" xfId="47598" xr:uid="{00000000-0005-0000-0000-0000CFB90000}"/>
    <cellStyle name="Calculation 9 2 13 4 6" xfId="47599" xr:uid="{00000000-0005-0000-0000-0000D0B90000}"/>
    <cellStyle name="Calculation 9 2 13 5" xfId="47600" xr:uid="{00000000-0005-0000-0000-0000D1B90000}"/>
    <cellStyle name="Calculation 9 2 13 5 2" xfId="47601" xr:uid="{00000000-0005-0000-0000-0000D2B90000}"/>
    <cellStyle name="Calculation 9 2 13 5 3" xfId="47602" xr:uid="{00000000-0005-0000-0000-0000D3B90000}"/>
    <cellStyle name="Calculation 9 2 13 5 4" xfId="47603" xr:uid="{00000000-0005-0000-0000-0000D4B90000}"/>
    <cellStyle name="Calculation 9 2 13 5 5" xfId="47604" xr:uid="{00000000-0005-0000-0000-0000D5B90000}"/>
    <cellStyle name="Calculation 9 2 13 5 6" xfId="47605" xr:uid="{00000000-0005-0000-0000-0000D6B90000}"/>
    <cellStyle name="Calculation 9 2 13 6" xfId="47606" xr:uid="{00000000-0005-0000-0000-0000D7B90000}"/>
    <cellStyle name="Calculation 9 2 13 6 2" xfId="47607" xr:uid="{00000000-0005-0000-0000-0000D8B90000}"/>
    <cellStyle name="Calculation 9 2 13 6 3" xfId="47608" xr:uid="{00000000-0005-0000-0000-0000D9B90000}"/>
    <cellStyle name="Calculation 9 2 13 6 4" xfId="47609" xr:uid="{00000000-0005-0000-0000-0000DAB90000}"/>
    <cellStyle name="Calculation 9 2 13 6 5" xfId="47610" xr:uid="{00000000-0005-0000-0000-0000DBB90000}"/>
    <cellStyle name="Calculation 9 2 13 6 6" xfId="47611" xr:uid="{00000000-0005-0000-0000-0000DCB90000}"/>
    <cellStyle name="Calculation 9 2 13 7" xfId="47612" xr:uid="{00000000-0005-0000-0000-0000DDB90000}"/>
    <cellStyle name="Calculation 9 2 13 7 2" xfId="47613" xr:uid="{00000000-0005-0000-0000-0000DEB90000}"/>
    <cellStyle name="Calculation 9 2 13 7 3" xfId="47614" xr:uid="{00000000-0005-0000-0000-0000DFB90000}"/>
    <cellStyle name="Calculation 9 2 13 7 4" xfId="47615" xr:uid="{00000000-0005-0000-0000-0000E0B90000}"/>
    <cellStyle name="Calculation 9 2 13 7 5" xfId="47616" xr:uid="{00000000-0005-0000-0000-0000E1B90000}"/>
    <cellStyle name="Calculation 9 2 13 7 6" xfId="47617" xr:uid="{00000000-0005-0000-0000-0000E2B90000}"/>
    <cellStyle name="Calculation 9 2 13 8" xfId="47618" xr:uid="{00000000-0005-0000-0000-0000E3B90000}"/>
    <cellStyle name="Calculation 9 2 13 9" xfId="47619" xr:uid="{00000000-0005-0000-0000-0000E4B90000}"/>
    <cellStyle name="Calculation 9 2 14" xfId="47620" xr:uid="{00000000-0005-0000-0000-0000E5B90000}"/>
    <cellStyle name="Calculation 9 2 14 10" xfId="47621" xr:uid="{00000000-0005-0000-0000-0000E6B90000}"/>
    <cellStyle name="Calculation 9 2 14 2" xfId="47622" xr:uid="{00000000-0005-0000-0000-0000E7B90000}"/>
    <cellStyle name="Calculation 9 2 14 2 2" xfId="47623" xr:uid="{00000000-0005-0000-0000-0000E8B90000}"/>
    <cellStyle name="Calculation 9 2 14 2 3" xfId="47624" xr:uid="{00000000-0005-0000-0000-0000E9B90000}"/>
    <cellStyle name="Calculation 9 2 14 2 4" xfId="47625" xr:uid="{00000000-0005-0000-0000-0000EAB90000}"/>
    <cellStyle name="Calculation 9 2 14 2 5" xfId="47626" xr:uid="{00000000-0005-0000-0000-0000EBB90000}"/>
    <cellStyle name="Calculation 9 2 14 2 6" xfId="47627" xr:uid="{00000000-0005-0000-0000-0000ECB90000}"/>
    <cellStyle name="Calculation 9 2 14 3" xfId="47628" xr:uid="{00000000-0005-0000-0000-0000EDB90000}"/>
    <cellStyle name="Calculation 9 2 14 3 2" xfId="47629" xr:uid="{00000000-0005-0000-0000-0000EEB90000}"/>
    <cellStyle name="Calculation 9 2 14 3 3" xfId="47630" xr:uid="{00000000-0005-0000-0000-0000EFB90000}"/>
    <cellStyle name="Calculation 9 2 14 3 4" xfId="47631" xr:uid="{00000000-0005-0000-0000-0000F0B90000}"/>
    <cellStyle name="Calculation 9 2 14 3 5" xfId="47632" xr:uid="{00000000-0005-0000-0000-0000F1B90000}"/>
    <cellStyle name="Calculation 9 2 14 3 6" xfId="47633" xr:uid="{00000000-0005-0000-0000-0000F2B90000}"/>
    <cellStyle name="Calculation 9 2 14 4" xfId="47634" xr:uid="{00000000-0005-0000-0000-0000F3B90000}"/>
    <cellStyle name="Calculation 9 2 14 4 2" xfId="47635" xr:uid="{00000000-0005-0000-0000-0000F4B90000}"/>
    <cellStyle name="Calculation 9 2 14 4 3" xfId="47636" xr:uid="{00000000-0005-0000-0000-0000F5B90000}"/>
    <cellStyle name="Calculation 9 2 14 4 4" xfId="47637" xr:uid="{00000000-0005-0000-0000-0000F6B90000}"/>
    <cellStyle name="Calculation 9 2 14 4 5" xfId="47638" xr:uid="{00000000-0005-0000-0000-0000F7B90000}"/>
    <cellStyle name="Calculation 9 2 14 4 6" xfId="47639" xr:uid="{00000000-0005-0000-0000-0000F8B90000}"/>
    <cellStyle name="Calculation 9 2 14 5" xfId="47640" xr:uid="{00000000-0005-0000-0000-0000F9B90000}"/>
    <cellStyle name="Calculation 9 2 14 5 2" xfId="47641" xr:uid="{00000000-0005-0000-0000-0000FAB90000}"/>
    <cellStyle name="Calculation 9 2 14 5 3" xfId="47642" xr:uid="{00000000-0005-0000-0000-0000FBB90000}"/>
    <cellStyle name="Calculation 9 2 14 5 4" xfId="47643" xr:uid="{00000000-0005-0000-0000-0000FCB90000}"/>
    <cellStyle name="Calculation 9 2 14 5 5" xfId="47644" xr:uid="{00000000-0005-0000-0000-0000FDB90000}"/>
    <cellStyle name="Calculation 9 2 14 5 6" xfId="47645" xr:uid="{00000000-0005-0000-0000-0000FEB90000}"/>
    <cellStyle name="Calculation 9 2 14 6" xfId="47646" xr:uid="{00000000-0005-0000-0000-0000FFB90000}"/>
    <cellStyle name="Calculation 9 2 14 6 2" xfId="47647" xr:uid="{00000000-0005-0000-0000-000000BA0000}"/>
    <cellStyle name="Calculation 9 2 14 6 3" xfId="47648" xr:uid="{00000000-0005-0000-0000-000001BA0000}"/>
    <cellStyle name="Calculation 9 2 14 6 4" xfId="47649" xr:uid="{00000000-0005-0000-0000-000002BA0000}"/>
    <cellStyle name="Calculation 9 2 14 6 5" xfId="47650" xr:uid="{00000000-0005-0000-0000-000003BA0000}"/>
    <cellStyle name="Calculation 9 2 14 6 6" xfId="47651" xr:uid="{00000000-0005-0000-0000-000004BA0000}"/>
    <cellStyle name="Calculation 9 2 14 7" xfId="47652" xr:uid="{00000000-0005-0000-0000-000005BA0000}"/>
    <cellStyle name="Calculation 9 2 14 7 2" xfId="47653" xr:uid="{00000000-0005-0000-0000-000006BA0000}"/>
    <cellStyle name="Calculation 9 2 14 7 3" xfId="47654" xr:uid="{00000000-0005-0000-0000-000007BA0000}"/>
    <cellStyle name="Calculation 9 2 14 7 4" xfId="47655" xr:uid="{00000000-0005-0000-0000-000008BA0000}"/>
    <cellStyle name="Calculation 9 2 14 7 5" xfId="47656" xr:uid="{00000000-0005-0000-0000-000009BA0000}"/>
    <cellStyle name="Calculation 9 2 14 7 6" xfId="47657" xr:uid="{00000000-0005-0000-0000-00000ABA0000}"/>
    <cellStyle name="Calculation 9 2 14 8" xfId="47658" xr:uid="{00000000-0005-0000-0000-00000BBA0000}"/>
    <cellStyle name="Calculation 9 2 14 9" xfId="47659" xr:uid="{00000000-0005-0000-0000-00000CBA0000}"/>
    <cellStyle name="Calculation 9 2 15" xfId="47660" xr:uid="{00000000-0005-0000-0000-00000DBA0000}"/>
    <cellStyle name="Calculation 9 2 15 10" xfId="47661" xr:uid="{00000000-0005-0000-0000-00000EBA0000}"/>
    <cellStyle name="Calculation 9 2 15 2" xfId="47662" xr:uid="{00000000-0005-0000-0000-00000FBA0000}"/>
    <cellStyle name="Calculation 9 2 15 2 2" xfId="47663" xr:uid="{00000000-0005-0000-0000-000010BA0000}"/>
    <cellStyle name="Calculation 9 2 15 2 3" xfId="47664" xr:uid="{00000000-0005-0000-0000-000011BA0000}"/>
    <cellStyle name="Calculation 9 2 15 2 4" xfId="47665" xr:uid="{00000000-0005-0000-0000-000012BA0000}"/>
    <cellStyle name="Calculation 9 2 15 2 5" xfId="47666" xr:uid="{00000000-0005-0000-0000-000013BA0000}"/>
    <cellStyle name="Calculation 9 2 15 2 6" xfId="47667" xr:uid="{00000000-0005-0000-0000-000014BA0000}"/>
    <cellStyle name="Calculation 9 2 15 3" xfId="47668" xr:uid="{00000000-0005-0000-0000-000015BA0000}"/>
    <cellStyle name="Calculation 9 2 15 3 2" xfId="47669" xr:uid="{00000000-0005-0000-0000-000016BA0000}"/>
    <cellStyle name="Calculation 9 2 15 3 3" xfId="47670" xr:uid="{00000000-0005-0000-0000-000017BA0000}"/>
    <cellStyle name="Calculation 9 2 15 3 4" xfId="47671" xr:uid="{00000000-0005-0000-0000-000018BA0000}"/>
    <cellStyle name="Calculation 9 2 15 3 5" xfId="47672" xr:uid="{00000000-0005-0000-0000-000019BA0000}"/>
    <cellStyle name="Calculation 9 2 15 3 6" xfId="47673" xr:uid="{00000000-0005-0000-0000-00001ABA0000}"/>
    <cellStyle name="Calculation 9 2 15 4" xfId="47674" xr:uid="{00000000-0005-0000-0000-00001BBA0000}"/>
    <cellStyle name="Calculation 9 2 15 4 2" xfId="47675" xr:uid="{00000000-0005-0000-0000-00001CBA0000}"/>
    <cellStyle name="Calculation 9 2 15 4 3" xfId="47676" xr:uid="{00000000-0005-0000-0000-00001DBA0000}"/>
    <cellStyle name="Calculation 9 2 15 4 4" xfId="47677" xr:uid="{00000000-0005-0000-0000-00001EBA0000}"/>
    <cellStyle name="Calculation 9 2 15 4 5" xfId="47678" xr:uid="{00000000-0005-0000-0000-00001FBA0000}"/>
    <cellStyle name="Calculation 9 2 15 4 6" xfId="47679" xr:uid="{00000000-0005-0000-0000-000020BA0000}"/>
    <cellStyle name="Calculation 9 2 15 5" xfId="47680" xr:uid="{00000000-0005-0000-0000-000021BA0000}"/>
    <cellStyle name="Calculation 9 2 15 5 2" xfId="47681" xr:uid="{00000000-0005-0000-0000-000022BA0000}"/>
    <cellStyle name="Calculation 9 2 15 5 3" xfId="47682" xr:uid="{00000000-0005-0000-0000-000023BA0000}"/>
    <cellStyle name="Calculation 9 2 15 5 4" xfId="47683" xr:uid="{00000000-0005-0000-0000-000024BA0000}"/>
    <cellStyle name="Calculation 9 2 15 5 5" xfId="47684" xr:uid="{00000000-0005-0000-0000-000025BA0000}"/>
    <cellStyle name="Calculation 9 2 15 5 6" xfId="47685" xr:uid="{00000000-0005-0000-0000-000026BA0000}"/>
    <cellStyle name="Calculation 9 2 15 6" xfId="47686" xr:uid="{00000000-0005-0000-0000-000027BA0000}"/>
    <cellStyle name="Calculation 9 2 15 6 2" xfId="47687" xr:uid="{00000000-0005-0000-0000-000028BA0000}"/>
    <cellStyle name="Calculation 9 2 15 6 3" xfId="47688" xr:uid="{00000000-0005-0000-0000-000029BA0000}"/>
    <cellStyle name="Calculation 9 2 15 6 4" xfId="47689" xr:uid="{00000000-0005-0000-0000-00002ABA0000}"/>
    <cellStyle name="Calculation 9 2 15 6 5" xfId="47690" xr:uid="{00000000-0005-0000-0000-00002BBA0000}"/>
    <cellStyle name="Calculation 9 2 15 6 6" xfId="47691" xr:uid="{00000000-0005-0000-0000-00002CBA0000}"/>
    <cellStyle name="Calculation 9 2 15 7" xfId="47692" xr:uid="{00000000-0005-0000-0000-00002DBA0000}"/>
    <cellStyle name="Calculation 9 2 15 7 2" xfId="47693" xr:uid="{00000000-0005-0000-0000-00002EBA0000}"/>
    <cellStyle name="Calculation 9 2 15 7 3" xfId="47694" xr:uid="{00000000-0005-0000-0000-00002FBA0000}"/>
    <cellStyle name="Calculation 9 2 15 7 4" xfId="47695" xr:uid="{00000000-0005-0000-0000-000030BA0000}"/>
    <cellStyle name="Calculation 9 2 15 7 5" xfId="47696" xr:uid="{00000000-0005-0000-0000-000031BA0000}"/>
    <cellStyle name="Calculation 9 2 15 7 6" xfId="47697" xr:uid="{00000000-0005-0000-0000-000032BA0000}"/>
    <cellStyle name="Calculation 9 2 15 8" xfId="47698" xr:uid="{00000000-0005-0000-0000-000033BA0000}"/>
    <cellStyle name="Calculation 9 2 15 9" xfId="47699" xr:uid="{00000000-0005-0000-0000-000034BA0000}"/>
    <cellStyle name="Calculation 9 2 16" xfId="47700" xr:uid="{00000000-0005-0000-0000-000035BA0000}"/>
    <cellStyle name="Calculation 9 2 16 10" xfId="47701" xr:uid="{00000000-0005-0000-0000-000036BA0000}"/>
    <cellStyle name="Calculation 9 2 16 2" xfId="47702" xr:uid="{00000000-0005-0000-0000-000037BA0000}"/>
    <cellStyle name="Calculation 9 2 16 2 2" xfId="47703" xr:uid="{00000000-0005-0000-0000-000038BA0000}"/>
    <cellStyle name="Calculation 9 2 16 2 3" xfId="47704" xr:uid="{00000000-0005-0000-0000-000039BA0000}"/>
    <cellStyle name="Calculation 9 2 16 2 4" xfId="47705" xr:uid="{00000000-0005-0000-0000-00003ABA0000}"/>
    <cellStyle name="Calculation 9 2 16 2 5" xfId="47706" xr:uid="{00000000-0005-0000-0000-00003BBA0000}"/>
    <cellStyle name="Calculation 9 2 16 2 6" xfId="47707" xr:uid="{00000000-0005-0000-0000-00003CBA0000}"/>
    <cellStyle name="Calculation 9 2 16 3" xfId="47708" xr:uid="{00000000-0005-0000-0000-00003DBA0000}"/>
    <cellStyle name="Calculation 9 2 16 3 2" xfId="47709" xr:uid="{00000000-0005-0000-0000-00003EBA0000}"/>
    <cellStyle name="Calculation 9 2 16 3 3" xfId="47710" xr:uid="{00000000-0005-0000-0000-00003FBA0000}"/>
    <cellStyle name="Calculation 9 2 16 3 4" xfId="47711" xr:uid="{00000000-0005-0000-0000-000040BA0000}"/>
    <cellStyle name="Calculation 9 2 16 3 5" xfId="47712" xr:uid="{00000000-0005-0000-0000-000041BA0000}"/>
    <cellStyle name="Calculation 9 2 16 3 6" xfId="47713" xr:uid="{00000000-0005-0000-0000-000042BA0000}"/>
    <cellStyle name="Calculation 9 2 16 4" xfId="47714" xr:uid="{00000000-0005-0000-0000-000043BA0000}"/>
    <cellStyle name="Calculation 9 2 16 4 2" xfId="47715" xr:uid="{00000000-0005-0000-0000-000044BA0000}"/>
    <cellStyle name="Calculation 9 2 16 4 3" xfId="47716" xr:uid="{00000000-0005-0000-0000-000045BA0000}"/>
    <cellStyle name="Calculation 9 2 16 4 4" xfId="47717" xr:uid="{00000000-0005-0000-0000-000046BA0000}"/>
    <cellStyle name="Calculation 9 2 16 4 5" xfId="47718" xr:uid="{00000000-0005-0000-0000-000047BA0000}"/>
    <cellStyle name="Calculation 9 2 16 4 6" xfId="47719" xr:uid="{00000000-0005-0000-0000-000048BA0000}"/>
    <cellStyle name="Calculation 9 2 16 5" xfId="47720" xr:uid="{00000000-0005-0000-0000-000049BA0000}"/>
    <cellStyle name="Calculation 9 2 16 5 2" xfId="47721" xr:uid="{00000000-0005-0000-0000-00004ABA0000}"/>
    <cellStyle name="Calculation 9 2 16 5 3" xfId="47722" xr:uid="{00000000-0005-0000-0000-00004BBA0000}"/>
    <cellStyle name="Calculation 9 2 16 5 4" xfId="47723" xr:uid="{00000000-0005-0000-0000-00004CBA0000}"/>
    <cellStyle name="Calculation 9 2 16 5 5" xfId="47724" xr:uid="{00000000-0005-0000-0000-00004DBA0000}"/>
    <cellStyle name="Calculation 9 2 16 5 6" xfId="47725" xr:uid="{00000000-0005-0000-0000-00004EBA0000}"/>
    <cellStyle name="Calculation 9 2 16 6" xfId="47726" xr:uid="{00000000-0005-0000-0000-00004FBA0000}"/>
    <cellStyle name="Calculation 9 2 16 6 2" xfId="47727" xr:uid="{00000000-0005-0000-0000-000050BA0000}"/>
    <cellStyle name="Calculation 9 2 16 6 3" xfId="47728" xr:uid="{00000000-0005-0000-0000-000051BA0000}"/>
    <cellStyle name="Calculation 9 2 16 6 4" xfId="47729" xr:uid="{00000000-0005-0000-0000-000052BA0000}"/>
    <cellStyle name="Calculation 9 2 16 6 5" xfId="47730" xr:uid="{00000000-0005-0000-0000-000053BA0000}"/>
    <cellStyle name="Calculation 9 2 16 6 6" xfId="47731" xr:uid="{00000000-0005-0000-0000-000054BA0000}"/>
    <cellStyle name="Calculation 9 2 16 7" xfId="47732" xr:uid="{00000000-0005-0000-0000-000055BA0000}"/>
    <cellStyle name="Calculation 9 2 16 7 2" xfId="47733" xr:uid="{00000000-0005-0000-0000-000056BA0000}"/>
    <cellStyle name="Calculation 9 2 16 7 3" xfId="47734" xr:uid="{00000000-0005-0000-0000-000057BA0000}"/>
    <cellStyle name="Calculation 9 2 16 7 4" xfId="47735" xr:uid="{00000000-0005-0000-0000-000058BA0000}"/>
    <cellStyle name="Calculation 9 2 16 7 5" xfId="47736" xr:uid="{00000000-0005-0000-0000-000059BA0000}"/>
    <cellStyle name="Calculation 9 2 16 7 6" xfId="47737" xr:uid="{00000000-0005-0000-0000-00005ABA0000}"/>
    <cellStyle name="Calculation 9 2 16 8" xfId="47738" xr:uid="{00000000-0005-0000-0000-00005BBA0000}"/>
    <cellStyle name="Calculation 9 2 16 9" xfId="47739" xr:uid="{00000000-0005-0000-0000-00005CBA0000}"/>
    <cellStyle name="Calculation 9 2 17" xfId="47740" xr:uid="{00000000-0005-0000-0000-00005DBA0000}"/>
    <cellStyle name="Calculation 9 2 17 10" xfId="47741" xr:uid="{00000000-0005-0000-0000-00005EBA0000}"/>
    <cellStyle name="Calculation 9 2 17 2" xfId="47742" xr:uid="{00000000-0005-0000-0000-00005FBA0000}"/>
    <cellStyle name="Calculation 9 2 17 2 2" xfId="47743" xr:uid="{00000000-0005-0000-0000-000060BA0000}"/>
    <cellStyle name="Calculation 9 2 17 2 3" xfId="47744" xr:uid="{00000000-0005-0000-0000-000061BA0000}"/>
    <cellStyle name="Calculation 9 2 17 2 4" xfId="47745" xr:uid="{00000000-0005-0000-0000-000062BA0000}"/>
    <cellStyle name="Calculation 9 2 17 2 5" xfId="47746" xr:uid="{00000000-0005-0000-0000-000063BA0000}"/>
    <cellStyle name="Calculation 9 2 17 2 6" xfId="47747" xr:uid="{00000000-0005-0000-0000-000064BA0000}"/>
    <cellStyle name="Calculation 9 2 17 3" xfId="47748" xr:uid="{00000000-0005-0000-0000-000065BA0000}"/>
    <cellStyle name="Calculation 9 2 17 3 2" xfId="47749" xr:uid="{00000000-0005-0000-0000-000066BA0000}"/>
    <cellStyle name="Calculation 9 2 17 3 3" xfId="47750" xr:uid="{00000000-0005-0000-0000-000067BA0000}"/>
    <cellStyle name="Calculation 9 2 17 3 4" xfId="47751" xr:uid="{00000000-0005-0000-0000-000068BA0000}"/>
    <cellStyle name="Calculation 9 2 17 3 5" xfId="47752" xr:uid="{00000000-0005-0000-0000-000069BA0000}"/>
    <cellStyle name="Calculation 9 2 17 3 6" xfId="47753" xr:uid="{00000000-0005-0000-0000-00006ABA0000}"/>
    <cellStyle name="Calculation 9 2 17 4" xfId="47754" xr:uid="{00000000-0005-0000-0000-00006BBA0000}"/>
    <cellStyle name="Calculation 9 2 17 4 2" xfId="47755" xr:uid="{00000000-0005-0000-0000-00006CBA0000}"/>
    <cellStyle name="Calculation 9 2 17 4 3" xfId="47756" xr:uid="{00000000-0005-0000-0000-00006DBA0000}"/>
    <cellStyle name="Calculation 9 2 17 4 4" xfId="47757" xr:uid="{00000000-0005-0000-0000-00006EBA0000}"/>
    <cellStyle name="Calculation 9 2 17 4 5" xfId="47758" xr:uid="{00000000-0005-0000-0000-00006FBA0000}"/>
    <cellStyle name="Calculation 9 2 17 4 6" xfId="47759" xr:uid="{00000000-0005-0000-0000-000070BA0000}"/>
    <cellStyle name="Calculation 9 2 17 5" xfId="47760" xr:uid="{00000000-0005-0000-0000-000071BA0000}"/>
    <cellStyle name="Calculation 9 2 17 5 2" xfId="47761" xr:uid="{00000000-0005-0000-0000-000072BA0000}"/>
    <cellStyle name="Calculation 9 2 17 5 3" xfId="47762" xr:uid="{00000000-0005-0000-0000-000073BA0000}"/>
    <cellStyle name="Calculation 9 2 17 5 4" xfId="47763" xr:uid="{00000000-0005-0000-0000-000074BA0000}"/>
    <cellStyle name="Calculation 9 2 17 5 5" xfId="47764" xr:uid="{00000000-0005-0000-0000-000075BA0000}"/>
    <cellStyle name="Calculation 9 2 17 5 6" xfId="47765" xr:uid="{00000000-0005-0000-0000-000076BA0000}"/>
    <cellStyle name="Calculation 9 2 17 6" xfId="47766" xr:uid="{00000000-0005-0000-0000-000077BA0000}"/>
    <cellStyle name="Calculation 9 2 17 6 2" xfId="47767" xr:uid="{00000000-0005-0000-0000-000078BA0000}"/>
    <cellStyle name="Calculation 9 2 17 6 3" xfId="47768" xr:uid="{00000000-0005-0000-0000-000079BA0000}"/>
    <cellStyle name="Calculation 9 2 17 6 4" xfId="47769" xr:uid="{00000000-0005-0000-0000-00007ABA0000}"/>
    <cellStyle name="Calculation 9 2 17 6 5" xfId="47770" xr:uid="{00000000-0005-0000-0000-00007BBA0000}"/>
    <cellStyle name="Calculation 9 2 17 6 6" xfId="47771" xr:uid="{00000000-0005-0000-0000-00007CBA0000}"/>
    <cellStyle name="Calculation 9 2 17 7" xfId="47772" xr:uid="{00000000-0005-0000-0000-00007DBA0000}"/>
    <cellStyle name="Calculation 9 2 17 7 2" xfId="47773" xr:uid="{00000000-0005-0000-0000-00007EBA0000}"/>
    <cellStyle name="Calculation 9 2 17 7 3" xfId="47774" xr:uid="{00000000-0005-0000-0000-00007FBA0000}"/>
    <cellStyle name="Calculation 9 2 17 7 4" xfId="47775" xr:uid="{00000000-0005-0000-0000-000080BA0000}"/>
    <cellStyle name="Calculation 9 2 17 7 5" xfId="47776" xr:uid="{00000000-0005-0000-0000-000081BA0000}"/>
    <cellStyle name="Calculation 9 2 17 7 6" xfId="47777" xr:uid="{00000000-0005-0000-0000-000082BA0000}"/>
    <cellStyle name="Calculation 9 2 17 8" xfId="47778" xr:uid="{00000000-0005-0000-0000-000083BA0000}"/>
    <cellStyle name="Calculation 9 2 17 9" xfId="47779" xr:uid="{00000000-0005-0000-0000-000084BA0000}"/>
    <cellStyle name="Calculation 9 2 18" xfId="47780" xr:uid="{00000000-0005-0000-0000-000085BA0000}"/>
    <cellStyle name="Calculation 9 2 18 10" xfId="47781" xr:uid="{00000000-0005-0000-0000-000086BA0000}"/>
    <cellStyle name="Calculation 9 2 18 2" xfId="47782" xr:uid="{00000000-0005-0000-0000-000087BA0000}"/>
    <cellStyle name="Calculation 9 2 18 2 2" xfId="47783" xr:uid="{00000000-0005-0000-0000-000088BA0000}"/>
    <cellStyle name="Calculation 9 2 18 2 3" xfId="47784" xr:uid="{00000000-0005-0000-0000-000089BA0000}"/>
    <cellStyle name="Calculation 9 2 18 2 4" xfId="47785" xr:uid="{00000000-0005-0000-0000-00008ABA0000}"/>
    <cellStyle name="Calculation 9 2 18 2 5" xfId="47786" xr:uid="{00000000-0005-0000-0000-00008BBA0000}"/>
    <cellStyle name="Calculation 9 2 18 2 6" xfId="47787" xr:uid="{00000000-0005-0000-0000-00008CBA0000}"/>
    <cellStyle name="Calculation 9 2 18 3" xfId="47788" xr:uid="{00000000-0005-0000-0000-00008DBA0000}"/>
    <cellStyle name="Calculation 9 2 18 3 2" xfId="47789" xr:uid="{00000000-0005-0000-0000-00008EBA0000}"/>
    <cellStyle name="Calculation 9 2 18 3 3" xfId="47790" xr:uid="{00000000-0005-0000-0000-00008FBA0000}"/>
    <cellStyle name="Calculation 9 2 18 3 4" xfId="47791" xr:uid="{00000000-0005-0000-0000-000090BA0000}"/>
    <cellStyle name="Calculation 9 2 18 3 5" xfId="47792" xr:uid="{00000000-0005-0000-0000-000091BA0000}"/>
    <cellStyle name="Calculation 9 2 18 3 6" xfId="47793" xr:uid="{00000000-0005-0000-0000-000092BA0000}"/>
    <cellStyle name="Calculation 9 2 18 4" xfId="47794" xr:uid="{00000000-0005-0000-0000-000093BA0000}"/>
    <cellStyle name="Calculation 9 2 18 4 2" xfId="47795" xr:uid="{00000000-0005-0000-0000-000094BA0000}"/>
    <cellStyle name="Calculation 9 2 18 4 3" xfId="47796" xr:uid="{00000000-0005-0000-0000-000095BA0000}"/>
    <cellStyle name="Calculation 9 2 18 4 4" xfId="47797" xr:uid="{00000000-0005-0000-0000-000096BA0000}"/>
    <cellStyle name="Calculation 9 2 18 4 5" xfId="47798" xr:uid="{00000000-0005-0000-0000-000097BA0000}"/>
    <cellStyle name="Calculation 9 2 18 4 6" xfId="47799" xr:uid="{00000000-0005-0000-0000-000098BA0000}"/>
    <cellStyle name="Calculation 9 2 18 5" xfId="47800" xr:uid="{00000000-0005-0000-0000-000099BA0000}"/>
    <cellStyle name="Calculation 9 2 18 5 2" xfId="47801" xr:uid="{00000000-0005-0000-0000-00009ABA0000}"/>
    <cellStyle name="Calculation 9 2 18 5 3" xfId="47802" xr:uid="{00000000-0005-0000-0000-00009BBA0000}"/>
    <cellStyle name="Calculation 9 2 18 5 4" xfId="47803" xr:uid="{00000000-0005-0000-0000-00009CBA0000}"/>
    <cellStyle name="Calculation 9 2 18 5 5" xfId="47804" xr:uid="{00000000-0005-0000-0000-00009DBA0000}"/>
    <cellStyle name="Calculation 9 2 18 5 6" xfId="47805" xr:uid="{00000000-0005-0000-0000-00009EBA0000}"/>
    <cellStyle name="Calculation 9 2 18 6" xfId="47806" xr:uid="{00000000-0005-0000-0000-00009FBA0000}"/>
    <cellStyle name="Calculation 9 2 18 6 2" xfId="47807" xr:uid="{00000000-0005-0000-0000-0000A0BA0000}"/>
    <cellStyle name="Calculation 9 2 18 6 3" xfId="47808" xr:uid="{00000000-0005-0000-0000-0000A1BA0000}"/>
    <cellStyle name="Calculation 9 2 18 6 4" xfId="47809" xr:uid="{00000000-0005-0000-0000-0000A2BA0000}"/>
    <cellStyle name="Calculation 9 2 18 6 5" xfId="47810" xr:uid="{00000000-0005-0000-0000-0000A3BA0000}"/>
    <cellStyle name="Calculation 9 2 18 6 6" xfId="47811" xr:uid="{00000000-0005-0000-0000-0000A4BA0000}"/>
    <cellStyle name="Calculation 9 2 18 7" xfId="47812" xr:uid="{00000000-0005-0000-0000-0000A5BA0000}"/>
    <cellStyle name="Calculation 9 2 18 7 2" xfId="47813" xr:uid="{00000000-0005-0000-0000-0000A6BA0000}"/>
    <cellStyle name="Calculation 9 2 18 7 3" xfId="47814" xr:uid="{00000000-0005-0000-0000-0000A7BA0000}"/>
    <cellStyle name="Calculation 9 2 18 7 4" xfId="47815" xr:uid="{00000000-0005-0000-0000-0000A8BA0000}"/>
    <cellStyle name="Calculation 9 2 18 7 5" xfId="47816" xr:uid="{00000000-0005-0000-0000-0000A9BA0000}"/>
    <cellStyle name="Calculation 9 2 18 7 6" xfId="47817" xr:uid="{00000000-0005-0000-0000-0000AABA0000}"/>
    <cellStyle name="Calculation 9 2 18 8" xfId="47818" xr:uid="{00000000-0005-0000-0000-0000ABBA0000}"/>
    <cellStyle name="Calculation 9 2 18 9" xfId="47819" xr:uid="{00000000-0005-0000-0000-0000ACBA0000}"/>
    <cellStyle name="Calculation 9 2 19" xfId="47820" xr:uid="{00000000-0005-0000-0000-0000ADBA0000}"/>
    <cellStyle name="Calculation 9 2 19 10" xfId="47821" xr:uid="{00000000-0005-0000-0000-0000AEBA0000}"/>
    <cellStyle name="Calculation 9 2 19 2" xfId="47822" xr:uid="{00000000-0005-0000-0000-0000AFBA0000}"/>
    <cellStyle name="Calculation 9 2 19 2 2" xfId="47823" xr:uid="{00000000-0005-0000-0000-0000B0BA0000}"/>
    <cellStyle name="Calculation 9 2 19 2 3" xfId="47824" xr:uid="{00000000-0005-0000-0000-0000B1BA0000}"/>
    <cellStyle name="Calculation 9 2 19 2 4" xfId="47825" xr:uid="{00000000-0005-0000-0000-0000B2BA0000}"/>
    <cellStyle name="Calculation 9 2 19 2 5" xfId="47826" xr:uid="{00000000-0005-0000-0000-0000B3BA0000}"/>
    <cellStyle name="Calculation 9 2 19 2 6" xfId="47827" xr:uid="{00000000-0005-0000-0000-0000B4BA0000}"/>
    <cellStyle name="Calculation 9 2 19 3" xfId="47828" xr:uid="{00000000-0005-0000-0000-0000B5BA0000}"/>
    <cellStyle name="Calculation 9 2 19 3 2" xfId="47829" xr:uid="{00000000-0005-0000-0000-0000B6BA0000}"/>
    <cellStyle name="Calculation 9 2 19 3 3" xfId="47830" xr:uid="{00000000-0005-0000-0000-0000B7BA0000}"/>
    <cellStyle name="Calculation 9 2 19 3 4" xfId="47831" xr:uid="{00000000-0005-0000-0000-0000B8BA0000}"/>
    <cellStyle name="Calculation 9 2 19 3 5" xfId="47832" xr:uid="{00000000-0005-0000-0000-0000B9BA0000}"/>
    <cellStyle name="Calculation 9 2 19 3 6" xfId="47833" xr:uid="{00000000-0005-0000-0000-0000BABA0000}"/>
    <cellStyle name="Calculation 9 2 19 4" xfId="47834" xr:uid="{00000000-0005-0000-0000-0000BBBA0000}"/>
    <cellStyle name="Calculation 9 2 19 4 2" xfId="47835" xr:uid="{00000000-0005-0000-0000-0000BCBA0000}"/>
    <cellStyle name="Calculation 9 2 19 4 3" xfId="47836" xr:uid="{00000000-0005-0000-0000-0000BDBA0000}"/>
    <cellStyle name="Calculation 9 2 19 4 4" xfId="47837" xr:uid="{00000000-0005-0000-0000-0000BEBA0000}"/>
    <cellStyle name="Calculation 9 2 19 4 5" xfId="47838" xr:uid="{00000000-0005-0000-0000-0000BFBA0000}"/>
    <cellStyle name="Calculation 9 2 19 4 6" xfId="47839" xr:uid="{00000000-0005-0000-0000-0000C0BA0000}"/>
    <cellStyle name="Calculation 9 2 19 5" xfId="47840" xr:uid="{00000000-0005-0000-0000-0000C1BA0000}"/>
    <cellStyle name="Calculation 9 2 19 5 2" xfId="47841" xr:uid="{00000000-0005-0000-0000-0000C2BA0000}"/>
    <cellStyle name="Calculation 9 2 19 5 3" xfId="47842" xr:uid="{00000000-0005-0000-0000-0000C3BA0000}"/>
    <cellStyle name="Calculation 9 2 19 5 4" xfId="47843" xr:uid="{00000000-0005-0000-0000-0000C4BA0000}"/>
    <cellStyle name="Calculation 9 2 19 5 5" xfId="47844" xr:uid="{00000000-0005-0000-0000-0000C5BA0000}"/>
    <cellStyle name="Calculation 9 2 19 5 6" xfId="47845" xr:uid="{00000000-0005-0000-0000-0000C6BA0000}"/>
    <cellStyle name="Calculation 9 2 19 6" xfId="47846" xr:uid="{00000000-0005-0000-0000-0000C7BA0000}"/>
    <cellStyle name="Calculation 9 2 19 6 2" xfId="47847" xr:uid="{00000000-0005-0000-0000-0000C8BA0000}"/>
    <cellStyle name="Calculation 9 2 19 6 3" xfId="47848" xr:uid="{00000000-0005-0000-0000-0000C9BA0000}"/>
    <cellStyle name="Calculation 9 2 19 6 4" xfId="47849" xr:uid="{00000000-0005-0000-0000-0000CABA0000}"/>
    <cellStyle name="Calculation 9 2 19 6 5" xfId="47850" xr:uid="{00000000-0005-0000-0000-0000CBBA0000}"/>
    <cellStyle name="Calculation 9 2 19 6 6" xfId="47851" xr:uid="{00000000-0005-0000-0000-0000CCBA0000}"/>
    <cellStyle name="Calculation 9 2 19 7" xfId="47852" xr:uid="{00000000-0005-0000-0000-0000CDBA0000}"/>
    <cellStyle name="Calculation 9 2 19 7 2" xfId="47853" xr:uid="{00000000-0005-0000-0000-0000CEBA0000}"/>
    <cellStyle name="Calculation 9 2 19 7 3" xfId="47854" xr:uid="{00000000-0005-0000-0000-0000CFBA0000}"/>
    <cellStyle name="Calculation 9 2 19 7 4" xfId="47855" xr:uid="{00000000-0005-0000-0000-0000D0BA0000}"/>
    <cellStyle name="Calculation 9 2 19 7 5" xfId="47856" xr:uid="{00000000-0005-0000-0000-0000D1BA0000}"/>
    <cellStyle name="Calculation 9 2 19 7 6" xfId="47857" xr:uid="{00000000-0005-0000-0000-0000D2BA0000}"/>
    <cellStyle name="Calculation 9 2 19 8" xfId="47858" xr:uid="{00000000-0005-0000-0000-0000D3BA0000}"/>
    <cellStyle name="Calculation 9 2 19 9" xfId="47859" xr:uid="{00000000-0005-0000-0000-0000D4BA0000}"/>
    <cellStyle name="Calculation 9 2 2" xfId="47860" xr:uid="{00000000-0005-0000-0000-0000D5BA0000}"/>
    <cellStyle name="Calculation 9 2 2 10" xfId="47861" xr:uid="{00000000-0005-0000-0000-0000D6BA0000}"/>
    <cellStyle name="Calculation 9 2 2 2" xfId="47862" xr:uid="{00000000-0005-0000-0000-0000D7BA0000}"/>
    <cellStyle name="Calculation 9 2 2 2 2" xfId="47863" xr:uid="{00000000-0005-0000-0000-0000D8BA0000}"/>
    <cellStyle name="Calculation 9 2 2 2 3" xfId="47864" xr:uid="{00000000-0005-0000-0000-0000D9BA0000}"/>
    <cellStyle name="Calculation 9 2 2 2 4" xfId="47865" xr:uid="{00000000-0005-0000-0000-0000DABA0000}"/>
    <cellStyle name="Calculation 9 2 2 2 5" xfId="47866" xr:uid="{00000000-0005-0000-0000-0000DBBA0000}"/>
    <cellStyle name="Calculation 9 2 2 2 6" xfId="47867" xr:uid="{00000000-0005-0000-0000-0000DCBA0000}"/>
    <cellStyle name="Calculation 9 2 2 3" xfId="47868" xr:uid="{00000000-0005-0000-0000-0000DDBA0000}"/>
    <cellStyle name="Calculation 9 2 2 3 2" xfId="47869" xr:uid="{00000000-0005-0000-0000-0000DEBA0000}"/>
    <cellStyle name="Calculation 9 2 2 3 3" xfId="47870" xr:uid="{00000000-0005-0000-0000-0000DFBA0000}"/>
    <cellStyle name="Calculation 9 2 2 3 4" xfId="47871" xr:uid="{00000000-0005-0000-0000-0000E0BA0000}"/>
    <cellStyle name="Calculation 9 2 2 3 5" xfId="47872" xr:uid="{00000000-0005-0000-0000-0000E1BA0000}"/>
    <cellStyle name="Calculation 9 2 2 3 6" xfId="47873" xr:uid="{00000000-0005-0000-0000-0000E2BA0000}"/>
    <cellStyle name="Calculation 9 2 2 4" xfId="47874" xr:uid="{00000000-0005-0000-0000-0000E3BA0000}"/>
    <cellStyle name="Calculation 9 2 2 4 2" xfId="47875" xr:uid="{00000000-0005-0000-0000-0000E4BA0000}"/>
    <cellStyle name="Calculation 9 2 2 4 3" xfId="47876" xr:uid="{00000000-0005-0000-0000-0000E5BA0000}"/>
    <cellStyle name="Calculation 9 2 2 4 4" xfId="47877" xr:uid="{00000000-0005-0000-0000-0000E6BA0000}"/>
    <cellStyle name="Calculation 9 2 2 4 5" xfId="47878" xr:uid="{00000000-0005-0000-0000-0000E7BA0000}"/>
    <cellStyle name="Calculation 9 2 2 4 6" xfId="47879" xr:uid="{00000000-0005-0000-0000-0000E8BA0000}"/>
    <cellStyle name="Calculation 9 2 2 5" xfId="47880" xr:uid="{00000000-0005-0000-0000-0000E9BA0000}"/>
    <cellStyle name="Calculation 9 2 2 5 2" xfId="47881" xr:uid="{00000000-0005-0000-0000-0000EABA0000}"/>
    <cellStyle name="Calculation 9 2 2 5 3" xfId="47882" xr:uid="{00000000-0005-0000-0000-0000EBBA0000}"/>
    <cellStyle name="Calculation 9 2 2 5 4" xfId="47883" xr:uid="{00000000-0005-0000-0000-0000ECBA0000}"/>
    <cellStyle name="Calculation 9 2 2 5 5" xfId="47884" xr:uid="{00000000-0005-0000-0000-0000EDBA0000}"/>
    <cellStyle name="Calculation 9 2 2 5 6" xfId="47885" xr:uid="{00000000-0005-0000-0000-0000EEBA0000}"/>
    <cellStyle name="Calculation 9 2 2 6" xfId="47886" xr:uid="{00000000-0005-0000-0000-0000EFBA0000}"/>
    <cellStyle name="Calculation 9 2 2 6 2" xfId="47887" xr:uid="{00000000-0005-0000-0000-0000F0BA0000}"/>
    <cellStyle name="Calculation 9 2 2 6 3" xfId="47888" xr:uid="{00000000-0005-0000-0000-0000F1BA0000}"/>
    <cellStyle name="Calculation 9 2 2 6 4" xfId="47889" xr:uid="{00000000-0005-0000-0000-0000F2BA0000}"/>
    <cellStyle name="Calculation 9 2 2 6 5" xfId="47890" xr:uid="{00000000-0005-0000-0000-0000F3BA0000}"/>
    <cellStyle name="Calculation 9 2 2 6 6" xfId="47891" xr:uid="{00000000-0005-0000-0000-0000F4BA0000}"/>
    <cellStyle name="Calculation 9 2 2 7" xfId="47892" xr:uid="{00000000-0005-0000-0000-0000F5BA0000}"/>
    <cellStyle name="Calculation 9 2 2 7 2" xfId="47893" xr:uid="{00000000-0005-0000-0000-0000F6BA0000}"/>
    <cellStyle name="Calculation 9 2 2 7 3" xfId="47894" xr:uid="{00000000-0005-0000-0000-0000F7BA0000}"/>
    <cellStyle name="Calculation 9 2 2 7 4" xfId="47895" xr:uid="{00000000-0005-0000-0000-0000F8BA0000}"/>
    <cellStyle name="Calculation 9 2 2 7 5" xfId="47896" xr:uid="{00000000-0005-0000-0000-0000F9BA0000}"/>
    <cellStyle name="Calculation 9 2 2 7 6" xfId="47897" xr:uid="{00000000-0005-0000-0000-0000FABA0000}"/>
    <cellStyle name="Calculation 9 2 2 8" xfId="47898" xr:uid="{00000000-0005-0000-0000-0000FBBA0000}"/>
    <cellStyle name="Calculation 9 2 2 9" xfId="47899" xr:uid="{00000000-0005-0000-0000-0000FCBA0000}"/>
    <cellStyle name="Calculation 9 2 20" xfId="47900" xr:uid="{00000000-0005-0000-0000-0000FDBA0000}"/>
    <cellStyle name="Calculation 9 2 20 10" xfId="47901" xr:uid="{00000000-0005-0000-0000-0000FEBA0000}"/>
    <cellStyle name="Calculation 9 2 20 2" xfId="47902" xr:uid="{00000000-0005-0000-0000-0000FFBA0000}"/>
    <cellStyle name="Calculation 9 2 20 2 2" xfId="47903" xr:uid="{00000000-0005-0000-0000-000000BB0000}"/>
    <cellStyle name="Calculation 9 2 20 2 3" xfId="47904" xr:uid="{00000000-0005-0000-0000-000001BB0000}"/>
    <cellStyle name="Calculation 9 2 20 2 4" xfId="47905" xr:uid="{00000000-0005-0000-0000-000002BB0000}"/>
    <cellStyle name="Calculation 9 2 20 2 5" xfId="47906" xr:uid="{00000000-0005-0000-0000-000003BB0000}"/>
    <cellStyle name="Calculation 9 2 20 2 6" xfId="47907" xr:uid="{00000000-0005-0000-0000-000004BB0000}"/>
    <cellStyle name="Calculation 9 2 20 3" xfId="47908" xr:uid="{00000000-0005-0000-0000-000005BB0000}"/>
    <cellStyle name="Calculation 9 2 20 3 2" xfId="47909" xr:uid="{00000000-0005-0000-0000-000006BB0000}"/>
    <cellStyle name="Calculation 9 2 20 3 3" xfId="47910" xr:uid="{00000000-0005-0000-0000-000007BB0000}"/>
    <cellStyle name="Calculation 9 2 20 3 4" xfId="47911" xr:uid="{00000000-0005-0000-0000-000008BB0000}"/>
    <cellStyle name="Calculation 9 2 20 3 5" xfId="47912" xr:uid="{00000000-0005-0000-0000-000009BB0000}"/>
    <cellStyle name="Calculation 9 2 20 3 6" xfId="47913" xr:uid="{00000000-0005-0000-0000-00000ABB0000}"/>
    <cellStyle name="Calculation 9 2 20 4" xfId="47914" xr:uid="{00000000-0005-0000-0000-00000BBB0000}"/>
    <cellStyle name="Calculation 9 2 20 4 2" xfId="47915" xr:uid="{00000000-0005-0000-0000-00000CBB0000}"/>
    <cellStyle name="Calculation 9 2 20 4 3" xfId="47916" xr:uid="{00000000-0005-0000-0000-00000DBB0000}"/>
    <cellStyle name="Calculation 9 2 20 4 4" xfId="47917" xr:uid="{00000000-0005-0000-0000-00000EBB0000}"/>
    <cellStyle name="Calculation 9 2 20 4 5" xfId="47918" xr:uid="{00000000-0005-0000-0000-00000FBB0000}"/>
    <cellStyle name="Calculation 9 2 20 4 6" xfId="47919" xr:uid="{00000000-0005-0000-0000-000010BB0000}"/>
    <cellStyle name="Calculation 9 2 20 5" xfId="47920" xr:uid="{00000000-0005-0000-0000-000011BB0000}"/>
    <cellStyle name="Calculation 9 2 20 5 2" xfId="47921" xr:uid="{00000000-0005-0000-0000-000012BB0000}"/>
    <cellStyle name="Calculation 9 2 20 5 3" xfId="47922" xr:uid="{00000000-0005-0000-0000-000013BB0000}"/>
    <cellStyle name="Calculation 9 2 20 5 4" xfId="47923" xr:uid="{00000000-0005-0000-0000-000014BB0000}"/>
    <cellStyle name="Calculation 9 2 20 5 5" xfId="47924" xr:uid="{00000000-0005-0000-0000-000015BB0000}"/>
    <cellStyle name="Calculation 9 2 20 5 6" xfId="47925" xr:uid="{00000000-0005-0000-0000-000016BB0000}"/>
    <cellStyle name="Calculation 9 2 20 6" xfId="47926" xr:uid="{00000000-0005-0000-0000-000017BB0000}"/>
    <cellStyle name="Calculation 9 2 20 6 2" xfId="47927" xr:uid="{00000000-0005-0000-0000-000018BB0000}"/>
    <cellStyle name="Calculation 9 2 20 6 3" xfId="47928" xr:uid="{00000000-0005-0000-0000-000019BB0000}"/>
    <cellStyle name="Calculation 9 2 20 6 4" xfId="47929" xr:uid="{00000000-0005-0000-0000-00001ABB0000}"/>
    <cellStyle name="Calculation 9 2 20 6 5" xfId="47930" xr:uid="{00000000-0005-0000-0000-00001BBB0000}"/>
    <cellStyle name="Calculation 9 2 20 6 6" xfId="47931" xr:uid="{00000000-0005-0000-0000-00001CBB0000}"/>
    <cellStyle name="Calculation 9 2 20 7" xfId="47932" xr:uid="{00000000-0005-0000-0000-00001DBB0000}"/>
    <cellStyle name="Calculation 9 2 20 7 2" xfId="47933" xr:uid="{00000000-0005-0000-0000-00001EBB0000}"/>
    <cellStyle name="Calculation 9 2 20 7 3" xfId="47934" xr:uid="{00000000-0005-0000-0000-00001FBB0000}"/>
    <cellStyle name="Calculation 9 2 20 7 4" xfId="47935" xr:uid="{00000000-0005-0000-0000-000020BB0000}"/>
    <cellStyle name="Calculation 9 2 20 7 5" xfId="47936" xr:uid="{00000000-0005-0000-0000-000021BB0000}"/>
    <cellStyle name="Calculation 9 2 20 7 6" xfId="47937" xr:uid="{00000000-0005-0000-0000-000022BB0000}"/>
    <cellStyle name="Calculation 9 2 20 8" xfId="47938" xr:uid="{00000000-0005-0000-0000-000023BB0000}"/>
    <cellStyle name="Calculation 9 2 20 9" xfId="47939" xr:uid="{00000000-0005-0000-0000-000024BB0000}"/>
    <cellStyle name="Calculation 9 2 21" xfId="47940" xr:uid="{00000000-0005-0000-0000-000025BB0000}"/>
    <cellStyle name="Calculation 9 2 21 10" xfId="47941" xr:uid="{00000000-0005-0000-0000-000026BB0000}"/>
    <cellStyle name="Calculation 9 2 21 2" xfId="47942" xr:uid="{00000000-0005-0000-0000-000027BB0000}"/>
    <cellStyle name="Calculation 9 2 21 2 2" xfId="47943" xr:uid="{00000000-0005-0000-0000-000028BB0000}"/>
    <cellStyle name="Calculation 9 2 21 2 3" xfId="47944" xr:uid="{00000000-0005-0000-0000-000029BB0000}"/>
    <cellStyle name="Calculation 9 2 21 2 4" xfId="47945" xr:uid="{00000000-0005-0000-0000-00002ABB0000}"/>
    <cellStyle name="Calculation 9 2 21 2 5" xfId="47946" xr:uid="{00000000-0005-0000-0000-00002BBB0000}"/>
    <cellStyle name="Calculation 9 2 21 2 6" xfId="47947" xr:uid="{00000000-0005-0000-0000-00002CBB0000}"/>
    <cellStyle name="Calculation 9 2 21 3" xfId="47948" xr:uid="{00000000-0005-0000-0000-00002DBB0000}"/>
    <cellStyle name="Calculation 9 2 21 3 2" xfId="47949" xr:uid="{00000000-0005-0000-0000-00002EBB0000}"/>
    <cellStyle name="Calculation 9 2 21 3 3" xfId="47950" xr:uid="{00000000-0005-0000-0000-00002FBB0000}"/>
    <cellStyle name="Calculation 9 2 21 3 4" xfId="47951" xr:uid="{00000000-0005-0000-0000-000030BB0000}"/>
    <cellStyle name="Calculation 9 2 21 3 5" xfId="47952" xr:uid="{00000000-0005-0000-0000-000031BB0000}"/>
    <cellStyle name="Calculation 9 2 21 3 6" xfId="47953" xr:uid="{00000000-0005-0000-0000-000032BB0000}"/>
    <cellStyle name="Calculation 9 2 21 4" xfId="47954" xr:uid="{00000000-0005-0000-0000-000033BB0000}"/>
    <cellStyle name="Calculation 9 2 21 4 2" xfId="47955" xr:uid="{00000000-0005-0000-0000-000034BB0000}"/>
    <cellStyle name="Calculation 9 2 21 4 3" xfId="47956" xr:uid="{00000000-0005-0000-0000-000035BB0000}"/>
    <cellStyle name="Calculation 9 2 21 4 4" xfId="47957" xr:uid="{00000000-0005-0000-0000-000036BB0000}"/>
    <cellStyle name="Calculation 9 2 21 4 5" xfId="47958" xr:uid="{00000000-0005-0000-0000-000037BB0000}"/>
    <cellStyle name="Calculation 9 2 21 4 6" xfId="47959" xr:uid="{00000000-0005-0000-0000-000038BB0000}"/>
    <cellStyle name="Calculation 9 2 21 5" xfId="47960" xr:uid="{00000000-0005-0000-0000-000039BB0000}"/>
    <cellStyle name="Calculation 9 2 21 5 2" xfId="47961" xr:uid="{00000000-0005-0000-0000-00003ABB0000}"/>
    <cellStyle name="Calculation 9 2 21 5 3" xfId="47962" xr:uid="{00000000-0005-0000-0000-00003BBB0000}"/>
    <cellStyle name="Calculation 9 2 21 5 4" xfId="47963" xr:uid="{00000000-0005-0000-0000-00003CBB0000}"/>
    <cellStyle name="Calculation 9 2 21 5 5" xfId="47964" xr:uid="{00000000-0005-0000-0000-00003DBB0000}"/>
    <cellStyle name="Calculation 9 2 21 5 6" xfId="47965" xr:uid="{00000000-0005-0000-0000-00003EBB0000}"/>
    <cellStyle name="Calculation 9 2 21 6" xfId="47966" xr:uid="{00000000-0005-0000-0000-00003FBB0000}"/>
    <cellStyle name="Calculation 9 2 21 6 2" xfId="47967" xr:uid="{00000000-0005-0000-0000-000040BB0000}"/>
    <cellStyle name="Calculation 9 2 21 6 3" xfId="47968" xr:uid="{00000000-0005-0000-0000-000041BB0000}"/>
    <cellStyle name="Calculation 9 2 21 6 4" xfId="47969" xr:uid="{00000000-0005-0000-0000-000042BB0000}"/>
    <cellStyle name="Calculation 9 2 21 6 5" xfId="47970" xr:uid="{00000000-0005-0000-0000-000043BB0000}"/>
    <cellStyle name="Calculation 9 2 21 6 6" xfId="47971" xr:uid="{00000000-0005-0000-0000-000044BB0000}"/>
    <cellStyle name="Calculation 9 2 21 7" xfId="47972" xr:uid="{00000000-0005-0000-0000-000045BB0000}"/>
    <cellStyle name="Calculation 9 2 21 7 2" xfId="47973" xr:uid="{00000000-0005-0000-0000-000046BB0000}"/>
    <cellStyle name="Calculation 9 2 21 7 3" xfId="47974" xr:uid="{00000000-0005-0000-0000-000047BB0000}"/>
    <cellStyle name="Calculation 9 2 21 7 4" xfId="47975" xr:uid="{00000000-0005-0000-0000-000048BB0000}"/>
    <cellStyle name="Calculation 9 2 21 7 5" xfId="47976" xr:uid="{00000000-0005-0000-0000-000049BB0000}"/>
    <cellStyle name="Calculation 9 2 21 7 6" xfId="47977" xr:uid="{00000000-0005-0000-0000-00004ABB0000}"/>
    <cellStyle name="Calculation 9 2 21 8" xfId="47978" xr:uid="{00000000-0005-0000-0000-00004BBB0000}"/>
    <cellStyle name="Calculation 9 2 21 9" xfId="47979" xr:uid="{00000000-0005-0000-0000-00004CBB0000}"/>
    <cellStyle name="Calculation 9 2 22" xfId="47980" xr:uid="{00000000-0005-0000-0000-00004DBB0000}"/>
    <cellStyle name="Calculation 9 2 22 10" xfId="47981" xr:uid="{00000000-0005-0000-0000-00004EBB0000}"/>
    <cellStyle name="Calculation 9 2 22 2" xfId="47982" xr:uid="{00000000-0005-0000-0000-00004FBB0000}"/>
    <cellStyle name="Calculation 9 2 22 2 2" xfId="47983" xr:uid="{00000000-0005-0000-0000-000050BB0000}"/>
    <cellStyle name="Calculation 9 2 22 2 3" xfId="47984" xr:uid="{00000000-0005-0000-0000-000051BB0000}"/>
    <cellStyle name="Calculation 9 2 22 2 4" xfId="47985" xr:uid="{00000000-0005-0000-0000-000052BB0000}"/>
    <cellStyle name="Calculation 9 2 22 2 5" xfId="47986" xr:uid="{00000000-0005-0000-0000-000053BB0000}"/>
    <cellStyle name="Calculation 9 2 22 2 6" xfId="47987" xr:uid="{00000000-0005-0000-0000-000054BB0000}"/>
    <cellStyle name="Calculation 9 2 22 3" xfId="47988" xr:uid="{00000000-0005-0000-0000-000055BB0000}"/>
    <cellStyle name="Calculation 9 2 22 3 2" xfId="47989" xr:uid="{00000000-0005-0000-0000-000056BB0000}"/>
    <cellStyle name="Calculation 9 2 22 3 3" xfId="47990" xr:uid="{00000000-0005-0000-0000-000057BB0000}"/>
    <cellStyle name="Calculation 9 2 22 3 4" xfId="47991" xr:uid="{00000000-0005-0000-0000-000058BB0000}"/>
    <cellStyle name="Calculation 9 2 22 3 5" xfId="47992" xr:uid="{00000000-0005-0000-0000-000059BB0000}"/>
    <cellStyle name="Calculation 9 2 22 3 6" xfId="47993" xr:uid="{00000000-0005-0000-0000-00005ABB0000}"/>
    <cellStyle name="Calculation 9 2 22 4" xfId="47994" xr:uid="{00000000-0005-0000-0000-00005BBB0000}"/>
    <cellStyle name="Calculation 9 2 22 4 2" xfId="47995" xr:uid="{00000000-0005-0000-0000-00005CBB0000}"/>
    <cellStyle name="Calculation 9 2 22 4 3" xfId="47996" xr:uid="{00000000-0005-0000-0000-00005DBB0000}"/>
    <cellStyle name="Calculation 9 2 22 4 4" xfId="47997" xr:uid="{00000000-0005-0000-0000-00005EBB0000}"/>
    <cellStyle name="Calculation 9 2 22 4 5" xfId="47998" xr:uid="{00000000-0005-0000-0000-00005FBB0000}"/>
    <cellStyle name="Calculation 9 2 22 4 6" xfId="47999" xr:uid="{00000000-0005-0000-0000-000060BB0000}"/>
    <cellStyle name="Calculation 9 2 22 5" xfId="48000" xr:uid="{00000000-0005-0000-0000-000061BB0000}"/>
    <cellStyle name="Calculation 9 2 22 5 2" xfId="48001" xr:uid="{00000000-0005-0000-0000-000062BB0000}"/>
    <cellStyle name="Calculation 9 2 22 5 3" xfId="48002" xr:uid="{00000000-0005-0000-0000-000063BB0000}"/>
    <cellStyle name="Calculation 9 2 22 5 4" xfId="48003" xr:uid="{00000000-0005-0000-0000-000064BB0000}"/>
    <cellStyle name="Calculation 9 2 22 5 5" xfId="48004" xr:uid="{00000000-0005-0000-0000-000065BB0000}"/>
    <cellStyle name="Calculation 9 2 22 5 6" xfId="48005" xr:uid="{00000000-0005-0000-0000-000066BB0000}"/>
    <cellStyle name="Calculation 9 2 22 6" xfId="48006" xr:uid="{00000000-0005-0000-0000-000067BB0000}"/>
    <cellStyle name="Calculation 9 2 22 6 2" xfId="48007" xr:uid="{00000000-0005-0000-0000-000068BB0000}"/>
    <cellStyle name="Calculation 9 2 22 6 3" xfId="48008" xr:uid="{00000000-0005-0000-0000-000069BB0000}"/>
    <cellStyle name="Calculation 9 2 22 6 4" xfId="48009" xr:uid="{00000000-0005-0000-0000-00006ABB0000}"/>
    <cellStyle name="Calculation 9 2 22 6 5" xfId="48010" xr:uid="{00000000-0005-0000-0000-00006BBB0000}"/>
    <cellStyle name="Calculation 9 2 22 6 6" xfId="48011" xr:uid="{00000000-0005-0000-0000-00006CBB0000}"/>
    <cellStyle name="Calculation 9 2 22 7" xfId="48012" xr:uid="{00000000-0005-0000-0000-00006DBB0000}"/>
    <cellStyle name="Calculation 9 2 22 7 2" xfId="48013" xr:uid="{00000000-0005-0000-0000-00006EBB0000}"/>
    <cellStyle name="Calculation 9 2 22 7 3" xfId="48014" xr:uid="{00000000-0005-0000-0000-00006FBB0000}"/>
    <cellStyle name="Calculation 9 2 22 7 4" xfId="48015" xr:uid="{00000000-0005-0000-0000-000070BB0000}"/>
    <cellStyle name="Calculation 9 2 22 7 5" xfId="48016" xr:uid="{00000000-0005-0000-0000-000071BB0000}"/>
    <cellStyle name="Calculation 9 2 22 7 6" xfId="48017" xr:uid="{00000000-0005-0000-0000-000072BB0000}"/>
    <cellStyle name="Calculation 9 2 22 8" xfId="48018" xr:uid="{00000000-0005-0000-0000-000073BB0000}"/>
    <cellStyle name="Calculation 9 2 22 9" xfId="48019" xr:uid="{00000000-0005-0000-0000-000074BB0000}"/>
    <cellStyle name="Calculation 9 2 23" xfId="48020" xr:uid="{00000000-0005-0000-0000-000075BB0000}"/>
    <cellStyle name="Calculation 9 2 23 10" xfId="48021" xr:uid="{00000000-0005-0000-0000-000076BB0000}"/>
    <cellStyle name="Calculation 9 2 23 2" xfId="48022" xr:uid="{00000000-0005-0000-0000-000077BB0000}"/>
    <cellStyle name="Calculation 9 2 23 2 2" xfId="48023" xr:uid="{00000000-0005-0000-0000-000078BB0000}"/>
    <cellStyle name="Calculation 9 2 23 2 3" xfId="48024" xr:uid="{00000000-0005-0000-0000-000079BB0000}"/>
    <cellStyle name="Calculation 9 2 23 2 4" xfId="48025" xr:uid="{00000000-0005-0000-0000-00007ABB0000}"/>
    <cellStyle name="Calculation 9 2 23 2 5" xfId="48026" xr:uid="{00000000-0005-0000-0000-00007BBB0000}"/>
    <cellStyle name="Calculation 9 2 23 2 6" xfId="48027" xr:uid="{00000000-0005-0000-0000-00007CBB0000}"/>
    <cellStyle name="Calculation 9 2 23 3" xfId="48028" xr:uid="{00000000-0005-0000-0000-00007DBB0000}"/>
    <cellStyle name="Calculation 9 2 23 3 2" xfId="48029" xr:uid="{00000000-0005-0000-0000-00007EBB0000}"/>
    <cellStyle name="Calculation 9 2 23 3 3" xfId="48030" xr:uid="{00000000-0005-0000-0000-00007FBB0000}"/>
    <cellStyle name="Calculation 9 2 23 3 4" xfId="48031" xr:uid="{00000000-0005-0000-0000-000080BB0000}"/>
    <cellStyle name="Calculation 9 2 23 3 5" xfId="48032" xr:uid="{00000000-0005-0000-0000-000081BB0000}"/>
    <cellStyle name="Calculation 9 2 23 3 6" xfId="48033" xr:uid="{00000000-0005-0000-0000-000082BB0000}"/>
    <cellStyle name="Calculation 9 2 23 4" xfId="48034" xr:uid="{00000000-0005-0000-0000-000083BB0000}"/>
    <cellStyle name="Calculation 9 2 23 4 2" xfId="48035" xr:uid="{00000000-0005-0000-0000-000084BB0000}"/>
    <cellStyle name="Calculation 9 2 23 4 3" xfId="48036" xr:uid="{00000000-0005-0000-0000-000085BB0000}"/>
    <cellStyle name="Calculation 9 2 23 4 4" xfId="48037" xr:uid="{00000000-0005-0000-0000-000086BB0000}"/>
    <cellStyle name="Calculation 9 2 23 4 5" xfId="48038" xr:uid="{00000000-0005-0000-0000-000087BB0000}"/>
    <cellStyle name="Calculation 9 2 23 4 6" xfId="48039" xr:uid="{00000000-0005-0000-0000-000088BB0000}"/>
    <cellStyle name="Calculation 9 2 23 5" xfId="48040" xr:uid="{00000000-0005-0000-0000-000089BB0000}"/>
    <cellStyle name="Calculation 9 2 23 5 2" xfId="48041" xr:uid="{00000000-0005-0000-0000-00008ABB0000}"/>
    <cellStyle name="Calculation 9 2 23 5 3" xfId="48042" xr:uid="{00000000-0005-0000-0000-00008BBB0000}"/>
    <cellStyle name="Calculation 9 2 23 5 4" xfId="48043" xr:uid="{00000000-0005-0000-0000-00008CBB0000}"/>
    <cellStyle name="Calculation 9 2 23 5 5" xfId="48044" xr:uid="{00000000-0005-0000-0000-00008DBB0000}"/>
    <cellStyle name="Calculation 9 2 23 5 6" xfId="48045" xr:uid="{00000000-0005-0000-0000-00008EBB0000}"/>
    <cellStyle name="Calculation 9 2 23 6" xfId="48046" xr:uid="{00000000-0005-0000-0000-00008FBB0000}"/>
    <cellStyle name="Calculation 9 2 23 6 2" xfId="48047" xr:uid="{00000000-0005-0000-0000-000090BB0000}"/>
    <cellStyle name="Calculation 9 2 23 6 3" xfId="48048" xr:uid="{00000000-0005-0000-0000-000091BB0000}"/>
    <cellStyle name="Calculation 9 2 23 6 4" xfId="48049" xr:uid="{00000000-0005-0000-0000-000092BB0000}"/>
    <cellStyle name="Calculation 9 2 23 6 5" xfId="48050" xr:uid="{00000000-0005-0000-0000-000093BB0000}"/>
    <cellStyle name="Calculation 9 2 23 6 6" xfId="48051" xr:uid="{00000000-0005-0000-0000-000094BB0000}"/>
    <cellStyle name="Calculation 9 2 23 7" xfId="48052" xr:uid="{00000000-0005-0000-0000-000095BB0000}"/>
    <cellStyle name="Calculation 9 2 23 7 2" xfId="48053" xr:uid="{00000000-0005-0000-0000-000096BB0000}"/>
    <cellStyle name="Calculation 9 2 23 7 3" xfId="48054" xr:uid="{00000000-0005-0000-0000-000097BB0000}"/>
    <cellStyle name="Calculation 9 2 23 7 4" xfId="48055" xr:uid="{00000000-0005-0000-0000-000098BB0000}"/>
    <cellStyle name="Calculation 9 2 23 7 5" xfId="48056" xr:uid="{00000000-0005-0000-0000-000099BB0000}"/>
    <cellStyle name="Calculation 9 2 23 7 6" xfId="48057" xr:uid="{00000000-0005-0000-0000-00009ABB0000}"/>
    <cellStyle name="Calculation 9 2 23 8" xfId="48058" xr:uid="{00000000-0005-0000-0000-00009BBB0000}"/>
    <cellStyle name="Calculation 9 2 23 9" xfId="48059" xr:uid="{00000000-0005-0000-0000-00009CBB0000}"/>
    <cellStyle name="Calculation 9 2 24" xfId="48060" xr:uid="{00000000-0005-0000-0000-00009DBB0000}"/>
    <cellStyle name="Calculation 9 2 24 10" xfId="48061" xr:uid="{00000000-0005-0000-0000-00009EBB0000}"/>
    <cellStyle name="Calculation 9 2 24 2" xfId="48062" xr:uid="{00000000-0005-0000-0000-00009FBB0000}"/>
    <cellStyle name="Calculation 9 2 24 2 2" xfId="48063" xr:uid="{00000000-0005-0000-0000-0000A0BB0000}"/>
    <cellStyle name="Calculation 9 2 24 2 3" xfId="48064" xr:uid="{00000000-0005-0000-0000-0000A1BB0000}"/>
    <cellStyle name="Calculation 9 2 24 2 4" xfId="48065" xr:uid="{00000000-0005-0000-0000-0000A2BB0000}"/>
    <cellStyle name="Calculation 9 2 24 2 5" xfId="48066" xr:uid="{00000000-0005-0000-0000-0000A3BB0000}"/>
    <cellStyle name="Calculation 9 2 24 2 6" xfId="48067" xr:uid="{00000000-0005-0000-0000-0000A4BB0000}"/>
    <cellStyle name="Calculation 9 2 24 3" xfId="48068" xr:uid="{00000000-0005-0000-0000-0000A5BB0000}"/>
    <cellStyle name="Calculation 9 2 24 3 2" xfId="48069" xr:uid="{00000000-0005-0000-0000-0000A6BB0000}"/>
    <cellStyle name="Calculation 9 2 24 3 3" xfId="48070" xr:uid="{00000000-0005-0000-0000-0000A7BB0000}"/>
    <cellStyle name="Calculation 9 2 24 3 4" xfId="48071" xr:uid="{00000000-0005-0000-0000-0000A8BB0000}"/>
    <cellStyle name="Calculation 9 2 24 3 5" xfId="48072" xr:uid="{00000000-0005-0000-0000-0000A9BB0000}"/>
    <cellStyle name="Calculation 9 2 24 3 6" xfId="48073" xr:uid="{00000000-0005-0000-0000-0000AABB0000}"/>
    <cellStyle name="Calculation 9 2 24 4" xfId="48074" xr:uid="{00000000-0005-0000-0000-0000ABBB0000}"/>
    <cellStyle name="Calculation 9 2 24 4 2" xfId="48075" xr:uid="{00000000-0005-0000-0000-0000ACBB0000}"/>
    <cellStyle name="Calculation 9 2 24 4 3" xfId="48076" xr:uid="{00000000-0005-0000-0000-0000ADBB0000}"/>
    <cellStyle name="Calculation 9 2 24 4 4" xfId="48077" xr:uid="{00000000-0005-0000-0000-0000AEBB0000}"/>
    <cellStyle name="Calculation 9 2 24 4 5" xfId="48078" xr:uid="{00000000-0005-0000-0000-0000AFBB0000}"/>
    <cellStyle name="Calculation 9 2 24 4 6" xfId="48079" xr:uid="{00000000-0005-0000-0000-0000B0BB0000}"/>
    <cellStyle name="Calculation 9 2 24 5" xfId="48080" xr:uid="{00000000-0005-0000-0000-0000B1BB0000}"/>
    <cellStyle name="Calculation 9 2 24 5 2" xfId="48081" xr:uid="{00000000-0005-0000-0000-0000B2BB0000}"/>
    <cellStyle name="Calculation 9 2 24 5 3" xfId="48082" xr:uid="{00000000-0005-0000-0000-0000B3BB0000}"/>
    <cellStyle name="Calculation 9 2 24 5 4" xfId="48083" xr:uid="{00000000-0005-0000-0000-0000B4BB0000}"/>
    <cellStyle name="Calculation 9 2 24 5 5" xfId="48084" xr:uid="{00000000-0005-0000-0000-0000B5BB0000}"/>
    <cellStyle name="Calculation 9 2 24 5 6" xfId="48085" xr:uid="{00000000-0005-0000-0000-0000B6BB0000}"/>
    <cellStyle name="Calculation 9 2 24 6" xfId="48086" xr:uid="{00000000-0005-0000-0000-0000B7BB0000}"/>
    <cellStyle name="Calculation 9 2 24 6 2" xfId="48087" xr:uid="{00000000-0005-0000-0000-0000B8BB0000}"/>
    <cellStyle name="Calculation 9 2 24 6 3" xfId="48088" xr:uid="{00000000-0005-0000-0000-0000B9BB0000}"/>
    <cellStyle name="Calculation 9 2 24 6 4" xfId="48089" xr:uid="{00000000-0005-0000-0000-0000BABB0000}"/>
    <cellStyle name="Calculation 9 2 24 6 5" xfId="48090" xr:uid="{00000000-0005-0000-0000-0000BBBB0000}"/>
    <cellStyle name="Calculation 9 2 24 6 6" xfId="48091" xr:uid="{00000000-0005-0000-0000-0000BCBB0000}"/>
    <cellStyle name="Calculation 9 2 24 7" xfId="48092" xr:uid="{00000000-0005-0000-0000-0000BDBB0000}"/>
    <cellStyle name="Calculation 9 2 24 7 2" xfId="48093" xr:uid="{00000000-0005-0000-0000-0000BEBB0000}"/>
    <cellStyle name="Calculation 9 2 24 7 3" xfId="48094" xr:uid="{00000000-0005-0000-0000-0000BFBB0000}"/>
    <cellStyle name="Calculation 9 2 24 7 4" xfId="48095" xr:uid="{00000000-0005-0000-0000-0000C0BB0000}"/>
    <cellStyle name="Calculation 9 2 24 7 5" xfId="48096" xr:uid="{00000000-0005-0000-0000-0000C1BB0000}"/>
    <cellStyle name="Calculation 9 2 24 7 6" xfId="48097" xr:uid="{00000000-0005-0000-0000-0000C2BB0000}"/>
    <cellStyle name="Calculation 9 2 24 8" xfId="48098" xr:uid="{00000000-0005-0000-0000-0000C3BB0000}"/>
    <cellStyle name="Calculation 9 2 24 9" xfId="48099" xr:uid="{00000000-0005-0000-0000-0000C4BB0000}"/>
    <cellStyle name="Calculation 9 2 25" xfId="48100" xr:uid="{00000000-0005-0000-0000-0000C5BB0000}"/>
    <cellStyle name="Calculation 9 2 25 10" xfId="48101" xr:uid="{00000000-0005-0000-0000-0000C6BB0000}"/>
    <cellStyle name="Calculation 9 2 25 2" xfId="48102" xr:uid="{00000000-0005-0000-0000-0000C7BB0000}"/>
    <cellStyle name="Calculation 9 2 25 2 2" xfId="48103" xr:uid="{00000000-0005-0000-0000-0000C8BB0000}"/>
    <cellStyle name="Calculation 9 2 25 2 3" xfId="48104" xr:uid="{00000000-0005-0000-0000-0000C9BB0000}"/>
    <cellStyle name="Calculation 9 2 25 2 4" xfId="48105" xr:uid="{00000000-0005-0000-0000-0000CABB0000}"/>
    <cellStyle name="Calculation 9 2 25 2 5" xfId="48106" xr:uid="{00000000-0005-0000-0000-0000CBBB0000}"/>
    <cellStyle name="Calculation 9 2 25 2 6" xfId="48107" xr:uid="{00000000-0005-0000-0000-0000CCBB0000}"/>
    <cellStyle name="Calculation 9 2 25 3" xfId="48108" xr:uid="{00000000-0005-0000-0000-0000CDBB0000}"/>
    <cellStyle name="Calculation 9 2 25 3 2" xfId="48109" xr:uid="{00000000-0005-0000-0000-0000CEBB0000}"/>
    <cellStyle name="Calculation 9 2 25 3 3" xfId="48110" xr:uid="{00000000-0005-0000-0000-0000CFBB0000}"/>
    <cellStyle name="Calculation 9 2 25 3 4" xfId="48111" xr:uid="{00000000-0005-0000-0000-0000D0BB0000}"/>
    <cellStyle name="Calculation 9 2 25 3 5" xfId="48112" xr:uid="{00000000-0005-0000-0000-0000D1BB0000}"/>
    <cellStyle name="Calculation 9 2 25 3 6" xfId="48113" xr:uid="{00000000-0005-0000-0000-0000D2BB0000}"/>
    <cellStyle name="Calculation 9 2 25 4" xfId="48114" xr:uid="{00000000-0005-0000-0000-0000D3BB0000}"/>
    <cellStyle name="Calculation 9 2 25 4 2" xfId="48115" xr:uid="{00000000-0005-0000-0000-0000D4BB0000}"/>
    <cellStyle name="Calculation 9 2 25 4 3" xfId="48116" xr:uid="{00000000-0005-0000-0000-0000D5BB0000}"/>
    <cellStyle name="Calculation 9 2 25 4 4" xfId="48117" xr:uid="{00000000-0005-0000-0000-0000D6BB0000}"/>
    <cellStyle name="Calculation 9 2 25 4 5" xfId="48118" xr:uid="{00000000-0005-0000-0000-0000D7BB0000}"/>
    <cellStyle name="Calculation 9 2 25 4 6" xfId="48119" xr:uid="{00000000-0005-0000-0000-0000D8BB0000}"/>
    <cellStyle name="Calculation 9 2 25 5" xfId="48120" xr:uid="{00000000-0005-0000-0000-0000D9BB0000}"/>
    <cellStyle name="Calculation 9 2 25 5 2" xfId="48121" xr:uid="{00000000-0005-0000-0000-0000DABB0000}"/>
    <cellStyle name="Calculation 9 2 25 5 3" xfId="48122" xr:uid="{00000000-0005-0000-0000-0000DBBB0000}"/>
    <cellStyle name="Calculation 9 2 25 5 4" xfId="48123" xr:uid="{00000000-0005-0000-0000-0000DCBB0000}"/>
    <cellStyle name="Calculation 9 2 25 5 5" xfId="48124" xr:uid="{00000000-0005-0000-0000-0000DDBB0000}"/>
    <cellStyle name="Calculation 9 2 25 5 6" xfId="48125" xr:uid="{00000000-0005-0000-0000-0000DEBB0000}"/>
    <cellStyle name="Calculation 9 2 25 6" xfId="48126" xr:uid="{00000000-0005-0000-0000-0000DFBB0000}"/>
    <cellStyle name="Calculation 9 2 25 6 2" xfId="48127" xr:uid="{00000000-0005-0000-0000-0000E0BB0000}"/>
    <cellStyle name="Calculation 9 2 25 6 3" xfId="48128" xr:uid="{00000000-0005-0000-0000-0000E1BB0000}"/>
    <cellStyle name="Calculation 9 2 25 6 4" xfId="48129" xr:uid="{00000000-0005-0000-0000-0000E2BB0000}"/>
    <cellStyle name="Calculation 9 2 25 6 5" xfId="48130" xr:uid="{00000000-0005-0000-0000-0000E3BB0000}"/>
    <cellStyle name="Calculation 9 2 25 6 6" xfId="48131" xr:uid="{00000000-0005-0000-0000-0000E4BB0000}"/>
    <cellStyle name="Calculation 9 2 25 7" xfId="48132" xr:uid="{00000000-0005-0000-0000-0000E5BB0000}"/>
    <cellStyle name="Calculation 9 2 25 7 2" xfId="48133" xr:uid="{00000000-0005-0000-0000-0000E6BB0000}"/>
    <cellStyle name="Calculation 9 2 25 7 3" xfId="48134" xr:uid="{00000000-0005-0000-0000-0000E7BB0000}"/>
    <cellStyle name="Calculation 9 2 25 7 4" xfId="48135" xr:uid="{00000000-0005-0000-0000-0000E8BB0000}"/>
    <cellStyle name="Calculation 9 2 25 7 5" xfId="48136" xr:uid="{00000000-0005-0000-0000-0000E9BB0000}"/>
    <cellStyle name="Calculation 9 2 25 7 6" xfId="48137" xr:uid="{00000000-0005-0000-0000-0000EABB0000}"/>
    <cellStyle name="Calculation 9 2 25 8" xfId="48138" xr:uid="{00000000-0005-0000-0000-0000EBBB0000}"/>
    <cellStyle name="Calculation 9 2 25 9" xfId="48139" xr:uid="{00000000-0005-0000-0000-0000ECBB0000}"/>
    <cellStyle name="Calculation 9 2 26" xfId="48140" xr:uid="{00000000-0005-0000-0000-0000EDBB0000}"/>
    <cellStyle name="Calculation 9 2 26 10" xfId="48141" xr:uid="{00000000-0005-0000-0000-0000EEBB0000}"/>
    <cellStyle name="Calculation 9 2 26 2" xfId="48142" xr:uid="{00000000-0005-0000-0000-0000EFBB0000}"/>
    <cellStyle name="Calculation 9 2 26 2 2" xfId="48143" xr:uid="{00000000-0005-0000-0000-0000F0BB0000}"/>
    <cellStyle name="Calculation 9 2 26 2 3" xfId="48144" xr:uid="{00000000-0005-0000-0000-0000F1BB0000}"/>
    <cellStyle name="Calculation 9 2 26 2 4" xfId="48145" xr:uid="{00000000-0005-0000-0000-0000F2BB0000}"/>
    <cellStyle name="Calculation 9 2 26 2 5" xfId="48146" xr:uid="{00000000-0005-0000-0000-0000F3BB0000}"/>
    <cellStyle name="Calculation 9 2 26 2 6" xfId="48147" xr:uid="{00000000-0005-0000-0000-0000F4BB0000}"/>
    <cellStyle name="Calculation 9 2 26 3" xfId="48148" xr:uid="{00000000-0005-0000-0000-0000F5BB0000}"/>
    <cellStyle name="Calculation 9 2 26 3 2" xfId="48149" xr:uid="{00000000-0005-0000-0000-0000F6BB0000}"/>
    <cellStyle name="Calculation 9 2 26 3 3" xfId="48150" xr:uid="{00000000-0005-0000-0000-0000F7BB0000}"/>
    <cellStyle name="Calculation 9 2 26 3 4" xfId="48151" xr:uid="{00000000-0005-0000-0000-0000F8BB0000}"/>
    <cellStyle name="Calculation 9 2 26 3 5" xfId="48152" xr:uid="{00000000-0005-0000-0000-0000F9BB0000}"/>
    <cellStyle name="Calculation 9 2 26 3 6" xfId="48153" xr:uid="{00000000-0005-0000-0000-0000FABB0000}"/>
    <cellStyle name="Calculation 9 2 26 4" xfId="48154" xr:uid="{00000000-0005-0000-0000-0000FBBB0000}"/>
    <cellStyle name="Calculation 9 2 26 4 2" xfId="48155" xr:uid="{00000000-0005-0000-0000-0000FCBB0000}"/>
    <cellStyle name="Calculation 9 2 26 4 3" xfId="48156" xr:uid="{00000000-0005-0000-0000-0000FDBB0000}"/>
    <cellStyle name="Calculation 9 2 26 4 4" xfId="48157" xr:uid="{00000000-0005-0000-0000-0000FEBB0000}"/>
    <cellStyle name="Calculation 9 2 26 4 5" xfId="48158" xr:uid="{00000000-0005-0000-0000-0000FFBB0000}"/>
    <cellStyle name="Calculation 9 2 26 4 6" xfId="48159" xr:uid="{00000000-0005-0000-0000-000000BC0000}"/>
    <cellStyle name="Calculation 9 2 26 5" xfId="48160" xr:uid="{00000000-0005-0000-0000-000001BC0000}"/>
    <cellStyle name="Calculation 9 2 26 5 2" xfId="48161" xr:uid="{00000000-0005-0000-0000-000002BC0000}"/>
    <cellStyle name="Calculation 9 2 26 5 3" xfId="48162" xr:uid="{00000000-0005-0000-0000-000003BC0000}"/>
    <cellStyle name="Calculation 9 2 26 5 4" xfId="48163" xr:uid="{00000000-0005-0000-0000-000004BC0000}"/>
    <cellStyle name="Calculation 9 2 26 5 5" xfId="48164" xr:uid="{00000000-0005-0000-0000-000005BC0000}"/>
    <cellStyle name="Calculation 9 2 26 5 6" xfId="48165" xr:uid="{00000000-0005-0000-0000-000006BC0000}"/>
    <cellStyle name="Calculation 9 2 26 6" xfId="48166" xr:uid="{00000000-0005-0000-0000-000007BC0000}"/>
    <cellStyle name="Calculation 9 2 26 6 2" xfId="48167" xr:uid="{00000000-0005-0000-0000-000008BC0000}"/>
    <cellStyle name="Calculation 9 2 26 6 3" xfId="48168" xr:uid="{00000000-0005-0000-0000-000009BC0000}"/>
    <cellStyle name="Calculation 9 2 26 6 4" xfId="48169" xr:uid="{00000000-0005-0000-0000-00000ABC0000}"/>
    <cellStyle name="Calculation 9 2 26 6 5" xfId="48170" xr:uid="{00000000-0005-0000-0000-00000BBC0000}"/>
    <cellStyle name="Calculation 9 2 26 6 6" xfId="48171" xr:uid="{00000000-0005-0000-0000-00000CBC0000}"/>
    <cellStyle name="Calculation 9 2 26 7" xfId="48172" xr:uid="{00000000-0005-0000-0000-00000DBC0000}"/>
    <cellStyle name="Calculation 9 2 26 7 2" xfId="48173" xr:uid="{00000000-0005-0000-0000-00000EBC0000}"/>
    <cellStyle name="Calculation 9 2 26 7 3" xfId="48174" xr:uid="{00000000-0005-0000-0000-00000FBC0000}"/>
    <cellStyle name="Calculation 9 2 26 7 4" xfId="48175" xr:uid="{00000000-0005-0000-0000-000010BC0000}"/>
    <cellStyle name="Calculation 9 2 26 7 5" xfId="48176" xr:uid="{00000000-0005-0000-0000-000011BC0000}"/>
    <cellStyle name="Calculation 9 2 26 7 6" xfId="48177" xr:uid="{00000000-0005-0000-0000-000012BC0000}"/>
    <cellStyle name="Calculation 9 2 26 8" xfId="48178" xr:uid="{00000000-0005-0000-0000-000013BC0000}"/>
    <cellStyle name="Calculation 9 2 26 9" xfId="48179" xr:uid="{00000000-0005-0000-0000-000014BC0000}"/>
    <cellStyle name="Calculation 9 2 27" xfId="48180" xr:uid="{00000000-0005-0000-0000-000015BC0000}"/>
    <cellStyle name="Calculation 9 2 27 2" xfId="48181" xr:uid="{00000000-0005-0000-0000-000016BC0000}"/>
    <cellStyle name="Calculation 9 2 27 3" xfId="48182" xr:uid="{00000000-0005-0000-0000-000017BC0000}"/>
    <cellStyle name="Calculation 9 2 27 4" xfId="48183" xr:uid="{00000000-0005-0000-0000-000018BC0000}"/>
    <cellStyle name="Calculation 9 2 27 5" xfId="48184" xr:uid="{00000000-0005-0000-0000-000019BC0000}"/>
    <cellStyle name="Calculation 9 2 27 6" xfId="48185" xr:uid="{00000000-0005-0000-0000-00001ABC0000}"/>
    <cellStyle name="Calculation 9 2 28" xfId="48186" xr:uid="{00000000-0005-0000-0000-00001BBC0000}"/>
    <cellStyle name="Calculation 9 2 28 2" xfId="48187" xr:uid="{00000000-0005-0000-0000-00001CBC0000}"/>
    <cellStyle name="Calculation 9 2 28 3" xfId="48188" xr:uid="{00000000-0005-0000-0000-00001DBC0000}"/>
    <cellStyle name="Calculation 9 2 28 4" xfId="48189" xr:uid="{00000000-0005-0000-0000-00001EBC0000}"/>
    <cellStyle name="Calculation 9 2 28 5" xfId="48190" xr:uid="{00000000-0005-0000-0000-00001FBC0000}"/>
    <cellStyle name="Calculation 9 2 28 6" xfId="48191" xr:uid="{00000000-0005-0000-0000-000020BC0000}"/>
    <cellStyle name="Calculation 9 2 29" xfId="48192" xr:uid="{00000000-0005-0000-0000-000021BC0000}"/>
    <cellStyle name="Calculation 9 2 29 2" xfId="48193" xr:uid="{00000000-0005-0000-0000-000022BC0000}"/>
    <cellStyle name="Calculation 9 2 29 3" xfId="48194" xr:uid="{00000000-0005-0000-0000-000023BC0000}"/>
    <cellStyle name="Calculation 9 2 29 4" xfId="48195" xr:uid="{00000000-0005-0000-0000-000024BC0000}"/>
    <cellStyle name="Calculation 9 2 29 5" xfId="48196" xr:uid="{00000000-0005-0000-0000-000025BC0000}"/>
    <cellStyle name="Calculation 9 2 29 6" xfId="48197" xr:uid="{00000000-0005-0000-0000-000026BC0000}"/>
    <cellStyle name="Calculation 9 2 3" xfId="48198" xr:uid="{00000000-0005-0000-0000-000027BC0000}"/>
    <cellStyle name="Calculation 9 2 3 10" xfId="48199" xr:uid="{00000000-0005-0000-0000-000028BC0000}"/>
    <cellStyle name="Calculation 9 2 3 2" xfId="48200" xr:uid="{00000000-0005-0000-0000-000029BC0000}"/>
    <cellStyle name="Calculation 9 2 3 2 2" xfId="48201" xr:uid="{00000000-0005-0000-0000-00002ABC0000}"/>
    <cellStyle name="Calculation 9 2 3 2 3" xfId="48202" xr:uid="{00000000-0005-0000-0000-00002BBC0000}"/>
    <cellStyle name="Calculation 9 2 3 2 4" xfId="48203" xr:uid="{00000000-0005-0000-0000-00002CBC0000}"/>
    <cellStyle name="Calculation 9 2 3 2 5" xfId="48204" xr:uid="{00000000-0005-0000-0000-00002DBC0000}"/>
    <cellStyle name="Calculation 9 2 3 2 6" xfId="48205" xr:uid="{00000000-0005-0000-0000-00002EBC0000}"/>
    <cellStyle name="Calculation 9 2 3 3" xfId="48206" xr:uid="{00000000-0005-0000-0000-00002FBC0000}"/>
    <cellStyle name="Calculation 9 2 3 3 2" xfId="48207" xr:uid="{00000000-0005-0000-0000-000030BC0000}"/>
    <cellStyle name="Calculation 9 2 3 3 3" xfId="48208" xr:uid="{00000000-0005-0000-0000-000031BC0000}"/>
    <cellStyle name="Calculation 9 2 3 3 4" xfId="48209" xr:uid="{00000000-0005-0000-0000-000032BC0000}"/>
    <cellStyle name="Calculation 9 2 3 3 5" xfId="48210" xr:uid="{00000000-0005-0000-0000-000033BC0000}"/>
    <cellStyle name="Calculation 9 2 3 3 6" xfId="48211" xr:uid="{00000000-0005-0000-0000-000034BC0000}"/>
    <cellStyle name="Calculation 9 2 3 4" xfId="48212" xr:uid="{00000000-0005-0000-0000-000035BC0000}"/>
    <cellStyle name="Calculation 9 2 3 4 2" xfId="48213" xr:uid="{00000000-0005-0000-0000-000036BC0000}"/>
    <cellStyle name="Calculation 9 2 3 4 3" xfId="48214" xr:uid="{00000000-0005-0000-0000-000037BC0000}"/>
    <cellStyle name="Calculation 9 2 3 4 4" xfId="48215" xr:uid="{00000000-0005-0000-0000-000038BC0000}"/>
    <cellStyle name="Calculation 9 2 3 4 5" xfId="48216" xr:uid="{00000000-0005-0000-0000-000039BC0000}"/>
    <cellStyle name="Calculation 9 2 3 4 6" xfId="48217" xr:uid="{00000000-0005-0000-0000-00003ABC0000}"/>
    <cellStyle name="Calculation 9 2 3 5" xfId="48218" xr:uid="{00000000-0005-0000-0000-00003BBC0000}"/>
    <cellStyle name="Calculation 9 2 3 5 2" xfId="48219" xr:uid="{00000000-0005-0000-0000-00003CBC0000}"/>
    <cellStyle name="Calculation 9 2 3 5 3" xfId="48220" xr:uid="{00000000-0005-0000-0000-00003DBC0000}"/>
    <cellStyle name="Calculation 9 2 3 5 4" xfId="48221" xr:uid="{00000000-0005-0000-0000-00003EBC0000}"/>
    <cellStyle name="Calculation 9 2 3 5 5" xfId="48222" xr:uid="{00000000-0005-0000-0000-00003FBC0000}"/>
    <cellStyle name="Calculation 9 2 3 5 6" xfId="48223" xr:uid="{00000000-0005-0000-0000-000040BC0000}"/>
    <cellStyle name="Calculation 9 2 3 6" xfId="48224" xr:uid="{00000000-0005-0000-0000-000041BC0000}"/>
    <cellStyle name="Calculation 9 2 3 6 2" xfId="48225" xr:uid="{00000000-0005-0000-0000-000042BC0000}"/>
    <cellStyle name="Calculation 9 2 3 6 3" xfId="48226" xr:uid="{00000000-0005-0000-0000-000043BC0000}"/>
    <cellStyle name="Calculation 9 2 3 6 4" xfId="48227" xr:uid="{00000000-0005-0000-0000-000044BC0000}"/>
    <cellStyle name="Calculation 9 2 3 6 5" xfId="48228" xr:uid="{00000000-0005-0000-0000-000045BC0000}"/>
    <cellStyle name="Calculation 9 2 3 6 6" xfId="48229" xr:uid="{00000000-0005-0000-0000-000046BC0000}"/>
    <cellStyle name="Calculation 9 2 3 7" xfId="48230" xr:uid="{00000000-0005-0000-0000-000047BC0000}"/>
    <cellStyle name="Calculation 9 2 3 7 2" xfId="48231" xr:uid="{00000000-0005-0000-0000-000048BC0000}"/>
    <cellStyle name="Calculation 9 2 3 7 3" xfId="48232" xr:uid="{00000000-0005-0000-0000-000049BC0000}"/>
    <cellStyle name="Calculation 9 2 3 7 4" xfId="48233" xr:uid="{00000000-0005-0000-0000-00004ABC0000}"/>
    <cellStyle name="Calculation 9 2 3 7 5" xfId="48234" xr:uid="{00000000-0005-0000-0000-00004BBC0000}"/>
    <cellStyle name="Calculation 9 2 3 7 6" xfId="48235" xr:uid="{00000000-0005-0000-0000-00004CBC0000}"/>
    <cellStyle name="Calculation 9 2 3 8" xfId="48236" xr:uid="{00000000-0005-0000-0000-00004DBC0000}"/>
    <cellStyle name="Calculation 9 2 3 9" xfId="48237" xr:uid="{00000000-0005-0000-0000-00004EBC0000}"/>
    <cellStyle name="Calculation 9 2 30" xfId="48238" xr:uid="{00000000-0005-0000-0000-00004FBC0000}"/>
    <cellStyle name="Calculation 9 2 30 2" xfId="48239" xr:uid="{00000000-0005-0000-0000-000050BC0000}"/>
    <cellStyle name="Calculation 9 2 30 3" xfId="48240" xr:uid="{00000000-0005-0000-0000-000051BC0000}"/>
    <cellStyle name="Calculation 9 2 30 4" xfId="48241" xr:uid="{00000000-0005-0000-0000-000052BC0000}"/>
    <cellStyle name="Calculation 9 2 30 5" xfId="48242" xr:uid="{00000000-0005-0000-0000-000053BC0000}"/>
    <cellStyle name="Calculation 9 2 30 6" xfId="48243" xr:uid="{00000000-0005-0000-0000-000054BC0000}"/>
    <cellStyle name="Calculation 9 2 31" xfId="48244" xr:uid="{00000000-0005-0000-0000-000055BC0000}"/>
    <cellStyle name="Calculation 9 2 31 2" xfId="48245" xr:uid="{00000000-0005-0000-0000-000056BC0000}"/>
    <cellStyle name="Calculation 9 2 31 3" xfId="48246" xr:uid="{00000000-0005-0000-0000-000057BC0000}"/>
    <cellStyle name="Calculation 9 2 31 4" xfId="48247" xr:uid="{00000000-0005-0000-0000-000058BC0000}"/>
    <cellStyle name="Calculation 9 2 31 5" xfId="48248" xr:uid="{00000000-0005-0000-0000-000059BC0000}"/>
    <cellStyle name="Calculation 9 2 31 6" xfId="48249" xr:uid="{00000000-0005-0000-0000-00005ABC0000}"/>
    <cellStyle name="Calculation 9 2 32" xfId="48250" xr:uid="{00000000-0005-0000-0000-00005BBC0000}"/>
    <cellStyle name="Calculation 9 2 32 2" xfId="48251" xr:uid="{00000000-0005-0000-0000-00005CBC0000}"/>
    <cellStyle name="Calculation 9 2 32 3" xfId="48252" xr:uid="{00000000-0005-0000-0000-00005DBC0000}"/>
    <cellStyle name="Calculation 9 2 32 4" xfId="48253" xr:uid="{00000000-0005-0000-0000-00005EBC0000}"/>
    <cellStyle name="Calculation 9 2 32 5" xfId="48254" xr:uid="{00000000-0005-0000-0000-00005FBC0000}"/>
    <cellStyle name="Calculation 9 2 32 6" xfId="48255" xr:uid="{00000000-0005-0000-0000-000060BC0000}"/>
    <cellStyle name="Calculation 9 2 33" xfId="48256" xr:uid="{00000000-0005-0000-0000-000061BC0000}"/>
    <cellStyle name="Calculation 9 2 34" xfId="48257" xr:uid="{00000000-0005-0000-0000-000062BC0000}"/>
    <cellStyle name="Calculation 9 2 35" xfId="48258" xr:uid="{00000000-0005-0000-0000-000063BC0000}"/>
    <cellStyle name="Calculation 9 2 4" xfId="48259" xr:uid="{00000000-0005-0000-0000-000064BC0000}"/>
    <cellStyle name="Calculation 9 2 4 10" xfId="48260" xr:uid="{00000000-0005-0000-0000-000065BC0000}"/>
    <cellStyle name="Calculation 9 2 4 2" xfId="48261" xr:uid="{00000000-0005-0000-0000-000066BC0000}"/>
    <cellStyle name="Calculation 9 2 4 2 2" xfId="48262" xr:uid="{00000000-0005-0000-0000-000067BC0000}"/>
    <cellStyle name="Calculation 9 2 4 2 3" xfId="48263" xr:uid="{00000000-0005-0000-0000-000068BC0000}"/>
    <cellStyle name="Calculation 9 2 4 2 4" xfId="48264" xr:uid="{00000000-0005-0000-0000-000069BC0000}"/>
    <cellStyle name="Calculation 9 2 4 2 5" xfId="48265" xr:uid="{00000000-0005-0000-0000-00006ABC0000}"/>
    <cellStyle name="Calculation 9 2 4 2 6" xfId="48266" xr:uid="{00000000-0005-0000-0000-00006BBC0000}"/>
    <cellStyle name="Calculation 9 2 4 3" xfId="48267" xr:uid="{00000000-0005-0000-0000-00006CBC0000}"/>
    <cellStyle name="Calculation 9 2 4 3 2" xfId="48268" xr:uid="{00000000-0005-0000-0000-00006DBC0000}"/>
    <cellStyle name="Calculation 9 2 4 3 3" xfId="48269" xr:uid="{00000000-0005-0000-0000-00006EBC0000}"/>
    <cellStyle name="Calculation 9 2 4 3 4" xfId="48270" xr:uid="{00000000-0005-0000-0000-00006FBC0000}"/>
    <cellStyle name="Calculation 9 2 4 3 5" xfId="48271" xr:uid="{00000000-0005-0000-0000-000070BC0000}"/>
    <cellStyle name="Calculation 9 2 4 3 6" xfId="48272" xr:uid="{00000000-0005-0000-0000-000071BC0000}"/>
    <cellStyle name="Calculation 9 2 4 4" xfId="48273" xr:uid="{00000000-0005-0000-0000-000072BC0000}"/>
    <cellStyle name="Calculation 9 2 4 4 2" xfId="48274" xr:uid="{00000000-0005-0000-0000-000073BC0000}"/>
    <cellStyle name="Calculation 9 2 4 4 3" xfId="48275" xr:uid="{00000000-0005-0000-0000-000074BC0000}"/>
    <cellStyle name="Calculation 9 2 4 4 4" xfId="48276" xr:uid="{00000000-0005-0000-0000-000075BC0000}"/>
    <cellStyle name="Calculation 9 2 4 4 5" xfId="48277" xr:uid="{00000000-0005-0000-0000-000076BC0000}"/>
    <cellStyle name="Calculation 9 2 4 4 6" xfId="48278" xr:uid="{00000000-0005-0000-0000-000077BC0000}"/>
    <cellStyle name="Calculation 9 2 4 5" xfId="48279" xr:uid="{00000000-0005-0000-0000-000078BC0000}"/>
    <cellStyle name="Calculation 9 2 4 5 2" xfId="48280" xr:uid="{00000000-0005-0000-0000-000079BC0000}"/>
    <cellStyle name="Calculation 9 2 4 5 3" xfId="48281" xr:uid="{00000000-0005-0000-0000-00007ABC0000}"/>
    <cellStyle name="Calculation 9 2 4 5 4" xfId="48282" xr:uid="{00000000-0005-0000-0000-00007BBC0000}"/>
    <cellStyle name="Calculation 9 2 4 5 5" xfId="48283" xr:uid="{00000000-0005-0000-0000-00007CBC0000}"/>
    <cellStyle name="Calculation 9 2 4 5 6" xfId="48284" xr:uid="{00000000-0005-0000-0000-00007DBC0000}"/>
    <cellStyle name="Calculation 9 2 4 6" xfId="48285" xr:uid="{00000000-0005-0000-0000-00007EBC0000}"/>
    <cellStyle name="Calculation 9 2 4 6 2" xfId="48286" xr:uid="{00000000-0005-0000-0000-00007FBC0000}"/>
    <cellStyle name="Calculation 9 2 4 6 3" xfId="48287" xr:uid="{00000000-0005-0000-0000-000080BC0000}"/>
    <cellStyle name="Calculation 9 2 4 6 4" xfId="48288" xr:uid="{00000000-0005-0000-0000-000081BC0000}"/>
    <cellStyle name="Calculation 9 2 4 6 5" xfId="48289" xr:uid="{00000000-0005-0000-0000-000082BC0000}"/>
    <cellStyle name="Calculation 9 2 4 6 6" xfId="48290" xr:uid="{00000000-0005-0000-0000-000083BC0000}"/>
    <cellStyle name="Calculation 9 2 4 7" xfId="48291" xr:uid="{00000000-0005-0000-0000-000084BC0000}"/>
    <cellStyle name="Calculation 9 2 4 7 2" xfId="48292" xr:uid="{00000000-0005-0000-0000-000085BC0000}"/>
    <cellStyle name="Calculation 9 2 4 7 3" xfId="48293" xr:uid="{00000000-0005-0000-0000-000086BC0000}"/>
    <cellStyle name="Calculation 9 2 4 7 4" xfId="48294" xr:uid="{00000000-0005-0000-0000-000087BC0000}"/>
    <cellStyle name="Calculation 9 2 4 7 5" xfId="48295" xr:uid="{00000000-0005-0000-0000-000088BC0000}"/>
    <cellStyle name="Calculation 9 2 4 7 6" xfId="48296" xr:uid="{00000000-0005-0000-0000-000089BC0000}"/>
    <cellStyle name="Calculation 9 2 4 8" xfId="48297" xr:uid="{00000000-0005-0000-0000-00008ABC0000}"/>
    <cellStyle name="Calculation 9 2 4 9" xfId="48298" xr:uid="{00000000-0005-0000-0000-00008BBC0000}"/>
    <cellStyle name="Calculation 9 2 5" xfId="48299" xr:uid="{00000000-0005-0000-0000-00008CBC0000}"/>
    <cellStyle name="Calculation 9 2 5 10" xfId="48300" xr:uid="{00000000-0005-0000-0000-00008DBC0000}"/>
    <cellStyle name="Calculation 9 2 5 2" xfId="48301" xr:uid="{00000000-0005-0000-0000-00008EBC0000}"/>
    <cellStyle name="Calculation 9 2 5 2 2" xfId="48302" xr:uid="{00000000-0005-0000-0000-00008FBC0000}"/>
    <cellStyle name="Calculation 9 2 5 2 3" xfId="48303" xr:uid="{00000000-0005-0000-0000-000090BC0000}"/>
    <cellStyle name="Calculation 9 2 5 2 4" xfId="48304" xr:uid="{00000000-0005-0000-0000-000091BC0000}"/>
    <cellStyle name="Calculation 9 2 5 2 5" xfId="48305" xr:uid="{00000000-0005-0000-0000-000092BC0000}"/>
    <cellStyle name="Calculation 9 2 5 2 6" xfId="48306" xr:uid="{00000000-0005-0000-0000-000093BC0000}"/>
    <cellStyle name="Calculation 9 2 5 3" xfId="48307" xr:uid="{00000000-0005-0000-0000-000094BC0000}"/>
    <cellStyle name="Calculation 9 2 5 3 2" xfId="48308" xr:uid="{00000000-0005-0000-0000-000095BC0000}"/>
    <cellStyle name="Calculation 9 2 5 3 3" xfId="48309" xr:uid="{00000000-0005-0000-0000-000096BC0000}"/>
    <cellStyle name="Calculation 9 2 5 3 4" xfId="48310" xr:uid="{00000000-0005-0000-0000-000097BC0000}"/>
    <cellStyle name="Calculation 9 2 5 3 5" xfId="48311" xr:uid="{00000000-0005-0000-0000-000098BC0000}"/>
    <cellStyle name="Calculation 9 2 5 3 6" xfId="48312" xr:uid="{00000000-0005-0000-0000-000099BC0000}"/>
    <cellStyle name="Calculation 9 2 5 4" xfId="48313" xr:uid="{00000000-0005-0000-0000-00009ABC0000}"/>
    <cellStyle name="Calculation 9 2 5 4 2" xfId="48314" xr:uid="{00000000-0005-0000-0000-00009BBC0000}"/>
    <cellStyle name="Calculation 9 2 5 4 3" xfId="48315" xr:uid="{00000000-0005-0000-0000-00009CBC0000}"/>
    <cellStyle name="Calculation 9 2 5 4 4" xfId="48316" xr:uid="{00000000-0005-0000-0000-00009DBC0000}"/>
    <cellStyle name="Calculation 9 2 5 4 5" xfId="48317" xr:uid="{00000000-0005-0000-0000-00009EBC0000}"/>
    <cellStyle name="Calculation 9 2 5 4 6" xfId="48318" xr:uid="{00000000-0005-0000-0000-00009FBC0000}"/>
    <cellStyle name="Calculation 9 2 5 5" xfId="48319" xr:uid="{00000000-0005-0000-0000-0000A0BC0000}"/>
    <cellStyle name="Calculation 9 2 5 5 2" xfId="48320" xr:uid="{00000000-0005-0000-0000-0000A1BC0000}"/>
    <cellStyle name="Calculation 9 2 5 5 3" xfId="48321" xr:uid="{00000000-0005-0000-0000-0000A2BC0000}"/>
    <cellStyle name="Calculation 9 2 5 5 4" xfId="48322" xr:uid="{00000000-0005-0000-0000-0000A3BC0000}"/>
    <cellStyle name="Calculation 9 2 5 5 5" xfId="48323" xr:uid="{00000000-0005-0000-0000-0000A4BC0000}"/>
    <cellStyle name="Calculation 9 2 5 5 6" xfId="48324" xr:uid="{00000000-0005-0000-0000-0000A5BC0000}"/>
    <cellStyle name="Calculation 9 2 5 6" xfId="48325" xr:uid="{00000000-0005-0000-0000-0000A6BC0000}"/>
    <cellStyle name="Calculation 9 2 5 6 2" xfId="48326" xr:uid="{00000000-0005-0000-0000-0000A7BC0000}"/>
    <cellStyle name="Calculation 9 2 5 6 3" xfId="48327" xr:uid="{00000000-0005-0000-0000-0000A8BC0000}"/>
    <cellStyle name="Calculation 9 2 5 6 4" xfId="48328" xr:uid="{00000000-0005-0000-0000-0000A9BC0000}"/>
    <cellStyle name="Calculation 9 2 5 6 5" xfId="48329" xr:uid="{00000000-0005-0000-0000-0000AABC0000}"/>
    <cellStyle name="Calculation 9 2 5 6 6" xfId="48330" xr:uid="{00000000-0005-0000-0000-0000ABBC0000}"/>
    <cellStyle name="Calculation 9 2 5 7" xfId="48331" xr:uid="{00000000-0005-0000-0000-0000ACBC0000}"/>
    <cellStyle name="Calculation 9 2 5 7 2" xfId="48332" xr:uid="{00000000-0005-0000-0000-0000ADBC0000}"/>
    <cellStyle name="Calculation 9 2 5 7 3" xfId="48333" xr:uid="{00000000-0005-0000-0000-0000AEBC0000}"/>
    <cellStyle name="Calculation 9 2 5 7 4" xfId="48334" xr:uid="{00000000-0005-0000-0000-0000AFBC0000}"/>
    <cellStyle name="Calculation 9 2 5 7 5" xfId="48335" xr:uid="{00000000-0005-0000-0000-0000B0BC0000}"/>
    <cellStyle name="Calculation 9 2 5 7 6" xfId="48336" xr:uid="{00000000-0005-0000-0000-0000B1BC0000}"/>
    <cellStyle name="Calculation 9 2 5 8" xfId="48337" xr:uid="{00000000-0005-0000-0000-0000B2BC0000}"/>
    <cellStyle name="Calculation 9 2 5 9" xfId="48338" xr:uid="{00000000-0005-0000-0000-0000B3BC0000}"/>
    <cellStyle name="Calculation 9 2 6" xfId="48339" xr:uid="{00000000-0005-0000-0000-0000B4BC0000}"/>
    <cellStyle name="Calculation 9 2 6 10" xfId="48340" xr:uid="{00000000-0005-0000-0000-0000B5BC0000}"/>
    <cellStyle name="Calculation 9 2 6 2" xfId="48341" xr:uid="{00000000-0005-0000-0000-0000B6BC0000}"/>
    <cellStyle name="Calculation 9 2 6 2 2" xfId="48342" xr:uid="{00000000-0005-0000-0000-0000B7BC0000}"/>
    <cellStyle name="Calculation 9 2 6 2 3" xfId="48343" xr:uid="{00000000-0005-0000-0000-0000B8BC0000}"/>
    <cellStyle name="Calculation 9 2 6 2 4" xfId="48344" xr:uid="{00000000-0005-0000-0000-0000B9BC0000}"/>
    <cellStyle name="Calculation 9 2 6 2 5" xfId="48345" xr:uid="{00000000-0005-0000-0000-0000BABC0000}"/>
    <cellStyle name="Calculation 9 2 6 2 6" xfId="48346" xr:uid="{00000000-0005-0000-0000-0000BBBC0000}"/>
    <cellStyle name="Calculation 9 2 6 3" xfId="48347" xr:uid="{00000000-0005-0000-0000-0000BCBC0000}"/>
    <cellStyle name="Calculation 9 2 6 3 2" xfId="48348" xr:uid="{00000000-0005-0000-0000-0000BDBC0000}"/>
    <cellStyle name="Calculation 9 2 6 3 3" xfId="48349" xr:uid="{00000000-0005-0000-0000-0000BEBC0000}"/>
    <cellStyle name="Calculation 9 2 6 3 4" xfId="48350" xr:uid="{00000000-0005-0000-0000-0000BFBC0000}"/>
    <cellStyle name="Calculation 9 2 6 3 5" xfId="48351" xr:uid="{00000000-0005-0000-0000-0000C0BC0000}"/>
    <cellStyle name="Calculation 9 2 6 3 6" xfId="48352" xr:uid="{00000000-0005-0000-0000-0000C1BC0000}"/>
    <cellStyle name="Calculation 9 2 6 4" xfId="48353" xr:uid="{00000000-0005-0000-0000-0000C2BC0000}"/>
    <cellStyle name="Calculation 9 2 6 4 2" xfId="48354" xr:uid="{00000000-0005-0000-0000-0000C3BC0000}"/>
    <cellStyle name="Calculation 9 2 6 4 3" xfId="48355" xr:uid="{00000000-0005-0000-0000-0000C4BC0000}"/>
    <cellStyle name="Calculation 9 2 6 4 4" xfId="48356" xr:uid="{00000000-0005-0000-0000-0000C5BC0000}"/>
    <cellStyle name="Calculation 9 2 6 4 5" xfId="48357" xr:uid="{00000000-0005-0000-0000-0000C6BC0000}"/>
    <cellStyle name="Calculation 9 2 6 4 6" xfId="48358" xr:uid="{00000000-0005-0000-0000-0000C7BC0000}"/>
    <cellStyle name="Calculation 9 2 6 5" xfId="48359" xr:uid="{00000000-0005-0000-0000-0000C8BC0000}"/>
    <cellStyle name="Calculation 9 2 6 5 2" xfId="48360" xr:uid="{00000000-0005-0000-0000-0000C9BC0000}"/>
    <cellStyle name="Calculation 9 2 6 5 3" xfId="48361" xr:uid="{00000000-0005-0000-0000-0000CABC0000}"/>
    <cellStyle name="Calculation 9 2 6 5 4" xfId="48362" xr:uid="{00000000-0005-0000-0000-0000CBBC0000}"/>
    <cellStyle name="Calculation 9 2 6 5 5" xfId="48363" xr:uid="{00000000-0005-0000-0000-0000CCBC0000}"/>
    <cellStyle name="Calculation 9 2 6 5 6" xfId="48364" xr:uid="{00000000-0005-0000-0000-0000CDBC0000}"/>
    <cellStyle name="Calculation 9 2 6 6" xfId="48365" xr:uid="{00000000-0005-0000-0000-0000CEBC0000}"/>
    <cellStyle name="Calculation 9 2 6 6 2" xfId="48366" xr:uid="{00000000-0005-0000-0000-0000CFBC0000}"/>
    <cellStyle name="Calculation 9 2 6 6 3" xfId="48367" xr:uid="{00000000-0005-0000-0000-0000D0BC0000}"/>
    <cellStyle name="Calculation 9 2 6 6 4" xfId="48368" xr:uid="{00000000-0005-0000-0000-0000D1BC0000}"/>
    <cellStyle name="Calculation 9 2 6 6 5" xfId="48369" xr:uid="{00000000-0005-0000-0000-0000D2BC0000}"/>
    <cellStyle name="Calculation 9 2 6 6 6" xfId="48370" xr:uid="{00000000-0005-0000-0000-0000D3BC0000}"/>
    <cellStyle name="Calculation 9 2 6 7" xfId="48371" xr:uid="{00000000-0005-0000-0000-0000D4BC0000}"/>
    <cellStyle name="Calculation 9 2 6 7 2" xfId="48372" xr:uid="{00000000-0005-0000-0000-0000D5BC0000}"/>
    <cellStyle name="Calculation 9 2 6 7 3" xfId="48373" xr:uid="{00000000-0005-0000-0000-0000D6BC0000}"/>
    <cellStyle name="Calculation 9 2 6 7 4" xfId="48374" xr:uid="{00000000-0005-0000-0000-0000D7BC0000}"/>
    <cellStyle name="Calculation 9 2 6 7 5" xfId="48375" xr:uid="{00000000-0005-0000-0000-0000D8BC0000}"/>
    <cellStyle name="Calculation 9 2 6 7 6" xfId="48376" xr:uid="{00000000-0005-0000-0000-0000D9BC0000}"/>
    <cellStyle name="Calculation 9 2 6 8" xfId="48377" xr:uid="{00000000-0005-0000-0000-0000DABC0000}"/>
    <cellStyle name="Calculation 9 2 6 9" xfId="48378" xr:uid="{00000000-0005-0000-0000-0000DBBC0000}"/>
    <cellStyle name="Calculation 9 2 7" xfId="48379" xr:uid="{00000000-0005-0000-0000-0000DCBC0000}"/>
    <cellStyle name="Calculation 9 2 7 10" xfId="48380" xr:uid="{00000000-0005-0000-0000-0000DDBC0000}"/>
    <cellStyle name="Calculation 9 2 7 2" xfId="48381" xr:uid="{00000000-0005-0000-0000-0000DEBC0000}"/>
    <cellStyle name="Calculation 9 2 7 2 2" xfId="48382" xr:uid="{00000000-0005-0000-0000-0000DFBC0000}"/>
    <cellStyle name="Calculation 9 2 7 2 3" xfId="48383" xr:uid="{00000000-0005-0000-0000-0000E0BC0000}"/>
    <cellStyle name="Calculation 9 2 7 2 4" xfId="48384" xr:uid="{00000000-0005-0000-0000-0000E1BC0000}"/>
    <cellStyle name="Calculation 9 2 7 2 5" xfId="48385" xr:uid="{00000000-0005-0000-0000-0000E2BC0000}"/>
    <cellStyle name="Calculation 9 2 7 2 6" xfId="48386" xr:uid="{00000000-0005-0000-0000-0000E3BC0000}"/>
    <cellStyle name="Calculation 9 2 7 3" xfId="48387" xr:uid="{00000000-0005-0000-0000-0000E4BC0000}"/>
    <cellStyle name="Calculation 9 2 7 3 2" xfId="48388" xr:uid="{00000000-0005-0000-0000-0000E5BC0000}"/>
    <cellStyle name="Calculation 9 2 7 3 3" xfId="48389" xr:uid="{00000000-0005-0000-0000-0000E6BC0000}"/>
    <cellStyle name="Calculation 9 2 7 3 4" xfId="48390" xr:uid="{00000000-0005-0000-0000-0000E7BC0000}"/>
    <cellStyle name="Calculation 9 2 7 3 5" xfId="48391" xr:uid="{00000000-0005-0000-0000-0000E8BC0000}"/>
    <cellStyle name="Calculation 9 2 7 3 6" xfId="48392" xr:uid="{00000000-0005-0000-0000-0000E9BC0000}"/>
    <cellStyle name="Calculation 9 2 7 4" xfId="48393" xr:uid="{00000000-0005-0000-0000-0000EABC0000}"/>
    <cellStyle name="Calculation 9 2 7 4 2" xfId="48394" xr:uid="{00000000-0005-0000-0000-0000EBBC0000}"/>
    <cellStyle name="Calculation 9 2 7 4 3" xfId="48395" xr:uid="{00000000-0005-0000-0000-0000ECBC0000}"/>
    <cellStyle name="Calculation 9 2 7 4 4" xfId="48396" xr:uid="{00000000-0005-0000-0000-0000EDBC0000}"/>
    <cellStyle name="Calculation 9 2 7 4 5" xfId="48397" xr:uid="{00000000-0005-0000-0000-0000EEBC0000}"/>
    <cellStyle name="Calculation 9 2 7 4 6" xfId="48398" xr:uid="{00000000-0005-0000-0000-0000EFBC0000}"/>
    <cellStyle name="Calculation 9 2 7 5" xfId="48399" xr:uid="{00000000-0005-0000-0000-0000F0BC0000}"/>
    <cellStyle name="Calculation 9 2 7 5 2" xfId="48400" xr:uid="{00000000-0005-0000-0000-0000F1BC0000}"/>
    <cellStyle name="Calculation 9 2 7 5 3" xfId="48401" xr:uid="{00000000-0005-0000-0000-0000F2BC0000}"/>
    <cellStyle name="Calculation 9 2 7 5 4" xfId="48402" xr:uid="{00000000-0005-0000-0000-0000F3BC0000}"/>
    <cellStyle name="Calculation 9 2 7 5 5" xfId="48403" xr:uid="{00000000-0005-0000-0000-0000F4BC0000}"/>
    <cellStyle name="Calculation 9 2 7 5 6" xfId="48404" xr:uid="{00000000-0005-0000-0000-0000F5BC0000}"/>
    <cellStyle name="Calculation 9 2 7 6" xfId="48405" xr:uid="{00000000-0005-0000-0000-0000F6BC0000}"/>
    <cellStyle name="Calculation 9 2 7 6 2" xfId="48406" xr:uid="{00000000-0005-0000-0000-0000F7BC0000}"/>
    <cellStyle name="Calculation 9 2 7 6 3" xfId="48407" xr:uid="{00000000-0005-0000-0000-0000F8BC0000}"/>
    <cellStyle name="Calculation 9 2 7 6 4" xfId="48408" xr:uid="{00000000-0005-0000-0000-0000F9BC0000}"/>
    <cellStyle name="Calculation 9 2 7 6 5" xfId="48409" xr:uid="{00000000-0005-0000-0000-0000FABC0000}"/>
    <cellStyle name="Calculation 9 2 7 6 6" xfId="48410" xr:uid="{00000000-0005-0000-0000-0000FBBC0000}"/>
    <cellStyle name="Calculation 9 2 7 7" xfId="48411" xr:uid="{00000000-0005-0000-0000-0000FCBC0000}"/>
    <cellStyle name="Calculation 9 2 7 7 2" xfId="48412" xr:uid="{00000000-0005-0000-0000-0000FDBC0000}"/>
    <cellStyle name="Calculation 9 2 7 7 3" xfId="48413" xr:uid="{00000000-0005-0000-0000-0000FEBC0000}"/>
    <cellStyle name="Calculation 9 2 7 7 4" xfId="48414" xr:uid="{00000000-0005-0000-0000-0000FFBC0000}"/>
    <cellStyle name="Calculation 9 2 7 7 5" xfId="48415" xr:uid="{00000000-0005-0000-0000-000000BD0000}"/>
    <cellStyle name="Calculation 9 2 7 7 6" xfId="48416" xr:uid="{00000000-0005-0000-0000-000001BD0000}"/>
    <cellStyle name="Calculation 9 2 7 8" xfId="48417" xr:uid="{00000000-0005-0000-0000-000002BD0000}"/>
    <cellStyle name="Calculation 9 2 7 9" xfId="48418" xr:uid="{00000000-0005-0000-0000-000003BD0000}"/>
    <cellStyle name="Calculation 9 2 8" xfId="48419" xr:uid="{00000000-0005-0000-0000-000004BD0000}"/>
    <cellStyle name="Calculation 9 2 8 10" xfId="48420" xr:uid="{00000000-0005-0000-0000-000005BD0000}"/>
    <cellStyle name="Calculation 9 2 8 2" xfId="48421" xr:uid="{00000000-0005-0000-0000-000006BD0000}"/>
    <cellStyle name="Calculation 9 2 8 2 2" xfId="48422" xr:uid="{00000000-0005-0000-0000-000007BD0000}"/>
    <cellStyle name="Calculation 9 2 8 2 3" xfId="48423" xr:uid="{00000000-0005-0000-0000-000008BD0000}"/>
    <cellStyle name="Calculation 9 2 8 2 4" xfId="48424" xr:uid="{00000000-0005-0000-0000-000009BD0000}"/>
    <cellStyle name="Calculation 9 2 8 2 5" xfId="48425" xr:uid="{00000000-0005-0000-0000-00000ABD0000}"/>
    <cellStyle name="Calculation 9 2 8 2 6" xfId="48426" xr:uid="{00000000-0005-0000-0000-00000BBD0000}"/>
    <cellStyle name="Calculation 9 2 8 3" xfId="48427" xr:uid="{00000000-0005-0000-0000-00000CBD0000}"/>
    <cellStyle name="Calculation 9 2 8 3 2" xfId="48428" xr:uid="{00000000-0005-0000-0000-00000DBD0000}"/>
    <cellStyle name="Calculation 9 2 8 3 3" xfId="48429" xr:uid="{00000000-0005-0000-0000-00000EBD0000}"/>
    <cellStyle name="Calculation 9 2 8 3 4" xfId="48430" xr:uid="{00000000-0005-0000-0000-00000FBD0000}"/>
    <cellStyle name="Calculation 9 2 8 3 5" xfId="48431" xr:uid="{00000000-0005-0000-0000-000010BD0000}"/>
    <cellStyle name="Calculation 9 2 8 3 6" xfId="48432" xr:uid="{00000000-0005-0000-0000-000011BD0000}"/>
    <cellStyle name="Calculation 9 2 8 4" xfId="48433" xr:uid="{00000000-0005-0000-0000-000012BD0000}"/>
    <cellStyle name="Calculation 9 2 8 4 2" xfId="48434" xr:uid="{00000000-0005-0000-0000-000013BD0000}"/>
    <cellStyle name="Calculation 9 2 8 4 3" xfId="48435" xr:uid="{00000000-0005-0000-0000-000014BD0000}"/>
    <cellStyle name="Calculation 9 2 8 4 4" xfId="48436" xr:uid="{00000000-0005-0000-0000-000015BD0000}"/>
    <cellStyle name="Calculation 9 2 8 4 5" xfId="48437" xr:uid="{00000000-0005-0000-0000-000016BD0000}"/>
    <cellStyle name="Calculation 9 2 8 4 6" xfId="48438" xr:uid="{00000000-0005-0000-0000-000017BD0000}"/>
    <cellStyle name="Calculation 9 2 8 5" xfId="48439" xr:uid="{00000000-0005-0000-0000-000018BD0000}"/>
    <cellStyle name="Calculation 9 2 8 5 2" xfId="48440" xr:uid="{00000000-0005-0000-0000-000019BD0000}"/>
    <cellStyle name="Calculation 9 2 8 5 3" xfId="48441" xr:uid="{00000000-0005-0000-0000-00001ABD0000}"/>
    <cellStyle name="Calculation 9 2 8 5 4" xfId="48442" xr:uid="{00000000-0005-0000-0000-00001BBD0000}"/>
    <cellStyle name="Calculation 9 2 8 5 5" xfId="48443" xr:uid="{00000000-0005-0000-0000-00001CBD0000}"/>
    <cellStyle name="Calculation 9 2 8 5 6" xfId="48444" xr:uid="{00000000-0005-0000-0000-00001DBD0000}"/>
    <cellStyle name="Calculation 9 2 8 6" xfId="48445" xr:uid="{00000000-0005-0000-0000-00001EBD0000}"/>
    <cellStyle name="Calculation 9 2 8 6 2" xfId="48446" xr:uid="{00000000-0005-0000-0000-00001FBD0000}"/>
    <cellStyle name="Calculation 9 2 8 6 3" xfId="48447" xr:uid="{00000000-0005-0000-0000-000020BD0000}"/>
    <cellStyle name="Calculation 9 2 8 6 4" xfId="48448" xr:uid="{00000000-0005-0000-0000-000021BD0000}"/>
    <cellStyle name="Calculation 9 2 8 6 5" xfId="48449" xr:uid="{00000000-0005-0000-0000-000022BD0000}"/>
    <cellStyle name="Calculation 9 2 8 6 6" xfId="48450" xr:uid="{00000000-0005-0000-0000-000023BD0000}"/>
    <cellStyle name="Calculation 9 2 8 7" xfId="48451" xr:uid="{00000000-0005-0000-0000-000024BD0000}"/>
    <cellStyle name="Calculation 9 2 8 7 2" xfId="48452" xr:uid="{00000000-0005-0000-0000-000025BD0000}"/>
    <cellStyle name="Calculation 9 2 8 7 3" xfId="48453" xr:uid="{00000000-0005-0000-0000-000026BD0000}"/>
    <cellStyle name="Calculation 9 2 8 7 4" xfId="48454" xr:uid="{00000000-0005-0000-0000-000027BD0000}"/>
    <cellStyle name="Calculation 9 2 8 7 5" xfId="48455" xr:uid="{00000000-0005-0000-0000-000028BD0000}"/>
    <cellStyle name="Calculation 9 2 8 7 6" xfId="48456" xr:uid="{00000000-0005-0000-0000-000029BD0000}"/>
    <cellStyle name="Calculation 9 2 8 8" xfId="48457" xr:uid="{00000000-0005-0000-0000-00002ABD0000}"/>
    <cellStyle name="Calculation 9 2 8 9" xfId="48458" xr:uid="{00000000-0005-0000-0000-00002BBD0000}"/>
    <cellStyle name="Calculation 9 2 9" xfId="48459" xr:uid="{00000000-0005-0000-0000-00002CBD0000}"/>
    <cellStyle name="Calculation 9 2 9 10" xfId="48460" xr:uid="{00000000-0005-0000-0000-00002DBD0000}"/>
    <cellStyle name="Calculation 9 2 9 2" xfId="48461" xr:uid="{00000000-0005-0000-0000-00002EBD0000}"/>
    <cellStyle name="Calculation 9 2 9 2 2" xfId="48462" xr:uid="{00000000-0005-0000-0000-00002FBD0000}"/>
    <cellStyle name="Calculation 9 2 9 2 3" xfId="48463" xr:uid="{00000000-0005-0000-0000-000030BD0000}"/>
    <cellStyle name="Calculation 9 2 9 2 4" xfId="48464" xr:uid="{00000000-0005-0000-0000-000031BD0000}"/>
    <cellStyle name="Calculation 9 2 9 2 5" xfId="48465" xr:uid="{00000000-0005-0000-0000-000032BD0000}"/>
    <cellStyle name="Calculation 9 2 9 2 6" xfId="48466" xr:uid="{00000000-0005-0000-0000-000033BD0000}"/>
    <cellStyle name="Calculation 9 2 9 3" xfId="48467" xr:uid="{00000000-0005-0000-0000-000034BD0000}"/>
    <cellStyle name="Calculation 9 2 9 3 2" xfId="48468" xr:uid="{00000000-0005-0000-0000-000035BD0000}"/>
    <cellStyle name="Calculation 9 2 9 3 3" xfId="48469" xr:uid="{00000000-0005-0000-0000-000036BD0000}"/>
    <cellStyle name="Calculation 9 2 9 3 4" xfId="48470" xr:uid="{00000000-0005-0000-0000-000037BD0000}"/>
    <cellStyle name="Calculation 9 2 9 3 5" xfId="48471" xr:uid="{00000000-0005-0000-0000-000038BD0000}"/>
    <cellStyle name="Calculation 9 2 9 3 6" xfId="48472" xr:uid="{00000000-0005-0000-0000-000039BD0000}"/>
    <cellStyle name="Calculation 9 2 9 4" xfId="48473" xr:uid="{00000000-0005-0000-0000-00003ABD0000}"/>
    <cellStyle name="Calculation 9 2 9 4 2" xfId="48474" xr:uid="{00000000-0005-0000-0000-00003BBD0000}"/>
    <cellStyle name="Calculation 9 2 9 4 3" xfId="48475" xr:uid="{00000000-0005-0000-0000-00003CBD0000}"/>
    <cellStyle name="Calculation 9 2 9 4 4" xfId="48476" xr:uid="{00000000-0005-0000-0000-00003DBD0000}"/>
    <cellStyle name="Calculation 9 2 9 4 5" xfId="48477" xr:uid="{00000000-0005-0000-0000-00003EBD0000}"/>
    <cellStyle name="Calculation 9 2 9 4 6" xfId="48478" xr:uid="{00000000-0005-0000-0000-00003FBD0000}"/>
    <cellStyle name="Calculation 9 2 9 5" xfId="48479" xr:uid="{00000000-0005-0000-0000-000040BD0000}"/>
    <cellStyle name="Calculation 9 2 9 5 2" xfId="48480" xr:uid="{00000000-0005-0000-0000-000041BD0000}"/>
    <cellStyle name="Calculation 9 2 9 5 3" xfId="48481" xr:uid="{00000000-0005-0000-0000-000042BD0000}"/>
    <cellStyle name="Calculation 9 2 9 5 4" xfId="48482" xr:uid="{00000000-0005-0000-0000-000043BD0000}"/>
    <cellStyle name="Calculation 9 2 9 5 5" xfId="48483" xr:uid="{00000000-0005-0000-0000-000044BD0000}"/>
    <cellStyle name="Calculation 9 2 9 5 6" xfId="48484" xr:uid="{00000000-0005-0000-0000-000045BD0000}"/>
    <cellStyle name="Calculation 9 2 9 6" xfId="48485" xr:uid="{00000000-0005-0000-0000-000046BD0000}"/>
    <cellStyle name="Calculation 9 2 9 6 2" xfId="48486" xr:uid="{00000000-0005-0000-0000-000047BD0000}"/>
    <cellStyle name="Calculation 9 2 9 6 3" xfId="48487" xr:uid="{00000000-0005-0000-0000-000048BD0000}"/>
    <cellStyle name="Calculation 9 2 9 6 4" xfId="48488" xr:uid="{00000000-0005-0000-0000-000049BD0000}"/>
    <cellStyle name="Calculation 9 2 9 6 5" xfId="48489" xr:uid="{00000000-0005-0000-0000-00004ABD0000}"/>
    <cellStyle name="Calculation 9 2 9 6 6" xfId="48490" xr:uid="{00000000-0005-0000-0000-00004BBD0000}"/>
    <cellStyle name="Calculation 9 2 9 7" xfId="48491" xr:uid="{00000000-0005-0000-0000-00004CBD0000}"/>
    <cellStyle name="Calculation 9 2 9 7 2" xfId="48492" xr:uid="{00000000-0005-0000-0000-00004DBD0000}"/>
    <cellStyle name="Calculation 9 2 9 7 3" xfId="48493" xr:uid="{00000000-0005-0000-0000-00004EBD0000}"/>
    <cellStyle name="Calculation 9 2 9 7 4" xfId="48494" xr:uid="{00000000-0005-0000-0000-00004FBD0000}"/>
    <cellStyle name="Calculation 9 2 9 7 5" xfId="48495" xr:uid="{00000000-0005-0000-0000-000050BD0000}"/>
    <cellStyle name="Calculation 9 2 9 7 6" xfId="48496" xr:uid="{00000000-0005-0000-0000-000051BD0000}"/>
    <cellStyle name="Calculation 9 2 9 8" xfId="48497" xr:uid="{00000000-0005-0000-0000-000052BD0000}"/>
    <cellStyle name="Calculation 9 2 9 9" xfId="48498" xr:uid="{00000000-0005-0000-0000-000053BD0000}"/>
    <cellStyle name="Calculation 9 20" xfId="48499" xr:uid="{00000000-0005-0000-0000-000054BD0000}"/>
    <cellStyle name="Calculation 9 20 10" xfId="48500" xr:uid="{00000000-0005-0000-0000-000055BD0000}"/>
    <cellStyle name="Calculation 9 20 2" xfId="48501" xr:uid="{00000000-0005-0000-0000-000056BD0000}"/>
    <cellStyle name="Calculation 9 20 2 2" xfId="48502" xr:uid="{00000000-0005-0000-0000-000057BD0000}"/>
    <cellStyle name="Calculation 9 20 2 3" xfId="48503" xr:uid="{00000000-0005-0000-0000-000058BD0000}"/>
    <cellStyle name="Calculation 9 20 2 4" xfId="48504" xr:uid="{00000000-0005-0000-0000-000059BD0000}"/>
    <cellStyle name="Calculation 9 20 2 5" xfId="48505" xr:uid="{00000000-0005-0000-0000-00005ABD0000}"/>
    <cellStyle name="Calculation 9 20 2 6" xfId="48506" xr:uid="{00000000-0005-0000-0000-00005BBD0000}"/>
    <cellStyle name="Calculation 9 20 3" xfId="48507" xr:uid="{00000000-0005-0000-0000-00005CBD0000}"/>
    <cellStyle name="Calculation 9 20 3 2" xfId="48508" xr:uid="{00000000-0005-0000-0000-00005DBD0000}"/>
    <cellStyle name="Calculation 9 20 3 3" xfId="48509" xr:uid="{00000000-0005-0000-0000-00005EBD0000}"/>
    <cellStyle name="Calculation 9 20 3 4" xfId="48510" xr:uid="{00000000-0005-0000-0000-00005FBD0000}"/>
    <cellStyle name="Calculation 9 20 3 5" xfId="48511" xr:uid="{00000000-0005-0000-0000-000060BD0000}"/>
    <cellStyle name="Calculation 9 20 3 6" xfId="48512" xr:uid="{00000000-0005-0000-0000-000061BD0000}"/>
    <cellStyle name="Calculation 9 20 4" xfId="48513" xr:uid="{00000000-0005-0000-0000-000062BD0000}"/>
    <cellStyle name="Calculation 9 20 4 2" xfId="48514" xr:uid="{00000000-0005-0000-0000-000063BD0000}"/>
    <cellStyle name="Calculation 9 20 4 3" xfId="48515" xr:uid="{00000000-0005-0000-0000-000064BD0000}"/>
    <cellStyle name="Calculation 9 20 4 4" xfId="48516" xr:uid="{00000000-0005-0000-0000-000065BD0000}"/>
    <cellStyle name="Calculation 9 20 4 5" xfId="48517" xr:uid="{00000000-0005-0000-0000-000066BD0000}"/>
    <cellStyle name="Calculation 9 20 4 6" xfId="48518" xr:uid="{00000000-0005-0000-0000-000067BD0000}"/>
    <cellStyle name="Calculation 9 20 5" xfId="48519" xr:uid="{00000000-0005-0000-0000-000068BD0000}"/>
    <cellStyle name="Calculation 9 20 5 2" xfId="48520" xr:uid="{00000000-0005-0000-0000-000069BD0000}"/>
    <cellStyle name="Calculation 9 20 5 3" xfId="48521" xr:uid="{00000000-0005-0000-0000-00006ABD0000}"/>
    <cellStyle name="Calculation 9 20 5 4" xfId="48522" xr:uid="{00000000-0005-0000-0000-00006BBD0000}"/>
    <cellStyle name="Calculation 9 20 5 5" xfId="48523" xr:uid="{00000000-0005-0000-0000-00006CBD0000}"/>
    <cellStyle name="Calculation 9 20 5 6" xfId="48524" xr:uid="{00000000-0005-0000-0000-00006DBD0000}"/>
    <cellStyle name="Calculation 9 20 6" xfId="48525" xr:uid="{00000000-0005-0000-0000-00006EBD0000}"/>
    <cellStyle name="Calculation 9 20 6 2" xfId="48526" xr:uid="{00000000-0005-0000-0000-00006FBD0000}"/>
    <cellStyle name="Calculation 9 20 6 3" xfId="48527" xr:uid="{00000000-0005-0000-0000-000070BD0000}"/>
    <cellStyle name="Calculation 9 20 6 4" xfId="48528" xr:uid="{00000000-0005-0000-0000-000071BD0000}"/>
    <cellStyle name="Calculation 9 20 6 5" xfId="48529" xr:uid="{00000000-0005-0000-0000-000072BD0000}"/>
    <cellStyle name="Calculation 9 20 6 6" xfId="48530" xr:uid="{00000000-0005-0000-0000-000073BD0000}"/>
    <cellStyle name="Calculation 9 20 7" xfId="48531" xr:uid="{00000000-0005-0000-0000-000074BD0000}"/>
    <cellStyle name="Calculation 9 20 7 2" xfId="48532" xr:uid="{00000000-0005-0000-0000-000075BD0000}"/>
    <cellStyle name="Calculation 9 20 7 3" xfId="48533" xr:uid="{00000000-0005-0000-0000-000076BD0000}"/>
    <cellStyle name="Calculation 9 20 7 4" xfId="48534" xr:uid="{00000000-0005-0000-0000-000077BD0000}"/>
    <cellStyle name="Calculation 9 20 7 5" xfId="48535" xr:uid="{00000000-0005-0000-0000-000078BD0000}"/>
    <cellStyle name="Calculation 9 20 7 6" xfId="48536" xr:uid="{00000000-0005-0000-0000-000079BD0000}"/>
    <cellStyle name="Calculation 9 20 8" xfId="48537" xr:uid="{00000000-0005-0000-0000-00007ABD0000}"/>
    <cellStyle name="Calculation 9 20 9" xfId="48538" xr:uid="{00000000-0005-0000-0000-00007BBD0000}"/>
    <cellStyle name="Calculation 9 21" xfId="48539" xr:uid="{00000000-0005-0000-0000-00007CBD0000}"/>
    <cellStyle name="Calculation 9 21 10" xfId="48540" xr:uid="{00000000-0005-0000-0000-00007DBD0000}"/>
    <cellStyle name="Calculation 9 21 2" xfId="48541" xr:uid="{00000000-0005-0000-0000-00007EBD0000}"/>
    <cellStyle name="Calculation 9 21 2 2" xfId="48542" xr:uid="{00000000-0005-0000-0000-00007FBD0000}"/>
    <cellStyle name="Calculation 9 21 2 3" xfId="48543" xr:uid="{00000000-0005-0000-0000-000080BD0000}"/>
    <cellStyle name="Calculation 9 21 2 4" xfId="48544" xr:uid="{00000000-0005-0000-0000-000081BD0000}"/>
    <cellStyle name="Calculation 9 21 2 5" xfId="48545" xr:uid="{00000000-0005-0000-0000-000082BD0000}"/>
    <cellStyle name="Calculation 9 21 2 6" xfId="48546" xr:uid="{00000000-0005-0000-0000-000083BD0000}"/>
    <cellStyle name="Calculation 9 21 3" xfId="48547" xr:uid="{00000000-0005-0000-0000-000084BD0000}"/>
    <cellStyle name="Calculation 9 21 3 2" xfId="48548" xr:uid="{00000000-0005-0000-0000-000085BD0000}"/>
    <cellStyle name="Calculation 9 21 3 3" xfId="48549" xr:uid="{00000000-0005-0000-0000-000086BD0000}"/>
    <cellStyle name="Calculation 9 21 3 4" xfId="48550" xr:uid="{00000000-0005-0000-0000-000087BD0000}"/>
    <cellStyle name="Calculation 9 21 3 5" xfId="48551" xr:uid="{00000000-0005-0000-0000-000088BD0000}"/>
    <cellStyle name="Calculation 9 21 3 6" xfId="48552" xr:uid="{00000000-0005-0000-0000-000089BD0000}"/>
    <cellStyle name="Calculation 9 21 4" xfId="48553" xr:uid="{00000000-0005-0000-0000-00008ABD0000}"/>
    <cellStyle name="Calculation 9 21 4 2" xfId="48554" xr:uid="{00000000-0005-0000-0000-00008BBD0000}"/>
    <cellStyle name="Calculation 9 21 4 3" xfId="48555" xr:uid="{00000000-0005-0000-0000-00008CBD0000}"/>
    <cellStyle name="Calculation 9 21 4 4" xfId="48556" xr:uid="{00000000-0005-0000-0000-00008DBD0000}"/>
    <cellStyle name="Calculation 9 21 4 5" xfId="48557" xr:uid="{00000000-0005-0000-0000-00008EBD0000}"/>
    <cellStyle name="Calculation 9 21 4 6" xfId="48558" xr:uid="{00000000-0005-0000-0000-00008FBD0000}"/>
    <cellStyle name="Calculation 9 21 5" xfId="48559" xr:uid="{00000000-0005-0000-0000-000090BD0000}"/>
    <cellStyle name="Calculation 9 21 5 2" xfId="48560" xr:uid="{00000000-0005-0000-0000-000091BD0000}"/>
    <cellStyle name="Calculation 9 21 5 3" xfId="48561" xr:uid="{00000000-0005-0000-0000-000092BD0000}"/>
    <cellStyle name="Calculation 9 21 5 4" xfId="48562" xr:uid="{00000000-0005-0000-0000-000093BD0000}"/>
    <cellStyle name="Calculation 9 21 5 5" xfId="48563" xr:uid="{00000000-0005-0000-0000-000094BD0000}"/>
    <cellStyle name="Calculation 9 21 5 6" xfId="48564" xr:uid="{00000000-0005-0000-0000-000095BD0000}"/>
    <cellStyle name="Calculation 9 21 6" xfId="48565" xr:uid="{00000000-0005-0000-0000-000096BD0000}"/>
    <cellStyle name="Calculation 9 21 6 2" xfId="48566" xr:uid="{00000000-0005-0000-0000-000097BD0000}"/>
    <cellStyle name="Calculation 9 21 6 3" xfId="48567" xr:uid="{00000000-0005-0000-0000-000098BD0000}"/>
    <cellStyle name="Calculation 9 21 6 4" xfId="48568" xr:uid="{00000000-0005-0000-0000-000099BD0000}"/>
    <cellStyle name="Calculation 9 21 6 5" xfId="48569" xr:uid="{00000000-0005-0000-0000-00009ABD0000}"/>
    <cellStyle name="Calculation 9 21 6 6" xfId="48570" xr:uid="{00000000-0005-0000-0000-00009BBD0000}"/>
    <cellStyle name="Calculation 9 21 7" xfId="48571" xr:uid="{00000000-0005-0000-0000-00009CBD0000}"/>
    <cellStyle name="Calculation 9 21 7 2" xfId="48572" xr:uid="{00000000-0005-0000-0000-00009DBD0000}"/>
    <cellStyle name="Calculation 9 21 7 3" xfId="48573" xr:uid="{00000000-0005-0000-0000-00009EBD0000}"/>
    <cellStyle name="Calculation 9 21 7 4" xfId="48574" xr:uid="{00000000-0005-0000-0000-00009FBD0000}"/>
    <cellStyle name="Calculation 9 21 7 5" xfId="48575" xr:uid="{00000000-0005-0000-0000-0000A0BD0000}"/>
    <cellStyle name="Calculation 9 21 7 6" xfId="48576" xr:uid="{00000000-0005-0000-0000-0000A1BD0000}"/>
    <cellStyle name="Calculation 9 21 8" xfId="48577" xr:uid="{00000000-0005-0000-0000-0000A2BD0000}"/>
    <cellStyle name="Calculation 9 21 9" xfId="48578" xr:uid="{00000000-0005-0000-0000-0000A3BD0000}"/>
    <cellStyle name="Calculation 9 22" xfId="48579" xr:uid="{00000000-0005-0000-0000-0000A4BD0000}"/>
    <cellStyle name="Calculation 9 22 10" xfId="48580" xr:uid="{00000000-0005-0000-0000-0000A5BD0000}"/>
    <cellStyle name="Calculation 9 22 2" xfId="48581" xr:uid="{00000000-0005-0000-0000-0000A6BD0000}"/>
    <cellStyle name="Calculation 9 22 2 2" xfId="48582" xr:uid="{00000000-0005-0000-0000-0000A7BD0000}"/>
    <cellStyle name="Calculation 9 22 2 3" xfId="48583" xr:uid="{00000000-0005-0000-0000-0000A8BD0000}"/>
    <cellStyle name="Calculation 9 22 2 4" xfId="48584" xr:uid="{00000000-0005-0000-0000-0000A9BD0000}"/>
    <cellStyle name="Calculation 9 22 2 5" xfId="48585" xr:uid="{00000000-0005-0000-0000-0000AABD0000}"/>
    <cellStyle name="Calculation 9 22 2 6" xfId="48586" xr:uid="{00000000-0005-0000-0000-0000ABBD0000}"/>
    <cellStyle name="Calculation 9 22 3" xfId="48587" xr:uid="{00000000-0005-0000-0000-0000ACBD0000}"/>
    <cellStyle name="Calculation 9 22 3 2" xfId="48588" xr:uid="{00000000-0005-0000-0000-0000ADBD0000}"/>
    <cellStyle name="Calculation 9 22 3 3" xfId="48589" xr:uid="{00000000-0005-0000-0000-0000AEBD0000}"/>
    <cellStyle name="Calculation 9 22 3 4" xfId="48590" xr:uid="{00000000-0005-0000-0000-0000AFBD0000}"/>
    <cellStyle name="Calculation 9 22 3 5" xfId="48591" xr:uid="{00000000-0005-0000-0000-0000B0BD0000}"/>
    <cellStyle name="Calculation 9 22 3 6" xfId="48592" xr:uid="{00000000-0005-0000-0000-0000B1BD0000}"/>
    <cellStyle name="Calculation 9 22 4" xfId="48593" xr:uid="{00000000-0005-0000-0000-0000B2BD0000}"/>
    <cellStyle name="Calculation 9 22 4 2" xfId="48594" xr:uid="{00000000-0005-0000-0000-0000B3BD0000}"/>
    <cellStyle name="Calculation 9 22 4 3" xfId="48595" xr:uid="{00000000-0005-0000-0000-0000B4BD0000}"/>
    <cellStyle name="Calculation 9 22 4 4" xfId="48596" xr:uid="{00000000-0005-0000-0000-0000B5BD0000}"/>
    <cellStyle name="Calculation 9 22 4 5" xfId="48597" xr:uid="{00000000-0005-0000-0000-0000B6BD0000}"/>
    <cellStyle name="Calculation 9 22 4 6" xfId="48598" xr:uid="{00000000-0005-0000-0000-0000B7BD0000}"/>
    <cellStyle name="Calculation 9 22 5" xfId="48599" xr:uid="{00000000-0005-0000-0000-0000B8BD0000}"/>
    <cellStyle name="Calculation 9 22 5 2" xfId="48600" xr:uid="{00000000-0005-0000-0000-0000B9BD0000}"/>
    <cellStyle name="Calculation 9 22 5 3" xfId="48601" xr:uid="{00000000-0005-0000-0000-0000BABD0000}"/>
    <cellStyle name="Calculation 9 22 5 4" xfId="48602" xr:uid="{00000000-0005-0000-0000-0000BBBD0000}"/>
    <cellStyle name="Calculation 9 22 5 5" xfId="48603" xr:uid="{00000000-0005-0000-0000-0000BCBD0000}"/>
    <cellStyle name="Calculation 9 22 5 6" xfId="48604" xr:uid="{00000000-0005-0000-0000-0000BDBD0000}"/>
    <cellStyle name="Calculation 9 22 6" xfId="48605" xr:uid="{00000000-0005-0000-0000-0000BEBD0000}"/>
    <cellStyle name="Calculation 9 22 6 2" xfId="48606" xr:uid="{00000000-0005-0000-0000-0000BFBD0000}"/>
    <cellStyle name="Calculation 9 22 6 3" xfId="48607" xr:uid="{00000000-0005-0000-0000-0000C0BD0000}"/>
    <cellStyle name="Calculation 9 22 6 4" xfId="48608" xr:uid="{00000000-0005-0000-0000-0000C1BD0000}"/>
    <cellStyle name="Calculation 9 22 6 5" xfId="48609" xr:uid="{00000000-0005-0000-0000-0000C2BD0000}"/>
    <cellStyle name="Calculation 9 22 6 6" xfId="48610" xr:uid="{00000000-0005-0000-0000-0000C3BD0000}"/>
    <cellStyle name="Calculation 9 22 7" xfId="48611" xr:uid="{00000000-0005-0000-0000-0000C4BD0000}"/>
    <cellStyle name="Calculation 9 22 7 2" xfId="48612" xr:uid="{00000000-0005-0000-0000-0000C5BD0000}"/>
    <cellStyle name="Calculation 9 22 7 3" xfId="48613" xr:uid="{00000000-0005-0000-0000-0000C6BD0000}"/>
    <cellStyle name="Calculation 9 22 7 4" xfId="48614" xr:uid="{00000000-0005-0000-0000-0000C7BD0000}"/>
    <cellStyle name="Calculation 9 22 7 5" xfId="48615" xr:uid="{00000000-0005-0000-0000-0000C8BD0000}"/>
    <cellStyle name="Calculation 9 22 7 6" xfId="48616" xr:uid="{00000000-0005-0000-0000-0000C9BD0000}"/>
    <cellStyle name="Calculation 9 22 8" xfId="48617" xr:uid="{00000000-0005-0000-0000-0000CABD0000}"/>
    <cellStyle name="Calculation 9 22 9" xfId="48618" xr:uid="{00000000-0005-0000-0000-0000CBBD0000}"/>
    <cellStyle name="Calculation 9 23" xfId="48619" xr:uid="{00000000-0005-0000-0000-0000CCBD0000}"/>
    <cellStyle name="Calculation 9 23 10" xfId="48620" xr:uid="{00000000-0005-0000-0000-0000CDBD0000}"/>
    <cellStyle name="Calculation 9 23 2" xfId="48621" xr:uid="{00000000-0005-0000-0000-0000CEBD0000}"/>
    <cellStyle name="Calculation 9 23 2 2" xfId="48622" xr:uid="{00000000-0005-0000-0000-0000CFBD0000}"/>
    <cellStyle name="Calculation 9 23 2 3" xfId="48623" xr:uid="{00000000-0005-0000-0000-0000D0BD0000}"/>
    <cellStyle name="Calculation 9 23 2 4" xfId="48624" xr:uid="{00000000-0005-0000-0000-0000D1BD0000}"/>
    <cellStyle name="Calculation 9 23 2 5" xfId="48625" xr:uid="{00000000-0005-0000-0000-0000D2BD0000}"/>
    <cellStyle name="Calculation 9 23 2 6" xfId="48626" xr:uid="{00000000-0005-0000-0000-0000D3BD0000}"/>
    <cellStyle name="Calculation 9 23 3" xfId="48627" xr:uid="{00000000-0005-0000-0000-0000D4BD0000}"/>
    <cellStyle name="Calculation 9 23 3 2" xfId="48628" xr:uid="{00000000-0005-0000-0000-0000D5BD0000}"/>
    <cellStyle name="Calculation 9 23 3 3" xfId="48629" xr:uid="{00000000-0005-0000-0000-0000D6BD0000}"/>
    <cellStyle name="Calculation 9 23 3 4" xfId="48630" xr:uid="{00000000-0005-0000-0000-0000D7BD0000}"/>
    <cellStyle name="Calculation 9 23 3 5" xfId="48631" xr:uid="{00000000-0005-0000-0000-0000D8BD0000}"/>
    <cellStyle name="Calculation 9 23 3 6" xfId="48632" xr:uid="{00000000-0005-0000-0000-0000D9BD0000}"/>
    <cellStyle name="Calculation 9 23 4" xfId="48633" xr:uid="{00000000-0005-0000-0000-0000DABD0000}"/>
    <cellStyle name="Calculation 9 23 4 2" xfId="48634" xr:uid="{00000000-0005-0000-0000-0000DBBD0000}"/>
    <cellStyle name="Calculation 9 23 4 3" xfId="48635" xr:uid="{00000000-0005-0000-0000-0000DCBD0000}"/>
    <cellStyle name="Calculation 9 23 4 4" xfId="48636" xr:uid="{00000000-0005-0000-0000-0000DDBD0000}"/>
    <cellStyle name="Calculation 9 23 4 5" xfId="48637" xr:uid="{00000000-0005-0000-0000-0000DEBD0000}"/>
    <cellStyle name="Calculation 9 23 4 6" xfId="48638" xr:uid="{00000000-0005-0000-0000-0000DFBD0000}"/>
    <cellStyle name="Calculation 9 23 5" xfId="48639" xr:uid="{00000000-0005-0000-0000-0000E0BD0000}"/>
    <cellStyle name="Calculation 9 23 5 2" xfId="48640" xr:uid="{00000000-0005-0000-0000-0000E1BD0000}"/>
    <cellStyle name="Calculation 9 23 5 3" xfId="48641" xr:uid="{00000000-0005-0000-0000-0000E2BD0000}"/>
    <cellStyle name="Calculation 9 23 5 4" xfId="48642" xr:uid="{00000000-0005-0000-0000-0000E3BD0000}"/>
    <cellStyle name="Calculation 9 23 5 5" xfId="48643" xr:uid="{00000000-0005-0000-0000-0000E4BD0000}"/>
    <cellStyle name="Calculation 9 23 5 6" xfId="48644" xr:uid="{00000000-0005-0000-0000-0000E5BD0000}"/>
    <cellStyle name="Calculation 9 23 6" xfId="48645" xr:uid="{00000000-0005-0000-0000-0000E6BD0000}"/>
    <cellStyle name="Calculation 9 23 6 2" xfId="48646" xr:uid="{00000000-0005-0000-0000-0000E7BD0000}"/>
    <cellStyle name="Calculation 9 23 6 3" xfId="48647" xr:uid="{00000000-0005-0000-0000-0000E8BD0000}"/>
    <cellStyle name="Calculation 9 23 6 4" xfId="48648" xr:uid="{00000000-0005-0000-0000-0000E9BD0000}"/>
    <cellStyle name="Calculation 9 23 6 5" xfId="48649" xr:uid="{00000000-0005-0000-0000-0000EABD0000}"/>
    <cellStyle name="Calculation 9 23 6 6" xfId="48650" xr:uid="{00000000-0005-0000-0000-0000EBBD0000}"/>
    <cellStyle name="Calculation 9 23 7" xfId="48651" xr:uid="{00000000-0005-0000-0000-0000ECBD0000}"/>
    <cellStyle name="Calculation 9 23 7 2" xfId="48652" xr:uid="{00000000-0005-0000-0000-0000EDBD0000}"/>
    <cellStyle name="Calculation 9 23 7 3" xfId="48653" xr:uid="{00000000-0005-0000-0000-0000EEBD0000}"/>
    <cellStyle name="Calculation 9 23 7 4" xfId="48654" xr:uid="{00000000-0005-0000-0000-0000EFBD0000}"/>
    <cellStyle name="Calculation 9 23 7 5" xfId="48655" xr:uid="{00000000-0005-0000-0000-0000F0BD0000}"/>
    <cellStyle name="Calculation 9 23 7 6" xfId="48656" xr:uid="{00000000-0005-0000-0000-0000F1BD0000}"/>
    <cellStyle name="Calculation 9 23 8" xfId="48657" xr:uid="{00000000-0005-0000-0000-0000F2BD0000}"/>
    <cellStyle name="Calculation 9 23 9" xfId="48658" xr:uid="{00000000-0005-0000-0000-0000F3BD0000}"/>
    <cellStyle name="Calculation 9 24" xfId="48659" xr:uid="{00000000-0005-0000-0000-0000F4BD0000}"/>
    <cellStyle name="Calculation 9 24 10" xfId="48660" xr:uid="{00000000-0005-0000-0000-0000F5BD0000}"/>
    <cellStyle name="Calculation 9 24 2" xfId="48661" xr:uid="{00000000-0005-0000-0000-0000F6BD0000}"/>
    <cellStyle name="Calculation 9 24 2 2" xfId="48662" xr:uid="{00000000-0005-0000-0000-0000F7BD0000}"/>
    <cellStyle name="Calculation 9 24 2 3" xfId="48663" xr:uid="{00000000-0005-0000-0000-0000F8BD0000}"/>
    <cellStyle name="Calculation 9 24 2 4" xfId="48664" xr:uid="{00000000-0005-0000-0000-0000F9BD0000}"/>
    <cellStyle name="Calculation 9 24 2 5" xfId="48665" xr:uid="{00000000-0005-0000-0000-0000FABD0000}"/>
    <cellStyle name="Calculation 9 24 2 6" xfId="48666" xr:uid="{00000000-0005-0000-0000-0000FBBD0000}"/>
    <cellStyle name="Calculation 9 24 3" xfId="48667" xr:uid="{00000000-0005-0000-0000-0000FCBD0000}"/>
    <cellStyle name="Calculation 9 24 3 2" xfId="48668" xr:uid="{00000000-0005-0000-0000-0000FDBD0000}"/>
    <cellStyle name="Calculation 9 24 3 3" xfId="48669" xr:uid="{00000000-0005-0000-0000-0000FEBD0000}"/>
    <cellStyle name="Calculation 9 24 3 4" xfId="48670" xr:uid="{00000000-0005-0000-0000-0000FFBD0000}"/>
    <cellStyle name="Calculation 9 24 3 5" xfId="48671" xr:uid="{00000000-0005-0000-0000-000000BE0000}"/>
    <cellStyle name="Calculation 9 24 3 6" xfId="48672" xr:uid="{00000000-0005-0000-0000-000001BE0000}"/>
    <cellStyle name="Calculation 9 24 4" xfId="48673" xr:uid="{00000000-0005-0000-0000-000002BE0000}"/>
    <cellStyle name="Calculation 9 24 4 2" xfId="48674" xr:uid="{00000000-0005-0000-0000-000003BE0000}"/>
    <cellStyle name="Calculation 9 24 4 3" xfId="48675" xr:uid="{00000000-0005-0000-0000-000004BE0000}"/>
    <cellStyle name="Calculation 9 24 4 4" xfId="48676" xr:uid="{00000000-0005-0000-0000-000005BE0000}"/>
    <cellStyle name="Calculation 9 24 4 5" xfId="48677" xr:uid="{00000000-0005-0000-0000-000006BE0000}"/>
    <cellStyle name="Calculation 9 24 4 6" xfId="48678" xr:uid="{00000000-0005-0000-0000-000007BE0000}"/>
    <cellStyle name="Calculation 9 24 5" xfId="48679" xr:uid="{00000000-0005-0000-0000-000008BE0000}"/>
    <cellStyle name="Calculation 9 24 5 2" xfId="48680" xr:uid="{00000000-0005-0000-0000-000009BE0000}"/>
    <cellStyle name="Calculation 9 24 5 3" xfId="48681" xr:uid="{00000000-0005-0000-0000-00000ABE0000}"/>
    <cellStyle name="Calculation 9 24 5 4" xfId="48682" xr:uid="{00000000-0005-0000-0000-00000BBE0000}"/>
    <cellStyle name="Calculation 9 24 5 5" xfId="48683" xr:uid="{00000000-0005-0000-0000-00000CBE0000}"/>
    <cellStyle name="Calculation 9 24 5 6" xfId="48684" xr:uid="{00000000-0005-0000-0000-00000DBE0000}"/>
    <cellStyle name="Calculation 9 24 6" xfId="48685" xr:uid="{00000000-0005-0000-0000-00000EBE0000}"/>
    <cellStyle name="Calculation 9 24 6 2" xfId="48686" xr:uid="{00000000-0005-0000-0000-00000FBE0000}"/>
    <cellStyle name="Calculation 9 24 6 3" xfId="48687" xr:uid="{00000000-0005-0000-0000-000010BE0000}"/>
    <cellStyle name="Calculation 9 24 6 4" xfId="48688" xr:uid="{00000000-0005-0000-0000-000011BE0000}"/>
    <cellStyle name="Calculation 9 24 6 5" xfId="48689" xr:uid="{00000000-0005-0000-0000-000012BE0000}"/>
    <cellStyle name="Calculation 9 24 6 6" xfId="48690" xr:uid="{00000000-0005-0000-0000-000013BE0000}"/>
    <cellStyle name="Calculation 9 24 7" xfId="48691" xr:uid="{00000000-0005-0000-0000-000014BE0000}"/>
    <cellStyle name="Calculation 9 24 7 2" xfId="48692" xr:uid="{00000000-0005-0000-0000-000015BE0000}"/>
    <cellStyle name="Calculation 9 24 7 3" xfId="48693" xr:uid="{00000000-0005-0000-0000-000016BE0000}"/>
    <cellStyle name="Calculation 9 24 7 4" xfId="48694" xr:uid="{00000000-0005-0000-0000-000017BE0000}"/>
    <cellStyle name="Calculation 9 24 7 5" xfId="48695" xr:uid="{00000000-0005-0000-0000-000018BE0000}"/>
    <cellStyle name="Calculation 9 24 7 6" xfId="48696" xr:uid="{00000000-0005-0000-0000-000019BE0000}"/>
    <cellStyle name="Calculation 9 24 8" xfId="48697" xr:uid="{00000000-0005-0000-0000-00001ABE0000}"/>
    <cellStyle name="Calculation 9 24 9" xfId="48698" xr:uid="{00000000-0005-0000-0000-00001BBE0000}"/>
    <cellStyle name="Calculation 9 25" xfId="48699" xr:uid="{00000000-0005-0000-0000-00001CBE0000}"/>
    <cellStyle name="Calculation 9 25 10" xfId="48700" xr:uid="{00000000-0005-0000-0000-00001DBE0000}"/>
    <cellStyle name="Calculation 9 25 2" xfId="48701" xr:uid="{00000000-0005-0000-0000-00001EBE0000}"/>
    <cellStyle name="Calculation 9 25 2 2" xfId="48702" xr:uid="{00000000-0005-0000-0000-00001FBE0000}"/>
    <cellStyle name="Calculation 9 25 2 3" xfId="48703" xr:uid="{00000000-0005-0000-0000-000020BE0000}"/>
    <cellStyle name="Calculation 9 25 2 4" xfId="48704" xr:uid="{00000000-0005-0000-0000-000021BE0000}"/>
    <cellStyle name="Calculation 9 25 2 5" xfId="48705" xr:uid="{00000000-0005-0000-0000-000022BE0000}"/>
    <cellStyle name="Calculation 9 25 2 6" xfId="48706" xr:uid="{00000000-0005-0000-0000-000023BE0000}"/>
    <cellStyle name="Calculation 9 25 3" xfId="48707" xr:uid="{00000000-0005-0000-0000-000024BE0000}"/>
    <cellStyle name="Calculation 9 25 3 2" xfId="48708" xr:uid="{00000000-0005-0000-0000-000025BE0000}"/>
    <cellStyle name="Calculation 9 25 3 3" xfId="48709" xr:uid="{00000000-0005-0000-0000-000026BE0000}"/>
    <cellStyle name="Calculation 9 25 3 4" xfId="48710" xr:uid="{00000000-0005-0000-0000-000027BE0000}"/>
    <cellStyle name="Calculation 9 25 3 5" xfId="48711" xr:uid="{00000000-0005-0000-0000-000028BE0000}"/>
    <cellStyle name="Calculation 9 25 3 6" xfId="48712" xr:uid="{00000000-0005-0000-0000-000029BE0000}"/>
    <cellStyle name="Calculation 9 25 4" xfId="48713" xr:uid="{00000000-0005-0000-0000-00002ABE0000}"/>
    <cellStyle name="Calculation 9 25 4 2" xfId="48714" xr:uid="{00000000-0005-0000-0000-00002BBE0000}"/>
    <cellStyle name="Calculation 9 25 4 3" xfId="48715" xr:uid="{00000000-0005-0000-0000-00002CBE0000}"/>
    <cellStyle name="Calculation 9 25 4 4" xfId="48716" xr:uid="{00000000-0005-0000-0000-00002DBE0000}"/>
    <cellStyle name="Calculation 9 25 4 5" xfId="48717" xr:uid="{00000000-0005-0000-0000-00002EBE0000}"/>
    <cellStyle name="Calculation 9 25 4 6" xfId="48718" xr:uid="{00000000-0005-0000-0000-00002FBE0000}"/>
    <cellStyle name="Calculation 9 25 5" xfId="48719" xr:uid="{00000000-0005-0000-0000-000030BE0000}"/>
    <cellStyle name="Calculation 9 25 5 2" xfId="48720" xr:uid="{00000000-0005-0000-0000-000031BE0000}"/>
    <cellStyle name="Calculation 9 25 5 3" xfId="48721" xr:uid="{00000000-0005-0000-0000-000032BE0000}"/>
    <cellStyle name="Calculation 9 25 5 4" xfId="48722" xr:uid="{00000000-0005-0000-0000-000033BE0000}"/>
    <cellStyle name="Calculation 9 25 5 5" xfId="48723" xr:uid="{00000000-0005-0000-0000-000034BE0000}"/>
    <cellStyle name="Calculation 9 25 5 6" xfId="48724" xr:uid="{00000000-0005-0000-0000-000035BE0000}"/>
    <cellStyle name="Calculation 9 25 6" xfId="48725" xr:uid="{00000000-0005-0000-0000-000036BE0000}"/>
    <cellStyle name="Calculation 9 25 6 2" xfId="48726" xr:uid="{00000000-0005-0000-0000-000037BE0000}"/>
    <cellStyle name="Calculation 9 25 6 3" xfId="48727" xr:uid="{00000000-0005-0000-0000-000038BE0000}"/>
    <cellStyle name="Calculation 9 25 6 4" xfId="48728" xr:uid="{00000000-0005-0000-0000-000039BE0000}"/>
    <cellStyle name="Calculation 9 25 6 5" xfId="48729" xr:uid="{00000000-0005-0000-0000-00003ABE0000}"/>
    <cellStyle name="Calculation 9 25 6 6" xfId="48730" xr:uid="{00000000-0005-0000-0000-00003BBE0000}"/>
    <cellStyle name="Calculation 9 25 7" xfId="48731" xr:uid="{00000000-0005-0000-0000-00003CBE0000}"/>
    <cellStyle name="Calculation 9 25 7 2" xfId="48732" xr:uid="{00000000-0005-0000-0000-00003DBE0000}"/>
    <cellStyle name="Calculation 9 25 7 3" xfId="48733" xr:uid="{00000000-0005-0000-0000-00003EBE0000}"/>
    <cellStyle name="Calculation 9 25 7 4" xfId="48734" xr:uid="{00000000-0005-0000-0000-00003FBE0000}"/>
    <cellStyle name="Calculation 9 25 7 5" xfId="48735" xr:uid="{00000000-0005-0000-0000-000040BE0000}"/>
    <cellStyle name="Calculation 9 25 7 6" xfId="48736" xr:uid="{00000000-0005-0000-0000-000041BE0000}"/>
    <cellStyle name="Calculation 9 25 8" xfId="48737" xr:uid="{00000000-0005-0000-0000-000042BE0000}"/>
    <cellStyle name="Calculation 9 25 9" xfId="48738" xr:uid="{00000000-0005-0000-0000-000043BE0000}"/>
    <cellStyle name="Calculation 9 26" xfId="48739" xr:uid="{00000000-0005-0000-0000-000044BE0000}"/>
    <cellStyle name="Calculation 9 26 2" xfId="48740" xr:uid="{00000000-0005-0000-0000-000045BE0000}"/>
    <cellStyle name="Calculation 9 26 3" xfId="48741" xr:uid="{00000000-0005-0000-0000-000046BE0000}"/>
    <cellStyle name="Calculation 9 26 4" xfId="48742" xr:uid="{00000000-0005-0000-0000-000047BE0000}"/>
    <cellStyle name="Calculation 9 26 5" xfId="48743" xr:uid="{00000000-0005-0000-0000-000048BE0000}"/>
    <cellStyle name="Calculation 9 26 6" xfId="48744" xr:uid="{00000000-0005-0000-0000-000049BE0000}"/>
    <cellStyle name="Calculation 9 27" xfId="48745" xr:uid="{00000000-0005-0000-0000-00004ABE0000}"/>
    <cellStyle name="Calculation 9 27 2" xfId="48746" xr:uid="{00000000-0005-0000-0000-00004BBE0000}"/>
    <cellStyle name="Calculation 9 27 3" xfId="48747" xr:uid="{00000000-0005-0000-0000-00004CBE0000}"/>
    <cellStyle name="Calculation 9 27 4" xfId="48748" xr:uid="{00000000-0005-0000-0000-00004DBE0000}"/>
    <cellStyle name="Calculation 9 27 5" xfId="48749" xr:uid="{00000000-0005-0000-0000-00004EBE0000}"/>
    <cellStyle name="Calculation 9 27 6" xfId="48750" xr:uid="{00000000-0005-0000-0000-00004FBE0000}"/>
    <cellStyle name="Calculation 9 28" xfId="48751" xr:uid="{00000000-0005-0000-0000-000050BE0000}"/>
    <cellStyle name="Calculation 9 28 2" xfId="48752" xr:uid="{00000000-0005-0000-0000-000051BE0000}"/>
    <cellStyle name="Calculation 9 28 3" xfId="48753" xr:uid="{00000000-0005-0000-0000-000052BE0000}"/>
    <cellStyle name="Calculation 9 28 4" xfId="48754" xr:uid="{00000000-0005-0000-0000-000053BE0000}"/>
    <cellStyle name="Calculation 9 28 5" xfId="48755" xr:uid="{00000000-0005-0000-0000-000054BE0000}"/>
    <cellStyle name="Calculation 9 28 6" xfId="48756" xr:uid="{00000000-0005-0000-0000-000055BE0000}"/>
    <cellStyle name="Calculation 9 29" xfId="48757" xr:uid="{00000000-0005-0000-0000-000056BE0000}"/>
    <cellStyle name="Calculation 9 29 2" xfId="48758" xr:uid="{00000000-0005-0000-0000-000057BE0000}"/>
    <cellStyle name="Calculation 9 29 3" xfId="48759" xr:uid="{00000000-0005-0000-0000-000058BE0000}"/>
    <cellStyle name="Calculation 9 29 4" xfId="48760" xr:uid="{00000000-0005-0000-0000-000059BE0000}"/>
    <cellStyle name="Calculation 9 29 5" xfId="48761" xr:uid="{00000000-0005-0000-0000-00005ABE0000}"/>
    <cellStyle name="Calculation 9 29 6" xfId="48762" xr:uid="{00000000-0005-0000-0000-00005BBE0000}"/>
    <cellStyle name="Calculation 9 3" xfId="48763" xr:uid="{00000000-0005-0000-0000-00005CBE0000}"/>
    <cellStyle name="Calculation 9 3 10" xfId="48764" xr:uid="{00000000-0005-0000-0000-00005DBE0000}"/>
    <cellStyle name="Calculation 9 3 10 10" xfId="48765" xr:uid="{00000000-0005-0000-0000-00005EBE0000}"/>
    <cellStyle name="Calculation 9 3 10 2" xfId="48766" xr:uid="{00000000-0005-0000-0000-00005FBE0000}"/>
    <cellStyle name="Calculation 9 3 10 2 2" xfId="48767" xr:uid="{00000000-0005-0000-0000-000060BE0000}"/>
    <cellStyle name="Calculation 9 3 10 2 3" xfId="48768" xr:uid="{00000000-0005-0000-0000-000061BE0000}"/>
    <cellStyle name="Calculation 9 3 10 2 4" xfId="48769" xr:uid="{00000000-0005-0000-0000-000062BE0000}"/>
    <cellStyle name="Calculation 9 3 10 2 5" xfId="48770" xr:uid="{00000000-0005-0000-0000-000063BE0000}"/>
    <cellStyle name="Calculation 9 3 10 2 6" xfId="48771" xr:uid="{00000000-0005-0000-0000-000064BE0000}"/>
    <cellStyle name="Calculation 9 3 10 3" xfId="48772" xr:uid="{00000000-0005-0000-0000-000065BE0000}"/>
    <cellStyle name="Calculation 9 3 10 3 2" xfId="48773" xr:uid="{00000000-0005-0000-0000-000066BE0000}"/>
    <cellStyle name="Calculation 9 3 10 3 3" xfId="48774" xr:uid="{00000000-0005-0000-0000-000067BE0000}"/>
    <cellStyle name="Calculation 9 3 10 3 4" xfId="48775" xr:uid="{00000000-0005-0000-0000-000068BE0000}"/>
    <cellStyle name="Calculation 9 3 10 3 5" xfId="48776" xr:uid="{00000000-0005-0000-0000-000069BE0000}"/>
    <cellStyle name="Calculation 9 3 10 3 6" xfId="48777" xr:uid="{00000000-0005-0000-0000-00006ABE0000}"/>
    <cellStyle name="Calculation 9 3 10 4" xfId="48778" xr:uid="{00000000-0005-0000-0000-00006BBE0000}"/>
    <cellStyle name="Calculation 9 3 10 4 2" xfId="48779" xr:uid="{00000000-0005-0000-0000-00006CBE0000}"/>
    <cellStyle name="Calculation 9 3 10 4 3" xfId="48780" xr:uid="{00000000-0005-0000-0000-00006DBE0000}"/>
    <cellStyle name="Calculation 9 3 10 4 4" xfId="48781" xr:uid="{00000000-0005-0000-0000-00006EBE0000}"/>
    <cellStyle name="Calculation 9 3 10 4 5" xfId="48782" xr:uid="{00000000-0005-0000-0000-00006FBE0000}"/>
    <cellStyle name="Calculation 9 3 10 4 6" xfId="48783" xr:uid="{00000000-0005-0000-0000-000070BE0000}"/>
    <cellStyle name="Calculation 9 3 10 5" xfId="48784" xr:uid="{00000000-0005-0000-0000-000071BE0000}"/>
    <cellStyle name="Calculation 9 3 10 5 2" xfId="48785" xr:uid="{00000000-0005-0000-0000-000072BE0000}"/>
    <cellStyle name="Calculation 9 3 10 5 3" xfId="48786" xr:uid="{00000000-0005-0000-0000-000073BE0000}"/>
    <cellStyle name="Calculation 9 3 10 5 4" xfId="48787" xr:uid="{00000000-0005-0000-0000-000074BE0000}"/>
    <cellStyle name="Calculation 9 3 10 5 5" xfId="48788" xr:uid="{00000000-0005-0000-0000-000075BE0000}"/>
    <cellStyle name="Calculation 9 3 10 5 6" xfId="48789" xr:uid="{00000000-0005-0000-0000-000076BE0000}"/>
    <cellStyle name="Calculation 9 3 10 6" xfId="48790" xr:uid="{00000000-0005-0000-0000-000077BE0000}"/>
    <cellStyle name="Calculation 9 3 10 6 2" xfId="48791" xr:uid="{00000000-0005-0000-0000-000078BE0000}"/>
    <cellStyle name="Calculation 9 3 10 6 3" xfId="48792" xr:uid="{00000000-0005-0000-0000-000079BE0000}"/>
    <cellStyle name="Calculation 9 3 10 6 4" xfId="48793" xr:uid="{00000000-0005-0000-0000-00007ABE0000}"/>
    <cellStyle name="Calculation 9 3 10 6 5" xfId="48794" xr:uid="{00000000-0005-0000-0000-00007BBE0000}"/>
    <cellStyle name="Calculation 9 3 10 6 6" xfId="48795" xr:uid="{00000000-0005-0000-0000-00007CBE0000}"/>
    <cellStyle name="Calculation 9 3 10 7" xfId="48796" xr:uid="{00000000-0005-0000-0000-00007DBE0000}"/>
    <cellStyle name="Calculation 9 3 10 7 2" xfId="48797" xr:uid="{00000000-0005-0000-0000-00007EBE0000}"/>
    <cellStyle name="Calculation 9 3 10 7 3" xfId="48798" xr:uid="{00000000-0005-0000-0000-00007FBE0000}"/>
    <cellStyle name="Calculation 9 3 10 7 4" xfId="48799" xr:uid="{00000000-0005-0000-0000-000080BE0000}"/>
    <cellStyle name="Calculation 9 3 10 7 5" xfId="48800" xr:uid="{00000000-0005-0000-0000-000081BE0000}"/>
    <cellStyle name="Calculation 9 3 10 7 6" xfId="48801" xr:uid="{00000000-0005-0000-0000-000082BE0000}"/>
    <cellStyle name="Calculation 9 3 10 8" xfId="48802" xr:uid="{00000000-0005-0000-0000-000083BE0000}"/>
    <cellStyle name="Calculation 9 3 10 9" xfId="48803" xr:uid="{00000000-0005-0000-0000-000084BE0000}"/>
    <cellStyle name="Calculation 9 3 11" xfId="48804" xr:uid="{00000000-0005-0000-0000-000085BE0000}"/>
    <cellStyle name="Calculation 9 3 11 10" xfId="48805" xr:uid="{00000000-0005-0000-0000-000086BE0000}"/>
    <cellStyle name="Calculation 9 3 11 2" xfId="48806" xr:uid="{00000000-0005-0000-0000-000087BE0000}"/>
    <cellStyle name="Calculation 9 3 11 2 2" xfId="48807" xr:uid="{00000000-0005-0000-0000-000088BE0000}"/>
    <cellStyle name="Calculation 9 3 11 2 3" xfId="48808" xr:uid="{00000000-0005-0000-0000-000089BE0000}"/>
    <cellStyle name="Calculation 9 3 11 2 4" xfId="48809" xr:uid="{00000000-0005-0000-0000-00008ABE0000}"/>
    <cellStyle name="Calculation 9 3 11 2 5" xfId="48810" xr:uid="{00000000-0005-0000-0000-00008BBE0000}"/>
    <cellStyle name="Calculation 9 3 11 2 6" xfId="48811" xr:uid="{00000000-0005-0000-0000-00008CBE0000}"/>
    <cellStyle name="Calculation 9 3 11 3" xfId="48812" xr:uid="{00000000-0005-0000-0000-00008DBE0000}"/>
    <cellStyle name="Calculation 9 3 11 3 2" xfId="48813" xr:uid="{00000000-0005-0000-0000-00008EBE0000}"/>
    <cellStyle name="Calculation 9 3 11 3 3" xfId="48814" xr:uid="{00000000-0005-0000-0000-00008FBE0000}"/>
    <cellStyle name="Calculation 9 3 11 3 4" xfId="48815" xr:uid="{00000000-0005-0000-0000-000090BE0000}"/>
    <cellStyle name="Calculation 9 3 11 3 5" xfId="48816" xr:uid="{00000000-0005-0000-0000-000091BE0000}"/>
    <cellStyle name="Calculation 9 3 11 3 6" xfId="48817" xr:uid="{00000000-0005-0000-0000-000092BE0000}"/>
    <cellStyle name="Calculation 9 3 11 4" xfId="48818" xr:uid="{00000000-0005-0000-0000-000093BE0000}"/>
    <cellStyle name="Calculation 9 3 11 4 2" xfId="48819" xr:uid="{00000000-0005-0000-0000-000094BE0000}"/>
    <cellStyle name="Calculation 9 3 11 4 3" xfId="48820" xr:uid="{00000000-0005-0000-0000-000095BE0000}"/>
    <cellStyle name="Calculation 9 3 11 4 4" xfId="48821" xr:uid="{00000000-0005-0000-0000-000096BE0000}"/>
    <cellStyle name="Calculation 9 3 11 4 5" xfId="48822" xr:uid="{00000000-0005-0000-0000-000097BE0000}"/>
    <cellStyle name="Calculation 9 3 11 4 6" xfId="48823" xr:uid="{00000000-0005-0000-0000-000098BE0000}"/>
    <cellStyle name="Calculation 9 3 11 5" xfId="48824" xr:uid="{00000000-0005-0000-0000-000099BE0000}"/>
    <cellStyle name="Calculation 9 3 11 5 2" xfId="48825" xr:uid="{00000000-0005-0000-0000-00009ABE0000}"/>
    <cellStyle name="Calculation 9 3 11 5 3" xfId="48826" xr:uid="{00000000-0005-0000-0000-00009BBE0000}"/>
    <cellStyle name="Calculation 9 3 11 5 4" xfId="48827" xr:uid="{00000000-0005-0000-0000-00009CBE0000}"/>
    <cellStyle name="Calculation 9 3 11 5 5" xfId="48828" xr:uid="{00000000-0005-0000-0000-00009DBE0000}"/>
    <cellStyle name="Calculation 9 3 11 5 6" xfId="48829" xr:uid="{00000000-0005-0000-0000-00009EBE0000}"/>
    <cellStyle name="Calculation 9 3 11 6" xfId="48830" xr:uid="{00000000-0005-0000-0000-00009FBE0000}"/>
    <cellStyle name="Calculation 9 3 11 6 2" xfId="48831" xr:uid="{00000000-0005-0000-0000-0000A0BE0000}"/>
    <cellStyle name="Calculation 9 3 11 6 3" xfId="48832" xr:uid="{00000000-0005-0000-0000-0000A1BE0000}"/>
    <cellStyle name="Calculation 9 3 11 6 4" xfId="48833" xr:uid="{00000000-0005-0000-0000-0000A2BE0000}"/>
    <cellStyle name="Calculation 9 3 11 6 5" xfId="48834" xr:uid="{00000000-0005-0000-0000-0000A3BE0000}"/>
    <cellStyle name="Calculation 9 3 11 6 6" xfId="48835" xr:uid="{00000000-0005-0000-0000-0000A4BE0000}"/>
    <cellStyle name="Calculation 9 3 11 7" xfId="48836" xr:uid="{00000000-0005-0000-0000-0000A5BE0000}"/>
    <cellStyle name="Calculation 9 3 11 7 2" xfId="48837" xr:uid="{00000000-0005-0000-0000-0000A6BE0000}"/>
    <cellStyle name="Calculation 9 3 11 7 3" xfId="48838" xr:uid="{00000000-0005-0000-0000-0000A7BE0000}"/>
    <cellStyle name="Calculation 9 3 11 7 4" xfId="48839" xr:uid="{00000000-0005-0000-0000-0000A8BE0000}"/>
    <cellStyle name="Calculation 9 3 11 7 5" xfId="48840" xr:uid="{00000000-0005-0000-0000-0000A9BE0000}"/>
    <cellStyle name="Calculation 9 3 11 7 6" xfId="48841" xr:uid="{00000000-0005-0000-0000-0000AABE0000}"/>
    <cellStyle name="Calculation 9 3 11 8" xfId="48842" xr:uid="{00000000-0005-0000-0000-0000ABBE0000}"/>
    <cellStyle name="Calculation 9 3 11 9" xfId="48843" xr:uid="{00000000-0005-0000-0000-0000ACBE0000}"/>
    <cellStyle name="Calculation 9 3 12" xfId="48844" xr:uid="{00000000-0005-0000-0000-0000ADBE0000}"/>
    <cellStyle name="Calculation 9 3 12 10" xfId="48845" xr:uid="{00000000-0005-0000-0000-0000AEBE0000}"/>
    <cellStyle name="Calculation 9 3 12 2" xfId="48846" xr:uid="{00000000-0005-0000-0000-0000AFBE0000}"/>
    <cellStyle name="Calculation 9 3 12 2 2" xfId="48847" xr:uid="{00000000-0005-0000-0000-0000B0BE0000}"/>
    <cellStyle name="Calculation 9 3 12 2 3" xfId="48848" xr:uid="{00000000-0005-0000-0000-0000B1BE0000}"/>
    <cellStyle name="Calculation 9 3 12 2 4" xfId="48849" xr:uid="{00000000-0005-0000-0000-0000B2BE0000}"/>
    <cellStyle name="Calculation 9 3 12 2 5" xfId="48850" xr:uid="{00000000-0005-0000-0000-0000B3BE0000}"/>
    <cellStyle name="Calculation 9 3 12 2 6" xfId="48851" xr:uid="{00000000-0005-0000-0000-0000B4BE0000}"/>
    <cellStyle name="Calculation 9 3 12 3" xfId="48852" xr:uid="{00000000-0005-0000-0000-0000B5BE0000}"/>
    <cellStyle name="Calculation 9 3 12 3 2" xfId="48853" xr:uid="{00000000-0005-0000-0000-0000B6BE0000}"/>
    <cellStyle name="Calculation 9 3 12 3 3" xfId="48854" xr:uid="{00000000-0005-0000-0000-0000B7BE0000}"/>
    <cellStyle name="Calculation 9 3 12 3 4" xfId="48855" xr:uid="{00000000-0005-0000-0000-0000B8BE0000}"/>
    <cellStyle name="Calculation 9 3 12 3 5" xfId="48856" xr:uid="{00000000-0005-0000-0000-0000B9BE0000}"/>
    <cellStyle name="Calculation 9 3 12 3 6" xfId="48857" xr:uid="{00000000-0005-0000-0000-0000BABE0000}"/>
    <cellStyle name="Calculation 9 3 12 4" xfId="48858" xr:uid="{00000000-0005-0000-0000-0000BBBE0000}"/>
    <cellStyle name="Calculation 9 3 12 4 2" xfId="48859" xr:uid="{00000000-0005-0000-0000-0000BCBE0000}"/>
    <cellStyle name="Calculation 9 3 12 4 3" xfId="48860" xr:uid="{00000000-0005-0000-0000-0000BDBE0000}"/>
    <cellStyle name="Calculation 9 3 12 4 4" xfId="48861" xr:uid="{00000000-0005-0000-0000-0000BEBE0000}"/>
    <cellStyle name="Calculation 9 3 12 4 5" xfId="48862" xr:uid="{00000000-0005-0000-0000-0000BFBE0000}"/>
    <cellStyle name="Calculation 9 3 12 4 6" xfId="48863" xr:uid="{00000000-0005-0000-0000-0000C0BE0000}"/>
    <cellStyle name="Calculation 9 3 12 5" xfId="48864" xr:uid="{00000000-0005-0000-0000-0000C1BE0000}"/>
    <cellStyle name="Calculation 9 3 12 5 2" xfId="48865" xr:uid="{00000000-0005-0000-0000-0000C2BE0000}"/>
    <cellStyle name="Calculation 9 3 12 5 3" xfId="48866" xr:uid="{00000000-0005-0000-0000-0000C3BE0000}"/>
    <cellStyle name="Calculation 9 3 12 5 4" xfId="48867" xr:uid="{00000000-0005-0000-0000-0000C4BE0000}"/>
    <cellStyle name="Calculation 9 3 12 5 5" xfId="48868" xr:uid="{00000000-0005-0000-0000-0000C5BE0000}"/>
    <cellStyle name="Calculation 9 3 12 5 6" xfId="48869" xr:uid="{00000000-0005-0000-0000-0000C6BE0000}"/>
    <cellStyle name="Calculation 9 3 12 6" xfId="48870" xr:uid="{00000000-0005-0000-0000-0000C7BE0000}"/>
    <cellStyle name="Calculation 9 3 12 6 2" xfId="48871" xr:uid="{00000000-0005-0000-0000-0000C8BE0000}"/>
    <cellStyle name="Calculation 9 3 12 6 3" xfId="48872" xr:uid="{00000000-0005-0000-0000-0000C9BE0000}"/>
    <cellStyle name="Calculation 9 3 12 6 4" xfId="48873" xr:uid="{00000000-0005-0000-0000-0000CABE0000}"/>
    <cellStyle name="Calculation 9 3 12 6 5" xfId="48874" xr:uid="{00000000-0005-0000-0000-0000CBBE0000}"/>
    <cellStyle name="Calculation 9 3 12 6 6" xfId="48875" xr:uid="{00000000-0005-0000-0000-0000CCBE0000}"/>
    <cellStyle name="Calculation 9 3 12 7" xfId="48876" xr:uid="{00000000-0005-0000-0000-0000CDBE0000}"/>
    <cellStyle name="Calculation 9 3 12 7 2" xfId="48877" xr:uid="{00000000-0005-0000-0000-0000CEBE0000}"/>
    <cellStyle name="Calculation 9 3 12 7 3" xfId="48878" xr:uid="{00000000-0005-0000-0000-0000CFBE0000}"/>
    <cellStyle name="Calculation 9 3 12 7 4" xfId="48879" xr:uid="{00000000-0005-0000-0000-0000D0BE0000}"/>
    <cellStyle name="Calculation 9 3 12 7 5" xfId="48880" xr:uid="{00000000-0005-0000-0000-0000D1BE0000}"/>
    <cellStyle name="Calculation 9 3 12 7 6" xfId="48881" xr:uid="{00000000-0005-0000-0000-0000D2BE0000}"/>
    <cellStyle name="Calculation 9 3 12 8" xfId="48882" xr:uid="{00000000-0005-0000-0000-0000D3BE0000}"/>
    <cellStyle name="Calculation 9 3 12 9" xfId="48883" xr:uid="{00000000-0005-0000-0000-0000D4BE0000}"/>
    <cellStyle name="Calculation 9 3 13" xfId="48884" xr:uid="{00000000-0005-0000-0000-0000D5BE0000}"/>
    <cellStyle name="Calculation 9 3 13 10" xfId="48885" xr:uid="{00000000-0005-0000-0000-0000D6BE0000}"/>
    <cellStyle name="Calculation 9 3 13 2" xfId="48886" xr:uid="{00000000-0005-0000-0000-0000D7BE0000}"/>
    <cellStyle name="Calculation 9 3 13 2 2" xfId="48887" xr:uid="{00000000-0005-0000-0000-0000D8BE0000}"/>
    <cellStyle name="Calculation 9 3 13 2 3" xfId="48888" xr:uid="{00000000-0005-0000-0000-0000D9BE0000}"/>
    <cellStyle name="Calculation 9 3 13 2 4" xfId="48889" xr:uid="{00000000-0005-0000-0000-0000DABE0000}"/>
    <cellStyle name="Calculation 9 3 13 2 5" xfId="48890" xr:uid="{00000000-0005-0000-0000-0000DBBE0000}"/>
    <cellStyle name="Calculation 9 3 13 2 6" xfId="48891" xr:uid="{00000000-0005-0000-0000-0000DCBE0000}"/>
    <cellStyle name="Calculation 9 3 13 3" xfId="48892" xr:uid="{00000000-0005-0000-0000-0000DDBE0000}"/>
    <cellStyle name="Calculation 9 3 13 3 2" xfId="48893" xr:uid="{00000000-0005-0000-0000-0000DEBE0000}"/>
    <cellStyle name="Calculation 9 3 13 3 3" xfId="48894" xr:uid="{00000000-0005-0000-0000-0000DFBE0000}"/>
    <cellStyle name="Calculation 9 3 13 3 4" xfId="48895" xr:uid="{00000000-0005-0000-0000-0000E0BE0000}"/>
    <cellStyle name="Calculation 9 3 13 3 5" xfId="48896" xr:uid="{00000000-0005-0000-0000-0000E1BE0000}"/>
    <cellStyle name="Calculation 9 3 13 3 6" xfId="48897" xr:uid="{00000000-0005-0000-0000-0000E2BE0000}"/>
    <cellStyle name="Calculation 9 3 13 4" xfId="48898" xr:uid="{00000000-0005-0000-0000-0000E3BE0000}"/>
    <cellStyle name="Calculation 9 3 13 4 2" xfId="48899" xr:uid="{00000000-0005-0000-0000-0000E4BE0000}"/>
    <cellStyle name="Calculation 9 3 13 4 3" xfId="48900" xr:uid="{00000000-0005-0000-0000-0000E5BE0000}"/>
    <cellStyle name="Calculation 9 3 13 4 4" xfId="48901" xr:uid="{00000000-0005-0000-0000-0000E6BE0000}"/>
    <cellStyle name="Calculation 9 3 13 4 5" xfId="48902" xr:uid="{00000000-0005-0000-0000-0000E7BE0000}"/>
    <cellStyle name="Calculation 9 3 13 4 6" xfId="48903" xr:uid="{00000000-0005-0000-0000-0000E8BE0000}"/>
    <cellStyle name="Calculation 9 3 13 5" xfId="48904" xr:uid="{00000000-0005-0000-0000-0000E9BE0000}"/>
    <cellStyle name="Calculation 9 3 13 5 2" xfId="48905" xr:uid="{00000000-0005-0000-0000-0000EABE0000}"/>
    <cellStyle name="Calculation 9 3 13 5 3" xfId="48906" xr:uid="{00000000-0005-0000-0000-0000EBBE0000}"/>
    <cellStyle name="Calculation 9 3 13 5 4" xfId="48907" xr:uid="{00000000-0005-0000-0000-0000ECBE0000}"/>
    <cellStyle name="Calculation 9 3 13 5 5" xfId="48908" xr:uid="{00000000-0005-0000-0000-0000EDBE0000}"/>
    <cellStyle name="Calculation 9 3 13 5 6" xfId="48909" xr:uid="{00000000-0005-0000-0000-0000EEBE0000}"/>
    <cellStyle name="Calculation 9 3 13 6" xfId="48910" xr:uid="{00000000-0005-0000-0000-0000EFBE0000}"/>
    <cellStyle name="Calculation 9 3 13 6 2" xfId="48911" xr:uid="{00000000-0005-0000-0000-0000F0BE0000}"/>
    <cellStyle name="Calculation 9 3 13 6 3" xfId="48912" xr:uid="{00000000-0005-0000-0000-0000F1BE0000}"/>
    <cellStyle name="Calculation 9 3 13 6 4" xfId="48913" xr:uid="{00000000-0005-0000-0000-0000F2BE0000}"/>
    <cellStyle name="Calculation 9 3 13 6 5" xfId="48914" xr:uid="{00000000-0005-0000-0000-0000F3BE0000}"/>
    <cellStyle name="Calculation 9 3 13 6 6" xfId="48915" xr:uid="{00000000-0005-0000-0000-0000F4BE0000}"/>
    <cellStyle name="Calculation 9 3 13 7" xfId="48916" xr:uid="{00000000-0005-0000-0000-0000F5BE0000}"/>
    <cellStyle name="Calculation 9 3 13 7 2" xfId="48917" xr:uid="{00000000-0005-0000-0000-0000F6BE0000}"/>
    <cellStyle name="Calculation 9 3 13 7 3" xfId="48918" xr:uid="{00000000-0005-0000-0000-0000F7BE0000}"/>
    <cellStyle name="Calculation 9 3 13 7 4" xfId="48919" xr:uid="{00000000-0005-0000-0000-0000F8BE0000}"/>
    <cellStyle name="Calculation 9 3 13 7 5" xfId="48920" xr:uid="{00000000-0005-0000-0000-0000F9BE0000}"/>
    <cellStyle name="Calculation 9 3 13 7 6" xfId="48921" xr:uid="{00000000-0005-0000-0000-0000FABE0000}"/>
    <cellStyle name="Calculation 9 3 13 8" xfId="48922" xr:uid="{00000000-0005-0000-0000-0000FBBE0000}"/>
    <cellStyle name="Calculation 9 3 13 9" xfId="48923" xr:uid="{00000000-0005-0000-0000-0000FCBE0000}"/>
    <cellStyle name="Calculation 9 3 14" xfId="48924" xr:uid="{00000000-0005-0000-0000-0000FDBE0000}"/>
    <cellStyle name="Calculation 9 3 14 10" xfId="48925" xr:uid="{00000000-0005-0000-0000-0000FEBE0000}"/>
    <cellStyle name="Calculation 9 3 14 2" xfId="48926" xr:uid="{00000000-0005-0000-0000-0000FFBE0000}"/>
    <cellStyle name="Calculation 9 3 14 2 2" xfId="48927" xr:uid="{00000000-0005-0000-0000-000000BF0000}"/>
    <cellStyle name="Calculation 9 3 14 2 3" xfId="48928" xr:uid="{00000000-0005-0000-0000-000001BF0000}"/>
    <cellStyle name="Calculation 9 3 14 2 4" xfId="48929" xr:uid="{00000000-0005-0000-0000-000002BF0000}"/>
    <cellStyle name="Calculation 9 3 14 2 5" xfId="48930" xr:uid="{00000000-0005-0000-0000-000003BF0000}"/>
    <cellStyle name="Calculation 9 3 14 2 6" xfId="48931" xr:uid="{00000000-0005-0000-0000-000004BF0000}"/>
    <cellStyle name="Calculation 9 3 14 3" xfId="48932" xr:uid="{00000000-0005-0000-0000-000005BF0000}"/>
    <cellStyle name="Calculation 9 3 14 3 2" xfId="48933" xr:uid="{00000000-0005-0000-0000-000006BF0000}"/>
    <cellStyle name="Calculation 9 3 14 3 3" xfId="48934" xr:uid="{00000000-0005-0000-0000-000007BF0000}"/>
    <cellStyle name="Calculation 9 3 14 3 4" xfId="48935" xr:uid="{00000000-0005-0000-0000-000008BF0000}"/>
    <cellStyle name="Calculation 9 3 14 3 5" xfId="48936" xr:uid="{00000000-0005-0000-0000-000009BF0000}"/>
    <cellStyle name="Calculation 9 3 14 3 6" xfId="48937" xr:uid="{00000000-0005-0000-0000-00000ABF0000}"/>
    <cellStyle name="Calculation 9 3 14 4" xfId="48938" xr:uid="{00000000-0005-0000-0000-00000BBF0000}"/>
    <cellStyle name="Calculation 9 3 14 4 2" xfId="48939" xr:uid="{00000000-0005-0000-0000-00000CBF0000}"/>
    <cellStyle name="Calculation 9 3 14 4 3" xfId="48940" xr:uid="{00000000-0005-0000-0000-00000DBF0000}"/>
    <cellStyle name="Calculation 9 3 14 4 4" xfId="48941" xr:uid="{00000000-0005-0000-0000-00000EBF0000}"/>
    <cellStyle name="Calculation 9 3 14 4 5" xfId="48942" xr:uid="{00000000-0005-0000-0000-00000FBF0000}"/>
    <cellStyle name="Calculation 9 3 14 4 6" xfId="48943" xr:uid="{00000000-0005-0000-0000-000010BF0000}"/>
    <cellStyle name="Calculation 9 3 14 5" xfId="48944" xr:uid="{00000000-0005-0000-0000-000011BF0000}"/>
    <cellStyle name="Calculation 9 3 14 5 2" xfId="48945" xr:uid="{00000000-0005-0000-0000-000012BF0000}"/>
    <cellStyle name="Calculation 9 3 14 5 3" xfId="48946" xr:uid="{00000000-0005-0000-0000-000013BF0000}"/>
    <cellStyle name="Calculation 9 3 14 5 4" xfId="48947" xr:uid="{00000000-0005-0000-0000-000014BF0000}"/>
    <cellStyle name="Calculation 9 3 14 5 5" xfId="48948" xr:uid="{00000000-0005-0000-0000-000015BF0000}"/>
    <cellStyle name="Calculation 9 3 14 5 6" xfId="48949" xr:uid="{00000000-0005-0000-0000-000016BF0000}"/>
    <cellStyle name="Calculation 9 3 14 6" xfId="48950" xr:uid="{00000000-0005-0000-0000-000017BF0000}"/>
    <cellStyle name="Calculation 9 3 14 6 2" xfId="48951" xr:uid="{00000000-0005-0000-0000-000018BF0000}"/>
    <cellStyle name="Calculation 9 3 14 6 3" xfId="48952" xr:uid="{00000000-0005-0000-0000-000019BF0000}"/>
    <cellStyle name="Calculation 9 3 14 6 4" xfId="48953" xr:uid="{00000000-0005-0000-0000-00001ABF0000}"/>
    <cellStyle name="Calculation 9 3 14 6 5" xfId="48954" xr:uid="{00000000-0005-0000-0000-00001BBF0000}"/>
    <cellStyle name="Calculation 9 3 14 6 6" xfId="48955" xr:uid="{00000000-0005-0000-0000-00001CBF0000}"/>
    <cellStyle name="Calculation 9 3 14 7" xfId="48956" xr:uid="{00000000-0005-0000-0000-00001DBF0000}"/>
    <cellStyle name="Calculation 9 3 14 7 2" xfId="48957" xr:uid="{00000000-0005-0000-0000-00001EBF0000}"/>
    <cellStyle name="Calculation 9 3 14 7 3" xfId="48958" xr:uid="{00000000-0005-0000-0000-00001FBF0000}"/>
    <cellStyle name="Calculation 9 3 14 7 4" xfId="48959" xr:uid="{00000000-0005-0000-0000-000020BF0000}"/>
    <cellStyle name="Calculation 9 3 14 7 5" xfId="48960" xr:uid="{00000000-0005-0000-0000-000021BF0000}"/>
    <cellStyle name="Calculation 9 3 14 7 6" xfId="48961" xr:uid="{00000000-0005-0000-0000-000022BF0000}"/>
    <cellStyle name="Calculation 9 3 14 8" xfId="48962" xr:uid="{00000000-0005-0000-0000-000023BF0000}"/>
    <cellStyle name="Calculation 9 3 14 9" xfId="48963" xr:uid="{00000000-0005-0000-0000-000024BF0000}"/>
    <cellStyle name="Calculation 9 3 15" xfId="48964" xr:uid="{00000000-0005-0000-0000-000025BF0000}"/>
    <cellStyle name="Calculation 9 3 15 10" xfId="48965" xr:uid="{00000000-0005-0000-0000-000026BF0000}"/>
    <cellStyle name="Calculation 9 3 15 2" xfId="48966" xr:uid="{00000000-0005-0000-0000-000027BF0000}"/>
    <cellStyle name="Calculation 9 3 15 2 2" xfId="48967" xr:uid="{00000000-0005-0000-0000-000028BF0000}"/>
    <cellStyle name="Calculation 9 3 15 2 3" xfId="48968" xr:uid="{00000000-0005-0000-0000-000029BF0000}"/>
    <cellStyle name="Calculation 9 3 15 2 4" xfId="48969" xr:uid="{00000000-0005-0000-0000-00002ABF0000}"/>
    <cellStyle name="Calculation 9 3 15 2 5" xfId="48970" xr:uid="{00000000-0005-0000-0000-00002BBF0000}"/>
    <cellStyle name="Calculation 9 3 15 2 6" xfId="48971" xr:uid="{00000000-0005-0000-0000-00002CBF0000}"/>
    <cellStyle name="Calculation 9 3 15 3" xfId="48972" xr:uid="{00000000-0005-0000-0000-00002DBF0000}"/>
    <cellStyle name="Calculation 9 3 15 3 2" xfId="48973" xr:uid="{00000000-0005-0000-0000-00002EBF0000}"/>
    <cellStyle name="Calculation 9 3 15 3 3" xfId="48974" xr:uid="{00000000-0005-0000-0000-00002FBF0000}"/>
    <cellStyle name="Calculation 9 3 15 3 4" xfId="48975" xr:uid="{00000000-0005-0000-0000-000030BF0000}"/>
    <cellStyle name="Calculation 9 3 15 3 5" xfId="48976" xr:uid="{00000000-0005-0000-0000-000031BF0000}"/>
    <cellStyle name="Calculation 9 3 15 3 6" xfId="48977" xr:uid="{00000000-0005-0000-0000-000032BF0000}"/>
    <cellStyle name="Calculation 9 3 15 4" xfId="48978" xr:uid="{00000000-0005-0000-0000-000033BF0000}"/>
    <cellStyle name="Calculation 9 3 15 4 2" xfId="48979" xr:uid="{00000000-0005-0000-0000-000034BF0000}"/>
    <cellStyle name="Calculation 9 3 15 4 3" xfId="48980" xr:uid="{00000000-0005-0000-0000-000035BF0000}"/>
    <cellStyle name="Calculation 9 3 15 4 4" xfId="48981" xr:uid="{00000000-0005-0000-0000-000036BF0000}"/>
    <cellStyle name="Calculation 9 3 15 4 5" xfId="48982" xr:uid="{00000000-0005-0000-0000-000037BF0000}"/>
    <cellStyle name="Calculation 9 3 15 4 6" xfId="48983" xr:uid="{00000000-0005-0000-0000-000038BF0000}"/>
    <cellStyle name="Calculation 9 3 15 5" xfId="48984" xr:uid="{00000000-0005-0000-0000-000039BF0000}"/>
    <cellStyle name="Calculation 9 3 15 5 2" xfId="48985" xr:uid="{00000000-0005-0000-0000-00003ABF0000}"/>
    <cellStyle name="Calculation 9 3 15 5 3" xfId="48986" xr:uid="{00000000-0005-0000-0000-00003BBF0000}"/>
    <cellStyle name="Calculation 9 3 15 5 4" xfId="48987" xr:uid="{00000000-0005-0000-0000-00003CBF0000}"/>
    <cellStyle name="Calculation 9 3 15 5 5" xfId="48988" xr:uid="{00000000-0005-0000-0000-00003DBF0000}"/>
    <cellStyle name="Calculation 9 3 15 5 6" xfId="48989" xr:uid="{00000000-0005-0000-0000-00003EBF0000}"/>
    <cellStyle name="Calculation 9 3 15 6" xfId="48990" xr:uid="{00000000-0005-0000-0000-00003FBF0000}"/>
    <cellStyle name="Calculation 9 3 15 6 2" xfId="48991" xr:uid="{00000000-0005-0000-0000-000040BF0000}"/>
    <cellStyle name="Calculation 9 3 15 6 3" xfId="48992" xr:uid="{00000000-0005-0000-0000-000041BF0000}"/>
    <cellStyle name="Calculation 9 3 15 6 4" xfId="48993" xr:uid="{00000000-0005-0000-0000-000042BF0000}"/>
    <cellStyle name="Calculation 9 3 15 6 5" xfId="48994" xr:uid="{00000000-0005-0000-0000-000043BF0000}"/>
    <cellStyle name="Calculation 9 3 15 6 6" xfId="48995" xr:uid="{00000000-0005-0000-0000-000044BF0000}"/>
    <cellStyle name="Calculation 9 3 15 7" xfId="48996" xr:uid="{00000000-0005-0000-0000-000045BF0000}"/>
    <cellStyle name="Calculation 9 3 15 7 2" xfId="48997" xr:uid="{00000000-0005-0000-0000-000046BF0000}"/>
    <cellStyle name="Calculation 9 3 15 7 3" xfId="48998" xr:uid="{00000000-0005-0000-0000-000047BF0000}"/>
    <cellStyle name="Calculation 9 3 15 7 4" xfId="48999" xr:uid="{00000000-0005-0000-0000-000048BF0000}"/>
    <cellStyle name="Calculation 9 3 15 7 5" xfId="49000" xr:uid="{00000000-0005-0000-0000-000049BF0000}"/>
    <cellStyle name="Calculation 9 3 15 7 6" xfId="49001" xr:uid="{00000000-0005-0000-0000-00004ABF0000}"/>
    <cellStyle name="Calculation 9 3 15 8" xfId="49002" xr:uid="{00000000-0005-0000-0000-00004BBF0000}"/>
    <cellStyle name="Calculation 9 3 15 9" xfId="49003" xr:uid="{00000000-0005-0000-0000-00004CBF0000}"/>
    <cellStyle name="Calculation 9 3 16" xfId="49004" xr:uid="{00000000-0005-0000-0000-00004DBF0000}"/>
    <cellStyle name="Calculation 9 3 16 10" xfId="49005" xr:uid="{00000000-0005-0000-0000-00004EBF0000}"/>
    <cellStyle name="Calculation 9 3 16 2" xfId="49006" xr:uid="{00000000-0005-0000-0000-00004FBF0000}"/>
    <cellStyle name="Calculation 9 3 16 2 2" xfId="49007" xr:uid="{00000000-0005-0000-0000-000050BF0000}"/>
    <cellStyle name="Calculation 9 3 16 2 3" xfId="49008" xr:uid="{00000000-0005-0000-0000-000051BF0000}"/>
    <cellStyle name="Calculation 9 3 16 2 4" xfId="49009" xr:uid="{00000000-0005-0000-0000-000052BF0000}"/>
    <cellStyle name="Calculation 9 3 16 2 5" xfId="49010" xr:uid="{00000000-0005-0000-0000-000053BF0000}"/>
    <cellStyle name="Calculation 9 3 16 2 6" xfId="49011" xr:uid="{00000000-0005-0000-0000-000054BF0000}"/>
    <cellStyle name="Calculation 9 3 16 3" xfId="49012" xr:uid="{00000000-0005-0000-0000-000055BF0000}"/>
    <cellStyle name="Calculation 9 3 16 3 2" xfId="49013" xr:uid="{00000000-0005-0000-0000-000056BF0000}"/>
    <cellStyle name="Calculation 9 3 16 3 3" xfId="49014" xr:uid="{00000000-0005-0000-0000-000057BF0000}"/>
    <cellStyle name="Calculation 9 3 16 3 4" xfId="49015" xr:uid="{00000000-0005-0000-0000-000058BF0000}"/>
    <cellStyle name="Calculation 9 3 16 3 5" xfId="49016" xr:uid="{00000000-0005-0000-0000-000059BF0000}"/>
    <cellStyle name="Calculation 9 3 16 3 6" xfId="49017" xr:uid="{00000000-0005-0000-0000-00005ABF0000}"/>
    <cellStyle name="Calculation 9 3 16 4" xfId="49018" xr:uid="{00000000-0005-0000-0000-00005BBF0000}"/>
    <cellStyle name="Calculation 9 3 16 4 2" xfId="49019" xr:uid="{00000000-0005-0000-0000-00005CBF0000}"/>
    <cellStyle name="Calculation 9 3 16 4 3" xfId="49020" xr:uid="{00000000-0005-0000-0000-00005DBF0000}"/>
    <cellStyle name="Calculation 9 3 16 4 4" xfId="49021" xr:uid="{00000000-0005-0000-0000-00005EBF0000}"/>
    <cellStyle name="Calculation 9 3 16 4 5" xfId="49022" xr:uid="{00000000-0005-0000-0000-00005FBF0000}"/>
    <cellStyle name="Calculation 9 3 16 4 6" xfId="49023" xr:uid="{00000000-0005-0000-0000-000060BF0000}"/>
    <cellStyle name="Calculation 9 3 16 5" xfId="49024" xr:uid="{00000000-0005-0000-0000-000061BF0000}"/>
    <cellStyle name="Calculation 9 3 16 5 2" xfId="49025" xr:uid="{00000000-0005-0000-0000-000062BF0000}"/>
    <cellStyle name="Calculation 9 3 16 5 3" xfId="49026" xr:uid="{00000000-0005-0000-0000-000063BF0000}"/>
    <cellStyle name="Calculation 9 3 16 5 4" xfId="49027" xr:uid="{00000000-0005-0000-0000-000064BF0000}"/>
    <cellStyle name="Calculation 9 3 16 5 5" xfId="49028" xr:uid="{00000000-0005-0000-0000-000065BF0000}"/>
    <cellStyle name="Calculation 9 3 16 5 6" xfId="49029" xr:uid="{00000000-0005-0000-0000-000066BF0000}"/>
    <cellStyle name="Calculation 9 3 16 6" xfId="49030" xr:uid="{00000000-0005-0000-0000-000067BF0000}"/>
    <cellStyle name="Calculation 9 3 16 6 2" xfId="49031" xr:uid="{00000000-0005-0000-0000-000068BF0000}"/>
    <cellStyle name="Calculation 9 3 16 6 3" xfId="49032" xr:uid="{00000000-0005-0000-0000-000069BF0000}"/>
    <cellStyle name="Calculation 9 3 16 6 4" xfId="49033" xr:uid="{00000000-0005-0000-0000-00006ABF0000}"/>
    <cellStyle name="Calculation 9 3 16 6 5" xfId="49034" xr:uid="{00000000-0005-0000-0000-00006BBF0000}"/>
    <cellStyle name="Calculation 9 3 16 6 6" xfId="49035" xr:uid="{00000000-0005-0000-0000-00006CBF0000}"/>
    <cellStyle name="Calculation 9 3 16 7" xfId="49036" xr:uid="{00000000-0005-0000-0000-00006DBF0000}"/>
    <cellStyle name="Calculation 9 3 16 7 2" xfId="49037" xr:uid="{00000000-0005-0000-0000-00006EBF0000}"/>
    <cellStyle name="Calculation 9 3 16 7 3" xfId="49038" xr:uid="{00000000-0005-0000-0000-00006FBF0000}"/>
    <cellStyle name="Calculation 9 3 16 7 4" xfId="49039" xr:uid="{00000000-0005-0000-0000-000070BF0000}"/>
    <cellStyle name="Calculation 9 3 16 7 5" xfId="49040" xr:uid="{00000000-0005-0000-0000-000071BF0000}"/>
    <cellStyle name="Calculation 9 3 16 7 6" xfId="49041" xr:uid="{00000000-0005-0000-0000-000072BF0000}"/>
    <cellStyle name="Calculation 9 3 16 8" xfId="49042" xr:uid="{00000000-0005-0000-0000-000073BF0000}"/>
    <cellStyle name="Calculation 9 3 16 9" xfId="49043" xr:uid="{00000000-0005-0000-0000-000074BF0000}"/>
    <cellStyle name="Calculation 9 3 17" xfId="49044" xr:uid="{00000000-0005-0000-0000-000075BF0000}"/>
    <cellStyle name="Calculation 9 3 17 10" xfId="49045" xr:uid="{00000000-0005-0000-0000-000076BF0000}"/>
    <cellStyle name="Calculation 9 3 17 2" xfId="49046" xr:uid="{00000000-0005-0000-0000-000077BF0000}"/>
    <cellStyle name="Calculation 9 3 17 2 2" xfId="49047" xr:uid="{00000000-0005-0000-0000-000078BF0000}"/>
    <cellStyle name="Calculation 9 3 17 2 3" xfId="49048" xr:uid="{00000000-0005-0000-0000-000079BF0000}"/>
    <cellStyle name="Calculation 9 3 17 2 4" xfId="49049" xr:uid="{00000000-0005-0000-0000-00007ABF0000}"/>
    <cellStyle name="Calculation 9 3 17 2 5" xfId="49050" xr:uid="{00000000-0005-0000-0000-00007BBF0000}"/>
    <cellStyle name="Calculation 9 3 17 2 6" xfId="49051" xr:uid="{00000000-0005-0000-0000-00007CBF0000}"/>
    <cellStyle name="Calculation 9 3 17 3" xfId="49052" xr:uid="{00000000-0005-0000-0000-00007DBF0000}"/>
    <cellStyle name="Calculation 9 3 17 3 2" xfId="49053" xr:uid="{00000000-0005-0000-0000-00007EBF0000}"/>
    <cellStyle name="Calculation 9 3 17 3 3" xfId="49054" xr:uid="{00000000-0005-0000-0000-00007FBF0000}"/>
    <cellStyle name="Calculation 9 3 17 3 4" xfId="49055" xr:uid="{00000000-0005-0000-0000-000080BF0000}"/>
    <cellStyle name="Calculation 9 3 17 3 5" xfId="49056" xr:uid="{00000000-0005-0000-0000-000081BF0000}"/>
    <cellStyle name="Calculation 9 3 17 3 6" xfId="49057" xr:uid="{00000000-0005-0000-0000-000082BF0000}"/>
    <cellStyle name="Calculation 9 3 17 4" xfId="49058" xr:uid="{00000000-0005-0000-0000-000083BF0000}"/>
    <cellStyle name="Calculation 9 3 17 4 2" xfId="49059" xr:uid="{00000000-0005-0000-0000-000084BF0000}"/>
    <cellStyle name="Calculation 9 3 17 4 3" xfId="49060" xr:uid="{00000000-0005-0000-0000-000085BF0000}"/>
    <cellStyle name="Calculation 9 3 17 4 4" xfId="49061" xr:uid="{00000000-0005-0000-0000-000086BF0000}"/>
    <cellStyle name="Calculation 9 3 17 4 5" xfId="49062" xr:uid="{00000000-0005-0000-0000-000087BF0000}"/>
    <cellStyle name="Calculation 9 3 17 4 6" xfId="49063" xr:uid="{00000000-0005-0000-0000-000088BF0000}"/>
    <cellStyle name="Calculation 9 3 17 5" xfId="49064" xr:uid="{00000000-0005-0000-0000-000089BF0000}"/>
    <cellStyle name="Calculation 9 3 17 5 2" xfId="49065" xr:uid="{00000000-0005-0000-0000-00008ABF0000}"/>
    <cellStyle name="Calculation 9 3 17 5 3" xfId="49066" xr:uid="{00000000-0005-0000-0000-00008BBF0000}"/>
    <cellStyle name="Calculation 9 3 17 5 4" xfId="49067" xr:uid="{00000000-0005-0000-0000-00008CBF0000}"/>
    <cellStyle name="Calculation 9 3 17 5 5" xfId="49068" xr:uid="{00000000-0005-0000-0000-00008DBF0000}"/>
    <cellStyle name="Calculation 9 3 17 5 6" xfId="49069" xr:uid="{00000000-0005-0000-0000-00008EBF0000}"/>
    <cellStyle name="Calculation 9 3 17 6" xfId="49070" xr:uid="{00000000-0005-0000-0000-00008FBF0000}"/>
    <cellStyle name="Calculation 9 3 17 6 2" xfId="49071" xr:uid="{00000000-0005-0000-0000-000090BF0000}"/>
    <cellStyle name="Calculation 9 3 17 6 3" xfId="49072" xr:uid="{00000000-0005-0000-0000-000091BF0000}"/>
    <cellStyle name="Calculation 9 3 17 6 4" xfId="49073" xr:uid="{00000000-0005-0000-0000-000092BF0000}"/>
    <cellStyle name="Calculation 9 3 17 6 5" xfId="49074" xr:uid="{00000000-0005-0000-0000-000093BF0000}"/>
    <cellStyle name="Calculation 9 3 17 6 6" xfId="49075" xr:uid="{00000000-0005-0000-0000-000094BF0000}"/>
    <cellStyle name="Calculation 9 3 17 7" xfId="49076" xr:uid="{00000000-0005-0000-0000-000095BF0000}"/>
    <cellStyle name="Calculation 9 3 17 7 2" xfId="49077" xr:uid="{00000000-0005-0000-0000-000096BF0000}"/>
    <cellStyle name="Calculation 9 3 17 7 3" xfId="49078" xr:uid="{00000000-0005-0000-0000-000097BF0000}"/>
    <cellStyle name="Calculation 9 3 17 7 4" xfId="49079" xr:uid="{00000000-0005-0000-0000-000098BF0000}"/>
    <cellStyle name="Calculation 9 3 17 7 5" xfId="49080" xr:uid="{00000000-0005-0000-0000-000099BF0000}"/>
    <cellStyle name="Calculation 9 3 17 7 6" xfId="49081" xr:uid="{00000000-0005-0000-0000-00009ABF0000}"/>
    <cellStyle name="Calculation 9 3 17 8" xfId="49082" xr:uid="{00000000-0005-0000-0000-00009BBF0000}"/>
    <cellStyle name="Calculation 9 3 17 9" xfId="49083" xr:uid="{00000000-0005-0000-0000-00009CBF0000}"/>
    <cellStyle name="Calculation 9 3 18" xfId="49084" xr:uid="{00000000-0005-0000-0000-00009DBF0000}"/>
    <cellStyle name="Calculation 9 3 18 10" xfId="49085" xr:uid="{00000000-0005-0000-0000-00009EBF0000}"/>
    <cellStyle name="Calculation 9 3 18 2" xfId="49086" xr:uid="{00000000-0005-0000-0000-00009FBF0000}"/>
    <cellStyle name="Calculation 9 3 18 2 2" xfId="49087" xr:uid="{00000000-0005-0000-0000-0000A0BF0000}"/>
    <cellStyle name="Calculation 9 3 18 2 3" xfId="49088" xr:uid="{00000000-0005-0000-0000-0000A1BF0000}"/>
    <cellStyle name="Calculation 9 3 18 2 4" xfId="49089" xr:uid="{00000000-0005-0000-0000-0000A2BF0000}"/>
    <cellStyle name="Calculation 9 3 18 2 5" xfId="49090" xr:uid="{00000000-0005-0000-0000-0000A3BF0000}"/>
    <cellStyle name="Calculation 9 3 18 2 6" xfId="49091" xr:uid="{00000000-0005-0000-0000-0000A4BF0000}"/>
    <cellStyle name="Calculation 9 3 18 3" xfId="49092" xr:uid="{00000000-0005-0000-0000-0000A5BF0000}"/>
    <cellStyle name="Calculation 9 3 18 3 2" xfId="49093" xr:uid="{00000000-0005-0000-0000-0000A6BF0000}"/>
    <cellStyle name="Calculation 9 3 18 3 3" xfId="49094" xr:uid="{00000000-0005-0000-0000-0000A7BF0000}"/>
    <cellStyle name="Calculation 9 3 18 3 4" xfId="49095" xr:uid="{00000000-0005-0000-0000-0000A8BF0000}"/>
    <cellStyle name="Calculation 9 3 18 3 5" xfId="49096" xr:uid="{00000000-0005-0000-0000-0000A9BF0000}"/>
    <cellStyle name="Calculation 9 3 18 3 6" xfId="49097" xr:uid="{00000000-0005-0000-0000-0000AABF0000}"/>
    <cellStyle name="Calculation 9 3 18 4" xfId="49098" xr:uid="{00000000-0005-0000-0000-0000ABBF0000}"/>
    <cellStyle name="Calculation 9 3 18 4 2" xfId="49099" xr:uid="{00000000-0005-0000-0000-0000ACBF0000}"/>
    <cellStyle name="Calculation 9 3 18 4 3" xfId="49100" xr:uid="{00000000-0005-0000-0000-0000ADBF0000}"/>
    <cellStyle name="Calculation 9 3 18 4 4" xfId="49101" xr:uid="{00000000-0005-0000-0000-0000AEBF0000}"/>
    <cellStyle name="Calculation 9 3 18 4 5" xfId="49102" xr:uid="{00000000-0005-0000-0000-0000AFBF0000}"/>
    <cellStyle name="Calculation 9 3 18 4 6" xfId="49103" xr:uid="{00000000-0005-0000-0000-0000B0BF0000}"/>
    <cellStyle name="Calculation 9 3 18 5" xfId="49104" xr:uid="{00000000-0005-0000-0000-0000B1BF0000}"/>
    <cellStyle name="Calculation 9 3 18 5 2" xfId="49105" xr:uid="{00000000-0005-0000-0000-0000B2BF0000}"/>
    <cellStyle name="Calculation 9 3 18 5 3" xfId="49106" xr:uid="{00000000-0005-0000-0000-0000B3BF0000}"/>
    <cellStyle name="Calculation 9 3 18 5 4" xfId="49107" xr:uid="{00000000-0005-0000-0000-0000B4BF0000}"/>
    <cellStyle name="Calculation 9 3 18 5 5" xfId="49108" xr:uid="{00000000-0005-0000-0000-0000B5BF0000}"/>
    <cellStyle name="Calculation 9 3 18 5 6" xfId="49109" xr:uid="{00000000-0005-0000-0000-0000B6BF0000}"/>
    <cellStyle name="Calculation 9 3 18 6" xfId="49110" xr:uid="{00000000-0005-0000-0000-0000B7BF0000}"/>
    <cellStyle name="Calculation 9 3 18 6 2" xfId="49111" xr:uid="{00000000-0005-0000-0000-0000B8BF0000}"/>
    <cellStyle name="Calculation 9 3 18 6 3" xfId="49112" xr:uid="{00000000-0005-0000-0000-0000B9BF0000}"/>
    <cellStyle name="Calculation 9 3 18 6 4" xfId="49113" xr:uid="{00000000-0005-0000-0000-0000BABF0000}"/>
    <cellStyle name="Calculation 9 3 18 6 5" xfId="49114" xr:uid="{00000000-0005-0000-0000-0000BBBF0000}"/>
    <cellStyle name="Calculation 9 3 18 6 6" xfId="49115" xr:uid="{00000000-0005-0000-0000-0000BCBF0000}"/>
    <cellStyle name="Calculation 9 3 18 7" xfId="49116" xr:uid="{00000000-0005-0000-0000-0000BDBF0000}"/>
    <cellStyle name="Calculation 9 3 18 7 2" xfId="49117" xr:uid="{00000000-0005-0000-0000-0000BEBF0000}"/>
    <cellStyle name="Calculation 9 3 18 7 3" xfId="49118" xr:uid="{00000000-0005-0000-0000-0000BFBF0000}"/>
    <cellStyle name="Calculation 9 3 18 7 4" xfId="49119" xr:uid="{00000000-0005-0000-0000-0000C0BF0000}"/>
    <cellStyle name="Calculation 9 3 18 7 5" xfId="49120" xr:uid="{00000000-0005-0000-0000-0000C1BF0000}"/>
    <cellStyle name="Calculation 9 3 18 7 6" xfId="49121" xr:uid="{00000000-0005-0000-0000-0000C2BF0000}"/>
    <cellStyle name="Calculation 9 3 18 8" xfId="49122" xr:uid="{00000000-0005-0000-0000-0000C3BF0000}"/>
    <cellStyle name="Calculation 9 3 18 9" xfId="49123" xr:uid="{00000000-0005-0000-0000-0000C4BF0000}"/>
    <cellStyle name="Calculation 9 3 19" xfId="49124" xr:uid="{00000000-0005-0000-0000-0000C5BF0000}"/>
    <cellStyle name="Calculation 9 3 19 10" xfId="49125" xr:uid="{00000000-0005-0000-0000-0000C6BF0000}"/>
    <cellStyle name="Calculation 9 3 19 2" xfId="49126" xr:uid="{00000000-0005-0000-0000-0000C7BF0000}"/>
    <cellStyle name="Calculation 9 3 19 2 2" xfId="49127" xr:uid="{00000000-0005-0000-0000-0000C8BF0000}"/>
    <cellStyle name="Calculation 9 3 19 2 3" xfId="49128" xr:uid="{00000000-0005-0000-0000-0000C9BF0000}"/>
    <cellStyle name="Calculation 9 3 19 2 4" xfId="49129" xr:uid="{00000000-0005-0000-0000-0000CABF0000}"/>
    <cellStyle name="Calculation 9 3 19 2 5" xfId="49130" xr:uid="{00000000-0005-0000-0000-0000CBBF0000}"/>
    <cellStyle name="Calculation 9 3 19 2 6" xfId="49131" xr:uid="{00000000-0005-0000-0000-0000CCBF0000}"/>
    <cellStyle name="Calculation 9 3 19 3" xfId="49132" xr:uid="{00000000-0005-0000-0000-0000CDBF0000}"/>
    <cellStyle name="Calculation 9 3 19 3 2" xfId="49133" xr:uid="{00000000-0005-0000-0000-0000CEBF0000}"/>
    <cellStyle name="Calculation 9 3 19 3 3" xfId="49134" xr:uid="{00000000-0005-0000-0000-0000CFBF0000}"/>
    <cellStyle name="Calculation 9 3 19 3 4" xfId="49135" xr:uid="{00000000-0005-0000-0000-0000D0BF0000}"/>
    <cellStyle name="Calculation 9 3 19 3 5" xfId="49136" xr:uid="{00000000-0005-0000-0000-0000D1BF0000}"/>
    <cellStyle name="Calculation 9 3 19 3 6" xfId="49137" xr:uid="{00000000-0005-0000-0000-0000D2BF0000}"/>
    <cellStyle name="Calculation 9 3 19 4" xfId="49138" xr:uid="{00000000-0005-0000-0000-0000D3BF0000}"/>
    <cellStyle name="Calculation 9 3 19 4 2" xfId="49139" xr:uid="{00000000-0005-0000-0000-0000D4BF0000}"/>
    <cellStyle name="Calculation 9 3 19 4 3" xfId="49140" xr:uid="{00000000-0005-0000-0000-0000D5BF0000}"/>
    <cellStyle name="Calculation 9 3 19 4 4" xfId="49141" xr:uid="{00000000-0005-0000-0000-0000D6BF0000}"/>
    <cellStyle name="Calculation 9 3 19 4 5" xfId="49142" xr:uid="{00000000-0005-0000-0000-0000D7BF0000}"/>
    <cellStyle name="Calculation 9 3 19 4 6" xfId="49143" xr:uid="{00000000-0005-0000-0000-0000D8BF0000}"/>
    <cellStyle name="Calculation 9 3 19 5" xfId="49144" xr:uid="{00000000-0005-0000-0000-0000D9BF0000}"/>
    <cellStyle name="Calculation 9 3 19 5 2" xfId="49145" xr:uid="{00000000-0005-0000-0000-0000DABF0000}"/>
    <cellStyle name="Calculation 9 3 19 5 3" xfId="49146" xr:uid="{00000000-0005-0000-0000-0000DBBF0000}"/>
    <cellStyle name="Calculation 9 3 19 5 4" xfId="49147" xr:uid="{00000000-0005-0000-0000-0000DCBF0000}"/>
    <cellStyle name="Calculation 9 3 19 5 5" xfId="49148" xr:uid="{00000000-0005-0000-0000-0000DDBF0000}"/>
    <cellStyle name="Calculation 9 3 19 5 6" xfId="49149" xr:uid="{00000000-0005-0000-0000-0000DEBF0000}"/>
    <cellStyle name="Calculation 9 3 19 6" xfId="49150" xr:uid="{00000000-0005-0000-0000-0000DFBF0000}"/>
    <cellStyle name="Calculation 9 3 19 6 2" xfId="49151" xr:uid="{00000000-0005-0000-0000-0000E0BF0000}"/>
    <cellStyle name="Calculation 9 3 19 6 3" xfId="49152" xr:uid="{00000000-0005-0000-0000-0000E1BF0000}"/>
    <cellStyle name="Calculation 9 3 19 6 4" xfId="49153" xr:uid="{00000000-0005-0000-0000-0000E2BF0000}"/>
    <cellStyle name="Calculation 9 3 19 6 5" xfId="49154" xr:uid="{00000000-0005-0000-0000-0000E3BF0000}"/>
    <cellStyle name="Calculation 9 3 19 6 6" xfId="49155" xr:uid="{00000000-0005-0000-0000-0000E4BF0000}"/>
    <cellStyle name="Calculation 9 3 19 7" xfId="49156" xr:uid="{00000000-0005-0000-0000-0000E5BF0000}"/>
    <cellStyle name="Calculation 9 3 19 7 2" xfId="49157" xr:uid="{00000000-0005-0000-0000-0000E6BF0000}"/>
    <cellStyle name="Calculation 9 3 19 7 3" xfId="49158" xr:uid="{00000000-0005-0000-0000-0000E7BF0000}"/>
    <cellStyle name="Calculation 9 3 19 7 4" xfId="49159" xr:uid="{00000000-0005-0000-0000-0000E8BF0000}"/>
    <cellStyle name="Calculation 9 3 19 7 5" xfId="49160" xr:uid="{00000000-0005-0000-0000-0000E9BF0000}"/>
    <cellStyle name="Calculation 9 3 19 7 6" xfId="49161" xr:uid="{00000000-0005-0000-0000-0000EABF0000}"/>
    <cellStyle name="Calculation 9 3 19 8" xfId="49162" xr:uid="{00000000-0005-0000-0000-0000EBBF0000}"/>
    <cellStyle name="Calculation 9 3 19 9" xfId="49163" xr:uid="{00000000-0005-0000-0000-0000ECBF0000}"/>
    <cellStyle name="Calculation 9 3 2" xfId="49164" xr:uid="{00000000-0005-0000-0000-0000EDBF0000}"/>
    <cellStyle name="Calculation 9 3 2 10" xfId="49165" xr:uid="{00000000-0005-0000-0000-0000EEBF0000}"/>
    <cellStyle name="Calculation 9 3 2 2" xfId="49166" xr:uid="{00000000-0005-0000-0000-0000EFBF0000}"/>
    <cellStyle name="Calculation 9 3 2 2 2" xfId="49167" xr:uid="{00000000-0005-0000-0000-0000F0BF0000}"/>
    <cellStyle name="Calculation 9 3 2 2 3" xfId="49168" xr:uid="{00000000-0005-0000-0000-0000F1BF0000}"/>
    <cellStyle name="Calculation 9 3 2 2 4" xfId="49169" xr:uid="{00000000-0005-0000-0000-0000F2BF0000}"/>
    <cellStyle name="Calculation 9 3 2 2 5" xfId="49170" xr:uid="{00000000-0005-0000-0000-0000F3BF0000}"/>
    <cellStyle name="Calculation 9 3 2 2 6" xfId="49171" xr:uid="{00000000-0005-0000-0000-0000F4BF0000}"/>
    <cellStyle name="Calculation 9 3 2 3" xfId="49172" xr:uid="{00000000-0005-0000-0000-0000F5BF0000}"/>
    <cellStyle name="Calculation 9 3 2 3 2" xfId="49173" xr:uid="{00000000-0005-0000-0000-0000F6BF0000}"/>
    <cellStyle name="Calculation 9 3 2 3 3" xfId="49174" xr:uid="{00000000-0005-0000-0000-0000F7BF0000}"/>
    <cellStyle name="Calculation 9 3 2 3 4" xfId="49175" xr:uid="{00000000-0005-0000-0000-0000F8BF0000}"/>
    <cellStyle name="Calculation 9 3 2 3 5" xfId="49176" xr:uid="{00000000-0005-0000-0000-0000F9BF0000}"/>
    <cellStyle name="Calculation 9 3 2 3 6" xfId="49177" xr:uid="{00000000-0005-0000-0000-0000FABF0000}"/>
    <cellStyle name="Calculation 9 3 2 4" xfId="49178" xr:uid="{00000000-0005-0000-0000-0000FBBF0000}"/>
    <cellStyle name="Calculation 9 3 2 4 2" xfId="49179" xr:uid="{00000000-0005-0000-0000-0000FCBF0000}"/>
    <cellStyle name="Calculation 9 3 2 4 3" xfId="49180" xr:uid="{00000000-0005-0000-0000-0000FDBF0000}"/>
    <cellStyle name="Calculation 9 3 2 4 4" xfId="49181" xr:uid="{00000000-0005-0000-0000-0000FEBF0000}"/>
    <cellStyle name="Calculation 9 3 2 4 5" xfId="49182" xr:uid="{00000000-0005-0000-0000-0000FFBF0000}"/>
    <cellStyle name="Calculation 9 3 2 4 6" xfId="49183" xr:uid="{00000000-0005-0000-0000-000000C00000}"/>
    <cellStyle name="Calculation 9 3 2 5" xfId="49184" xr:uid="{00000000-0005-0000-0000-000001C00000}"/>
    <cellStyle name="Calculation 9 3 2 5 2" xfId="49185" xr:uid="{00000000-0005-0000-0000-000002C00000}"/>
    <cellStyle name="Calculation 9 3 2 5 3" xfId="49186" xr:uid="{00000000-0005-0000-0000-000003C00000}"/>
    <cellStyle name="Calculation 9 3 2 5 4" xfId="49187" xr:uid="{00000000-0005-0000-0000-000004C00000}"/>
    <cellStyle name="Calculation 9 3 2 5 5" xfId="49188" xr:uid="{00000000-0005-0000-0000-000005C00000}"/>
    <cellStyle name="Calculation 9 3 2 5 6" xfId="49189" xr:uid="{00000000-0005-0000-0000-000006C00000}"/>
    <cellStyle name="Calculation 9 3 2 6" xfId="49190" xr:uid="{00000000-0005-0000-0000-000007C00000}"/>
    <cellStyle name="Calculation 9 3 2 6 2" xfId="49191" xr:uid="{00000000-0005-0000-0000-000008C00000}"/>
    <cellStyle name="Calculation 9 3 2 6 3" xfId="49192" xr:uid="{00000000-0005-0000-0000-000009C00000}"/>
    <cellStyle name="Calculation 9 3 2 6 4" xfId="49193" xr:uid="{00000000-0005-0000-0000-00000AC00000}"/>
    <cellStyle name="Calculation 9 3 2 6 5" xfId="49194" xr:uid="{00000000-0005-0000-0000-00000BC00000}"/>
    <cellStyle name="Calculation 9 3 2 6 6" xfId="49195" xr:uid="{00000000-0005-0000-0000-00000CC00000}"/>
    <cellStyle name="Calculation 9 3 2 7" xfId="49196" xr:uid="{00000000-0005-0000-0000-00000DC00000}"/>
    <cellStyle name="Calculation 9 3 2 7 2" xfId="49197" xr:uid="{00000000-0005-0000-0000-00000EC00000}"/>
    <cellStyle name="Calculation 9 3 2 7 3" xfId="49198" xr:uid="{00000000-0005-0000-0000-00000FC00000}"/>
    <cellStyle name="Calculation 9 3 2 7 4" xfId="49199" xr:uid="{00000000-0005-0000-0000-000010C00000}"/>
    <cellStyle name="Calculation 9 3 2 7 5" xfId="49200" xr:uid="{00000000-0005-0000-0000-000011C00000}"/>
    <cellStyle name="Calculation 9 3 2 7 6" xfId="49201" xr:uid="{00000000-0005-0000-0000-000012C00000}"/>
    <cellStyle name="Calculation 9 3 2 8" xfId="49202" xr:uid="{00000000-0005-0000-0000-000013C00000}"/>
    <cellStyle name="Calculation 9 3 2 9" xfId="49203" xr:uid="{00000000-0005-0000-0000-000014C00000}"/>
    <cellStyle name="Calculation 9 3 20" xfId="49204" xr:uid="{00000000-0005-0000-0000-000015C00000}"/>
    <cellStyle name="Calculation 9 3 20 10" xfId="49205" xr:uid="{00000000-0005-0000-0000-000016C00000}"/>
    <cellStyle name="Calculation 9 3 20 2" xfId="49206" xr:uid="{00000000-0005-0000-0000-000017C00000}"/>
    <cellStyle name="Calculation 9 3 20 2 2" xfId="49207" xr:uid="{00000000-0005-0000-0000-000018C00000}"/>
    <cellStyle name="Calculation 9 3 20 2 3" xfId="49208" xr:uid="{00000000-0005-0000-0000-000019C00000}"/>
    <cellStyle name="Calculation 9 3 20 2 4" xfId="49209" xr:uid="{00000000-0005-0000-0000-00001AC00000}"/>
    <cellStyle name="Calculation 9 3 20 2 5" xfId="49210" xr:uid="{00000000-0005-0000-0000-00001BC00000}"/>
    <cellStyle name="Calculation 9 3 20 2 6" xfId="49211" xr:uid="{00000000-0005-0000-0000-00001CC00000}"/>
    <cellStyle name="Calculation 9 3 20 3" xfId="49212" xr:uid="{00000000-0005-0000-0000-00001DC00000}"/>
    <cellStyle name="Calculation 9 3 20 3 2" xfId="49213" xr:uid="{00000000-0005-0000-0000-00001EC00000}"/>
    <cellStyle name="Calculation 9 3 20 3 3" xfId="49214" xr:uid="{00000000-0005-0000-0000-00001FC00000}"/>
    <cellStyle name="Calculation 9 3 20 3 4" xfId="49215" xr:uid="{00000000-0005-0000-0000-000020C00000}"/>
    <cellStyle name="Calculation 9 3 20 3 5" xfId="49216" xr:uid="{00000000-0005-0000-0000-000021C00000}"/>
    <cellStyle name="Calculation 9 3 20 3 6" xfId="49217" xr:uid="{00000000-0005-0000-0000-000022C00000}"/>
    <cellStyle name="Calculation 9 3 20 4" xfId="49218" xr:uid="{00000000-0005-0000-0000-000023C00000}"/>
    <cellStyle name="Calculation 9 3 20 4 2" xfId="49219" xr:uid="{00000000-0005-0000-0000-000024C00000}"/>
    <cellStyle name="Calculation 9 3 20 4 3" xfId="49220" xr:uid="{00000000-0005-0000-0000-000025C00000}"/>
    <cellStyle name="Calculation 9 3 20 4 4" xfId="49221" xr:uid="{00000000-0005-0000-0000-000026C00000}"/>
    <cellStyle name="Calculation 9 3 20 4 5" xfId="49222" xr:uid="{00000000-0005-0000-0000-000027C00000}"/>
    <cellStyle name="Calculation 9 3 20 4 6" xfId="49223" xr:uid="{00000000-0005-0000-0000-000028C00000}"/>
    <cellStyle name="Calculation 9 3 20 5" xfId="49224" xr:uid="{00000000-0005-0000-0000-000029C00000}"/>
    <cellStyle name="Calculation 9 3 20 5 2" xfId="49225" xr:uid="{00000000-0005-0000-0000-00002AC00000}"/>
    <cellStyle name="Calculation 9 3 20 5 3" xfId="49226" xr:uid="{00000000-0005-0000-0000-00002BC00000}"/>
    <cellStyle name="Calculation 9 3 20 5 4" xfId="49227" xr:uid="{00000000-0005-0000-0000-00002CC00000}"/>
    <cellStyle name="Calculation 9 3 20 5 5" xfId="49228" xr:uid="{00000000-0005-0000-0000-00002DC00000}"/>
    <cellStyle name="Calculation 9 3 20 5 6" xfId="49229" xr:uid="{00000000-0005-0000-0000-00002EC00000}"/>
    <cellStyle name="Calculation 9 3 20 6" xfId="49230" xr:uid="{00000000-0005-0000-0000-00002FC00000}"/>
    <cellStyle name="Calculation 9 3 20 6 2" xfId="49231" xr:uid="{00000000-0005-0000-0000-000030C00000}"/>
    <cellStyle name="Calculation 9 3 20 6 3" xfId="49232" xr:uid="{00000000-0005-0000-0000-000031C00000}"/>
    <cellStyle name="Calculation 9 3 20 6 4" xfId="49233" xr:uid="{00000000-0005-0000-0000-000032C00000}"/>
    <cellStyle name="Calculation 9 3 20 6 5" xfId="49234" xr:uid="{00000000-0005-0000-0000-000033C00000}"/>
    <cellStyle name="Calculation 9 3 20 6 6" xfId="49235" xr:uid="{00000000-0005-0000-0000-000034C00000}"/>
    <cellStyle name="Calculation 9 3 20 7" xfId="49236" xr:uid="{00000000-0005-0000-0000-000035C00000}"/>
    <cellStyle name="Calculation 9 3 20 7 2" xfId="49237" xr:uid="{00000000-0005-0000-0000-000036C00000}"/>
    <cellStyle name="Calculation 9 3 20 7 3" xfId="49238" xr:uid="{00000000-0005-0000-0000-000037C00000}"/>
    <cellStyle name="Calculation 9 3 20 7 4" xfId="49239" xr:uid="{00000000-0005-0000-0000-000038C00000}"/>
    <cellStyle name="Calculation 9 3 20 7 5" xfId="49240" xr:uid="{00000000-0005-0000-0000-000039C00000}"/>
    <cellStyle name="Calculation 9 3 20 7 6" xfId="49241" xr:uid="{00000000-0005-0000-0000-00003AC00000}"/>
    <cellStyle name="Calculation 9 3 20 8" xfId="49242" xr:uid="{00000000-0005-0000-0000-00003BC00000}"/>
    <cellStyle name="Calculation 9 3 20 9" xfId="49243" xr:uid="{00000000-0005-0000-0000-00003CC00000}"/>
    <cellStyle name="Calculation 9 3 21" xfId="49244" xr:uid="{00000000-0005-0000-0000-00003DC00000}"/>
    <cellStyle name="Calculation 9 3 21 10" xfId="49245" xr:uid="{00000000-0005-0000-0000-00003EC00000}"/>
    <cellStyle name="Calculation 9 3 21 2" xfId="49246" xr:uid="{00000000-0005-0000-0000-00003FC00000}"/>
    <cellStyle name="Calculation 9 3 21 2 2" xfId="49247" xr:uid="{00000000-0005-0000-0000-000040C00000}"/>
    <cellStyle name="Calculation 9 3 21 2 3" xfId="49248" xr:uid="{00000000-0005-0000-0000-000041C00000}"/>
    <cellStyle name="Calculation 9 3 21 2 4" xfId="49249" xr:uid="{00000000-0005-0000-0000-000042C00000}"/>
    <cellStyle name="Calculation 9 3 21 2 5" xfId="49250" xr:uid="{00000000-0005-0000-0000-000043C00000}"/>
    <cellStyle name="Calculation 9 3 21 2 6" xfId="49251" xr:uid="{00000000-0005-0000-0000-000044C00000}"/>
    <cellStyle name="Calculation 9 3 21 3" xfId="49252" xr:uid="{00000000-0005-0000-0000-000045C00000}"/>
    <cellStyle name="Calculation 9 3 21 3 2" xfId="49253" xr:uid="{00000000-0005-0000-0000-000046C00000}"/>
    <cellStyle name="Calculation 9 3 21 3 3" xfId="49254" xr:uid="{00000000-0005-0000-0000-000047C00000}"/>
    <cellStyle name="Calculation 9 3 21 3 4" xfId="49255" xr:uid="{00000000-0005-0000-0000-000048C00000}"/>
    <cellStyle name="Calculation 9 3 21 3 5" xfId="49256" xr:uid="{00000000-0005-0000-0000-000049C00000}"/>
    <cellStyle name="Calculation 9 3 21 3 6" xfId="49257" xr:uid="{00000000-0005-0000-0000-00004AC00000}"/>
    <cellStyle name="Calculation 9 3 21 4" xfId="49258" xr:uid="{00000000-0005-0000-0000-00004BC00000}"/>
    <cellStyle name="Calculation 9 3 21 4 2" xfId="49259" xr:uid="{00000000-0005-0000-0000-00004CC00000}"/>
    <cellStyle name="Calculation 9 3 21 4 3" xfId="49260" xr:uid="{00000000-0005-0000-0000-00004DC00000}"/>
    <cellStyle name="Calculation 9 3 21 4 4" xfId="49261" xr:uid="{00000000-0005-0000-0000-00004EC00000}"/>
    <cellStyle name="Calculation 9 3 21 4 5" xfId="49262" xr:uid="{00000000-0005-0000-0000-00004FC00000}"/>
    <cellStyle name="Calculation 9 3 21 4 6" xfId="49263" xr:uid="{00000000-0005-0000-0000-000050C00000}"/>
    <cellStyle name="Calculation 9 3 21 5" xfId="49264" xr:uid="{00000000-0005-0000-0000-000051C00000}"/>
    <cellStyle name="Calculation 9 3 21 5 2" xfId="49265" xr:uid="{00000000-0005-0000-0000-000052C00000}"/>
    <cellStyle name="Calculation 9 3 21 5 3" xfId="49266" xr:uid="{00000000-0005-0000-0000-000053C00000}"/>
    <cellStyle name="Calculation 9 3 21 5 4" xfId="49267" xr:uid="{00000000-0005-0000-0000-000054C00000}"/>
    <cellStyle name="Calculation 9 3 21 5 5" xfId="49268" xr:uid="{00000000-0005-0000-0000-000055C00000}"/>
    <cellStyle name="Calculation 9 3 21 5 6" xfId="49269" xr:uid="{00000000-0005-0000-0000-000056C00000}"/>
    <cellStyle name="Calculation 9 3 21 6" xfId="49270" xr:uid="{00000000-0005-0000-0000-000057C00000}"/>
    <cellStyle name="Calculation 9 3 21 6 2" xfId="49271" xr:uid="{00000000-0005-0000-0000-000058C00000}"/>
    <cellStyle name="Calculation 9 3 21 6 3" xfId="49272" xr:uid="{00000000-0005-0000-0000-000059C00000}"/>
    <cellStyle name="Calculation 9 3 21 6 4" xfId="49273" xr:uid="{00000000-0005-0000-0000-00005AC00000}"/>
    <cellStyle name="Calculation 9 3 21 6 5" xfId="49274" xr:uid="{00000000-0005-0000-0000-00005BC00000}"/>
    <cellStyle name="Calculation 9 3 21 6 6" xfId="49275" xr:uid="{00000000-0005-0000-0000-00005CC00000}"/>
    <cellStyle name="Calculation 9 3 21 7" xfId="49276" xr:uid="{00000000-0005-0000-0000-00005DC00000}"/>
    <cellStyle name="Calculation 9 3 21 7 2" xfId="49277" xr:uid="{00000000-0005-0000-0000-00005EC00000}"/>
    <cellStyle name="Calculation 9 3 21 7 3" xfId="49278" xr:uid="{00000000-0005-0000-0000-00005FC00000}"/>
    <cellStyle name="Calculation 9 3 21 7 4" xfId="49279" xr:uid="{00000000-0005-0000-0000-000060C00000}"/>
    <cellStyle name="Calculation 9 3 21 7 5" xfId="49280" xr:uid="{00000000-0005-0000-0000-000061C00000}"/>
    <cellStyle name="Calculation 9 3 21 7 6" xfId="49281" xr:uid="{00000000-0005-0000-0000-000062C00000}"/>
    <cellStyle name="Calculation 9 3 21 8" xfId="49282" xr:uid="{00000000-0005-0000-0000-000063C00000}"/>
    <cellStyle name="Calculation 9 3 21 9" xfId="49283" xr:uid="{00000000-0005-0000-0000-000064C00000}"/>
    <cellStyle name="Calculation 9 3 22" xfId="49284" xr:uid="{00000000-0005-0000-0000-000065C00000}"/>
    <cellStyle name="Calculation 9 3 22 10" xfId="49285" xr:uid="{00000000-0005-0000-0000-000066C00000}"/>
    <cellStyle name="Calculation 9 3 22 2" xfId="49286" xr:uid="{00000000-0005-0000-0000-000067C00000}"/>
    <cellStyle name="Calculation 9 3 22 2 2" xfId="49287" xr:uid="{00000000-0005-0000-0000-000068C00000}"/>
    <cellStyle name="Calculation 9 3 22 2 3" xfId="49288" xr:uid="{00000000-0005-0000-0000-000069C00000}"/>
    <cellStyle name="Calculation 9 3 22 2 4" xfId="49289" xr:uid="{00000000-0005-0000-0000-00006AC00000}"/>
    <cellStyle name="Calculation 9 3 22 2 5" xfId="49290" xr:uid="{00000000-0005-0000-0000-00006BC00000}"/>
    <cellStyle name="Calculation 9 3 22 2 6" xfId="49291" xr:uid="{00000000-0005-0000-0000-00006CC00000}"/>
    <cellStyle name="Calculation 9 3 22 3" xfId="49292" xr:uid="{00000000-0005-0000-0000-00006DC00000}"/>
    <cellStyle name="Calculation 9 3 22 3 2" xfId="49293" xr:uid="{00000000-0005-0000-0000-00006EC00000}"/>
    <cellStyle name="Calculation 9 3 22 3 3" xfId="49294" xr:uid="{00000000-0005-0000-0000-00006FC00000}"/>
    <cellStyle name="Calculation 9 3 22 3 4" xfId="49295" xr:uid="{00000000-0005-0000-0000-000070C00000}"/>
    <cellStyle name="Calculation 9 3 22 3 5" xfId="49296" xr:uid="{00000000-0005-0000-0000-000071C00000}"/>
    <cellStyle name="Calculation 9 3 22 3 6" xfId="49297" xr:uid="{00000000-0005-0000-0000-000072C00000}"/>
    <cellStyle name="Calculation 9 3 22 4" xfId="49298" xr:uid="{00000000-0005-0000-0000-000073C00000}"/>
    <cellStyle name="Calculation 9 3 22 4 2" xfId="49299" xr:uid="{00000000-0005-0000-0000-000074C00000}"/>
    <cellStyle name="Calculation 9 3 22 4 3" xfId="49300" xr:uid="{00000000-0005-0000-0000-000075C00000}"/>
    <cellStyle name="Calculation 9 3 22 4 4" xfId="49301" xr:uid="{00000000-0005-0000-0000-000076C00000}"/>
    <cellStyle name="Calculation 9 3 22 4 5" xfId="49302" xr:uid="{00000000-0005-0000-0000-000077C00000}"/>
    <cellStyle name="Calculation 9 3 22 4 6" xfId="49303" xr:uid="{00000000-0005-0000-0000-000078C00000}"/>
    <cellStyle name="Calculation 9 3 22 5" xfId="49304" xr:uid="{00000000-0005-0000-0000-000079C00000}"/>
    <cellStyle name="Calculation 9 3 22 5 2" xfId="49305" xr:uid="{00000000-0005-0000-0000-00007AC00000}"/>
    <cellStyle name="Calculation 9 3 22 5 3" xfId="49306" xr:uid="{00000000-0005-0000-0000-00007BC00000}"/>
    <cellStyle name="Calculation 9 3 22 5 4" xfId="49307" xr:uid="{00000000-0005-0000-0000-00007CC00000}"/>
    <cellStyle name="Calculation 9 3 22 5 5" xfId="49308" xr:uid="{00000000-0005-0000-0000-00007DC00000}"/>
    <cellStyle name="Calculation 9 3 22 5 6" xfId="49309" xr:uid="{00000000-0005-0000-0000-00007EC00000}"/>
    <cellStyle name="Calculation 9 3 22 6" xfId="49310" xr:uid="{00000000-0005-0000-0000-00007FC00000}"/>
    <cellStyle name="Calculation 9 3 22 6 2" xfId="49311" xr:uid="{00000000-0005-0000-0000-000080C00000}"/>
    <cellStyle name="Calculation 9 3 22 6 3" xfId="49312" xr:uid="{00000000-0005-0000-0000-000081C00000}"/>
    <cellStyle name="Calculation 9 3 22 6 4" xfId="49313" xr:uid="{00000000-0005-0000-0000-000082C00000}"/>
    <cellStyle name="Calculation 9 3 22 6 5" xfId="49314" xr:uid="{00000000-0005-0000-0000-000083C00000}"/>
    <cellStyle name="Calculation 9 3 22 6 6" xfId="49315" xr:uid="{00000000-0005-0000-0000-000084C00000}"/>
    <cellStyle name="Calculation 9 3 22 7" xfId="49316" xr:uid="{00000000-0005-0000-0000-000085C00000}"/>
    <cellStyle name="Calculation 9 3 22 7 2" xfId="49317" xr:uid="{00000000-0005-0000-0000-000086C00000}"/>
    <cellStyle name="Calculation 9 3 22 7 3" xfId="49318" xr:uid="{00000000-0005-0000-0000-000087C00000}"/>
    <cellStyle name="Calculation 9 3 22 7 4" xfId="49319" xr:uid="{00000000-0005-0000-0000-000088C00000}"/>
    <cellStyle name="Calculation 9 3 22 7 5" xfId="49320" xr:uid="{00000000-0005-0000-0000-000089C00000}"/>
    <cellStyle name="Calculation 9 3 22 7 6" xfId="49321" xr:uid="{00000000-0005-0000-0000-00008AC00000}"/>
    <cellStyle name="Calculation 9 3 22 8" xfId="49322" xr:uid="{00000000-0005-0000-0000-00008BC00000}"/>
    <cellStyle name="Calculation 9 3 22 9" xfId="49323" xr:uid="{00000000-0005-0000-0000-00008CC00000}"/>
    <cellStyle name="Calculation 9 3 23" xfId="49324" xr:uid="{00000000-0005-0000-0000-00008DC00000}"/>
    <cellStyle name="Calculation 9 3 23 10" xfId="49325" xr:uid="{00000000-0005-0000-0000-00008EC00000}"/>
    <cellStyle name="Calculation 9 3 23 2" xfId="49326" xr:uid="{00000000-0005-0000-0000-00008FC00000}"/>
    <cellStyle name="Calculation 9 3 23 2 2" xfId="49327" xr:uid="{00000000-0005-0000-0000-000090C00000}"/>
    <cellStyle name="Calculation 9 3 23 2 3" xfId="49328" xr:uid="{00000000-0005-0000-0000-000091C00000}"/>
    <cellStyle name="Calculation 9 3 23 2 4" xfId="49329" xr:uid="{00000000-0005-0000-0000-000092C00000}"/>
    <cellStyle name="Calculation 9 3 23 2 5" xfId="49330" xr:uid="{00000000-0005-0000-0000-000093C00000}"/>
    <cellStyle name="Calculation 9 3 23 2 6" xfId="49331" xr:uid="{00000000-0005-0000-0000-000094C00000}"/>
    <cellStyle name="Calculation 9 3 23 3" xfId="49332" xr:uid="{00000000-0005-0000-0000-000095C00000}"/>
    <cellStyle name="Calculation 9 3 23 3 2" xfId="49333" xr:uid="{00000000-0005-0000-0000-000096C00000}"/>
    <cellStyle name="Calculation 9 3 23 3 3" xfId="49334" xr:uid="{00000000-0005-0000-0000-000097C00000}"/>
    <cellStyle name="Calculation 9 3 23 3 4" xfId="49335" xr:uid="{00000000-0005-0000-0000-000098C00000}"/>
    <cellStyle name="Calculation 9 3 23 3 5" xfId="49336" xr:uid="{00000000-0005-0000-0000-000099C00000}"/>
    <cellStyle name="Calculation 9 3 23 3 6" xfId="49337" xr:uid="{00000000-0005-0000-0000-00009AC00000}"/>
    <cellStyle name="Calculation 9 3 23 4" xfId="49338" xr:uid="{00000000-0005-0000-0000-00009BC00000}"/>
    <cellStyle name="Calculation 9 3 23 4 2" xfId="49339" xr:uid="{00000000-0005-0000-0000-00009CC00000}"/>
    <cellStyle name="Calculation 9 3 23 4 3" xfId="49340" xr:uid="{00000000-0005-0000-0000-00009DC00000}"/>
    <cellStyle name="Calculation 9 3 23 4 4" xfId="49341" xr:uid="{00000000-0005-0000-0000-00009EC00000}"/>
    <cellStyle name="Calculation 9 3 23 4 5" xfId="49342" xr:uid="{00000000-0005-0000-0000-00009FC00000}"/>
    <cellStyle name="Calculation 9 3 23 4 6" xfId="49343" xr:uid="{00000000-0005-0000-0000-0000A0C00000}"/>
    <cellStyle name="Calculation 9 3 23 5" xfId="49344" xr:uid="{00000000-0005-0000-0000-0000A1C00000}"/>
    <cellStyle name="Calculation 9 3 23 5 2" xfId="49345" xr:uid="{00000000-0005-0000-0000-0000A2C00000}"/>
    <cellStyle name="Calculation 9 3 23 5 3" xfId="49346" xr:uid="{00000000-0005-0000-0000-0000A3C00000}"/>
    <cellStyle name="Calculation 9 3 23 5 4" xfId="49347" xr:uid="{00000000-0005-0000-0000-0000A4C00000}"/>
    <cellStyle name="Calculation 9 3 23 5 5" xfId="49348" xr:uid="{00000000-0005-0000-0000-0000A5C00000}"/>
    <cellStyle name="Calculation 9 3 23 5 6" xfId="49349" xr:uid="{00000000-0005-0000-0000-0000A6C00000}"/>
    <cellStyle name="Calculation 9 3 23 6" xfId="49350" xr:uid="{00000000-0005-0000-0000-0000A7C00000}"/>
    <cellStyle name="Calculation 9 3 23 6 2" xfId="49351" xr:uid="{00000000-0005-0000-0000-0000A8C00000}"/>
    <cellStyle name="Calculation 9 3 23 6 3" xfId="49352" xr:uid="{00000000-0005-0000-0000-0000A9C00000}"/>
    <cellStyle name="Calculation 9 3 23 6 4" xfId="49353" xr:uid="{00000000-0005-0000-0000-0000AAC00000}"/>
    <cellStyle name="Calculation 9 3 23 6 5" xfId="49354" xr:uid="{00000000-0005-0000-0000-0000ABC00000}"/>
    <cellStyle name="Calculation 9 3 23 6 6" xfId="49355" xr:uid="{00000000-0005-0000-0000-0000ACC00000}"/>
    <cellStyle name="Calculation 9 3 23 7" xfId="49356" xr:uid="{00000000-0005-0000-0000-0000ADC00000}"/>
    <cellStyle name="Calculation 9 3 23 7 2" xfId="49357" xr:uid="{00000000-0005-0000-0000-0000AEC00000}"/>
    <cellStyle name="Calculation 9 3 23 7 3" xfId="49358" xr:uid="{00000000-0005-0000-0000-0000AFC00000}"/>
    <cellStyle name="Calculation 9 3 23 7 4" xfId="49359" xr:uid="{00000000-0005-0000-0000-0000B0C00000}"/>
    <cellStyle name="Calculation 9 3 23 7 5" xfId="49360" xr:uid="{00000000-0005-0000-0000-0000B1C00000}"/>
    <cellStyle name="Calculation 9 3 23 7 6" xfId="49361" xr:uid="{00000000-0005-0000-0000-0000B2C00000}"/>
    <cellStyle name="Calculation 9 3 23 8" xfId="49362" xr:uid="{00000000-0005-0000-0000-0000B3C00000}"/>
    <cellStyle name="Calculation 9 3 23 9" xfId="49363" xr:uid="{00000000-0005-0000-0000-0000B4C00000}"/>
    <cellStyle name="Calculation 9 3 24" xfId="49364" xr:uid="{00000000-0005-0000-0000-0000B5C00000}"/>
    <cellStyle name="Calculation 9 3 24 10" xfId="49365" xr:uid="{00000000-0005-0000-0000-0000B6C00000}"/>
    <cellStyle name="Calculation 9 3 24 2" xfId="49366" xr:uid="{00000000-0005-0000-0000-0000B7C00000}"/>
    <cellStyle name="Calculation 9 3 24 2 2" xfId="49367" xr:uid="{00000000-0005-0000-0000-0000B8C00000}"/>
    <cellStyle name="Calculation 9 3 24 2 3" xfId="49368" xr:uid="{00000000-0005-0000-0000-0000B9C00000}"/>
    <cellStyle name="Calculation 9 3 24 2 4" xfId="49369" xr:uid="{00000000-0005-0000-0000-0000BAC00000}"/>
    <cellStyle name="Calculation 9 3 24 2 5" xfId="49370" xr:uid="{00000000-0005-0000-0000-0000BBC00000}"/>
    <cellStyle name="Calculation 9 3 24 2 6" xfId="49371" xr:uid="{00000000-0005-0000-0000-0000BCC00000}"/>
    <cellStyle name="Calculation 9 3 24 3" xfId="49372" xr:uid="{00000000-0005-0000-0000-0000BDC00000}"/>
    <cellStyle name="Calculation 9 3 24 3 2" xfId="49373" xr:uid="{00000000-0005-0000-0000-0000BEC00000}"/>
    <cellStyle name="Calculation 9 3 24 3 3" xfId="49374" xr:uid="{00000000-0005-0000-0000-0000BFC00000}"/>
    <cellStyle name="Calculation 9 3 24 3 4" xfId="49375" xr:uid="{00000000-0005-0000-0000-0000C0C00000}"/>
    <cellStyle name="Calculation 9 3 24 3 5" xfId="49376" xr:uid="{00000000-0005-0000-0000-0000C1C00000}"/>
    <cellStyle name="Calculation 9 3 24 3 6" xfId="49377" xr:uid="{00000000-0005-0000-0000-0000C2C00000}"/>
    <cellStyle name="Calculation 9 3 24 4" xfId="49378" xr:uid="{00000000-0005-0000-0000-0000C3C00000}"/>
    <cellStyle name="Calculation 9 3 24 4 2" xfId="49379" xr:uid="{00000000-0005-0000-0000-0000C4C00000}"/>
    <cellStyle name="Calculation 9 3 24 4 3" xfId="49380" xr:uid="{00000000-0005-0000-0000-0000C5C00000}"/>
    <cellStyle name="Calculation 9 3 24 4 4" xfId="49381" xr:uid="{00000000-0005-0000-0000-0000C6C00000}"/>
    <cellStyle name="Calculation 9 3 24 4 5" xfId="49382" xr:uid="{00000000-0005-0000-0000-0000C7C00000}"/>
    <cellStyle name="Calculation 9 3 24 4 6" xfId="49383" xr:uid="{00000000-0005-0000-0000-0000C8C00000}"/>
    <cellStyle name="Calculation 9 3 24 5" xfId="49384" xr:uid="{00000000-0005-0000-0000-0000C9C00000}"/>
    <cellStyle name="Calculation 9 3 24 5 2" xfId="49385" xr:uid="{00000000-0005-0000-0000-0000CAC00000}"/>
    <cellStyle name="Calculation 9 3 24 5 3" xfId="49386" xr:uid="{00000000-0005-0000-0000-0000CBC00000}"/>
    <cellStyle name="Calculation 9 3 24 5 4" xfId="49387" xr:uid="{00000000-0005-0000-0000-0000CCC00000}"/>
    <cellStyle name="Calculation 9 3 24 5 5" xfId="49388" xr:uid="{00000000-0005-0000-0000-0000CDC00000}"/>
    <cellStyle name="Calculation 9 3 24 5 6" xfId="49389" xr:uid="{00000000-0005-0000-0000-0000CEC00000}"/>
    <cellStyle name="Calculation 9 3 24 6" xfId="49390" xr:uid="{00000000-0005-0000-0000-0000CFC00000}"/>
    <cellStyle name="Calculation 9 3 24 6 2" xfId="49391" xr:uid="{00000000-0005-0000-0000-0000D0C00000}"/>
    <cellStyle name="Calculation 9 3 24 6 3" xfId="49392" xr:uid="{00000000-0005-0000-0000-0000D1C00000}"/>
    <cellStyle name="Calculation 9 3 24 6 4" xfId="49393" xr:uid="{00000000-0005-0000-0000-0000D2C00000}"/>
    <cellStyle name="Calculation 9 3 24 6 5" xfId="49394" xr:uid="{00000000-0005-0000-0000-0000D3C00000}"/>
    <cellStyle name="Calculation 9 3 24 6 6" xfId="49395" xr:uid="{00000000-0005-0000-0000-0000D4C00000}"/>
    <cellStyle name="Calculation 9 3 24 7" xfId="49396" xr:uid="{00000000-0005-0000-0000-0000D5C00000}"/>
    <cellStyle name="Calculation 9 3 24 7 2" xfId="49397" xr:uid="{00000000-0005-0000-0000-0000D6C00000}"/>
    <cellStyle name="Calculation 9 3 24 7 3" xfId="49398" xr:uid="{00000000-0005-0000-0000-0000D7C00000}"/>
    <cellStyle name="Calculation 9 3 24 7 4" xfId="49399" xr:uid="{00000000-0005-0000-0000-0000D8C00000}"/>
    <cellStyle name="Calculation 9 3 24 7 5" xfId="49400" xr:uid="{00000000-0005-0000-0000-0000D9C00000}"/>
    <cellStyle name="Calculation 9 3 24 7 6" xfId="49401" xr:uid="{00000000-0005-0000-0000-0000DAC00000}"/>
    <cellStyle name="Calculation 9 3 24 8" xfId="49402" xr:uid="{00000000-0005-0000-0000-0000DBC00000}"/>
    <cellStyle name="Calculation 9 3 24 9" xfId="49403" xr:uid="{00000000-0005-0000-0000-0000DCC00000}"/>
    <cellStyle name="Calculation 9 3 25" xfId="49404" xr:uid="{00000000-0005-0000-0000-0000DDC00000}"/>
    <cellStyle name="Calculation 9 3 25 10" xfId="49405" xr:uid="{00000000-0005-0000-0000-0000DEC00000}"/>
    <cellStyle name="Calculation 9 3 25 2" xfId="49406" xr:uid="{00000000-0005-0000-0000-0000DFC00000}"/>
    <cellStyle name="Calculation 9 3 25 2 2" xfId="49407" xr:uid="{00000000-0005-0000-0000-0000E0C00000}"/>
    <cellStyle name="Calculation 9 3 25 2 3" xfId="49408" xr:uid="{00000000-0005-0000-0000-0000E1C00000}"/>
    <cellStyle name="Calculation 9 3 25 2 4" xfId="49409" xr:uid="{00000000-0005-0000-0000-0000E2C00000}"/>
    <cellStyle name="Calculation 9 3 25 2 5" xfId="49410" xr:uid="{00000000-0005-0000-0000-0000E3C00000}"/>
    <cellStyle name="Calculation 9 3 25 2 6" xfId="49411" xr:uid="{00000000-0005-0000-0000-0000E4C00000}"/>
    <cellStyle name="Calculation 9 3 25 3" xfId="49412" xr:uid="{00000000-0005-0000-0000-0000E5C00000}"/>
    <cellStyle name="Calculation 9 3 25 3 2" xfId="49413" xr:uid="{00000000-0005-0000-0000-0000E6C00000}"/>
    <cellStyle name="Calculation 9 3 25 3 3" xfId="49414" xr:uid="{00000000-0005-0000-0000-0000E7C00000}"/>
    <cellStyle name="Calculation 9 3 25 3 4" xfId="49415" xr:uid="{00000000-0005-0000-0000-0000E8C00000}"/>
    <cellStyle name="Calculation 9 3 25 3 5" xfId="49416" xr:uid="{00000000-0005-0000-0000-0000E9C00000}"/>
    <cellStyle name="Calculation 9 3 25 3 6" xfId="49417" xr:uid="{00000000-0005-0000-0000-0000EAC00000}"/>
    <cellStyle name="Calculation 9 3 25 4" xfId="49418" xr:uid="{00000000-0005-0000-0000-0000EBC00000}"/>
    <cellStyle name="Calculation 9 3 25 4 2" xfId="49419" xr:uid="{00000000-0005-0000-0000-0000ECC00000}"/>
    <cellStyle name="Calculation 9 3 25 4 3" xfId="49420" xr:uid="{00000000-0005-0000-0000-0000EDC00000}"/>
    <cellStyle name="Calculation 9 3 25 4 4" xfId="49421" xr:uid="{00000000-0005-0000-0000-0000EEC00000}"/>
    <cellStyle name="Calculation 9 3 25 4 5" xfId="49422" xr:uid="{00000000-0005-0000-0000-0000EFC00000}"/>
    <cellStyle name="Calculation 9 3 25 4 6" xfId="49423" xr:uid="{00000000-0005-0000-0000-0000F0C00000}"/>
    <cellStyle name="Calculation 9 3 25 5" xfId="49424" xr:uid="{00000000-0005-0000-0000-0000F1C00000}"/>
    <cellStyle name="Calculation 9 3 25 5 2" xfId="49425" xr:uid="{00000000-0005-0000-0000-0000F2C00000}"/>
    <cellStyle name="Calculation 9 3 25 5 3" xfId="49426" xr:uid="{00000000-0005-0000-0000-0000F3C00000}"/>
    <cellStyle name="Calculation 9 3 25 5 4" xfId="49427" xr:uid="{00000000-0005-0000-0000-0000F4C00000}"/>
    <cellStyle name="Calculation 9 3 25 5 5" xfId="49428" xr:uid="{00000000-0005-0000-0000-0000F5C00000}"/>
    <cellStyle name="Calculation 9 3 25 5 6" xfId="49429" xr:uid="{00000000-0005-0000-0000-0000F6C00000}"/>
    <cellStyle name="Calculation 9 3 25 6" xfId="49430" xr:uid="{00000000-0005-0000-0000-0000F7C00000}"/>
    <cellStyle name="Calculation 9 3 25 6 2" xfId="49431" xr:uid="{00000000-0005-0000-0000-0000F8C00000}"/>
    <cellStyle name="Calculation 9 3 25 6 3" xfId="49432" xr:uid="{00000000-0005-0000-0000-0000F9C00000}"/>
    <cellStyle name="Calculation 9 3 25 6 4" xfId="49433" xr:uid="{00000000-0005-0000-0000-0000FAC00000}"/>
    <cellStyle name="Calculation 9 3 25 6 5" xfId="49434" xr:uid="{00000000-0005-0000-0000-0000FBC00000}"/>
    <cellStyle name="Calculation 9 3 25 6 6" xfId="49435" xr:uid="{00000000-0005-0000-0000-0000FCC00000}"/>
    <cellStyle name="Calculation 9 3 25 7" xfId="49436" xr:uid="{00000000-0005-0000-0000-0000FDC00000}"/>
    <cellStyle name="Calculation 9 3 25 7 2" xfId="49437" xr:uid="{00000000-0005-0000-0000-0000FEC00000}"/>
    <cellStyle name="Calculation 9 3 25 7 3" xfId="49438" xr:uid="{00000000-0005-0000-0000-0000FFC00000}"/>
    <cellStyle name="Calculation 9 3 25 7 4" xfId="49439" xr:uid="{00000000-0005-0000-0000-000000C10000}"/>
    <cellStyle name="Calculation 9 3 25 7 5" xfId="49440" xr:uid="{00000000-0005-0000-0000-000001C10000}"/>
    <cellStyle name="Calculation 9 3 25 7 6" xfId="49441" xr:uid="{00000000-0005-0000-0000-000002C10000}"/>
    <cellStyle name="Calculation 9 3 25 8" xfId="49442" xr:uid="{00000000-0005-0000-0000-000003C10000}"/>
    <cellStyle name="Calculation 9 3 25 9" xfId="49443" xr:uid="{00000000-0005-0000-0000-000004C10000}"/>
    <cellStyle name="Calculation 9 3 26" xfId="49444" xr:uid="{00000000-0005-0000-0000-000005C10000}"/>
    <cellStyle name="Calculation 9 3 26 10" xfId="49445" xr:uid="{00000000-0005-0000-0000-000006C10000}"/>
    <cellStyle name="Calculation 9 3 26 2" xfId="49446" xr:uid="{00000000-0005-0000-0000-000007C10000}"/>
    <cellStyle name="Calculation 9 3 26 2 2" xfId="49447" xr:uid="{00000000-0005-0000-0000-000008C10000}"/>
    <cellStyle name="Calculation 9 3 26 2 3" xfId="49448" xr:uid="{00000000-0005-0000-0000-000009C10000}"/>
    <cellStyle name="Calculation 9 3 26 2 4" xfId="49449" xr:uid="{00000000-0005-0000-0000-00000AC10000}"/>
    <cellStyle name="Calculation 9 3 26 2 5" xfId="49450" xr:uid="{00000000-0005-0000-0000-00000BC10000}"/>
    <cellStyle name="Calculation 9 3 26 2 6" xfId="49451" xr:uid="{00000000-0005-0000-0000-00000CC10000}"/>
    <cellStyle name="Calculation 9 3 26 3" xfId="49452" xr:uid="{00000000-0005-0000-0000-00000DC10000}"/>
    <cellStyle name="Calculation 9 3 26 3 2" xfId="49453" xr:uid="{00000000-0005-0000-0000-00000EC10000}"/>
    <cellStyle name="Calculation 9 3 26 3 3" xfId="49454" xr:uid="{00000000-0005-0000-0000-00000FC10000}"/>
    <cellStyle name="Calculation 9 3 26 3 4" xfId="49455" xr:uid="{00000000-0005-0000-0000-000010C10000}"/>
    <cellStyle name="Calculation 9 3 26 3 5" xfId="49456" xr:uid="{00000000-0005-0000-0000-000011C10000}"/>
    <cellStyle name="Calculation 9 3 26 3 6" xfId="49457" xr:uid="{00000000-0005-0000-0000-000012C10000}"/>
    <cellStyle name="Calculation 9 3 26 4" xfId="49458" xr:uid="{00000000-0005-0000-0000-000013C10000}"/>
    <cellStyle name="Calculation 9 3 26 4 2" xfId="49459" xr:uid="{00000000-0005-0000-0000-000014C10000}"/>
    <cellStyle name="Calculation 9 3 26 4 3" xfId="49460" xr:uid="{00000000-0005-0000-0000-000015C10000}"/>
    <cellStyle name="Calculation 9 3 26 4 4" xfId="49461" xr:uid="{00000000-0005-0000-0000-000016C10000}"/>
    <cellStyle name="Calculation 9 3 26 4 5" xfId="49462" xr:uid="{00000000-0005-0000-0000-000017C10000}"/>
    <cellStyle name="Calculation 9 3 26 4 6" xfId="49463" xr:uid="{00000000-0005-0000-0000-000018C10000}"/>
    <cellStyle name="Calculation 9 3 26 5" xfId="49464" xr:uid="{00000000-0005-0000-0000-000019C10000}"/>
    <cellStyle name="Calculation 9 3 26 5 2" xfId="49465" xr:uid="{00000000-0005-0000-0000-00001AC10000}"/>
    <cellStyle name="Calculation 9 3 26 5 3" xfId="49466" xr:uid="{00000000-0005-0000-0000-00001BC10000}"/>
    <cellStyle name="Calculation 9 3 26 5 4" xfId="49467" xr:uid="{00000000-0005-0000-0000-00001CC10000}"/>
    <cellStyle name="Calculation 9 3 26 5 5" xfId="49468" xr:uid="{00000000-0005-0000-0000-00001DC10000}"/>
    <cellStyle name="Calculation 9 3 26 5 6" xfId="49469" xr:uid="{00000000-0005-0000-0000-00001EC10000}"/>
    <cellStyle name="Calculation 9 3 26 6" xfId="49470" xr:uid="{00000000-0005-0000-0000-00001FC10000}"/>
    <cellStyle name="Calculation 9 3 26 6 2" xfId="49471" xr:uid="{00000000-0005-0000-0000-000020C10000}"/>
    <cellStyle name="Calculation 9 3 26 6 3" xfId="49472" xr:uid="{00000000-0005-0000-0000-000021C10000}"/>
    <cellStyle name="Calculation 9 3 26 6 4" xfId="49473" xr:uid="{00000000-0005-0000-0000-000022C10000}"/>
    <cellStyle name="Calculation 9 3 26 6 5" xfId="49474" xr:uid="{00000000-0005-0000-0000-000023C10000}"/>
    <cellStyle name="Calculation 9 3 26 6 6" xfId="49475" xr:uid="{00000000-0005-0000-0000-000024C10000}"/>
    <cellStyle name="Calculation 9 3 26 7" xfId="49476" xr:uid="{00000000-0005-0000-0000-000025C10000}"/>
    <cellStyle name="Calculation 9 3 26 7 2" xfId="49477" xr:uid="{00000000-0005-0000-0000-000026C10000}"/>
    <cellStyle name="Calculation 9 3 26 7 3" xfId="49478" xr:uid="{00000000-0005-0000-0000-000027C10000}"/>
    <cellStyle name="Calculation 9 3 26 7 4" xfId="49479" xr:uid="{00000000-0005-0000-0000-000028C10000}"/>
    <cellStyle name="Calculation 9 3 26 7 5" xfId="49480" xr:uid="{00000000-0005-0000-0000-000029C10000}"/>
    <cellStyle name="Calculation 9 3 26 7 6" xfId="49481" xr:uid="{00000000-0005-0000-0000-00002AC10000}"/>
    <cellStyle name="Calculation 9 3 26 8" xfId="49482" xr:uid="{00000000-0005-0000-0000-00002BC10000}"/>
    <cellStyle name="Calculation 9 3 26 9" xfId="49483" xr:uid="{00000000-0005-0000-0000-00002CC10000}"/>
    <cellStyle name="Calculation 9 3 27" xfId="49484" xr:uid="{00000000-0005-0000-0000-00002DC10000}"/>
    <cellStyle name="Calculation 9 3 27 2" xfId="49485" xr:uid="{00000000-0005-0000-0000-00002EC10000}"/>
    <cellStyle name="Calculation 9 3 27 3" xfId="49486" xr:uid="{00000000-0005-0000-0000-00002FC10000}"/>
    <cellStyle name="Calculation 9 3 27 4" xfId="49487" xr:uid="{00000000-0005-0000-0000-000030C10000}"/>
    <cellStyle name="Calculation 9 3 27 5" xfId="49488" xr:uid="{00000000-0005-0000-0000-000031C10000}"/>
    <cellStyle name="Calculation 9 3 27 6" xfId="49489" xr:uid="{00000000-0005-0000-0000-000032C10000}"/>
    <cellStyle name="Calculation 9 3 28" xfId="49490" xr:uid="{00000000-0005-0000-0000-000033C10000}"/>
    <cellStyle name="Calculation 9 3 28 2" xfId="49491" xr:uid="{00000000-0005-0000-0000-000034C10000}"/>
    <cellStyle name="Calculation 9 3 28 3" xfId="49492" xr:uid="{00000000-0005-0000-0000-000035C10000}"/>
    <cellStyle name="Calculation 9 3 28 4" xfId="49493" xr:uid="{00000000-0005-0000-0000-000036C10000}"/>
    <cellStyle name="Calculation 9 3 28 5" xfId="49494" xr:uid="{00000000-0005-0000-0000-000037C10000}"/>
    <cellStyle name="Calculation 9 3 28 6" xfId="49495" xr:uid="{00000000-0005-0000-0000-000038C10000}"/>
    <cellStyle name="Calculation 9 3 29" xfId="49496" xr:uid="{00000000-0005-0000-0000-000039C10000}"/>
    <cellStyle name="Calculation 9 3 29 2" xfId="49497" xr:uid="{00000000-0005-0000-0000-00003AC10000}"/>
    <cellStyle name="Calculation 9 3 29 3" xfId="49498" xr:uid="{00000000-0005-0000-0000-00003BC10000}"/>
    <cellStyle name="Calculation 9 3 29 4" xfId="49499" xr:uid="{00000000-0005-0000-0000-00003CC10000}"/>
    <cellStyle name="Calculation 9 3 29 5" xfId="49500" xr:uid="{00000000-0005-0000-0000-00003DC10000}"/>
    <cellStyle name="Calculation 9 3 29 6" xfId="49501" xr:uid="{00000000-0005-0000-0000-00003EC10000}"/>
    <cellStyle name="Calculation 9 3 3" xfId="49502" xr:uid="{00000000-0005-0000-0000-00003FC10000}"/>
    <cellStyle name="Calculation 9 3 3 10" xfId="49503" xr:uid="{00000000-0005-0000-0000-000040C10000}"/>
    <cellStyle name="Calculation 9 3 3 2" xfId="49504" xr:uid="{00000000-0005-0000-0000-000041C10000}"/>
    <cellStyle name="Calculation 9 3 3 2 2" xfId="49505" xr:uid="{00000000-0005-0000-0000-000042C10000}"/>
    <cellStyle name="Calculation 9 3 3 2 3" xfId="49506" xr:uid="{00000000-0005-0000-0000-000043C10000}"/>
    <cellStyle name="Calculation 9 3 3 2 4" xfId="49507" xr:uid="{00000000-0005-0000-0000-000044C10000}"/>
    <cellStyle name="Calculation 9 3 3 2 5" xfId="49508" xr:uid="{00000000-0005-0000-0000-000045C10000}"/>
    <cellStyle name="Calculation 9 3 3 2 6" xfId="49509" xr:uid="{00000000-0005-0000-0000-000046C10000}"/>
    <cellStyle name="Calculation 9 3 3 3" xfId="49510" xr:uid="{00000000-0005-0000-0000-000047C10000}"/>
    <cellStyle name="Calculation 9 3 3 3 2" xfId="49511" xr:uid="{00000000-0005-0000-0000-000048C10000}"/>
    <cellStyle name="Calculation 9 3 3 3 3" xfId="49512" xr:uid="{00000000-0005-0000-0000-000049C10000}"/>
    <cellStyle name="Calculation 9 3 3 3 4" xfId="49513" xr:uid="{00000000-0005-0000-0000-00004AC10000}"/>
    <cellStyle name="Calculation 9 3 3 3 5" xfId="49514" xr:uid="{00000000-0005-0000-0000-00004BC10000}"/>
    <cellStyle name="Calculation 9 3 3 3 6" xfId="49515" xr:uid="{00000000-0005-0000-0000-00004CC10000}"/>
    <cellStyle name="Calculation 9 3 3 4" xfId="49516" xr:uid="{00000000-0005-0000-0000-00004DC10000}"/>
    <cellStyle name="Calculation 9 3 3 4 2" xfId="49517" xr:uid="{00000000-0005-0000-0000-00004EC10000}"/>
    <cellStyle name="Calculation 9 3 3 4 3" xfId="49518" xr:uid="{00000000-0005-0000-0000-00004FC10000}"/>
    <cellStyle name="Calculation 9 3 3 4 4" xfId="49519" xr:uid="{00000000-0005-0000-0000-000050C10000}"/>
    <cellStyle name="Calculation 9 3 3 4 5" xfId="49520" xr:uid="{00000000-0005-0000-0000-000051C10000}"/>
    <cellStyle name="Calculation 9 3 3 4 6" xfId="49521" xr:uid="{00000000-0005-0000-0000-000052C10000}"/>
    <cellStyle name="Calculation 9 3 3 5" xfId="49522" xr:uid="{00000000-0005-0000-0000-000053C10000}"/>
    <cellStyle name="Calculation 9 3 3 5 2" xfId="49523" xr:uid="{00000000-0005-0000-0000-000054C10000}"/>
    <cellStyle name="Calculation 9 3 3 5 3" xfId="49524" xr:uid="{00000000-0005-0000-0000-000055C10000}"/>
    <cellStyle name="Calculation 9 3 3 5 4" xfId="49525" xr:uid="{00000000-0005-0000-0000-000056C10000}"/>
    <cellStyle name="Calculation 9 3 3 5 5" xfId="49526" xr:uid="{00000000-0005-0000-0000-000057C10000}"/>
    <cellStyle name="Calculation 9 3 3 5 6" xfId="49527" xr:uid="{00000000-0005-0000-0000-000058C10000}"/>
    <cellStyle name="Calculation 9 3 3 6" xfId="49528" xr:uid="{00000000-0005-0000-0000-000059C10000}"/>
    <cellStyle name="Calculation 9 3 3 6 2" xfId="49529" xr:uid="{00000000-0005-0000-0000-00005AC10000}"/>
    <cellStyle name="Calculation 9 3 3 6 3" xfId="49530" xr:uid="{00000000-0005-0000-0000-00005BC10000}"/>
    <cellStyle name="Calculation 9 3 3 6 4" xfId="49531" xr:uid="{00000000-0005-0000-0000-00005CC10000}"/>
    <cellStyle name="Calculation 9 3 3 6 5" xfId="49532" xr:uid="{00000000-0005-0000-0000-00005DC10000}"/>
    <cellStyle name="Calculation 9 3 3 6 6" xfId="49533" xr:uid="{00000000-0005-0000-0000-00005EC10000}"/>
    <cellStyle name="Calculation 9 3 3 7" xfId="49534" xr:uid="{00000000-0005-0000-0000-00005FC10000}"/>
    <cellStyle name="Calculation 9 3 3 7 2" xfId="49535" xr:uid="{00000000-0005-0000-0000-000060C10000}"/>
    <cellStyle name="Calculation 9 3 3 7 3" xfId="49536" xr:uid="{00000000-0005-0000-0000-000061C10000}"/>
    <cellStyle name="Calculation 9 3 3 7 4" xfId="49537" xr:uid="{00000000-0005-0000-0000-000062C10000}"/>
    <cellStyle name="Calculation 9 3 3 7 5" xfId="49538" xr:uid="{00000000-0005-0000-0000-000063C10000}"/>
    <cellStyle name="Calculation 9 3 3 7 6" xfId="49539" xr:uid="{00000000-0005-0000-0000-000064C10000}"/>
    <cellStyle name="Calculation 9 3 3 8" xfId="49540" xr:uid="{00000000-0005-0000-0000-000065C10000}"/>
    <cellStyle name="Calculation 9 3 3 9" xfId="49541" xr:uid="{00000000-0005-0000-0000-000066C10000}"/>
    <cellStyle name="Calculation 9 3 30" xfId="49542" xr:uid="{00000000-0005-0000-0000-000067C10000}"/>
    <cellStyle name="Calculation 9 3 30 2" xfId="49543" xr:uid="{00000000-0005-0000-0000-000068C10000}"/>
    <cellStyle name="Calculation 9 3 30 3" xfId="49544" xr:uid="{00000000-0005-0000-0000-000069C10000}"/>
    <cellStyle name="Calculation 9 3 30 4" xfId="49545" xr:uid="{00000000-0005-0000-0000-00006AC10000}"/>
    <cellStyle name="Calculation 9 3 30 5" xfId="49546" xr:uid="{00000000-0005-0000-0000-00006BC10000}"/>
    <cellStyle name="Calculation 9 3 30 6" xfId="49547" xr:uid="{00000000-0005-0000-0000-00006CC10000}"/>
    <cellStyle name="Calculation 9 3 31" xfId="49548" xr:uid="{00000000-0005-0000-0000-00006DC10000}"/>
    <cellStyle name="Calculation 9 3 31 2" xfId="49549" xr:uid="{00000000-0005-0000-0000-00006EC10000}"/>
    <cellStyle name="Calculation 9 3 31 3" xfId="49550" xr:uid="{00000000-0005-0000-0000-00006FC10000}"/>
    <cellStyle name="Calculation 9 3 31 4" xfId="49551" xr:uid="{00000000-0005-0000-0000-000070C10000}"/>
    <cellStyle name="Calculation 9 3 31 5" xfId="49552" xr:uid="{00000000-0005-0000-0000-000071C10000}"/>
    <cellStyle name="Calculation 9 3 31 6" xfId="49553" xr:uid="{00000000-0005-0000-0000-000072C10000}"/>
    <cellStyle name="Calculation 9 3 32" xfId="49554" xr:uid="{00000000-0005-0000-0000-000073C10000}"/>
    <cellStyle name="Calculation 9 3 32 2" xfId="49555" xr:uid="{00000000-0005-0000-0000-000074C10000}"/>
    <cellStyle name="Calculation 9 3 32 3" xfId="49556" xr:uid="{00000000-0005-0000-0000-000075C10000}"/>
    <cellStyle name="Calculation 9 3 32 4" xfId="49557" xr:uid="{00000000-0005-0000-0000-000076C10000}"/>
    <cellStyle name="Calculation 9 3 32 5" xfId="49558" xr:uid="{00000000-0005-0000-0000-000077C10000}"/>
    <cellStyle name="Calculation 9 3 32 6" xfId="49559" xr:uid="{00000000-0005-0000-0000-000078C10000}"/>
    <cellStyle name="Calculation 9 3 33" xfId="49560" xr:uid="{00000000-0005-0000-0000-000079C10000}"/>
    <cellStyle name="Calculation 9 3 34" xfId="49561" xr:uid="{00000000-0005-0000-0000-00007AC10000}"/>
    <cellStyle name="Calculation 9 3 35" xfId="49562" xr:uid="{00000000-0005-0000-0000-00007BC10000}"/>
    <cellStyle name="Calculation 9 3 4" xfId="49563" xr:uid="{00000000-0005-0000-0000-00007CC10000}"/>
    <cellStyle name="Calculation 9 3 4 10" xfId="49564" xr:uid="{00000000-0005-0000-0000-00007DC10000}"/>
    <cellStyle name="Calculation 9 3 4 2" xfId="49565" xr:uid="{00000000-0005-0000-0000-00007EC10000}"/>
    <cellStyle name="Calculation 9 3 4 2 2" xfId="49566" xr:uid="{00000000-0005-0000-0000-00007FC10000}"/>
    <cellStyle name="Calculation 9 3 4 2 3" xfId="49567" xr:uid="{00000000-0005-0000-0000-000080C10000}"/>
    <cellStyle name="Calculation 9 3 4 2 4" xfId="49568" xr:uid="{00000000-0005-0000-0000-000081C10000}"/>
    <cellStyle name="Calculation 9 3 4 2 5" xfId="49569" xr:uid="{00000000-0005-0000-0000-000082C10000}"/>
    <cellStyle name="Calculation 9 3 4 2 6" xfId="49570" xr:uid="{00000000-0005-0000-0000-000083C10000}"/>
    <cellStyle name="Calculation 9 3 4 3" xfId="49571" xr:uid="{00000000-0005-0000-0000-000084C10000}"/>
    <cellStyle name="Calculation 9 3 4 3 2" xfId="49572" xr:uid="{00000000-0005-0000-0000-000085C10000}"/>
    <cellStyle name="Calculation 9 3 4 3 3" xfId="49573" xr:uid="{00000000-0005-0000-0000-000086C10000}"/>
    <cellStyle name="Calculation 9 3 4 3 4" xfId="49574" xr:uid="{00000000-0005-0000-0000-000087C10000}"/>
    <cellStyle name="Calculation 9 3 4 3 5" xfId="49575" xr:uid="{00000000-0005-0000-0000-000088C10000}"/>
    <cellStyle name="Calculation 9 3 4 3 6" xfId="49576" xr:uid="{00000000-0005-0000-0000-000089C10000}"/>
    <cellStyle name="Calculation 9 3 4 4" xfId="49577" xr:uid="{00000000-0005-0000-0000-00008AC10000}"/>
    <cellStyle name="Calculation 9 3 4 4 2" xfId="49578" xr:uid="{00000000-0005-0000-0000-00008BC10000}"/>
    <cellStyle name="Calculation 9 3 4 4 3" xfId="49579" xr:uid="{00000000-0005-0000-0000-00008CC10000}"/>
    <cellStyle name="Calculation 9 3 4 4 4" xfId="49580" xr:uid="{00000000-0005-0000-0000-00008DC10000}"/>
    <cellStyle name="Calculation 9 3 4 4 5" xfId="49581" xr:uid="{00000000-0005-0000-0000-00008EC10000}"/>
    <cellStyle name="Calculation 9 3 4 4 6" xfId="49582" xr:uid="{00000000-0005-0000-0000-00008FC10000}"/>
    <cellStyle name="Calculation 9 3 4 5" xfId="49583" xr:uid="{00000000-0005-0000-0000-000090C10000}"/>
    <cellStyle name="Calculation 9 3 4 5 2" xfId="49584" xr:uid="{00000000-0005-0000-0000-000091C10000}"/>
    <cellStyle name="Calculation 9 3 4 5 3" xfId="49585" xr:uid="{00000000-0005-0000-0000-000092C10000}"/>
    <cellStyle name="Calculation 9 3 4 5 4" xfId="49586" xr:uid="{00000000-0005-0000-0000-000093C10000}"/>
    <cellStyle name="Calculation 9 3 4 5 5" xfId="49587" xr:uid="{00000000-0005-0000-0000-000094C10000}"/>
    <cellStyle name="Calculation 9 3 4 5 6" xfId="49588" xr:uid="{00000000-0005-0000-0000-000095C10000}"/>
    <cellStyle name="Calculation 9 3 4 6" xfId="49589" xr:uid="{00000000-0005-0000-0000-000096C10000}"/>
    <cellStyle name="Calculation 9 3 4 6 2" xfId="49590" xr:uid="{00000000-0005-0000-0000-000097C10000}"/>
    <cellStyle name="Calculation 9 3 4 6 3" xfId="49591" xr:uid="{00000000-0005-0000-0000-000098C10000}"/>
    <cellStyle name="Calculation 9 3 4 6 4" xfId="49592" xr:uid="{00000000-0005-0000-0000-000099C10000}"/>
    <cellStyle name="Calculation 9 3 4 6 5" xfId="49593" xr:uid="{00000000-0005-0000-0000-00009AC10000}"/>
    <cellStyle name="Calculation 9 3 4 6 6" xfId="49594" xr:uid="{00000000-0005-0000-0000-00009BC10000}"/>
    <cellStyle name="Calculation 9 3 4 7" xfId="49595" xr:uid="{00000000-0005-0000-0000-00009CC10000}"/>
    <cellStyle name="Calculation 9 3 4 7 2" xfId="49596" xr:uid="{00000000-0005-0000-0000-00009DC10000}"/>
    <cellStyle name="Calculation 9 3 4 7 3" xfId="49597" xr:uid="{00000000-0005-0000-0000-00009EC10000}"/>
    <cellStyle name="Calculation 9 3 4 7 4" xfId="49598" xr:uid="{00000000-0005-0000-0000-00009FC10000}"/>
    <cellStyle name="Calculation 9 3 4 7 5" xfId="49599" xr:uid="{00000000-0005-0000-0000-0000A0C10000}"/>
    <cellStyle name="Calculation 9 3 4 7 6" xfId="49600" xr:uid="{00000000-0005-0000-0000-0000A1C10000}"/>
    <cellStyle name="Calculation 9 3 4 8" xfId="49601" xr:uid="{00000000-0005-0000-0000-0000A2C10000}"/>
    <cellStyle name="Calculation 9 3 4 9" xfId="49602" xr:uid="{00000000-0005-0000-0000-0000A3C10000}"/>
    <cellStyle name="Calculation 9 3 5" xfId="49603" xr:uid="{00000000-0005-0000-0000-0000A4C10000}"/>
    <cellStyle name="Calculation 9 3 5 10" xfId="49604" xr:uid="{00000000-0005-0000-0000-0000A5C10000}"/>
    <cellStyle name="Calculation 9 3 5 2" xfId="49605" xr:uid="{00000000-0005-0000-0000-0000A6C10000}"/>
    <cellStyle name="Calculation 9 3 5 2 2" xfId="49606" xr:uid="{00000000-0005-0000-0000-0000A7C10000}"/>
    <cellStyle name="Calculation 9 3 5 2 3" xfId="49607" xr:uid="{00000000-0005-0000-0000-0000A8C10000}"/>
    <cellStyle name="Calculation 9 3 5 2 4" xfId="49608" xr:uid="{00000000-0005-0000-0000-0000A9C10000}"/>
    <cellStyle name="Calculation 9 3 5 2 5" xfId="49609" xr:uid="{00000000-0005-0000-0000-0000AAC10000}"/>
    <cellStyle name="Calculation 9 3 5 2 6" xfId="49610" xr:uid="{00000000-0005-0000-0000-0000ABC10000}"/>
    <cellStyle name="Calculation 9 3 5 3" xfId="49611" xr:uid="{00000000-0005-0000-0000-0000ACC10000}"/>
    <cellStyle name="Calculation 9 3 5 3 2" xfId="49612" xr:uid="{00000000-0005-0000-0000-0000ADC10000}"/>
    <cellStyle name="Calculation 9 3 5 3 3" xfId="49613" xr:uid="{00000000-0005-0000-0000-0000AEC10000}"/>
    <cellStyle name="Calculation 9 3 5 3 4" xfId="49614" xr:uid="{00000000-0005-0000-0000-0000AFC10000}"/>
    <cellStyle name="Calculation 9 3 5 3 5" xfId="49615" xr:uid="{00000000-0005-0000-0000-0000B0C10000}"/>
    <cellStyle name="Calculation 9 3 5 3 6" xfId="49616" xr:uid="{00000000-0005-0000-0000-0000B1C10000}"/>
    <cellStyle name="Calculation 9 3 5 4" xfId="49617" xr:uid="{00000000-0005-0000-0000-0000B2C10000}"/>
    <cellStyle name="Calculation 9 3 5 4 2" xfId="49618" xr:uid="{00000000-0005-0000-0000-0000B3C10000}"/>
    <cellStyle name="Calculation 9 3 5 4 3" xfId="49619" xr:uid="{00000000-0005-0000-0000-0000B4C10000}"/>
    <cellStyle name="Calculation 9 3 5 4 4" xfId="49620" xr:uid="{00000000-0005-0000-0000-0000B5C10000}"/>
    <cellStyle name="Calculation 9 3 5 4 5" xfId="49621" xr:uid="{00000000-0005-0000-0000-0000B6C10000}"/>
    <cellStyle name="Calculation 9 3 5 4 6" xfId="49622" xr:uid="{00000000-0005-0000-0000-0000B7C10000}"/>
    <cellStyle name="Calculation 9 3 5 5" xfId="49623" xr:uid="{00000000-0005-0000-0000-0000B8C10000}"/>
    <cellStyle name="Calculation 9 3 5 5 2" xfId="49624" xr:uid="{00000000-0005-0000-0000-0000B9C10000}"/>
    <cellStyle name="Calculation 9 3 5 5 3" xfId="49625" xr:uid="{00000000-0005-0000-0000-0000BAC10000}"/>
    <cellStyle name="Calculation 9 3 5 5 4" xfId="49626" xr:uid="{00000000-0005-0000-0000-0000BBC10000}"/>
    <cellStyle name="Calculation 9 3 5 5 5" xfId="49627" xr:uid="{00000000-0005-0000-0000-0000BCC10000}"/>
    <cellStyle name="Calculation 9 3 5 5 6" xfId="49628" xr:uid="{00000000-0005-0000-0000-0000BDC10000}"/>
    <cellStyle name="Calculation 9 3 5 6" xfId="49629" xr:uid="{00000000-0005-0000-0000-0000BEC10000}"/>
    <cellStyle name="Calculation 9 3 5 6 2" xfId="49630" xr:uid="{00000000-0005-0000-0000-0000BFC10000}"/>
    <cellStyle name="Calculation 9 3 5 6 3" xfId="49631" xr:uid="{00000000-0005-0000-0000-0000C0C10000}"/>
    <cellStyle name="Calculation 9 3 5 6 4" xfId="49632" xr:uid="{00000000-0005-0000-0000-0000C1C10000}"/>
    <cellStyle name="Calculation 9 3 5 6 5" xfId="49633" xr:uid="{00000000-0005-0000-0000-0000C2C10000}"/>
    <cellStyle name="Calculation 9 3 5 6 6" xfId="49634" xr:uid="{00000000-0005-0000-0000-0000C3C10000}"/>
    <cellStyle name="Calculation 9 3 5 7" xfId="49635" xr:uid="{00000000-0005-0000-0000-0000C4C10000}"/>
    <cellStyle name="Calculation 9 3 5 7 2" xfId="49636" xr:uid="{00000000-0005-0000-0000-0000C5C10000}"/>
    <cellStyle name="Calculation 9 3 5 7 3" xfId="49637" xr:uid="{00000000-0005-0000-0000-0000C6C10000}"/>
    <cellStyle name="Calculation 9 3 5 7 4" xfId="49638" xr:uid="{00000000-0005-0000-0000-0000C7C10000}"/>
    <cellStyle name="Calculation 9 3 5 7 5" xfId="49639" xr:uid="{00000000-0005-0000-0000-0000C8C10000}"/>
    <cellStyle name="Calculation 9 3 5 7 6" xfId="49640" xr:uid="{00000000-0005-0000-0000-0000C9C10000}"/>
    <cellStyle name="Calculation 9 3 5 8" xfId="49641" xr:uid="{00000000-0005-0000-0000-0000CAC10000}"/>
    <cellStyle name="Calculation 9 3 5 9" xfId="49642" xr:uid="{00000000-0005-0000-0000-0000CBC10000}"/>
    <cellStyle name="Calculation 9 3 6" xfId="49643" xr:uid="{00000000-0005-0000-0000-0000CCC10000}"/>
    <cellStyle name="Calculation 9 3 6 10" xfId="49644" xr:uid="{00000000-0005-0000-0000-0000CDC10000}"/>
    <cellStyle name="Calculation 9 3 6 2" xfId="49645" xr:uid="{00000000-0005-0000-0000-0000CEC10000}"/>
    <cellStyle name="Calculation 9 3 6 2 2" xfId="49646" xr:uid="{00000000-0005-0000-0000-0000CFC10000}"/>
    <cellStyle name="Calculation 9 3 6 2 3" xfId="49647" xr:uid="{00000000-0005-0000-0000-0000D0C10000}"/>
    <cellStyle name="Calculation 9 3 6 2 4" xfId="49648" xr:uid="{00000000-0005-0000-0000-0000D1C10000}"/>
    <cellStyle name="Calculation 9 3 6 2 5" xfId="49649" xr:uid="{00000000-0005-0000-0000-0000D2C10000}"/>
    <cellStyle name="Calculation 9 3 6 2 6" xfId="49650" xr:uid="{00000000-0005-0000-0000-0000D3C10000}"/>
    <cellStyle name="Calculation 9 3 6 3" xfId="49651" xr:uid="{00000000-0005-0000-0000-0000D4C10000}"/>
    <cellStyle name="Calculation 9 3 6 3 2" xfId="49652" xr:uid="{00000000-0005-0000-0000-0000D5C10000}"/>
    <cellStyle name="Calculation 9 3 6 3 3" xfId="49653" xr:uid="{00000000-0005-0000-0000-0000D6C10000}"/>
    <cellStyle name="Calculation 9 3 6 3 4" xfId="49654" xr:uid="{00000000-0005-0000-0000-0000D7C10000}"/>
    <cellStyle name="Calculation 9 3 6 3 5" xfId="49655" xr:uid="{00000000-0005-0000-0000-0000D8C10000}"/>
    <cellStyle name="Calculation 9 3 6 3 6" xfId="49656" xr:uid="{00000000-0005-0000-0000-0000D9C10000}"/>
    <cellStyle name="Calculation 9 3 6 4" xfId="49657" xr:uid="{00000000-0005-0000-0000-0000DAC10000}"/>
    <cellStyle name="Calculation 9 3 6 4 2" xfId="49658" xr:uid="{00000000-0005-0000-0000-0000DBC10000}"/>
    <cellStyle name="Calculation 9 3 6 4 3" xfId="49659" xr:uid="{00000000-0005-0000-0000-0000DCC10000}"/>
    <cellStyle name="Calculation 9 3 6 4 4" xfId="49660" xr:uid="{00000000-0005-0000-0000-0000DDC10000}"/>
    <cellStyle name="Calculation 9 3 6 4 5" xfId="49661" xr:uid="{00000000-0005-0000-0000-0000DEC10000}"/>
    <cellStyle name="Calculation 9 3 6 4 6" xfId="49662" xr:uid="{00000000-0005-0000-0000-0000DFC10000}"/>
    <cellStyle name="Calculation 9 3 6 5" xfId="49663" xr:uid="{00000000-0005-0000-0000-0000E0C10000}"/>
    <cellStyle name="Calculation 9 3 6 5 2" xfId="49664" xr:uid="{00000000-0005-0000-0000-0000E1C10000}"/>
    <cellStyle name="Calculation 9 3 6 5 3" xfId="49665" xr:uid="{00000000-0005-0000-0000-0000E2C10000}"/>
    <cellStyle name="Calculation 9 3 6 5 4" xfId="49666" xr:uid="{00000000-0005-0000-0000-0000E3C10000}"/>
    <cellStyle name="Calculation 9 3 6 5 5" xfId="49667" xr:uid="{00000000-0005-0000-0000-0000E4C10000}"/>
    <cellStyle name="Calculation 9 3 6 5 6" xfId="49668" xr:uid="{00000000-0005-0000-0000-0000E5C10000}"/>
    <cellStyle name="Calculation 9 3 6 6" xfId="49669" xr:uid="{00000000-0005-0000-0000-0000E6C10000}"/>
    <cellStyle name="Calculation 9 3 6 6 2" xfId="49670" xr:uid="{00000000-0005-0000-0000-0000E7C10000}"/>
    <cellStyle name="Calculation 9 3 6 6 3" xfId="49671" xr:uid="{00000000-0005-0000-0000-0000E8C10000}"/>
    <cellStyle name="Calculation 9 3 6 6 4" xfId="49672" xr:uid="{00000000-0005-0000-0000-0000E9C10000}"/>
    <cellStyle name="Calculation 9 3 6 6 5" xfId="49673" xr:uid="{00000000-0005-0000-0000-0000EAC10000}"/>
    <cellStyle name="Calculation 9 3 6 6 6" xfId="49674" xr:uid="{00000000-0005-0000-0000-0000EBC10000}"/>
    <cellStyle name="Calculation 9 3 6 7" xfId="49675" xr:uid="{00000000-0005-0000-0000-0000ECC10000}"/>
    <cellStyle name="Calculation 9 3 6 7 2" xfId="49676" xr:uid="{00000000-0005-0000-0000-0000EDC10000}"/>
    <cellStyle name="Calculation 9 3 6 7 3" xfId="49677" xr:uid="{00000000-0005-0000-0000-0000EEC10000}"/>
    <cellStyle name="Calculation 9 3 6 7 4" xfId="49678" xr:uid="{00000000-0005-0000-0000-0000EFC10000}"/>
    <cellStyle name="Calculation 9 3 6 7 5" xfId="49679" xr:uid="{00000000-0005-0000-0000-0000F0C10000}"/>
    <cellStyle name="Calculation 9 3 6 7 6" xfId="49680" xr:uid="{00000000-0005-0000-0000-0000F1C10000}"/>
    <cellStyle name="Calculation 9 3 6 8" xfId="49681" xr:uid="{00000000-0005-0000-0000-0000F2C10000}"/>
    <cellStyle name="Calculation 9 3 6 9" xfId="49682" xr:uid="{00000000-0005-0000-0000-0000F3C10000}"/>
    <cellStyle name="Calculation 9 3 7" xfId="49683" xr:uid="{00000000-0005-0000-0000-0000F4C10000}"/>
    <cellStyle name="Calculation 9 3 7 10" xfId="49684" xr:uid="{00000000-0005-0000-0000-0000F5C10000}"/>
    <cellStyle name="Calculation 9 3 7 2" xfId="49685" xr:uid="{00000000-0005-0000-0000-0000F6C10000}"/>
    <cellStyle name="Calculation 9 3 7 2 2" xfId="49686" xr:uid="{00000000-0005-0000-0000-0000F7C10000}"/>
    <cellStyle name="Calculation 9 3 7 2 3" xfId="49687" xr:uid="{00000000-0005-0000-0000-0000F8C10000}"/>
    <cellStyle name="Calculation 9 3 7 2 4" xfId="49688" xr:uid="{00000000-0005-0000-0000-0000F9C10000}"/>
    <cellStyle name="Calculation 9 3 7 2 5" xfId="49689" xr:uid="{00000000-0005-0000-0000-0000FAC10000}"/>
    <cellStyle name="Calculation 9 3 7 2 6" xfId="49690" xr:uid="{00000000-0005-0000-0000-0000FBC10000}"/>
    <cellStyle name="Calculation 9 3 7 3" xfId="49691" xr:uid="{00000000-0005-0000-0000-0000FCC10000}"/>
    <cellStyle name="Calculation 9 3 7 3 2" xfId="49692" xr:uid="{00000000-0005-0000-0000-0000FDC10000}"/>
    <cellStyle name="Calculation 9 3 7 3 3" xfId="49693" xr:uid="{00000000-0005-0000-0000-0000FEC10000}"/>
    <cellStyle name="Calculation 9 3 7 3 4" xfId="49694" xr:uid="{00000000-0005-0000-0000-0000FFC10000}"/>
    <cellStyle name="Calculation 9 3 7 3 5" xfId="49695" xr:uid="{00000000-0005-0000-0000-000000C20000}"/>
    <cellStyle name="Calculation 9 3 7 3 6" xfId="49696" xr:uid="{00000000-0005-0000-0000-000001C20000}"/>
    <cellStyle name="Calculation 9 3 7 4" xfId="49697" xr:uid="{00000000-0005-0000-0000-000002C20000}"/>
    <cellStyle name="Calculation 9 3 7 4 2" xfId="49698" xr:uid="{00000000-0005-0000-0000-000003C20000}"/>
    <cellStyle name="Calculation 9 3 7 4 3" xfId="49699" xr:uid="{00000000-0005-0000-0000-000004C20000}"/>
    <cellStyle name="Calculation 9 3 7 4 4" xfId="49700" xr:uid="{00000000-0005-0000-0000-000005C20000}"/>
    <cellStyle name="Calculation 9 3 7 4 5" xfId="49701" xr:uid="{00000000-0005-0000-0000-000006C20000}"/>
    <cellStyle name="Calculation 9 3 7 4 6" xfId="49702" xr:uid="{00000000-0005-0000-0000-000007C20000}"/>
    <cellStyle name="Calculation 9 3 7 5" xfId="49703" xr:uid="{00000000-0005-0000-0000-000008C20000}"/>
    <cellStyle name="Calculation 9 3 7 5 2" xfId="49704" xr:uid="{00000000-0005-0000-0000-000009C20000}"/>
    <cellStyle name="Calculation 9 3 7 5 3" xfId="49705" xr:uid="{00000000-0005-0000-0000-00000AC20000}"/>
    <cellStyle name="Calculation 9 3 7 5 4" xfId="49706" xr:uid="{00000000-0005-0000-0000-00000BC20000}"/>
    <cellStyle name="Calculation 9 3 7 5 5" xfId="49707" xr:uid="{00000000-0005-0000-0000-00000CC20000}"/>
    <cellStyle name="Calculation 9 3 7 5 6" xfId="49708" xr:uid="{00000000-0005-0000-0000-00000DC20000}"/>
    <cellStyle name="Calculation 9 3 7 6" xfId="49709" xr:uid="{00000000-0005-0000-0000-00000EC20000}"/>
    <cellStyle name="Calculation 9 3 7 6 2" xfId="49710" xr:uid="{00000000-0005-0000-0000-00000FC20000}"/>
    <cellStyle name="Calculation 9 3 7 6 3" xfId="49711" xr:uid="{00000000-0005-0000-0000-000010C20000}"/>
    <cellStyle name="Calculation 9 3 7 6 4" xfId="49712" xr:uid="{00000000-0005-0000-0000-000011C20000}"/>
    <cellStyle name="Calculation 9 3 7 6 5" xfId="49713" xr:uid="{00000000-0005-0000-0000-000012C20000}"/>
    <cellStyle name="Calculation 9 3 7 6 6" xfId="49714" xr:uid="{00000000-0005-0000-0000-000013C20000}"/>
    <cellStyle name="Calculation 9 3 7 7" xfId="49715" xr:uid="{00000000-0005-0000-0000-000014C20000}"/>
    <cellStyle name="Calculation 9 3 7 7 2" xfId="49716" xr:uid="{00000000-0005-0000-0000-000015C20000}"/>
    <cellStyle name="Calculation 9 3 7 7 3" xfId="49717" xr:uid="{00000000-0005-0000-0000-000016C20000}"/>
    <cellStyle name="Calculation 9 3 7 7 4" xfId="49718" xr:uid="{00000000-0005-0000-0000-000017C20000}"/>
    <cellStyle name="Calculation 9 3 7 7 5" xfId="49719" xr:uid="{00000000-0005-0000-0000-000018C20000}"/>
    <cellStyle name="Calculation 9 3 7 7 6" xfId="49720" xr:uid="{00000000-0005-0000-0000-000019C20000}"/>
    <cellStyle name="Calculation 9 3 7 8" xfId="49721" xr:uid="{00000000-0005-0000-0000-00001AC20000}"/>
    <cellStyle name="Calculation 9 3 7 9" xfId="49722" xr:uid="{00000000-0005-0000-0000-00001BC20000}"/>
    <cellStyle name="Calculation 9 3 8" xfId="49723" xr:uid="{00000000-0005-0000-0000-00001CC20000}"/>
    <cellStyle name="Calculation 9 3 8 10" xfId="49724" xr:uid="{00000000-0005-0000-0000-00001DC20000}"/>
    <cellStyle name="Calculation 9 3 8 2" xfId="49725" xr:uid="{00000000-0005-0000-0000-00001EC20000}"/>
    <cellStyle name="Calculation 9 3 8 2 2" xfId="49726" xr:uid="{00000000-0005-0000-0000-00001FC20000}"/>
    <cellStyle name="Calculation 9 3 8 2 3" xfId="49727" xr:uid="{00000000-0005-0000-0000-000020C20000}"/>
    <cellStyle name="Calculation 9 3 8 2 4" xfId="49728" xr:uid="{00000000-0005-0000-0000-000021C20000}"/>
    <cellStyle name="Calculation 9 3 8 2 5" xfId="49729" xr:uid="{00000000-0005-0000-0000-000022C20000}"/>
    <cellStyle name="Calculation 9 3 8 2 6" xfId="49730" xr:uid="{00000000-0005-0000-0000-000023C20000}"/>
    <cellStyle name="Calculation 9 3 8 3" xfId="49731" xr:uid="{00000000-0005-0000-0000-000024C20000}"/>
    <cellStyle name="Calculation 9 3 8 3 2" xfId="49732" xr:uid="{00000000-0005-0000-0000-000025C20000}"/>
    <cellStyle name="Calculation 9 3 8 3 3" xfId="49733" xr:uid="{00000000-0005-0000-0000-000026C20000}"/>
    <cellStyle name="Calculation 9 3 8 3 4" xfId="49734" xr:uid="{00000000-0005-0000-0000-000027C20000}"/>
    <cellStyle name="Calculation 9 3 8 3 5" xfId="49735" xr:uid="{00000000-0005-0000-0000-000028C20000}"/>
    <cellStyle name="Calculation 9 3 8 3 6" xfId="49736" xr:uid="{00000000-0005-0000-0000-000029C20000}"/>
    <cellStyle name="Calculation 9 3 8 4" xfId="49737" xr:uid="{00000000-0005-0000-0000-00002AC20000}"/>
    <cellStyle name="Calculation 9 3 8 4 2" xfId="49738" xr:uid="{00000000-0005-0000-0000-00002BC20000}"/>
    <cellStyle name="Calculation 9 3 8 4 3" xfId="49739" xr:uid="{00000000-0005-0000-0000-00002CC20000}"/>
    <cellStyle name="Calculation 9 3 8 4 4" xfId="49740" xr:uid="{00000000-0005-0000-0000-00002DC20000}"/>
    <cellStyle name="Calculation 9 3 8 4 5" xfId="49741" xr:uid="{00000000-0005-0000-0000-00002EC20000}"/>
    <cellStyle name="Calculation 9 3 8 4 6" xfId="49742" xr:uid="{00000000-0005-0000-0000-00002FC20000}"/>
    <cellStyle name="Calculation 9 3 8 5" xfId="49743" xr:uid="{00000000-0005-0000-0000-000030C20000}"/>
    <cellStyle name="Calculation 9 3 8 5 2" xfId="49744" xr:uid="{00000000-0005-0000-0000-000031C20000}"/>
    <cellStyle name="Calculation 9 3 8 5 3" xfId="49745" xr:uid="{00000000-0005-0000-0000-000032C20000}"/>
    <cellStyle name="Calculation 9 3 8 5 4" xfId="49746" xr:uid="{00000000-0005-0000-0000-000033C20000}"/>
    <cellStyle name="Calculation 9 3 8 5 5" xfId="49747" xr:uid="{00000000-0005-0000-0000-000034C20000}"/>
    <cellStyle name="Calculation 9 3 8 5 6" xfId="49748" xr:uid="{00000000-0005-0000-0000-000035C20000}"/>
    <cellStyle name="Calculation 9 3 8 6" xfId="49749" xr:uid="{00000000-0005-0000-0000-000036C20000}"/>
    <cellStyle name="Calculation 9 3 8 6 2" xfId="49750" xr:uid="{00000000-0005-0000-0000-000037C20000}"/>
    <cellStyle name="Calculation 9 3 8 6 3" xfId="49751" xr:uid="{00000000-0005-0000-0000-000038C20000}"/>
    <cellStyle name="Calculation 9 3 8 6 4" xfId="49752" xr:uid="{00000000-0005-0000-0000-000039C20000}"/>
    <cellStyle name="Calculation 9 3 8 6 5" xfId="49753" xr:uid="{00000000-0005-0000-0000-00003AC20000}"/>
    <cellStyle name="Calculation 9 3 8 6 6" xfId="49754" xr:uid="{00000000-0005-0000-0000-00003BC20000}"/>
    <cellStyle name="Calculation 9 3 8 7" xfId="49755" xr:uid="{00000000-0005-0000-0000-00003CC20000}"/>
    <cellStyle name="Calculation 9 3 8 7 2" xfId="49756" xr:uid="{00000000-0005-0000-0000-00003DC20000}"/>
    <cellStyle name="Calculation 9 3 8 7 3" xfId="49757" xr:uid="{00000000-0005-0000-0000-00003EC20000}"/>
    <cellStyle name="Calculation 9 3 8 7 4" xfId="49758" xr:uid="{00000000-0005-0000-0000-00003FC20000}"/>
    <cellStyle name="Calculation 9 3 8 7 5" xfId="49759" xr:uid="{00000000-0005-0000-0000-000040C20000}"/>
    <cellStyle name="Calculation 9 3 8 7 6" xfId="49760" xr:uid="{00000000-0005-0000-0000-000041C20000}"/>
    <cellStyle name="Calculation 9 3 8 8" xfId="49761" xr:uid="{00000000-0005-0000-0000-000042C20000}"/>
    <cellStyle name="Calculation 9 3 8 9" xfId="49762" xr:uid="{00000000-0005-0000-0000-000043C20000}"/>
    <cellStyle name="Calculation 9 3 9" xfId="49763" xr:uid="{00000000-0005-0000-0000-000044C20000}"/>
    <cellStyle name="Calculation 9 3 9 10" xfId="49764" xr:uid="{00000000-0005-0000-0000-000045C20000}"/>
    <cellStyle name="Calculation 9 3 9 2" xfId="49765" xr:uid="{00000000-0005-0000-0000-000046C20000}"/>
    <cellStyle name="Calculation 9 3 9 2 2" xfId="49766" xr:uid="{00000000-0005-0000-0000-000047C20000}"/>
    <cellStyle name="Calculation 9 3 9 2 3" xfId="49767" xr:uid="{00000000-0005-0000-0000-000048C20000}"/>
    <cellStyle name="Calculation 9 3 9 2 4" xfId="49768" xr:uid="{00000000-0005-0000-0000-000049C20000}"/>
    <cellStyle name="Calculation 9 3 9 2 5" xfId="49769" xr:uid="{00000000-0005-0000-0000-00004AC20000}"/>
    <cellStyle name="Calculation 9 3 9 2 6" xfId="49770" xr:uid="{00000000-0005-0000-0000-00004BC20000}"/>
    <cellStyle name="Calculation 9 3 9 3" xfId="49771" xr:uid="{00000000-0005-0000-0000-00004CC20000}"/>
    <cellStyle name="Calculation 9 3 9 3 2" xfId="49772" xr:uid="{00000000-0005-0000-0000-00004DC20000}"/>
    <cellStyle name="Calculation 9 3 9 3 3" xfId="49773" xr:uid="{00000000-0005-0000-0000-00004EC20000}"/>
    <cellStyle name="Calculation 9 3 9 3 4" xfId="49774" xr:uid="{00000000-0005-0000-0000-00004FC20000}"/>
    <cellStyle name="Calculation 9 3 9 3 5" xfId="49775" xr:uid="{00000000-0005-0000-0000-000050C20000}"/>
    <cellStyle name="Calculation 9 3 9 3 6" xfId="49776" xr:uid="{00000000-0005-0000-0000-000051C20000}"/>
    <cellStyle name="Calculation 9 3 9 4" xfId="49777" xr:uid="{00000000-0005-0000-0000-000052C20000}"/>
    <cellStyle name="Calculation 9 3 9 4 2" xfId="49778" xr:uid="{00000000-0005-0000-0000-000053C20000}"/>
    <cellStyle name="Calculation 9 3 9 4 3" xfId="49779" xr:uid="{00000000-0005-0000-0000-000054C20000}"/>
    <cellStyle name="Calculation 9 3 9 4 4" xfId="49780" xr:uid="{00000000-0005-0000-0000-000055C20000}"/>
    <cellStyle name="Calculation 9 3 9 4 5" xfId="49781" xr:uid="{00000000-0005-0000-0000-000056C20000}"/>
    <cellStyle name="Calculation 9 3 9 4 6" xfId="49782" xr:uid="{00000000-0005-0000-0000-000057C20000}"/>
    <cellStyle name="Calculation 9 3 9 5" xfId="49783" xr:uid="{00000000-0005-0000-0000-000058C20000}"/>
    <cellStyle name="Calculation 9 3 9 5 2" xfId="49784" xr:uid="{00000000-0005-0000-0000-000059C20000}"/>
    <cellStyle name="Calculation 9 3 9 5 3" xfId="49785" xr:uid="{00000000-0005-0000-0000-00005AC20000}"/>
    <cellStyle name="Calculation 9 3 9 5 4" xfId="49786" xr:uid="{00000000-0005-0000-0000-00005BC20000}"/>
    <cellStyle name="Calculation 9 3 9 5 5" xfId="49787" xr:uid="{00000000-0005-0000-0000-00005CC20000}"/>
    <cellStyle name="Calculation 9 3 9 5 6" xfId="49788" xr:uid="{00000000-0005-0000-0000-00005DC20000}"/>
    <cellStyle name="Calculation 9 3 9 6" xfId="49789" xr:uid="{00000000-0005-0000-0000-00005EC20000}"/>
    <cellStyle name="Calculation 9 3 9 6 2" xfId="49790" xr:uid="{00000000-0005-0000-0000-00005FC20000}"/>
    <cellStyle name="Calculation 9 3 9 6 3" xfId="49791" xr:uid="{00000000-0005-0000-0000-000060C20000}"/>
    <cellStyle name="Calculation 9 3 9 6 4" xfId="49792" xr:uid="{00000000-0005-0000-0000-000061C20000}"/>
    <cellStyle name="Calculation 9 3 9 6 5" xfId="49793" xr:uid="{00000000-0005-0000-0000-000062C20000}"/>
    <cellStyle name="Calculation 9 3 9 6 6" xfId="49794" xr:uid="{00000000-0005-0000-0000-000063C20000}"/>
    <cellStyle name="Calculation 9 3 9 7" xfId="49795" xr:uid="{00000000-0005-0000-0000-000064C20000}"/>
    <cellStyle name="Calculation 9 3 9 7 2" xfId="49796" xr:uid="{00000000-0005-0000-0000-000065C20000}"/>
    <cellStyle name="Calculation 9 3 9 7 3" xfId="49797" xr:uid="{00000000-0005-0000-0000-000066C20000}"/>
    <cellStyle name="Calculation 9 3 9 7 4" xfId="49798" xr:uid="{00000000-0005-0000-0000-000067C20000}"/>
    <cellStyle name="Calculation 9 3 9 7 5" xfId="49799" xr:uid="{00000000-0005-0000-0000-000068C20000}"/>
    <cellStyle name="Calculation 9 3 9 7 6" xfId="49800" xr:uid="{00000000-0005-0000-0000-000069C20000}"/>
    <cellStyle name="Calculation 9 3 9 8" xfId="49801" xr:uid="{00000000-0005-0000-0000-00006AC20000}"/>
    <cellStyle name="Calculation 9 3 9 9" xfId="49802" xr:uid="{00000000-0005-0000-0000-00006BC20000}"/>
    <cellStyle name="Calculation 9 30" xfId="49803" xr:uid="{00000000-0005-0000-0000-00006CC20000}"/>
    <cellStyle name="Calculation 9 30 2" xfId="49804" xr:uid="{00000000-0005-0000-0000-00006DC20000}"/>
    <cellStyle name="Calculation 9 30 3" xfId="49805" xr:uid="{00000000-0005-0000-0000-00006EC20000}"/>
    <cellStyle name="Calculation 9 30 4" xfId="49806" xr:uid="{00000000-0005-0000-0000-00006FC20000}"/>
    <cellStyle name="Calculation 9 30 5" xfId="49807" xr:uid="{00000000-0005-0000-0000-000070C20000}"/>
    <cellStyle name="Calculation 9 30 6" xfId="49808" xr:uid="{00000000-0005-0000-0000-000071C20000}"/>
    <cellStyle name="Calculation 9 31" xfId="49809" xr:uid="{00000000-0005-0000-0000-000072C20000}"/>
    <cellStyle name="Calculation 9 31 2" xfId="49810" xr:uid="{00000000-0005-0000-0000-000073C20000}"/>
    <cellStyle name="Calculation 9 31 3" xfId="49811" xr:uid="{00000000-0005-0000-0000-000074C20000}"/>
    <cellStyle name="Calculation 9 31 4" xfId="49812" xr:uid="{00000000-0005-0000-0000-000075C20000}"/>
    <cellStyle name="Calculation 9 31 5" xfId="49813" xr:uid="{00000000-0005-0000-0000-000076C20000}"/>
    <cellStyle name="Calculation 9 31 6" xfId="49814" xr:uid="{00000000-0005-0000-0000-000077C20000}"/>
    <cellStyle name="Calculation 9 32" xfId="49815" xr:uid="{00000000-0005-0000-0000-000078C20000}"/>
    <cellStyle name="Calculation 9 33" xfId="49816" xr:uid="{00000000-0005-0000-0000-000079C20000}"/>
    <cellStyle name="Calculation 9 34" xfId="49817" xr:uid="{00000000-0005-0000-0000-00007AC20000}"/>
    <cellStyle name="Calculation 9 4" xfId="49818" xr:uid="{00000000-0005-0000-0000-00007BC20000}"/>
    <cellStyle name="Calculation 9 4 10" xfId="49819" xr:uid="{00000000-0005-0000-0000-00007CC20000}"/>
    <cellStyle name="Calculation 9 4 2" xfId="49820" xr:uid="{00000000-0005-0000-0000-00007DC20000}"/>
    <cellStyle name="Calculation 9 4 2 2" xfId="49821" xr:uid="{00000000-0005-0000-0000-00007EC20000}"/>
    <cellStyle name="Calculation 9 4 2 3" xfId="49822" xr:uid="{00000000-0005-0000-0000-00007FC20000}"/>
    <cellStyle name="Calculation 9 4 2 4" xfId="49823" xr:uid="{00000000-0005-0000-0000-000080C20000}"/>
    <cellStyle name="Calculation 9 4 2 5" xfId="49824" xr:uid="{00000000-0005-0000-0000-000081C20000}"/>
    <cellStyle name="Calculation 9 4 2 6" xfId="49825" xr:uid="{00000000-0005-0000-0000-000082C20000}"/>
    <cellStyle name="Calculation 9 4 3" xfId="49826" xr:uid="{00000000-0005-0000-0000-000083C20000}"/>
    <cellStyle name="Calculation 9 4 3 2" xfId="49827" xr:uid="{00000000-0005-0000-0000-000084C20000}"/>
    <cellStyle name="Calculation 9 4 3 3" xfId="49828" xr:uid="{00000000-0005-0000-0000-000085C20000}"/>
    <cellStyle name="Calculation 9 4 3 4" xfId="49829" xr:uid="{00000000-0005-0000-0000-000086C20000}"/>
    <cellStyle name="Calculation 9 4 3 5" xfId="49830" xr:uid="{00000000-0005-0000-0000-000087C20000}"/>
    <cellStyle name="Calculation 9 4 3 6" xfId="49831" xr:uid="{00000000-0005-0000-0000-000088C20000}"/>
    <cellStyle name="Calculation 9 4 4" xfId="49832" xr:uid="{00000000-0005-0000-0000-000089C20000}"/>
    <cellStyle name="Calculation 9 4 4 2" xfId="49833" xr:uid="{00000000-0005-0000-0000-00008AC20000}"/>
    <cellStyle name="Calculation 9 4 4 3" xfId="49834" xr:uid="{00000000-0005-0000-0000-00008BC20000}"/>
    <cellStyle name="Calculation 9 4 4 4" xfId="49835" xr:uid="{00000000-0005-0000-0000-00008CC20000}"/>
    <cellStyle name="Calculation 9 4 4 5" xfId="49836" xr:uid="{00000000-0005-0000-0000-00008DC20000}"/>
    <cellStyle name="Calculation 9 4 4 6" xfId="49837" xr:uid="{00000000-0005-0000-0000-00008EC20000}"/>
    <cellStyle name="Calculation 9 4 5" xfId="49838" xr:uid="{00000000-0005-0000-0000-00008FC20000}"/>
    <cellStyle name="Calculation 9 4 5 2" xfId="49839" xr:uid="{00000000-0005-0000-0000-000090C20000}"/>
    <cellStyle name="Calculation 9 4 5 3" xfId="49840" xr:uid="{00000000-0005-0000-0000-000091C20000}"/>
    <cellStyle name="Calculation 9 4 5 4" xfId="49841" xr:uid="{00000000-0005-0000-0000-000092C20000}"/>
    <cellStyle name="Calculation 9 4 5 5" xfId="49842" xr:uid="{00000000-0005-0000-0000-000093C20000}"/>
    <cellStyle name="Calculation 9 4 5 6" xfId="49843" xr:uid="{00000000-0005-0000-0000-000094C20000}"/>
    <cellStyle name="Calculation 9 4 6" xfId="49844" xr:uid="{00000000-0005-0000-0000-000095C20000}"/>
    <cellStyle name="Calculation 9 4 6 2" xfId="49845" xr:uid="{00000000-0005-0000-0000-000096C20000}"/>
    <cellStyle name="Calculation 9 4 6 3" xfId="49846" xr:uid="{00000000-0005-0000-0000-000097C20000}"/>
    <cellStyle name="Calculation 9 4 6 4" xfId="49847" xr:uid="{00000000-0005-0000-0000-000098C20000}"/>
    <cellStyle name="Calculation 9 4 6 5" xfId="49848" xr:uid="{00000000-0005-0000-0000-000099C20000}"/>
    <cellStyle name="Calculation 9 4 6 6" xfId="49849" xr:uid="{00000000-0005-0000-0000-00009AC20000}"/>
    <cellStyle name="Calculation 9 4 7" xfId="49850" xr:uid="{00000000-0005-0000-0000-00009BC20000}"/>
    <cellStyle name="Calculation 9 4 7 2" xfId="49851" xr:uid="{00000000-0005-0000-0000-00009CC20000}"/>
    <cellStyle name="Calculation 9 4 7 3" xfId="49852" xr:uid="{00000000-0005-0000-0000-00009DC20000}"/>
    <cellStyle name="Calculation 9 4 7 4" xfId="49853" xr:uid="{00000000-0005-0000-0000-00009EC20000}"/>
    <cellStyle name="Calculation 9 4 7 5" xfId="49854" xr:uid="{00000000-0005-0000-0000-00009FC20000}"/>
    <cellStyle name="Calculation 9 4 7 6" xfId="49855" xr:uid="{00000000-0005-0000-0000-0000A0C20000}"/>
    <cellStyle name="Calculation 9 4 8" xfId="49856" xr:uid="{00000000-0005-0000-0000-0000A1C20000}"/>
    <cellStyle name="Calculation 9 4 9" xfId="49857" xr:uid="{00000000-0005-0000-0000-0000A2C20000}"/>
    <cellStyle name="Calculation 9 5" xfId="49858" xr:uid="{00000000-0005-0000-0000-0000A3C20000}"/>
    <cellStyle name="Calculation 9 5 10" xfId="49859" xr:uid="{00000000-0005-0000-0000-0000A4C20000}"/>
    <cellStyle name="Calculation 9 5 2" xfId="49860" xr:uid="{00000000-0005-0000-0000-0000A5C20000}"/>
    <cellStyle name="Calculation 9 5 2 2" xfId="49861" xr:uid="{00000000-0005-0000-0000-0000A6C20000}"/>
    <cellStyle name="Calculation 9 5 2 3" xfId="49862" xr:uid="{00000000-0005-0000-0000-0000A7C20000}"/>
    <cellStyle name="Calculation 9 5 2 4" xfId="49863" xr:uid="{00000000-0005-0000-0000-0000A8C20000}"/>
    <cellStyle name="Calculation 9 5 2 5" xfId="49864" xr:uid="{00000000-0005-0000-0000-0000A9C20000}"/>
    <cellStyle name="Calculation 9 5 2 6" xfId="49865" xr:uid="{00000000-0005-0000-0000-0000AAC20000}"/>
    <cellStyle name="Calculation 9 5 3" xfId="49866" xr:uid="{00000000-0005-0000-0000-0000ABC20000}"/>
    <cellStyle name="Calculation 9 5 3 2" xfId="49867" xr:uid="{00000000-0005-0000-0000-0000ACC20000}"/>
    <cellStyle name="Calculation 9 5 3 3" xfId="49868" xr:uid="{00000000-0005-0000-0000-0000ADC20000}"/>
    <cellStyle name="Calculation 9 5 3 4" xfId="49869" xr:uid="{00000000-0005-0000-0000-0000AEC20000}"/>
    <cellStyle name="Calculation 9 5 3 5" xfId="49870" xr:uid="{00000000-0005-0000-0000-0000AFC20000}"/>
    <cellStyle name="Calculation 9 5 3 6" xfId="49871" xr:uid="{00000000-0005-0000-0000-0000B0C20000}"/>
    <cellStyle name="Calculation 9 5 4" xfId="49872" xr:uid="{00000000-0005-0000-0000-0000B1C20000}"/>
    <cellStyle name="Calculation 9 5 4 2" xfId="49873" xr:uid="{00000000-0005-0000-0000-0000B2C20000}"/>
    <cellStyle name="Calculation 9 5 4 3" xfId="49874" xr:uid="{00000000-0005-0000-0000-0000B3C20000}"/>
    <cellStyle name="Calculation 9 5 4 4" xfId="49875" xr:uid="{00000000-0005-0000-0000-0000B4C20000}"/>
    <cellStyle name="Calculation 9 5 4 5" xfId="49876" xr:uid="{00000000-0005-0000-0000-0000B5C20000}"/>
    <cellStyle name="Calculation 9 5 4 6" xfId="49877" xr:uid="{00000000-0005-0000-0000-0000B6C20000}"/>
    <cellStyle name="Calculation 9 5 5" xfId="49878" xr:uid="{00000000-0005-0000-0000-0000B7C20000}"/>
    <cellStyle name="Calculation 9 5 5 2" xfId="49879" xr:uid="{00000000-0005-0000-0000-0000B8C20000}"/>
    <cellStyle name="Calculation 9 5 5 3" xfId="49880" xr:uid="{00000000-0005-0000-0000-0000B9C20000}"/>
    <cellStyle name="Calculation 9 5 5 4" xfId="49881" xr:uid="{00000000-0005-0000-0000-0000BAC20000}"/>
    <cellStyle name="Calculation 9 5 5 5" xfId="49882" xr:uid="{00000000-0005-0000-0000-0000BBC20000}"/>
    <cellStyle name="Calculation 9 5 5 6" xfId="49883" xr:uid="{00000000-0005-0000-0000-0000BCC20000}"/>
    <cellStyle name="Calculation 9 5 6" xfId="49884" xr:uid="{00000000-0005-0000-0000-0000BDC20000}"/>
    <cellStyle name="Calculation 9 5 6 2" xfId="49885" xr:uid="{00000000-0005-0000-0000-0000BEC20000}"/>
    <cellStyle name="Calculation 9 5 6 3" xfId="49886" xr:uid="{00000000-0005-0000-0000-0000BFC20000}"/>
    <cellStyle name="Calculation 9 5 6 4" xfId="49887" xr:uid="{00000000-0005-0000-0000-0000C0C20000}"/>
    <cellStyle name="Calculation 9 5 6 5" xfId="49888" xr:uid="{00000000-0005-0000-0000-0000C1C20000}"/>
    <cellStyle name="Calculation 9 5 6 6" xfId="49889" xr:uid="{00000000-0005-0000-0000-0000C2C20000}"/>
    <cellStyle name="Calculation 9 5 7" xfId="49890" xr:uid="{00000000-0005-0000-0000-0000C3C20000}"/>
    <cellStyle name="Calculation 9 5 7 2" xfId="49891" xr:uid="{00000000-0005-0000-0000-0000C4C20000}"/>
    <cellStyle name="Calculation 9 5 7 3" xfId="49892" xr:uid="{00000000-0005-0000-0000-0000C5C20000}"/>
    <cellStyle name="Calculation 9 5 7 4" xfId="49893" xr:uid="{00000000-0005-0000-0000-0000C6C20000}"/>
    <cellStyle name="Calculation 9 5 7 5" xfId="49894" xr:uid="{00000000-0005-0000-0000-0000C7C20000}"/>
    <cellStyle name="Calculation 9 5 7 6" xfId="49895" xr:uid="{00000000-0005-0000-0000-0000C8C20000}"/>
    <cellStyle name="Calculation 9 5 8" xfId="49896" xr:uid="{00000000-0005-0000-0000-0000C9C20000}"/>
    <cellStyle name="Calculation 9 5 9" xfId="49897" xr:uid="{00000000-0005-0000-0000-0000CAC20000}"/>
    <cellStyle name="Calculation 9 6" xfId="49898" xr:uid="{00000000-0005-0000-0000-0000CBC20000}"/>
    <cellStyle name="Calculation 9 6 10" xfId="49899" xr:uid="{00000000-0005-0000-0000-0000CCC20000}"/>
    <cellStyle name="Calculation 9 6 2" xfId="49900" xr:uid="{00000000-0005-0000-0000-0000CDC20000}"/>
    <cellStyle name="Calculation 9 6 2 2" xfId="49901" xr:uid="{00000000-0005-0000-0000-0000CEC20000}"/>
    <cellStyle name="Calculation 9 6 2 3" xfId="49902" xr:uid="{00000000-0005-0000-0000-0000CFC20000}"/>
    <cellStyle name="Calculation 9 6 2 4" xfId="49903" xr:uid="{00000000-0005-0000-0000-0000D0C20000}"/>
    <cellStyle name="Calculation 9 6 2 5" xfId="49904" xr:uid="{00000000-0005-0000-0000-0000D1C20000}"/>
    <cellStyle name="Calculation 9 6 2 6" xfId="49905" xr:uid="{00000000-0005-0000-0000-0000D2C20000}"/>
    <cellStyle name="Calculation 9 6 3" xfId="49906" xr:uid="{00000000-0005-0000-0000-0000D3C20000}"/>
    <cellStyle name="Calculation 9 6 3 2" xfId="49907" xr:uid="{00000000-0005-0000-0000-0000D4C20000}"/>
    <cellStyle name="Calculation 9 6 3 3" xfId="49908" xr:uid="{00000000-0005-0000-0000-0000D5C20000}"/>
    <cellStyle name="Calculation 9 6 3 4" xfId="49909" xr:uid="{00000000-0005-0000-0000-0000D6C20000}"/>
    <cellStyle name="Calculation 9 6 3 5" xfId="49910" xr:uid="{00000000-0005-0000-0000-0000D7C20000}"/>
    <cellStyle name="Calculation 9 6 3 6" xfId="49911" xr:uid="{00000000-0005-0000-0000-0000D8C20000}"/>
    <cellStyle name="Calculation 9 6 4" xfId="49912" xr:uid="{00000000-0005-0000-0000-0000D9C20000}"/>
    <cellStyle name="Calculation 9 6 4 2" xfId="49913" xr:uid="{00000000-0005-0000-0000-0000DAC20000}"/>
    <cellStyle name="Calculation 9 6 4 3" xfId="49914" xr:uid="{00000000-0005-0000-0000-0000DBC20000}"/>
    <cellStyle name="Calculation 9 6 4 4" xfId="49915" xr:uid="{00000000-0005-0000-0000-0000DCC20000}"/>
    <cellStyle name="Calculation 9 6 4 5" xfId="49916" xr:uid="{00000000-0005-0000-0000-0000DDC20000}"/>
    <cellStyle name="Calculation 9 6 4 6" xfId="49917" xr:uid="{00000000-0005-0000-0000-0000DEC20000}"/>
    <cellStyle name="Calculation 9 6 5" xfId="49918" xr:uid="{00000000-0005-0000-0000-0000DFC20000}"/>
    <cellStyle name="Calculation 9 6 5 2" xfId="49919" xr:uid="{00000000-0005-0000-0000-0000E0C20000}"/>
    <cellStyle name="Calculation 9 6 5 3" xfId="49920" xr:uid="{00000000-0005-0000-0000-0000E1C20000}"/>
    <cellStyle name="Calculation 9 6 5 4" xfId="49921" xr:uid="{00000000-0005-0000-0000-0000E2C20000}"/>
    <cellStyle name="Calculation 9 6 5 5" xfId="49922" xr:uid="{00000000-0005-0000-0000-0000E3C20000}"/>
    <cellStyle name="Calculation 9 6 5 6" xfId="49923" xr:uid="{00000000-0005-0000-0000-0000E4C20000}"/>
    <cellStyle name="Calculation 9 6 6" xfId="49924" xr:uid="{00000000-0005-0000-0000-0000E5C20000}"/>
    <cellStyle name="Calculation 9 6 6 2" xfId="49925" xr:uid="{00000000-0005-0000-0000-0000E6C20000}"/>
    <cellStyle name="Calculation 9 6 6 3" xfId="49926" xr:uid="{00000000-0005-0000-0000-0000E7C20000}"/>
    <cellStyle name="Calculation 9 6 6 4" xfId="49927" xr:uid="{00000000-0005-0000-0000-0000E8C20000}"/>
    <cellStyle name="Calculation 9 6 6 5" xfId="49928" xr:uid="{00000000-0005-0000-0000-0000E9C20000}"/>
    <cellStyle name="Calculation 9 6 6 6" xfId="49929" xr:uid="{00000000-0005-0000-0000-0000EAC20000}"/>
    <cellStyle name="Calculation 9 6 7" xfId="49930" xr:uid="{00000000-0005-0000-0000-0000EBC20000}"/>
    <cellStyle name="Calculation 9 6 7 2" xfId="49931" xr:uid="{00000000-0005-0000-0000-0000ECC20000}"/>
    <cellStyle name="Calculation 9 6 7 3" xfId="49932" xr:uid="{00000000-0005-0000-0000-0000EDC20000}"/>
    <cellStyle name="Calculation 9 6 7 4" xfId="49933" xr:uid="{00000000-0005-0000-0000-0000EEC20000}"/>
    <cellStyle name="Calculation 9 6 7 5" xfId="49934" xr:uid="{00000000-0005-0000-0000-0000EFC20000}"/>
    <cellStyle name="Calculation 9 6 7 6" xfId="49935" xr:uid="{00000000-0005-0000-0000-0000F0C20000}"/>
    <cellStyle name="Calculation 9 6 8" xfId="49936" xr:uid="{00000000-0005-0000-0000-0000F1C20000}"/>
    <cellStyle name="Calculation 9 6 9" xfId="49937" xr:uid="{00000000-0005-0000-0000-0000F2C20000}"/>
    <cellStyle name="Calculation 9 7" xfId="49938" xr:uid="{00000000-0005-0000-0000-0000F3C20000}"/>
    <cellStyle name="Calculation 9 7 10" xfId="49939" xr:uid="{00000000-0005-0000-0000-0000F4C20000}"/>
    <cellStyle name="Calculation 9 7 2" xfId="49940" xr:uid="{00000000-0005-0000-0000-0000F5C20000}"/>
    <cellStyle name="Calculation 9 7 2 2" xfId="49941" xr:uid="{00000000-0005-0000-0000-0000F6C20000}"/>
    <cellStyle name="Calculation 9 7 2 3" xfId="49942" xr:uid="{00000000-0005-0000-0000-0000F7C20000}"/>
    <cellStyle name="Calculation 9 7 2 4" xfId="49943" xr:uid="{00000000-0005-0000-0000-0000F8C20000}"/>
    <cellStyle name="Calculation 9 7 2 5" xfId="49944" xr:uid="{00000000-0005-0000-0000-0000F9C20000}"/>
    <cellStyle name="Calculation 9 7 2 6" xfId="49945" xr:uid="{00000000-0005-0000-0000-0000FAC20000}"/>
    <cellStyle name="Calculation 9 7 3" xfId="49946" xr:uid="{00000000-0005-0000-0000-0000FBC20000}"/>
    <cellStyle name="Calculation 9 7 3 2" xfId="49947" xr:uid="{00000000-0005-0000-0000-0000FCC20000}"/>
    <cellStyle name="Calculation 9 7 3 3" xfId="49948" xr:uid="{00000000-0005-0000-0000-0000FDC20000}"/>
    <cellStyle name="Calculation 9 7 3 4" xfId="49949" xr:uid="{00000000-0005-0000-0000-0000FEC20000}"/>
    <cellStyle name="Calculation 9 7 3 5" xfId="49950" xr:uid="{00000000-0005-0000-0000-0000FFC20000}"/>
    <cellStyle name="Calculation 9 7 3 6" xfId="49951" xr:uid="{00000000-0005-0000-0000-000000C30000}"/>
    <cellStyle name="Calculation 9 7 4" xfId="49952" xr:uid="{00000000-0005-0000-0000-000001C30000}"/>
    <cellStyle name="Calculation 9 7 4 2" xfId="49953" xr:uid="{00000000-0005-0000-0000-000002C30000}"/>
    <cellStyle name="Calculation 9 7 4 3" xfId="49954" xr:uid="{00000000-0005-0000-0000-000003C30000}"/>
    <cellStyle name="Calculation 9 7 4 4" xfId="49955" xr:uid="{00000000-0005-0000-0000-000004C30000}"/>
    <cellStyle name="Calculation 9 7 4 5" xfId="49956" xr:uid="{00000000-0005-0000-0000-000005C30000}"/>
    <cellStyle name="Calculation 9 7 4 6" xfId="49957" xr:uid="{00000000-0005-0000-0000-000006C30000}"/>
    <cellStyle name="Calculation 9 7 5" xfId="49958" xr:uid="{00000000-0005-0000-0000-000007C30000}"/>
    <cellStyle name="Calculation 9 7 5 2" xfId="49959" xr:uid="{00000000-0005-0000-0000-000008C30000}"/>
    <cellStyle name="Calculation 9 7 5 3" xfId="49960" xr:uid="{00000000-0005-0000-0000-000009C30000}"/>
    <cellStyle name="Calculation 9 7 5 4" xfId="49961" xr:uid="{00000000-0005-0000-0000-00000AC30000}"/>
    <cellStyle name="Calculation 9 7 5 5" xfId="49962" xr:uid="{00000000-0005-0000-0000-00000BC30000}"/>
    <cellStyle name="Calculation 9 7 5 6" xfId="49963" xr:uid="{00000000-0005-0000-0000-00000CC30000}"/>
    <cellStyle name="Calculation 9 7 6" xfId="49964" xr:uid="{00000000-0005-0000-0000-00000DC30000}"/>
    <cellStyle name="Calculation 9 7 6 2" xfId="49965" xr:uid="{00000000-0005-0000-0000-00000EC30000}"/>
    <cellStyle name="Calculation 9 7 6 3" xfId="49966" xr:uid="{00000000-0005-0000-0000-00000FC30000}"/>
    <cellStyle name="Calculation 9 7 6 4" xfId="49967" xr:uid="{00000000-0005-0000-0000-000010C30000}"/>
    <cellStyle name="Calculation 9 7 6 5" xfId="49968" xr:uid="{00000000-0005-0000-0000-000011C30000}"/>
    <cellStyle name="Calculation 9 7 6 6" xfId="49969" xr:uid="{00000000-0005-0000-0000-000012C30000}"/>
    <cellStyle name="Calculation 9 7 7" xfId="49970" xr:uid="{00000000-0005-0000-0000-000013C30000}"/>
    <cellStyle name="Calculation 9 7 7 2" xfId="49971" xr:uid="{00000000-0005-0000-0000-000014C30000}"/>
    <cellStyle name="Calculation 9 7 7 3" xfId="49972" xr:uid="{00000000-0005-0000-0000-000015C30000}"/>
    <cellStyle name="Calculation 9 7 7 4" xfId="49973" xr:uid="{00000000-0005-0000-0000-000016C30000}"/>
    <cellStyle name="Calculation 9 7 7 5" xfId="49974" xr:uid="{00000000-0005-0000-0000-000017C30000}"/>
    <cellStyle name="Calculation 9 7 7 6" xfId="49975" xr:uid="{00000000-0005-0000-0000-000018C30000}"/>
    <cellStyle name="Calculation 9 7 8" xfId="49976" xr:uid="{00000000-0005-0000-0000-000019C30000}"/>
    <cellStyle name="Calculation 9 7 9" xfId="49977" xr:uid="{00000000-0005-0000-0000-00001AC30000}"/>
    <cellStyle name="Calculation 9 8" xfId="49978" xr:uid="{00000000-0005-0000-0000-00001BC30000}"/>
    <cellStyle name="Calculation 9 8 10" xfId="49979" xr:uid="{00000000-0005-0000-0000-00001CC30000}"/>
    <cellStyle name="Calculation 9 8 2" xfId="49980" xr:uid="{00000000-0005-0000-0000-00001DC30000}"/>
    <cellStyle name="Calculation 9 8 2 2" xfId="49981" xr:uid="{00000000-0005-0000-0000-00001EC30000}"/>
    <cellStyle name="Calculation 9 8 2 3" xfId="49982" xr:uid="{00000000-0005-0000-0000-00001FC30000}"/>
    <cellStyle name="Calculation 9 8 2 4" xfId="49983" xr:uid="{00000000-0005-0000-0000-000020C30000}"/>
    <cellStyle name="Calculation 9 8 2 5" xfId="49984" xr:uid="{00000000-0005-0000-0000-000021C30000}"/>
    <cellStyle name="Calculation 9 8 2 6" xfId="49985" xr:uid="{00000000-0005-0000-0000-000022C30000}"/>
    <cellStyle name="Calculation 9 8 3" xfId="49986" xr:uid="{00000000-0005-0000-0000-000023C30000}"/>
    <cellStyle name="Calculation 9 8 3 2" xfId="49987" xr:uid="{00000000-0005-0000-0000-000024C30000}"/>
    <cellStyle name="Calculation 9 8 3 3" xfId="49988" xr:uid="{00000000-0005-0000-0000-000025C30000}"/>
    <cellStyle name="Calculation 9 8 3 4" xfId="49989" xr:uid="{00000000-0005-0000-0000-000026C30000}"/>
    <cellStyle name="Calculation 9 8 3 5" xfId="49990" xr:uid="{00000000-0005-0000-0000-000027C30000}"/>
    <cellStyle name="Calculation 9 8 3 6" xfId="49991" xr:uid="{00000000-0005-0000-0000-000028C30000}"/>
    <cellStyle name="Calculation 9 8 4" xfId="49992" xr:uid="{00000000-0005-0000-0000-000029C30000}"/>
    <cellStyle name="Calculation 9 8 4 2" xfId="49993" xr:uid="{00000000-0005-0000-0000-00002AC30000}"/>
    <cellStyle name="Calculation 9 8 4 3" xfId="49994" xr:uid="{00000000-0005-0000-0000-00002BC30000}"/>
    <cellStyle name="Calculation 9 8 4 4" xfId="49995" xr:uid="{00000000-0005-0000-0000-00002CC30000}"/>
    <cellStyle name="Calculation 9 8 4 5" xfId="49996" xr:uid="{00000000-0005-0000-0000-00002DC30000}"/>
    <cellStyle name="Calculation 9 8 4 6" xfId="49997" xr:uid="{00000000-0005-0000-0000-00002EC30000}"/>
    <cellStyle name="Calculation 9 8 5" xfId="49998" xr:uid="{00000000-0005-0000-0000-00002FC30000}"/>
    <cellStyle name="Calculation 9 8 5 2" xfId="49999" xr:uid="{00000000-0005-0000-0000-000030C30000}"/>
    <cellStyle name="Calculation 9 8 5 3" xfId="50000" xr:uid="{00000000-0005-0000-0000-000031C30000}"/>
    <cellStyle name="Calculation 9 8 5 4" xfId="50001" xr:uid="{00000000-0005-0000-0000-000032C30000}"/>
    <cellStyle name="Calculation 9 8 5 5" xfId="50002" xr:uid="{00000000-0005-0000-0000-000033C30000}"/>
    <cellStyle name="Calculation 9 8 5 6" xfId="50003" xr:uid="{00000000-0005-0000-0000-000034C30000}"/>
    <cellStyle name="Calculation 9 8 6" xfId="50004" xr:uid="{00000000-0005-0000-0000-000035C30000}"/>
    <cellStyle name="Calculation 9 8 6 2" xfId="50005" xr:uid="{00000000-0005-0000-0000-000036C30000}"/>
    <cellStyle name="Calculation 9 8 6 3" xfId="50006" xr:uid="{00000000-0005-0000-0000-000037C30000}"/>
    <cellStyle name="Calculation 9 8 6 4" xfId="50007" xr:uid="{00000000-0005-0000-0000-000038C30000}"/>
    <cellStyle name="Calculation 9 8 6 5" xfId="50008" xr:uid="{00000000-0005-0000-0000-000039C30000}"/>
    <cellStyle name="Calculation 9 8 6 6" xfId="50009" xr:uid="{00000000-0005-0000-0000-00003AC30000}"/>
    <cellStyle name="Calculation 9 8 7" xfId="50010" xr:uid="{00000000-0005-0000-0000-00003BC30000}"/>
    <cellStyle name="Calculation 9 8 7 2" xfId="50011" xr:uid="{00000000-0005-0000-0000-00003CC30000}"/>
    <cellStyle name="Calculation 9 8 7 3" xfId="50012" xr:uid="{00000000-0005-0000-0000-00003DC30000}"/>
    <cellStyle name="Calculation 9 8 7 4" xfId="50013" xr:uid="{00000000-0005-0000-0000-00003EC30000}"/>
    <cellStyle name="Calculation 9 8 7 5" xfId="50014" xr:uid="{00000000-0005-0000-0000-00003FC30000}"/>
    <cellStyle name="Calculation 9 8 7 6" xfId="50015" xr:uid="{00000000-0005-0000-0000-000040C30000}"/>
    <cellStyle name="Calculation 9 8 8" xfId="50016" xr:uid="{00000000-0005-0000-0000-000041C30000}"/>
    <cellStyle name="Calculation 9 8 9" xfId="50017" xr:uid="{00000000-0005-0000-0000-000042C30000}"/>
    <cellStyle name="Calculation 9 9" xfId="50018" xr:uid="{00000000-0005-0000-0000-000043C30000}"/>
    <cellStyle name="Calculation 9 9 10" xfId="50019" xr:uid="{00000000-0005-0000-0000-000044C30000}"/>
    <cellStyle name="Calculation 9 9 2" xfId="50020" xr:uid="{00000000-0005-0000-0000-000045C30000}"/>
    <cellStyle name="Calculation 9 9 2 2" xfId="50021" xr:uid="{00000000-0005-0000-0000-000046C30000}"/>
    <cellStyle name="Calculation 9 9 2 3" xfId="50022" xr:uid="{00000000-0005-0000-0000-000047C30000}"/>
    <cellStyle name="Calculation 9 9 2 4" xfId="50023" xr:uid="{00000000-0005-0000-0000-000048C30000}"/>
    <cellStyle name="Calculation 9 9 2 5" xfId="50024" xr:uid="{00000000-0005-0000-0000-000049C30000}"/>
    <cellStyle name="Calculation 9 9 2 6" xfId="50025" xr:uid="{00000000-0005-0000-0000-00004AC30000}"/>
    <cellStyle name="Calculation 9 9 3" xfId="50026" xr:uid="{00000000-0005-0000-0000-00004BC30000}"/>
    <cellStyle name="Calculation 9 9 3 2" xfId="50027" xr:uid="{00000000-0005-0000-0000-00004CC30000}"/>
    <cellStyle name="Calculation 9 9 3 3" xfId="50028" xr:uid="{00000000-0005-0000-0000-00004DC30000}"/>
    <cellStyle name="Calculation 9 9 3 4" xfId="50029" xr:uid="{00000000-0005-0000-0000-00004EC30000}"/>
    <cellStyle name="Calculation 9 9 3 5" xfId="50030" xr:uid="{00000000-0005-0000-0000-00004FC30000}"/>
    <cellStyle name="Calculation 9 9 3 6" xfId="50031" xr:uid="{00000000-0005-0000-0000-000050C30000}"/>
    <cellStyle name="Calculation 9 9 4" xfId="50032" xr:uid="{00000000-0005-0000-0000-000051C30000}"/>
    <cellStyle name="Calculation 9 9 4 2" xfId="50033" xr:uid="{00000000-0005-0000-0000-000052C30000}"/>
    <cellStyle name="Calculation 9 9 4 3" xfId="50034" xr:uid="{00000000-0005-0000-0000-000053C30000}"/>
    <cellStyle name="Calculation 9 9 4 4" xfId="50035" xr:uid="{00000000-0005-0000-0000-000054C30000}"/>
    <cellStyle name="Calculation 9 9 4 5" xfId="50036" xr:uid="{00000000-0005-0000-0000-000055C30000}"/>
    <cellStyle name="Calculation 9 9 4 6" xfId="50037" xr:uid="{00000000-0005-0000-0000-000056C30000}"/>
    <cellStyle name="Calculation 9 9 5" xfId="50038" xr:uid="{00000000-0005-0000-0000-000057C30000}"/>
    <cellStyle name="Calculation 9 9 5 2" xfId="50039" xr:uid="{00000000-0005-0000-0000-000058C30000}"/>
    <cellStyle name="Calculation 9 9 5 3" xfId="50040" xr:uid="{00000000-0005-0000-0000-000059C30000}"/>
    <cellStyle name="Calculation 9 9 5 4" xfId="50041" xr:uid="{00000000-0005-0000-0000-00005AC30000}"/>
    <cellStyle name="Calculation 9 9 5 5" xfId="50042" xr:uid="{00000000-0005-0000-0000-00005BC30000}"/>
    <cellStyle name="Calculation 9 9 5 6" xfId="50043" xr:uid="{00000000-0005-0000-0000-00005CC30000}"/>
    <cellStyle name="Calculation 9 9 6" xfId="50044" xr:uid="{00000000-0005-0000-0000-00005DC30000}"/>
    <cellStyle name="Calculation 9 9 6 2" xfId="50045" xr:uid="{00000000-0005-0000-0000-00005EC30000}"/>
    <cellStyle name="Calculation 9 9 6 3" xfId="50046" xr:uid="{00000000-0005-0000-0000-00005FC30000}"/>
    <cellStyle name="Calculation 9 9 6 4" xfId="50047" xr:uid="{00000000-0005-0000-0000-000060C30000}"/>
    <cellStyle name="Calculation 9 9 6 5" xfId="50048" xr:uid="{00000000-0005-0000-0000-000061C30000}"/>
    <cellStyle name="Calculation 9 9 6 6" xfId="50049" xr:uid="{00000000-0005-0000-0000-000062C30000}"/>
    <cellStyle name="Calculation 9 9 7" xfId="50050" xr:uid="{00000000-0005-0000-0000-000063C30000}"/>
    <cellStyle name="Calculation 9 9 7 2" xfId="50051" xr:uid="{00000000-0005-0000-0000-000064C30000}"/>
    <cellStyle name="Calculation 9 9 7 3" xfId="50052" xr:uid="{00000000-0005-0000-0000-000065C30000}"/>
    <cellStyle name="Calculation 9 9 7 4" xfId="50053" xr:uid="{00000000-0005-0000-0000-000066C30000}"/>
    <cellStyle name="Calculation 9 9 7 5" xfId="50054" xr:uid="{00000000-0005-0000-0000-000067C30000}"/>
    <cellStyle name="Calculation 9 9 7 6" xfId="50055" xr:uid="{00000000-0005-0000-0000-000068C30000}"/>
    <cellStyle name="Calculation 9 9 8" xfId="50056" xr:uid="{00000000-0005-0000-0000-000069C30000}"/>
    <cellStyle name="Calculation 9 9 9" xfId="50057" xr:uid="{00000000-0005-0000-0000-00006AC30000}"/>
    <cellStyle name="category" xfId="50058" xr:uid="{00000000-0005-0000-0000-00006BC30000}"/>
    <cellStyle name="Celkem" xfId="50059" xr:uid="{00000000-0005-0000-0000-00006CC30000}"/>
    <cellStyle name="Celkem 2" xfId="50060" xr:uid="{00000000-0005-0000-0000-00006DC30000}"/>
    <cellStyle name="Celkem 3" xfId="50061" xr:uid="{00000000-0005-0000-0000-00006EC30000}"/>
    <cellStyle name="Celkem 4" xfId="50062" xr:uid="{00000000-0005-0000-0000-00006FC30000}"/>
    <cellStyle name="Cerrency_Sheet2_XANGDAU" xfId="50063" xr:uid="{00000000-0005-0000-0000-000070C30000}"/>
    <cellStyle name="Check Cell 10" xfId="50064" xr:uid="{00000000-0005-0000-0000-000071C30000}"/>
    <cellStyle name="Check Cell 11" xfId="50065" xr:uid="{00000000-0005-0000-0000-000072C30000}"/>
    <cellStyle name="Check Cell 12" xfId="50066" xr:uid="{00000000-0005-0000-0000-000073C30000}"/>
    <cellStyle name="Check Cell 13" xfId="50067" xr:uid="{00000000-0005-0000-0000-000074C30000}"/>
    <cellStyle name="Check Cell 14" xfId="50068" xr:uid="{00000000-0005-0000-0000-000075C30000}"/>
    <cellStyle name="Check Cell 15" xfId="50069" xr:uid="{00000000-0005-0000-0000-000076C30000}"/>
    <cellStyle name="Check Cell 16" xfId="50070" xr:uid="{00000000-0005-0000-0000-000077C30000}"/>
    <cellStyle name="Check Cell 17" xfId="50071" xr:uid="{00000000-0005-0000-0000-000078C30000}"/>
    <cellStyle name="Check Cell 2" xfId="50072" xr:uid="{00000000-0005-0000-0000-000079C30000}"/>
    <cellStyle name="Check Cell 3" xfId="50073" xr:uid="{00000000-0005-0000-0000-00007AC30000}"/>
    <cellStyle name="Check Cell 3 2" xfId="50074" xr:uid="{00000000-0005-0000-0000-00007BC30000}"/>
    <cellStyle name="Check Cell 4" xfId="50075" xr:uid="{00000000-0005-0000-0000-00007CC30000}"/>
    <cellStyle name="Check Cell 5" xfId="50076" xr:uid="{00000000-0005-0000-0000-00007DC30000}"/>
    <cellStyle name="Check Cell 6" xfId="50077" xr:uid="{00000000-0005-0000-0000-00007EC30000}"/>
    <cellStyle name="Check Cell 7" xfId="50078" xr:uid="{00000000-0005-0000-0000-00007FC30000}"/>
    <cellStyle name="Check Cell 8" xfId="50079" xr:uid="{00000000-0005-0000-0000-000080C30000}"/>
    <cellStyle name="Check Cell 9" xfId="50080" xr:uid="{00000000-0005-0000-0000-000081C30000}"/>
    <cellStyle name="CHF" xfId="50081" xr:uid="{00000000-0005-0000-0000-000082C30000}"/>
    <cellStyle name="CHF 2" xfId="50082" xr:uid="{00000000-0005-0000-0000-000083C30000}"/>
    <cellStyle name="Clive" xfId="50083" xr:uid="{00000000-0005-0000-0000-000084C30000}"/>
    <cellStyle name="Clive 2" xfId="50084" xr:uid="{00000000-0005-0000-0000-000085C30000}"/>
    <cellStyle name="Clive 2 2" xfId="50085" xr:uid="{00000000-0005-0000-0000-000086C30000}"/>
    <cellStyle name="Clive 2_Content" xfId="50086" xr:uid="{00000000-0005-0000-0000-000087C30000}"/>
    <cellStyle name="Clive 3" xfId="50087" xr:uid="{00000000-0005-0000-0000-000088C30000}"/>
    <cellStyle name="Clive 4" xfId="50088" xr:uid="{00000000-0005-0000-0000-000089C30000}"/>
    <cellStyle name="Clive 5" xfId="50089" xr:uid="{00000000-0005-0000-0000-00008AC30000}"/>
    <cellStyle name="Clive_Content" xfId="50090" xr:uid="{00000000-0005-0000-0000-00008BC30000}"/>
    <cellStyle name="clsAltData" xfId="7" xr:uid="{00000000-0005-0000-0000-00008CC30000}"/>
    <cellStyle name="clsAltData 2" xfId="50091" xr:uid="{00000000-0005-0000-0000-00008DC30000}"/>
    <cellStyle name="clsAltData 3" xfId="50092" xr:uid="{00000000-0005-0000-0000-00008EC30000}"/>
    <cellStyle name="clsAltData 4" xfId="50093" xr:uid="{00000000-0005-0000-0000-00008FC30000}"/>
    <cellStyle name="clsAltData 5" xfId="50094" xr:uid="{00000000-0005-0000-0000-000090C30000}"/>
    <cellStyle name="clsAltData 6" xfId="50095" xr:uid="{00000000-0005-0000-0000-000091C30000}"/>
    <cellStyle name="clsAltData 7" xfId="50096" xr:uid="{00000000-0005-0000-0000-000092C30000}"/>
    <cellStyle name="clsAltDataPrezn1" xfId="50097" xr:uid="{00000000-0005-0000-0000-000093C30000}"/>
    <cellStyle name="clsAltDataPrezn1 2" xfId="50098" xr:uid="{00000000-0005-0000-0000-000094C30000}"/>
    <cellStyle name="clsAltDataPrezn1 3" xfId="50099" xr:uid="{00000000-0005-0000-0000-000095C30000}"/>
    <cellStyle name="clsAltDataPrezn1 4" xfId="50100" xr:uid="{00000000-0005-0000-0000-000096C30000}"/>
    <cellStyle name="clsAltDataPrezn1 5" xfId="50101" xr:uid="{00000000-0005-0000-0000-000097C30000}"/>
    <cellStyle name="clsAltDataPrezn1 6" xfId="50102" xr:uid="{00000000-0005-0000-0000-000098C30000}"/>
    <cellStyle name="clsAltDataPrezn1 7" xfId="50103" xr:uid="{00000000-0005-0000-0000-000099C30000}"/>
    <cellStyle name="clsAltDataPrezn3" xfId="50104" xr:uid="{00000000-0005-0000-0000-00009AC30000}"/>
    <cellStyle name="clsAltDataPrezn3 2" xfId="50105" xr:uid="{00000000-0005-0000-0000-00009BC30000}"/>
    <cellStyle name="clsAltDataPrezn3 3" xfId="50106" xr:uid="{00000000-0005-0000-0000-00009CC30000}"/>
    <cellStyle name="clsAltDataPrezn3 4" xfId="50107" xr:uid="{00000000-0005-0000-0000-00009DC30000}"/>
    <cellStyle name="clsAltDataPrezn3 5" xfId="50108" xr:uid="{00000000-0005-0000-0000-00009EC30000}"/>
    <cellStyle name="clsAltDataPrezn3 6" xfId="50109" xr:uid="{00000000-0005-0000-0000-00009FC30000}"/>
    <cellStyle name="clsAltDataPrezn3 7" xfId="50110" xr:uid="{00000000-0005-0000-0000-0000A0C30000}"/>
    <cellStyle name="clsAltDataPrezn4" xfId="50111" xr:uid="{00000000-0005-0000-0000-0000A1C30000}"/>
    <cellStyle name="clsAltDataPrezn4 2" xfId="50112" xr:uid="{00000000-0005-0000-0000-0000A2C30000}"/>
    <cellStyle name="clsAltDataPrezn4 3" xfId="50113" xr:uid="{00000000-0005-0000-0000-0000A3C30000}"/>
    <cellStyle name="clsAltDataPrezn4 4" xfId="50114" xr:uid="{00000000-0005-0000-0000-0000A4C30000}"/>
    <cellStyle name="clsAltDataPrezn4 5" xfId="50115" xr:uid="{00000000-0005-0000-0000-0000A5C30000}"/>
    <cellStyle name="clsAltDataPrezn4 6" xfId="50116" xr:uid="{00000000-0005-0000-0000-0000A6C30000}"/>
    <cellStyle name="clsAltDataPrezn4 7" xfId="50117" xr:uid="{00000000-0005-0000-0000-0000A7C30000}"/>
    <cellStyle name="clsAltDataPrezn5" xfId="50118" xr:uid="{00000000-0005-0000-0000-0000A8C30000}"/>
    <cellStyle name="clsAltDataPrezn5 2" xfId="50119" xr:uid="{00000000-0005-0000-0000-0000A9C30000}"/>
    <cellStyle name="clsAltDataPrezn5 3" xfId="50120" xr:uid="{00000000-0005-0000-0000-0000AAC30000}"/>
    <cellStyle name="clsAltDataPrezn5 4" xfId="50121" xr:uid="{00000000-0005-0000-0000-0000ABC30000}"/>
    <cellStyle name="clsAltDataPrezn5 5" xfId="50122" xr:uid="{00000000-0005-0000-0000-0000ACC30000}"/>
    <cellStyle name="clsAltDataPrezn5 6" xfId="50123" xr:uid="{00000000-0005-0000-0000-0000ADC30000}"/>
    <cellStyle name="clsAltDataPrezn5 7" xfId="50124" xr:uid="{00000000-0005-0000-0000-0000AEC30000}"/>
    <cellStyle name="clsAltDataPrezn6" xfId="50125" xr:uid="{00000000-0005-0000-0000-0000AFC30000}"/>
    <cellStyle name="clsAltDataPrezn6 2" xfId="50126" xr:uid="{00000000-0005-0000-0000-0000B0C30000}"/>
    <cellStyle name="clsAltDataPrezn6 3" xfId="50127" xr:uid="{00000000-0005-0000-0000-0000B1C30000}"/>
    <cellStyle name="clsAltDataPrezn6 4" xfId="50128" xr:uid="{00000000-0005-0000-0000-0000B2C30000}"/>
    <cellStyle name="clsAltDataPrezn6 5" xfId="50129" xr:uid="{00000000-0005-0000-0000-0000B3C30000}"/>
    <cellStyle name="clsAltDataPrezn6 6" xfId="50130" xr:uid="{00000000-0005-0000-0000-0000B4C30000}"/>
    <cellStyle name="clsAltDataPrezn6 7" xfId="50131" xr:uid="{00000000-0005-0000-0000-0000B5C30000}"/>
    <cellStyle name="clsAltMRVData" xfId="8" xr:uid="{00000000-0005-0000-0000-0000B6C30000}"/>
    <cellStyle name="clsAltMRVData 2" xfId="50132" xr:uid="{00000000-0005-0000-0000-0000B7C30000}"/>
    <cellStyle name="clsAltMRVData 3" xfId="50133" xr:uid="{00000000-0005-0000-0000-0000B8C30000}"/>
    <cellStyle name="clsAltMRVData 4" xfId="50134" xr:uid="{00000000-0005-0000-0000-0000B9C30000}"/>
    <cellStyle name="clsAltMRVData 5" xfId="50135" xr:uid="{00000000-0005-0000-0000-0000BAC30000}"/>
    <cellStyle name="clsAltMRVData 6" xfId="50136" xr:uid="{00000000-0005-0000-0000-0000BBC30000}"/>
    <cellStyle name="clsAltMRVData 7" xfId="50137" xr:uid="{00000000-0005-0000-0000-0000BCC30000}"/>
    <cellStyle name="clsAltMRVDataPrezn1" xfId="50138" xr:uid="{00000000-0005-0000-0000-0000BDC30000}"/>
    <cellStyle name="clsAltMRVDataPrezn1 2" xfId="50139" xr:uid="{00000000-0005-0000-0000-0000BEC30000}"/>
    <cellStyle name="clsAltMRVDataPrezn1 3" xfId="50140" xr:uid="{00000000-0005-0000-0000-0000BFC30000}"/>
    <cellStyle name="clsAltMRVDataPrezn1 4" xfId="50141" xr:uid="{00000000-0005-0000-0000-0000C0C30000}"/>
    <cellStyle name="clsAltMRVDataPrezn1 5" xfId="50142" xr:uid="{00000000-0005-0000-0000-0000C1C30000}"/>
    <cellStyle name="clsAltMRVDataPrezn1 6" xfId="50143" xr:uid="{00000000-0005-0000-0000-0000C2C30000}"/>
    <cellStyle name="clsAltMRVDataPrezn1 7" xfId="50144" xr:uid="{00000000-0005-0000-0000-0000C3C30000}"/>
    <cellStyle name="clsAltMRVDataPrezn3" xfId="50145" xr:uid="{00000000-0005-0000-0000-0000C4C30000}"/>
    <cellStyle name="clsAltMRVDataPrezn3 2" xfId="50146" xr:uid="{00000000-0005-0000-0000-0000C5C30000}"/>
    <cellStyle name="clsAltMRVDataPrezn3 3" xfId="50147" xr:uid="{00000000-0005-0000-0000-0000C6C30000}"/>
    <cellStyle name="clsAltMRVDataPrezn3 4" xfId="50148" xr:uid="{00000000-0005-0000-0000-0000C7C30000}"/>
    <cellStyle name="clsAltMRVDataPrezn3 5" xfId="50149" xr:uid="{00000000-0005-0000-0000-0000C8C30000}"/>
    <cellStyle name="clsAltMRVDataPrezn3 6" xfId="50150" xr:uid="{00000000-0005-0000-0000-0000C9C30000}"/>
    <cellStyle name="clsAltMRVDataPrezn3 7" xfId="50151" xr:uid="{00000000-0005-0000-0000-0000CAC30000}"/>
    <cellStyle name="clsAltMRVDataPrezn4" xfId="50152" xr:uid="{00000000-0005-0000-0000-0000CBC30000}"/>
    <cellStyle name="clsAltMRVDataPrezn4 2" xfId="50153" xr:uid="{00000000-0005-0000-0000-0000CCC30000}"/>
    <cellStyle name="clsAltMRVDataPrezn4 3" xfId="50154" xr:uid="{00000000-0005-0000-0000-0000CDC30000}"/>
    <cellStyle name="clsAltMRVDataPrezn4 4" xfId="50155" xr:uid="{00000000-0005-0000-0000-0000CEC30000}"/>
    <cellStyle name="clsAltMRVDataPrezn4 5" xfId="50156" xr:uid="{00000000-0005-0000-0000-0000CFC30000}"/>
    <cellStyle name="clsAltMRVDataPrezn4 6" xfId="50157" xr:uid="{00000000-0005-0000-0000-0000D0C30000}"/>
    <cellStyle name="clsAltMRVDataPrezn4 7" xfId="50158" xr:uid="{00000000-0005-0000-0000-0000D1C30000}"/>
    <cellStyle name="clsAltMRVDataPrezn5" xfId="50159" xr:uid="{00000000-0005-0000-0000-0000D2C30000}"/>
    <cellStyle name="clsAltMRVDataPrezn5 2" xfId="50160" xr:uid="{00000000-0005-0000-0000-0000D3C30000}"/>
    <cellStyle name="clsAltMRVDataPrezn5 3" xfId="50161" xr:uid="{00000000-0005-0000-0000-0000D4C30000}"/>
    <cellStyle name="clsAltMRVDataPrezn5 4" xfId="50162" xr:uid="{00000000-0005-0000-0000-0000D5C30000}"/>
    <cellStyle name="clsAltMRVDataPrezn5 5" xfId="50163" xr:uid="{00000000-0005-0000-0000-0000D6C30000}"/>
    <cellStyle name="clsAltMRVDataPrezn5 6" xfId="50164" xr:uid="{00000000-0005-0000-0000-0000D7C30000}"/>
    <cellStyle name="clsAltMRVDataPrezn5 7" xfId="50165" xr:uid="{00000000-0005-0000-0000-0000D8C30000}"/>
    <cellStyle name="clsAltMRVDataPrezn6" xfId="50166" xr:uid="{00000000-0005-0000-0000-0000D9C30000}"/>
    <cellStyle name="clsAltMRVDataPrezn6 2" xfId="50167" xr:uid="{00000000-0005-0000-0000-0000DAC30000}"/>
    <cellStyle name="clsAltMRVDataPrezn6 3" xfId="50168" xr:uid="{00000000-0005-0000-0000-0000DBC30000}"/>
    <cellStyle name="clsAltMRVDataPrezn6 4" xfId="50169" xr:uid="{00000000-0005-0000-0000-0000DCC30000}"/>
    <cellStyle name="clsAltMRVDataPrezn6 5" xfId="50170" xr:uid="{00000000-0005-0000-0000-0000DDC30000}"/>
    <cellStyle name="clsAltMRVDataPrezn6 6" xfId="50171" xr:uid="{00000000-0005-0000-0000-0000DEC30000}"/>
    <cellStyle name="clsAltMRVDataPrezn6 7" xfId="50172" xr:uid="{00000000-0005-0000-0000-0000DFC30000}"/>
    <cellStyle name="clsBlank" xfId="9" xr:uid="{00000000-0005-0000-0000-0000E0C30000}"/>
    <cellStyle name="clsBlank 2" xfId="50173" xr:uid="{00000000-0005-0000-0000-0000E1C30000}"/>
    <cellStyle name="clsBlank 3" xfId="50174" xr:uid="{00000000-0005-0000-0000-0000E2C30000}"/>
    <cellStyle name="clsBlank 4" xfId="50175" xr:uid="{00000000-0005-0000-0000-0000E3C30000}"/>
    <cellStyle name="clsBlank 5" xfId="50176" xr:uid="{00000000-0005-0000-0000-0000E4C30000}"/>
    <cellStyle name="clsBlank_Content" xfId="50177" xr:uid="{00000000-0005-0000-0000-0000E5C30000}"/>
    <cellStyle name="clsColumnHeader" xfId="10" xr:uid="{00000000-0005-0000-0000-0000E6C30000}"/>
    <cellStyle name="clsColumnHeader 2" xfId="50178" xr:uid="{00000000-0005-0000-0000-0000E7C30000}"/>
    <cellStyle name="clsColumnHeader 3" xfId="50179" xr:uid="{00000000-0005-0000-0000-0000E8C30000}"/>
    <cellStyle name="clsColumnHeader 4" xfId="50180" xr:uid="{00000000-0005-0000-0000-0000E9C30000}"/>
    <cellStyle name="clsColumnHeader 5" xfId="50181" xr:uid="{00000000-0005-0000-0000-0000EAC30000}"/>
    <cellStyle name="clsColumnHeader 6" xfId="50182" xr:uid="{00000000-0005-0000-0000-0000EBC30000}"/>
    <cellStyle name="clsColumnHeader 7" xfId="50183" xr:uid="{00000000-0005-0000-0000-0000ECC30000}"/>
    <cellStyle name="clsData" xfId="11" xr:uid="{00000000-0005-0000-0000-0000EDC30000}"/>
    <cellStyle name="clsData 2" xfId="50184" xr:uid="{00000000-0005-0000-0000-0000EEC30000}"/>
    <cellStyle name="clsData 3" xfId="50185" xr:uid="{00000000-0005-0000-0000-0000EFC30000}"/>
    <cellStyle name="clsData 4" xfId="50186" xr:uid="{00000000-0005-0000-0000-0000F0C30000}"/>
    <cellStyle name="clsData 5" xfId="50187" xr:uid="{00000000-0005-0000-0000-0000F1C30000}"/>
    <cellStyle name="clsData 6" xfId="50188" xr:uid="{00000000-0005-0000-0000-0000F2C30000}"/>
    <cellStyle name="clsData 7" xfId="50189" xr:uid="{00000000-0005-0000-0000-0000F3C30000}"/>
    <cellStyle name="clsDataPrezn1" xfId="50190" xr:uid="{00000000-0005-0000-0000-0000F4C30000}"/>
    <cellStyle name="clsDataPrezn1 2" xfId="50191" xr:uid="{00000000-0005-0000-0000-0000F5C30000}"/>
    <cellStyle name="clsDataPrezn1 3" xfId="50192" xr:uid="{00000000-0005-0000-0000-0000F6C30000}"/>
    <cellStyle name="clsDataPrezn1 4" xfId="50193" xr:uid="{00000000-0005-0000-0000-0000F7C30000}"/>
    <cellStyle name="clsDataPrezn1 5" xfId="50194" xr:uid="{00000000-0005-0000-0000-0000F8C30000}"/>
    <cellStyle name="clsDataPrezn1 6" xfId="50195" xr:uid="{00000000-0005-0000-0000-0000F9C30000}"/>
    <cellStyle name="clsDataPrezn1 7" xfId="50196" xr:uid="{00000000-0005-0000-0000-0000FAC30000}"/>
    <cellStyle name="clsDataPrezn3" xfId="50197" xr:uid="{00000000-0005-0000-0000-0000FBC30000}"/>
    <cellStyle name="clsDataPrezn3 2" xfId="50198" xr:uid="{00000000-0005-0000-0000-0000FCC30000}"/>
    <cellStyle name="clsDataPrezn3 3" xfId="50199" xr:uid="{00000000-0005-0000-0000-0000FDC30000}"/>
    <cellStyle name="clsDataPrezn3 4" xfId="50200" xr:uid="{00000000-0005-0000-0000-0000FEC30000}"/>
    <cellStyle name="clsDataPrezn3 5" xfId="50201" xr:uid="{00000000-0005-0000-0000-0000FFC30000}"/>
    <cellStyle name="clsDataPrezn3 6" xfId="50202" xr:uid="{00000000-0005-0000-0000-000000C40000}"/>
    <cellStyle name="clsDataPrezn3 7" xfId="50203" xr:uid="{00000000-0005-0000-0000-000001C40000}"/>
    <cellStyle name="clsDataPrezn4" xfId="50204" xr:uid="{00000000-0005-0000-0000-000002C40000}"/>
    <cellStyle name="clsDataPrezn4 2" xfId="50205" xr:uid="{00000000-0005-0000-0000-000003C40000}"/>
    <cellStyle name="clsDataPrezn4 3" xfId="50206" xr:uid="{00000000-0005-0000-0000-000004C40000}"/>
    <cellStyle name="clsDataPrezn4 4" xfId="50207" xr:uid="{00000000-0005-0000-0000-000005C40000}"/>
    <cellStyle name="clsDataPrezn4 5" xfId="50208" xr:uid="{00000000-0005-0000-0000-000006C40000}"/>
    <cellStyle name="clsDataPrezn4 6" xfId="50209" xr:uid="{00000000-0005-0000-0000-000007C40000}"/>
    <cellStyle name="clsDataPrezn4 7" xfId="50210" xr:uid="{00000000-0005-0000-0000-000008C40000}"/>
    <cellStyle name="clsDataPrezn5" xfId="50211" xr:uid="{00000000-0005-0000-0000-000009C40000}"/>
    <cellStyle name="clsDataPrezn5 2" xfId="50212" xr:uid="{00000000-0005-0000-0000-00000AC40000}"/>
    <cellStyle name="clsDataPrezn5 3" xfId="50213" xr:uid="{00000000-0005-0000-0000-00000BC40000}"/>
    <cellStyle name="clsDataPrezn5 4" xfId="50214" xr:uid="{00000000-0005-0000-0000-00000CC40000}"/>
    <cellStyle name="clsDataPrezn5 5" xfId="50215" xr:uid="{00000000-0005-0000-0000-00000DC40000}"/>
    <cellStyle name="clsDataPrezn5 6" xfId="50216" xr:uid="{00000000-0005-0000-0000-00000EC40000}"/>
    <cellStyle name="clsDataPrezn5 7" xfId="50217" xr:uid="{00000000-0005-0000-0000-00000FC40000}"/>
    <cellStyle name="clsDataPrezn6" xfId="50218" xr:uid="{00000000-0005-0000-0000-000010C40000}"/>
    <cellStyle name="clsDataPrezn6 2" xfId="50219" xr:uid="{00000000-0005-0000-0000-000011C40000}"/>
    <cellStyle name="clsDataPrezn6 3" xfId="50220" xr:uid="{00000000-0005-0000-0000-000012C40000}"/>
    <cellStyle name="clsDataPrezn6 4" xfId="50221" xr:uid="{00000000-0005-0000-0000-000013C40000}"/>
    <cellStyle name="clsDataPrezn6 5" xfId="50222" xr:uid="{00000000-0005-0000-0000-000014C40000}"/>
    <cellStyle name="clsDataPrezn6 6" xfId="50223" xr:uid="{00000000-0005-0000-0000-000015C40000}"/>
    <cellStyle name="clsDataPrezn6 7" xfId="50224" xr:uid="{00000000-0005-0000-0000-000016C40000}"/>
    <cellStyle name="clsDefault" xfId="12" xr:uid="{00000000-0005-0000-0000-000017C40000}"/>
    <cellStyle name="clsDefault 2" xfId="50225" xr:uid="{00000000-0005-0000-0000-000018C40000}"/>
    <cellStyle name="clsDefault 3" xfId="50226" xr:uid="{00000000-0005-0000-0000-000019C40000}"/>
    <cellStyle name="clsDefault 4" xfId="50227" xr:uid="{00000000-0005-0000-0000-00001AC40000}"/>
    <cellStyle name="clsDefault 5" xfId="50228" xr:uid="{00000000-0005-0000-0000-00001BC40000}"/>
    <cellStyle name="clsDefault_Content" xfId="50229" xr:uid="{00000000-0005-0000-0000-00001CC40000}"/>
    <cellStyle name="clsFooter" xfId="13" xr:uid="{00000000-0005-0000-0000-00001DC40000}"/>
    <cellStyle name="clsFooter 2" xfId="50230" xr:uid="{00000000-0005-0000-0000-00001EC40000}"/>
    <cellStyle name="clsFooter 3" xfId="50231" xr:uid="{00000000-0005-0000-0000-00001FC40000}"/>
    <cellStyle name="clsFooter 4" xfId="50232" xr:uid="{00000000-0005-0000-0000-000020C40000}"/>
    <cellStyle name="clsFooter 5" xfId="50233" xr:uid="{00000000-0005-0000-0000-000021C40000}"/>
    <cellStyle name="clsFooter 6" xfId="50234" xr:uid="{00000000-0005-0000-0000-000022C40000}"/>
    <cellStyle name="clsFooter 7" xfId="50235" xr:uid="{00000000-0005-0000-0000-000023C40000}"/>
    <cellStyle name="clsIndexTableData" xfId="14" xr:uid="{00000000-0005-0000-0000-000024C40000}"/>
    <cellStyle name="clsIndexTableHdr" xfId="15" xr:uid="{00000000-0005-0000-0000-000025C40000}"/>
    <cellStyle name="clsIndexTableTitle" xfId="16" xr:uid="{00000000-0005-0000-0000-000026C40000}"/>
    <cellStyle name="clsIndexTableTitle 2" xfId="50236" xr:uid="{00000000-0005-0000-0000-000027C40000}"/>
    <cellStyle name="clsIndexTableTitle 3" xfId="50237" xr:uid="{00000000-0005-0000-0000-000028C40000}"/>
    <cellStyle name="clsIndexTableTitle 4" xfId="50238" xr:uid="{00000000-0005-0000-0000-000029C40000}"/>
    <cellStyle name="clsIndexTableTitle 5" xfId="50239" xr:uid="{00000000-0005-0000-0000-00002AC40000}"/>
    <cellStyle name="clsIndexTableTitle 6" xfId="50240" xr:uid="{00000000-0005-0000-0000-00002BC40000}"/>
    <cellStyle name="clsIndexTableTitle 7" xfId="50241" xr:uid="{00000000-0005-0000-0000-00002CC40000}"/>
    <cellStyle name="clsMRVData" xfId="17" xr:uid="{00000000-0005-0000-0000-00002DC40000}"/>
    <cellStyle name="clsMRVData 2" xfId="50242" xr:uid="{00000000-0005-0000-0000-00002EC40000}"/>
    <cellStyle name="clsMRVData 3" xfId="50243" xr:uid="{00000000-0005-0000-0000-00002FC40000}"/>
    <cellStyle name="clsMRVData 4" xfId="50244" xr:uid="{00000000-0005-0000-0000-000030C40000}"/>
    <cellStyle name="clsMRVData 5" xfId="50245" xr:uid="{00000000-0005-0000-0000-000031C40000}"/>
    <cellStyle name="clsMRVData 6" xfId="50246" xr:uid="{00000000-0005-0000-0000-000032C40000}"/>
    <cellStyle name="clsMRVData 7" xfId="50247" xr:uid="{00000000-0005-0000-0000-000033C40000}"/>
    <cellStyle name="clsMRVDataPrezn1" xfId="50248" xr:uid="{00000000-0005-0000-0000-000034C40000}"/>
    <cellStyle name="clsMRVDataPrezn1 2" xfId="50249" xr:uid="{00000000-0005-0000-0000-000035C40000}"/>
    <cellStyle name="clsMRVDataPrezn1 3" xfId="50250" xr:uid="{00000000-0005-0000-0000-000036C40000}"/>
    <cellStyle name="clsMRVDataPrezn1 4" xfId="50251" xr:uid="{00000000-0005-0000-0000-000037C40000}"/>
    <cellStyle name="clsMRVDataPrezn1 5" xfId="50252" xr:uid="{00000000-0005-0000-0000-000038C40000}"/>
    <cellStyle name="clsMRVDataPrezn1 6" xfId="50253" xr:uid="{00000000-0005-0000-0000-000039C40000}"/>
    <cellStyle name="clsMRVDataPrezn1 7" xfId="50254" xr:uid="{00000000-0005-0000-0000-00003AC40000}"/>
    <cellStyle name="clsMRVDataPrezn3" xfId="50255" xr:uid="{00000000-0005-0000-0000-00003BC40000}"/>
    <cellStyle name="clsMRVDataPrezn3 2" xfId="50256" xr:uid="{00000000-0005-0000-0000-00003CC40000}"/>
    <cellStyle name="clsMRVDataPrezn3 3" xfId="50257" xr:uid="{00000000-0005-0000-0000-00003DC40000}"/>
    <cellStyle name="clsMRVDataPrezn3 4" xfId="50258" xr:uid="{00000000-0005-0000-0000-00003EC40000}"/>
    <cellStyle name="clsMRVDataPrezn3 5" xfId="50259" xr:uid="{00000000-0005-0000-0000-00003FC40000}"/>
    <cellStyle name="clsMRVDataPrezn3 6" xfId="50260" xr:uid="{00000000-0005-0000-0000-000040C40000}"/>
    <cellStyle name="clsMRVDataPrezn3 7" xfId="50261" xr:uid="{00000000-0005-0000-0000-000041C40000}"/>
    <cellStyle name="clsMRVDataPrezn4" xfId="50262" xr:uid="{00000000-0005-0000-0000-000042C40000}"/>
    <cellStyle name="clsMRVDataPrezn4 2" xfId="50263" xr:uid="{00000000-0005-0000-0000-000043C40000}"/>
    <cellStyle name="clsMRVDataPrezn4 3" xfId="50264" xr:uid="{00000000-0005-0000-0000-000044C40000}"/>
    <cellStyle name="clsMRVDataPrezn4 4" xfId="50265" xr:uid="{00000000-0005-0000-0000-000045C40000}"/>
    <cellStyle name="clsMRVDataPrezn4 5" xfId="50266" xr:uid="{00000000-0005-0000-0000-000046C40000}"/>
    <cellStyle name="clsMRVDataPrezn4 6" xfId="50267" xr:uid="{00000000-0005-0000-0000-000047C40000}"/>
    <cellStyle name="clsMRVDataPrezn4 7" xfId="50268" xr:uid="{00000000-0005-0000-0000-000048C40000}"/>
    <cellStyle name="clsMRVDataPrezn5" xfId="50269" xr:uid="{00000000-0005-0000-0000-000049C40000}"/>
    <cellStyle name="clsMRVDataPrezn5 2" xfId="50270" xr:uid="{00000000-0005-0000-0000-00004AC40000}"/>
    <cellStyle name="clsMRVDataPrezn5 3" xfId="50271" xr:uid="{00000000-0005-0000-0000-00004BC40000}"/>
    <cellStyle name="clsMRVDataPrezn5 4" xfId="50272" xr:uid="{00000000-0005-0000-0000-00004CC40000}"/>
    <cellStyle name="clsMRVDataPrezn5 5" xfId="50273" xr:uid="{00000000-0005-0000-0000-00004DC40000}"/>
    <cellStyle name="clsMRVDataPrezn5 6" xfId="50274" xr:uid="{00000000-0005-0000-0000-00004EC40000}"/>
    <cellStyle name="clsMRVDataPrezn5 7" xfId="50275" xr:uid="{00000000-0005-0000-0000-00004FC40000}"/>
    <cellStyle name="clsMRVDataPrezn6" xfId="50276" xr:uid="{00000000-0005-0000-0000-000050C40000}"/>
    <cellStyle name="clsMRVDataPrezn6 2" xfId="50277" xr:uid="{00000000-0005-0000-0000-000051C40000}"/>
    <cellStyle name="clsMRVDataPrezn6 3" xfId="50278" xr:uid="{00000000-0005-0000-0000-000052C40000}"/>
    <cellStyle name="clsMRVDataPrezn6 4" xfId="50279" xr:uid="{00000000-0005-0000-0000-000053C40000}"/>
    <cellStyle name="clsMRVDataPrezn6 5" xfId="50280" xr:uid="{00000000-0005-0000-0000-000054C40000}"/>
    <cellStyle name="clsMRVDataPrezn6 6" xfId="50281" xr:uid="{00000000-0005-0000-0000-000055C40000}"/>
    <cellStyle name="clsMRVDataPrezn6 7" xfId="50282" xr:uid="{00000000-0005-0000-0000-000056C40000}"/>
    <cellStyle name="clsReportFooter" xfId="18" xr:uid="{00000000-0005-0000-0000-000057C40000}"/>
    <cellStyle name="clsReportFooter 2" xfId="50283" xr:uid="{00000000-0005-0000-0000-000058C40000}"/>
    <cellStyle name="clsReportFooter 3" xfId="50284" xr:uid="{00000000-0005-0000-0000-000059C40000}"/>
    <cellStyle name="clsReportFooter 4" xfId="50285" xr:uid="{00000000-0005-0000-0000-00005AC40000}"/>
    <cellStyle name="clsReportFooter 5" xfId="50286" xr:uid="{00000000-0005-0000-0000-00005BC40000}"/>
    <cellStyle name="clsReportFooter 6" xfId="50287" xr:uid="{00000000-0005-0000-0000-00005CC40000}"/>
    <cellStyle name="clsReportFooter 7" xfId="50288" xr:uid="{00000000-0005-0000-0000-00005DC40000}"/>
    <cellStyle name="clsReportHeader" xfId="19" xr:uid="{00000000-0005-0000-0000-00005EC40000}"/>
    <cellStyle name="clsReportHeader 2" xfId="50289" xr:uid="{00000000-0005-0000-0000-00005FC40000}"/>
    <cellStyle name="clsReportHeader 3" xfId="50290" xr:uid="{00000000-0005-0000-0000-000060C40000}"/>
    <cellStyle name="clsReportHeader 4" xfId="50291" xr:uid="{00000000-0005-0000-0000-000061C40000}"/>
    <cellStyle name="clsReportHeader 5" xfId="50292" xr:uid="{00000000-0005-0000-0000-000062C40000}"/>
    <cellStyle name="clsReportHeader 6" xfId="50293" xr:uid="{00000000-0005-0000-0000-000063C40000}"/>
    <cellStyle name="clsReportHeader 7" xfId="50294" xr:uid="{00000000-0005-0000-0000-000064C40000}"/>
    <cellStyle name="clsRowHeader" xfId="20" xr:uid="{00000000-0005-0000-0000-000065C40000}"/>
    <cellStyle name="clsRowHeader 2" xfId="50295" xr:uid="{00000000-0005-0000-0000-000066C40000}"/>
    <cellStyle name="clsRowHeader 3" xfId="50296" xr:uid="{00000000-0005-0000-0000-000067C40000}"/>
    <cellStyle name="clsRowHeader 4" xfId="50297" xr:uid="{00000000-0005-0000-0000-000068C40000}"/>
    <cellStyle name="clsRowHeader 5" xfId="50298" xr:uid="{00000000-0005-0000-0000-000069C40000}"/>
    <cellStyle name="clsRowHeader 6" xfId="50299" xr:uid="{00000000-0005-0000-0000-00006AC40000}"/>
    <cellStyle name="clsRowHeader 7" xfId="50300" xr:uid="{00000000-0005-0000-0000-00006BC40000}"/>
    <cellStyle name="clsScale" xfId="21" xr:uid="{00000000-0005-0000-0000-00006CC40000}"/>
    <cellStyle name="clsScale 2" xfId="50301" xr:uid="{00000000-0005-0000-0000-00006DC40000}"/>
    <cellStyle name="clsScale 3" xfId="50302" xr:uid="{00000000-0005-0000-0000-00006EC40000}"/>
    <cellStyle name="clsScale 4" xfId="50303" xr:uid="{00000000-0005-0000-0000-00006FC40000}"/>
    <cellStyle name="clsSection" xfId="22" xr:uid="{00000000-0005-0000-0000-000070C40000}"/>
    <cellStyle name="clsSection 2" xfId="50304" xr:uid="{00000000-0005-0000-0000-000071C40000}"/>
    <cellStyle name="clsSection 3" xfId="50305" xr:uid="{00000000-0005-0000-0000-000072C40000}"/>
    <cellStyle name="clsSection 4" xfId="50306" xr:uid="{00000000-0005-0000-0000-000073C40000}"/>
    <cellStyle name="clsSection 5" xfId="50307" xr:uid="{00000000-0005-0000-0000-000074C40000}"/>
    <cellStyle name="clsSection 6" xfId="50308" xr:uid="{00000000-0005-0000-0000-000075C40000}"/>
    <cellStyle name="clsSection 7" xfId="50309" xr:uid="{00000000-0005-0000-0000-000076C40000}"/>
    <cellStyle name="clsSection 8" xfId="50310" xr:uid="{00000000-0005-0000-0000-000077C40000}"/>
    <cellStyle name="Comma" xfId="55072" builtinId="3"/>
    <cellStyle name="Comma  - Style1" xfId="50311" xr:uid="{00000000-0005-0000-0000-000078C40000}"/>
    <cellStyle name="Comma  - Style1 2" xfId="50312" xr:uid="{00000000-0005-0000-0000-000079C40000}"/>
    <cellStyle name="Comma  - Style1 2 2" xfId="50313" xr:uid="{00000000-0005-0000-0000-00007AC40000}"/>
    <cellStyle name="Comma  - Style1 3" xfId="50314" xr:uid="{00000000-0005-0000-0000-00007BC40000}"/>
    <cellStyle name="Comma  - Style1 4" xfId="50315" xr:uid="{00000000-0005-0000-0000-00007CC40000}"/>
    <cellStyle name="Comma  - Style1 4 2" xfId="50316" xr:uid="{00000000-0005-0000-0000-00007DC40000}"/>
    <cellStyle name="Comma  - Style2" xfId="50317" xr:uid="{00000000-0005-0000-0000-00007EC40000}"/>
    <cellStyle name="Comma  - Style3" xfId="50318" xr:uid="{00000000-0005-0000-0000-00007FC40000}"/>
    <cellStyle name="Comma  - Style4" xfId="50319" xr:uid="{00000000-0005-0000-0000-000080C40000}"/>
    <cellStyle name="Comma  - Style5" xfId="50320" xr:uid="{00000000-0005-0000-0000-000081C40000}"/>
    <cellStyle name="Comma  - Style6" xfId="50321" xr:uid="{00000000-0005-0000-0000-000082C40000}"/>
    <cellStyle name="Comma  - Style7" xfId="50322" xr:uid="{00000000-0005-0000-0000-000083C40000}"/>
    <cellStyle name="Comma  - Style8" xfId="50323" xr:uid="{00000000-0005-0000-0000-000084C40000}"/>
    <cellStyle name="Comma [0] 2" xfId="50324" xr:uid="{00000000-0005-0000-0000-000085C40000}"/>
    <cellStyle name="Comma [00]" xfId="50325" xr:uid="{00000000-0005-0000-0000-000086C40000}"/>
    <cellStyle name="Comma 10" xfId="50326" xr:uid="{00000000-0005-0000-0000-000087C40000}"/>
    <cellStyle name="Comma 10 2" xfId="50327" xr:uid="{00000000-0005-0000-0000-000088C40000}"/>
    <cellStyle name="Comma 100" xfId="50328" xr:uid="{00000000-0005-0000-0000-000089C40000}"/>
    <cellStyle name="Comma 101" xfId="50329" xr:uid="{00000000-0005-0000-0000-00008AC40000}"/>
    <cellStyle name="Comma 102" xfId="50330" xr:uid="{00000000-0005-0000-0000-00008BC40000}"/>
    <cellStyle name="Comma 103" xfId="50331" xr:uid="{00000000-0005-0000-0000-00008CC40000}"/>
    <cellStyle name="Comma 104" xfId="50332" xr:uid="{00000000-0005-0000-0000-00008DC40000}"/>
    <cellStyle name="Comma 105" xfId="50333" xr:uid="{00000000-0005-0000-0000-00008EC40000}"/>
    <cellStyle name="Comma 106" xfId="50334" xr:uid="{00000000-0005-0000-0000-00008FC40000}"/>
    <cellStyle name="Comma 107" xfId="50335" xr:uid="{00000000-0005-0000-0000-000090C40000}"/>
    <cellStyle name="Comma 108" xfId="50336" xr:uid="{00000000-0005-0000-0000-000091C40000}"/>
    <cellStyle name="Comma 109" xfId="50337" xr:uid="{00000000-0005-0000-0000-000092C40000}"/>
    <cellStyle name="Comma 11" xfId="50338" xr:uid="{00000000-0005-0000-0000-000093C40000}"/>
    <cellStyle name="Comma 11 2" xfId="50339" xr:uid="{00000000-0005-0000-0000-000094C40000}"/>
    <cellStyle name="Comma 110" xfId="50340" xr:uid="{00000000-0005-0000-0000-000095C40000}"/>
    <cellStyle name="Comma 111" xfId="50341" xr:uid="{00000000-0005-0000-0000-000096C40000}"/>
    <cellStyle name="Comma 112" xfId="50342" xr:uid="{00000000-0005-0000-0000-000097C40000}"/>
    <cellStyle name="Comma 113" xfId="50343" xr:uid="{00000000-0005-0000-0000-000098C40000}"/>
    <cellStyle name="Comma 114" xfId="50344" xr:uid="{00000000-0005-0000-0000-000099C40000}"/>
    <cellStyle name="Comma 115" xfId="50345" xr:uid="{00000000-0005-0000-0000-00009AC40000}"/>
    <cellStyle name="Comma 116" xfId="50346" xr:uid="{00000000-0005-0000-0000-00009BC40000}"/>
    <cellStyle name="Comma 117" xfId="50347" xr:uid="{00000000-0005-0000-0000-00009CC40000}"/>
    <cellStyle name="Comma 118" xfId="50348" xr:uid="{00000000-0005-0000-0000-00009DC40000}"/>
    <cellStyle name="Comma 119" xfId="50349" xr:uid="{00000000-0005-0000-0000-00009EC40000}"/>
    <cellStyle name="Comma 12" xfId="50350" xr:uid="{00000000-0005-0000-0000-00009FC40000}"/>
    <cellStyle name="Comma 12 2" xfId="50351" xr:uid="{00000000-0005-0000-0000-0000A0C40000}"/>
    <cellStyle name="Comma 12 3" xfId="50352" xr:uid="{00000000-0005-0000-0000-0000A1C40000}"/>
    <cellStyle name="Comma 120" xfId="50353" xr:uid="{00000000-0005-0000-0000-0000A2C40000}"/>
    <cellStyle name="Comma 121" xfId="50354" xr:uid="{00000000-0005-0000-0000-0000A3C40000}"/>
    <cellStyle name="Comma 122" xfId="50355" xr:uid="{00000000-0005-0000-0000-0000A4C40000}"/>
    <cellStyle name="Comma 123" xfId="50356" xr:uid="{00000000-0005-0000-0000-0000A5C40000}"/>
    <cellStyle name="Comma 124" xfId="50357" xr:uid="{00000000-0005-0000-0000-0000A6C40000}"/>
    <cellStyle name="Comma 125" xfId="50358" xr:uid="{00000000-0005-0000-0000-0000A7C40000}"/>
    <cellStyle name="Comma 126" xfId="50359" xr:uid="{00000000-0005-0000-0000-0000A8C40000}"/>
    <cellStyle name="Comma 127" xfId="50360" xr:uid="{00000000-0005-0000-0000-0000A9C40000}"/>
    <cellStyle name="Comma 128" xfId="50361" xr:uid="{00000000-0005-0000-0000-0000AAC40000}"/>
    <cellStyle name="Comma 129" xfId="50362" xr:uid="{00000000-0005-0000-0000-0000ABC40000}"/>
    <cellStyle name="Comma 13" xfId="50363" xr:uid="{00000000-0005-0000-0000-0000ACC40000}"/>
    <cellStyle name="Comma 13 2" xfId="50364" xr:uid="{00000000-0005-0000-0000-0000ADC40000}"/>
    <cellStyle name="Comma 13 3" xfId="50365" xr:uid="{00000000-0005-0000-0000-0000AEC40000}"/>
    <cellStyle name="Comma 130" xfId="50366" xr:uid="{00000000-0005-0000-0000-0000AFC40000}"/>
    <cellStyle name="Comma 131" xfId="50367" xr:uid="{00000000-0005-0000-0000-0000B0C40000}"/>
    <cellStyle name="Comma 132" xfId="50368" xr:uid="{00000000-0005-0000-0000-0000B1C40000}"/>
    <cellStyle name="Comma 133" xfId="50369" xr:uid="{00000000-0005-0000-0000-0000B2C40000}"/>
    <cellStyle name="Comma 134" xfId="50370" xr:uid="{00000000-0005-0000-0000-0000B3C40000}"/>
    <cellStyle name="Comma 135" xfId="50371" xr:uid="{00000000-0005-0000-0000-0000B4C40000}"/>
    <cellStyle name="Comma 136" xfId="50372" xr:uid="{00000000-0005-0000-0000-0000B5C40000}"/>
    <cellStyle name="Comma 137" xfId="50373" xr:uid="{00000000-0005-0000-0000-0000B6C40000}"/>
    <cellStyle name="Comma 138" xfId="50374" xr:uid="{00000000-0005-0000-0000-0000B7C40000}"/>
    <cellStyle name="Comma 139" xfId="50375" xr:uid="{00000000-0005-0000-0000-0000B8C40000}"/>
    <cellStyle name="Comma 14" xfId="50376" xr:uid="{00000000-0005-0000-0000-0000B9C40000}"/>
    <cellStyle name="Comma 14 2" xfId="50377" xr:uid="{00000000-0005-0000-0000-0000BAC40000}"/>
    <cellStyle name="Comma 140" xfId="50378" xr:uid="{00000000-0005-0000-0000-0000BBC40000}"/>
    <cellStyle name="Comma 141" xfId="50379" xr:uid="{00000000-0005-0000-0000-0000BCC40000}"/>
    <cellStyle name="Comma 142" xfId="50380" xr:uid="{00000000-0005-0000-0000-0000BDC40000}"/>
    <cellStyle name="Comma 143" xfId="50381" xr:uid="{00000000-0005-0000-0000-0000BEC40000}"/>
    <cellStyle name="Comma 144" xfId="50382" xr:uid="{00000000-0005-0000-0000-0000BFC40000}"/>
    <cellStyle name="Comma 145" xfId="50383" xr:uid="{00000000-0005-0000-0000-0000C0C40000}"/>
    <cellStyle name="Comma 146" xfId="50384" xr:uid="{00000000-0005-0000-0000-0000C1C40000}"/>
    <cellStyle name="Comma 147" xfId="50385" xr:uid="{00000000-0005-0000-0000-0000C2C40000}"/>
    <cellStyle name="Comma 148" xfId="50386" xr:uid="{00000000-0005-0000-0000-0000C3C40000}"/>
    <cellStyle name="Comma 149" xfId="50387" xr:uid="{00000000-0005-0000-0000-0000C4C40000}"/>
    <cellStyle name="Comma 15" xfId="50388" xr:uid="{00000000-0005-0000-0000-0000C5C40000}"/>
    <cellStyle name="Comma 15 2" xfId="50389" xr:uid="{00000000-0005-0000-0000-0000C6C40000}"/>
    <cellStyle name="Comma 150" xfId="50390" xr:uid="{00000000-0005-0000-0000-0000C7C40000}"/>
    <cellStyle name="Comma 151" xfId="50391" xr:uid="{00000000-0005-0000-0000-0000C8C40000}"/>
    <cellStyle name="Comma 152" xfId="50392" xr:uid="{00000000-0005-0000-0000-0000C9C40000}"/>
    <cellStyle name="Comma 153" xfId="50393" xr:uid="{00000000-0005-0000-0000-0000CAC40000}"/>
    <cellStyle name="Comma 154" xfId="50394" xr:uid="{00000000-0005-0000-0000-0000CBC40000}"/>
    <cellStyle name="Comma 155" xfId="50395" xr:uid="{00000000-0005-0000-0000-0000CCC40000}"/>
    <cellStyle name="Comma 156" xfId="50396" xr:uid="{00000000-0005-0000-0000-0000CDC40000}"/>
    <cellStyle name="Comma 157" xfId="50397" xr:uid="{00000000-0005-0000-0000-0000CEC40000}"/>
    <cellStyle name="Comma 158" xfId="50398" xr:uid="{00000000-0005-0000-0000-0000CFC40000}"/>
    <cellStyle name="Comma 159" xfId="50399" xr:uid="{00000000-0005-0000-0000-0000D0C40000}"/>
    <cellStyle name="Comma 16" xfId="50400" xr:uid="{00000000-0005-0000-0000-0000D1C40000}"/>
    <cellStyle name="Comma 16 2" xfId="50401" xr:uid="{00000000-0005-0000-0000-0000D2C40000}"/>
    <cellStyle name="Comma 160" xfId="50402" xr:uid="{00000000-0005-0000-0000-0000D3C40000}"/>
    <cellStyle name="Comma 161" xfId="50403" xr:uid="{00000000-0005-0000-0000-0000D4C40000}"/>
    <cellStyle name="Comma 162" xfId="50404" xr:uid="{00000000-0005-0000-0000-0000D5C40000}"/>
    <cellStyle name="Comma 163" xfId="50405" xr:uid="{00000000-0005-0000-0000-0000D6C40000}"/>
    <cellStyle name="Comma 164" xfId="50406" xr:uid="{00000000-0005-0000-0000-0000D7C40000}"/>
    <cellStyle name="Comma 165" xfId="50407" xr:uid="{00000000-0005-0000-0000-0000D8C40000}"/>
    <cellStyle name="Comma 166" xfId="50408" xr:uid="{00000000-0005-0000-0000-0000D9C40000}"/>
    <cellStyle name="Comma 167" xfId="50409" xr:uid="{00000000-0005-0000-0000-0000DAC40000}"/>
    <cellStyle name="Comma 168" xfId="50410" xr:uid="{00000000-0005-0000-0000-0000DBC40000}"/>
    <cellStyle name="Comma 169" xfId="50411" xr:uid="{00000000-0005-0000-0000-0000DCC40000}"/>
    <cellStyle name="Comma 17" xfId="50412" xr:uid="{00000000-0005-0000-0000-0000DDC40000}"/>
    <cellStyle name="Comma 170" xfId="50413" xr:uid="{00000000-0005-0000-0000-0000DEC40000}"/>
    <cellStyle name="Comma 171" xfId="50414" xr:uid="{00000000-0005-0000-0000-0000DFC40000}"/>
    <cellStyle name="Comma 172" xfId="50415" xr:uid="{00000000-0005-0000-0000-0000E0C40000}"/>
    <cellStyle name="Comma 173" xfId="50416" xr:uid="{00000000-0005-0000-0000-0000E1C40000}"/>
    <cellStyle name="Comma 174" xfId="50417" xr:uid="{00000000-0005-0000-0000-0000E2C40000}"/>
    <cellStyle name="Comma 175" xfId="50418" xr:uid="{00000000-0005-0000-0000-0000E3C40000}"/>
    <cellStyle name="Comma 176" xfId="50419" xr:uid="{00000000-0005-0000-0000-0000E4C40000}"/>
    <cellStyle name="Comma 177" xfId="50420" xr:uid="{00000000-0005-0000-0000-0000E5C40000}"/>
    <cellStyle name="Comma 178" xfId="50421" xr:uid="{00000000-0005-0000-0000-0000E6C40000}"/>
    <cellStyle name="Comma 179" xfId="50422" xr:uid="{00000000-0005-0000-0000-0000E7C40000}"/>
    <cellStyle name="Comma 18" xfId="50423" xr:uid="{00000000-0005-0000-0000-0000E8C40000}"/>
    <cellStyle name="Comma 18 2" xfId="50424" xr:uid="{00000000-0005-0000-0000-0000E9C40000}"/>
    <cellStyle name="Comma 18 2 2" xfId="50425" xr:uid="{00000000-0005-0000-0000-0000EAC40000}"/>
    <cellStyle name="Comma 18 3" xfId="50426" xr:uid="{00000000-0005-0000-0000-0000EBC40000}"/>
    <cellStyle name="Comma 18_update comparison " xfId="50427" xr:uid="{00000000-0005-0000-0000-0000ECC40000}"/>
    <cellStyle name="Comma 180" xfId="50428" xr:uid="{00000000-0005-0000-0000-0000EDC40000}"/>
    <cellStyle name="Comma 181" xfId="50429" xr:uid="{00000000-0005-0000-0000-0000EEC40000}"/>
    <cellStyle name="Comma 182" xfId="50430" xr:uid="{00000000-0005-0000-0000-0000EFC40000}"/>
    <cellStyle name="Comma 183" xfId="50431" xr:uid="{00000000-0005-0000-0000-0000F0C40000}"/>
    <cellStyle name="Comma 19" xfId="50432" xr:uid="{00000000-0005-0000-0000-0000F1C40000}"/>
    <cellStyle name="Comma 19 2" xfId="50433" xr:uid="{00000000-0005-0000-0000-0000F2C40000}"/>
    <cellStyle name="Comma 19 2 2" xfId="50434" xr:uid="{00000000-0005-0000-0000-0000F3C40000}"/>
    <cellStyle name="Comma 19 3" xfId="50435" xr:uid="{00000000-0005-0000-0000-0000F4C40000}"/>
    <cellStyle name="Comma 19_update comparison " xfId="50436" xr:uid="{00000000-0005-0000-0000-0000F5C40000}"/>
    <cellStyle name="Comma 2" xfId="23" xr:uid="{00000000-0005-0000-0000-0000F6C40000}"/>
    <cellStyle name="Comma 2 10" xfId="50437" xr:uid="{00000000-0005-0000-0000-0000F7C40000}"/>
    <cellStyle name="Comma 2 11" xfId="50438" xr:uid="{00000000-0005-0000-0000-0000F8C40000}"/>
    <cellStyle name="Comma 2 12" xfId="50439" xr:uid="{00000000-0005-0000-0000-0000F9C40000}"/>
    <cellStyle name="Comma 2 2" xfId="50440" xr:uid="{00000000-0005-0000-0000-0000FAC40000}"/>
    <cellStyle name="Comma 2 2 2" xfId="50441" xr:uid="{00000000-0005-0000-0000-0000FBC40000}"/>
    <cellStyle name="Comma 2 2 3" xfId="50442" xr:uid="{00000000-0005-0000-0000-0000FCC40000}"/>
    <cellStyle name="Comma 2 2 4" xfId="50443" xr:uid="{00000000-0005-0000-0000-0000FDC40000}"/>
    <cellStyle name="Comma 2 2 5" xfId="50444" xr:uid="{00000000-0005-0000-0000-0000FEC40000}"/>
    <cellStyle name="Comma 2 3" xfId="50445" xr:uid="{00000000-0005-0000-0000-0000FFC40000}"/>
    <cellStyle name="Comma 2 3 2" xfId="50446" xr:uid="{00000000-0005-0000-0000-000000C50000}"/>
    <cellStyle name="Comma 2 3 3" xfId="50447" xr:uid="{00000000-0005-0000-0000-000001C50000}"/>
    <cellStyle name="Comma 2 3_update comparison " xfId="50448" xr:uid="{00000000-0005-0000-0000-000002C50000}"/>
    <cellStyle name="Comma 2 4" xfId="50449" xr:uid="{00000000-0005-0000-0000-000003C50000}"/>
    <cellStyle name="Comma 2 5" xfId="50450" xr:uid="{00000000-0005-0000-0000-000004C50000}"/>
    <cellStyle name="Comma 2 6" xfId="50451" xr:uid="{00000000-0005-0000-0000-000005C50000}"/>
    <cellStyle name="Comma 2 7" xfId="50452" xr:uid="{00000000-0005-0000-0000-000006C50000}"/>
    <cellStyle name="Comma 2 8" xfId="50453" xr:uid="{00000000-0005-0000-0000-000007C50000}"/>
    <cellStyle name="Comma 2 9" xfId="50454" xr:uid="{00000000-0005-0000-0000-000008C50000}"/>
    <cellStyle name="Comma 2_PPG debt" xfId="50455" xr:uid="{00000000-0005-0000-0000-000009C50000}"/>
    <cellStyle name="Comma 20" xfId="50456" xr:uid="{00000000-0005-0000-0000-00000AC50000}"/>
    <cellStyle name="Comma 20 2" xfId="50457" xr:uid="{00000000-0005-0000-0000-00000BC50000}"/>
    <cellStyle name="Comma 20 2 2" xfId="50458" xr:uid="{00000000-0005-0000-0000-00000CC50000}"/>
    <cellStyle name="Comma 20 3" xfId="50459" xr:uid="{00000000-0005-0000-0000-00000DC50000}"/>
    <cellStyle name="Comma 20_update comparison " xfId="50460" xr:uid="{00000000-0005-0000-0000-00000EC50000}"/>
    <cellStyle name="Comma 21" xfId="50461" xr:uid="{00000000-0005-0000-0000-00000FC50000}"/>
    <cellStyle name="Comma 21 2" xfId="50462" xr:uid="{00000000-0005-0000-0000-000010C50000}"/>
    <cellStyle name="Comma 21 3" xfId="50463" xr:uid="{00000000-0005-0000-0000-000011C50000}"/>
    <cellStyle name="Comma 22" xfId="50464" xr:uid="{00000000-0005-0000-0000-000012C50000}"/>
    <cellStyle name="Comma 22 2" xfId="50465" xr:uid="{00000000-0005-0000-0000-000013C50000}"/>
    <cellStyle name="Comma 22 3" xfId="50466" xr:uid="{00000000-0005-0000-0000-000014C50000}"/>
    <cellStyle name="Comma 23" xfId="50467" xr:uid="{00000000-0005-0000-0000-000015C50000}"/>
    <cellStyle name="Comma 23 2" xfId="50468" xr:uid="{00000000-0005-0000-0000-000016C50000}"/>
    <cellStyle name="Comma 23 3" xfId="50469" xr:uid="{00000000-0005-0000-0000-000017C50000}"/>
    <cellStyle name="Comma 24" xfId="50470" xr:uid="{00000000-0005-0000-0000-000018C50000}"/>
    <cellStyle name="Comma 24 2" xfId="50471" xr:uid="{00000000-0005-0000-0000-000019C50000}"/>
    <cellStyle name="Comma 24 3" xfId="50472" xr:uid="{00000000-0005-0000-0000-00001AC50000}"/>
    <cellStyle name="Comma 25" xfId="50473" xr:uid="{00000000-0005-0000-0000-00001BC50000}"/>
    <cellStyle name="Comma 25 2" xfId="50474" xr:uid="{00000000-0005-0000-0000-00001CC50000}"/>
    <cellStyle name="Comma 25 3" xfId="50475" xr:uid="{00000000-0005-0000-0000-00001DC50000}"/>
    <cellStyle name="Comma 26" xfId="50476" xr:uid="{00000000-0005-0000-0000-00001EC50000}"/>
    <cellStyle name="Comma 26 2" xfId="50477" xr:uid="{00000000-0005-0000-0000-00001FC50000}"/>
    <cellStyle name="Comma 26 3" xfId="50478" xr:uid="{00000000-0005-0000-0000-000020C50000}"/>
    <cellStyle name="Comma 27" xfId="50479" xr:uid="{00000000-0005-0000-0000-000021C50000}"/>
    <cellStyle name="Comma 27 2" xfId="50480" xr:uid="{00000000-0005-0000-0000-000022C50000}"/>
    <cellStyle name="Comma 27 3" xfId="50481" xr:uid="{00000000-0005-0000-0000-000023C50000}"/>
    <cellStyle name="Comma 28" xfId="50482" xr:uid="{00000000-0005-0000-0000-000024C50000}"/>
    <cellStyle name="Comma 28 2" xfId="50483" xr:uid="{00000000-0005-0000-0000-000025C50000}"/>
    <cellStyle name="Comma 28 3" xfId="50484" xr:uid="{00000000-0005-0000-0000-000026C50000}"/>
    <cellStyle name="Comma 29" xfId="50485" xr:uid="{00000000-0005-0000-0000-000027C50000}"/>
    <cellStyle name="Comma 29 2" xfId="50486" xr:uid="{00000000-0005-0000-0000-000028C50000}"/>
    <cellStyle name="Comma 29 3" xfId="50487" xr:uid="{00000000-0005-0000-0000-000029C50000}"/>
    <cellStyle name="Comma 3" xfId="24" xr:uid="{00000000-0005-0000-0000-00002AC50000}"/>
    <cellStyle name="Comma 3 2" xfId="50488" xr:uid="{00000000-0005-0000-0000-00002BC50000}"/>
    <cellStyle name="Comma 3 2 10" xfId="50489" xr:uid="{00000000-0005-0000-0000-00002CC50000}"/>
    <cellStyle name="Comma 3 2 2" xfId="50490" xr:uid="{00000000-0005-0000-0000-00002DC50000}"/>
    <cellStyle name="Comma 3 2 2 2" xfId="50491" xr:uid="{00000000-0005-0000-0000-00002EC50000}"/>
    <cellStyle name="Comma 3 2 2 3" xfId="50492" xr:uid="{00000000-0005-0000-0000-00002FC50000}"/>
    <cellStyle name="Comma 3 2 2 4" xfId="50493" xr:uid="{00000000-0005-0000-0000-000030C50000}"/>
    <cellStyle name="Comma 3 2 3" xfId="50494" xr:uid="{00000000-0005-0000-0000-000031C50000}"/>
    <cellStyle name="Comma 3 2 3 2" xfId="50495" xr:uid="{00000000-0005-0000-0000-000032C50000}"/>
    <cellStyle name="Comma 3 2 3 3" xfId="50496" xr:uid="{00000000-0005-0000-0000-000033C50000}"/>
    <cellStyle name="Comma 3 2 4" xfId="50497" xr:uid="{00000000-0005-0000-0000-000034C50000}"/>
    <cellStyle name="Comma 3 2 5" xfId="50498" xr:uid="{00000000-0005-0000-0000-000035C50000}"/>
    <cellStyle name="Comma 3 2 6" xfId="50499" xr:uid="{00000000-0005-0000-0000-000036C50000}"/>
    <cellStyle name="Comma 3 2 7" xfId="50500" xr:uid="{00000000-0005-0000-0000-000037C50000}"/>
    <cellStyle name="Comma 3 2 8" xfId="50501" xr:uid="{00000000-0005-0000-0000-000038C50000}"/>
    <cellStyle name="Comma 3 2 9" xfId="50502" xr:uid="{00000000-0005-0000-0000-000039C50000}"/>
    <cellStyle name="Comma 3 3" xfId="50503" xr:uid="{00000000-0005-0000-0000-00003AC50000}"/>
    <cellStyle name="Comma 3 3 2" xfId="50504" xr:uid="{00000000-0005-0000-0000-00003BC50000}"/>
    <cellStyle name="Comma 3 3 3" xfId="50505" xr:uid="{00000000-0005-0000-0000-00003CC50000}"/>
    <cellStyle name="Comma 3 3 4" xfId="50506" xr:uid="{00000000-0005-0000-0000-00003DC50000}"/>
    <cellStyle name="Comma 3 3 5" xfId="50507" xr:uid="{00000000-0005-0000-0000-00003EC50000}"/>
    <cellStyle name="Comma 3 3 6" xfId="50508" xr:uid="{00000000-0005-0000-0000-00003FC50000}"/>
    <cellStyle name="Comma 3 3 7" xfId="50509" xr:uid="{00000000-0005-0000-0000-000040C50000}"/>
    <cellStyle name="Comma 3 3 8" xfId="50510" xr:uid="{00000000-0005-0000-0000-000041C50000}"/>
    <cellStyle name="Comma 3 3 9" xfId="50511" xr:uid="{00000000-0005-0000-0000-000042C50000}"/>
    <cellStyle name="Comma 3 4" xfId="50512" xr:uid="{00000000-0005-0000-0000-000043C50000}"/>
    <cellStyle name="Comma 3 5" xfId="50513" xr:uid="{00000000-0005-0000-0000-000044C50000}"/>
    <cellStyle name="Comma 3 6" xfId="50514" xr:uid="{00000000-0005-0000-0000-000045C50000}"/>
    <cellStyle name="Comma 3 7" xfId="50515" xr:uid="{00000000-0005-0000-0000-000046C50000}"/>
    <cellStyle name="Comma 3 8" xfId="50516" xr:uid="{00000000-0005-0000-0000-000047C50000}"/>
    <cellStyle name="Comma 3 9" xfId="50517" xr:uid="{00000000-0005-0000-0000-000048C50000}"/>
    <cellStyle name="Comma 3_update comparison " xfId="50518" xr:uid="{00000000-0005-0000-0000-000049C50000}"/>
    <cellStyle name="Comma 30" xfId="50519" xr:uid="{00000000-0005-0000-0000-00004AC50000}"/>
    <cellStyle name="Comma 30 2" xfId="50520" xr:uid="{00000000-0005-0000-0000-00004BC50000}"/>
    <cellStyle name="Comma 30 3" xfId="50521" xr:uid="{00000000-0005-0000-0000-00004CC50000}"/>
    <cellStyle name="Comma 31" xfId="50522" xr:uid="{00000000-0005-0000-0000-00004DC50000}"/>
    <cellStyle name="Comma 31 2" xfId="50523" xr:uid="{00000000-0005-0000-0000-00004EC50000}"/>
    <cellStyle name="Comma 31 3" xfId="50524" xr:uid="{00000000-0005-0000-0000-00004FC50000}"/>
    <cellStyle name="Comma 32" xfId="50525" xr:uid="{00000000-0005-0000-0000-000050C50000}"/>
    <cellStyle name="Comma 32 2" xfId="50526" xr:uid="{00000000-0005-0000-0000-000051C50000}"/>
    <cellStyle name="Comma 32 3" xfId="50527" xr:uid="{00000000-0005-0000-0000-000052C50000}"/>
    <cellStyle name="Comma 33" xfId="50528" xr:uid="{00000000-0005-0000-0000-000053C50000}"/>
    <cellStyle name="Comma 33 2" xfId="50529" xr:uid="{00000000-0005-0000-0000-000054C50000}"/>
    <cellStyle name="Comma 33 3" xfId="50530" xr:uid="{00000000-0005-0000-0000-000055C50000}"/>
    <cellStyle name="Comma 34" xfId="50531" xr:uid="{00000000-0005-0000-0000-000056C50000}"/>
    <cellStyle name="Comma 35" xfId="50532" xr:uid="{00000000-0005-0000-0000-000057C50000}"/>
    <cellStyle name="Comma 36" xfId="50533" xr:uid="{00000000-0005-0000-0000-000058C50000}"/>
    <cellStyle name="Comma 37" xfId="50534" xr:uid="{00000000-0005-0000-0000-000059C50000}"/>
    <cellStyle name="Comma 38" xfId="50535" xr:uid="{00000000-0005-0000-0000-00005AC50000}"/>
    <cellStyle name="Comma 39" xfId="50536" xr:uid="{00000000-0005-0000-0000-00005BC50000}"/>
    <cellStyle name="Comma 4" xfId="50537" xr:uid="{00000000-0005-0000-0000-00005CC50000}"/>
    <cellStyle name="Comma 4 2" xfId="50538" xr:uid="{00000000-0005-0000-0000-00005DC50000}"/>
    <cellStyle name="Comma 4 3" xfId="50539" xr:uid="{00000000-0005-0000-0000-00005EC50000}"/>
    <cellStyle name="Comma 4 4" xfId="50540" xr:uid="{00000000-0005-0000-0000-00005FC50000}"/>
    <cellStyle name="Comma 4 5" xfId="50541" xr:uid="{00000000-0005-0000-0000-000060C50000}"/>
    <cellStyle name="Comma 40" xfId="50542" xr:uid="{00000000-0005-0000-0000-000061C50000}"/>
    <cellStyle name="Comma 41" xfId="50543" xr:uid="{00000000-0005-0000-0000-000062C50000}"/>
    <cellStyle name="Comma 42" xfId="50544" xr:uid="{00000000-0005-0000-0000-000063C50000}"/>
    <cellStyle name="Comma 43" xfId="50545" xr:uid="{00000000-0005-0000-0000-000064C50000}"/>
    <cellStyle name="Comma 44" xfId="50546" xr:uid="{00000000-0005-0000-0000-000065C50000}"/>
    <cellStyle name="Comma 45" xfId="50547" xr:uid="{00000000-0005-0000-0000-000066C50000}"/>
    <cellStyle name="Comma 46" xfId="50548" xr:uid="{00000000-0005-0000-0000-000067C50000}"/>
    <cellStyle name="Comma 47" xfId="50549" xr:uid="{00000000-0005-0000-0000-000068C50000}"/>
    <cellStyle name="Comma 48" xfId="50550" xr:uid="{00000000-0005-0000-0000-000069C50000}"/>
    <cellStyle name="Comma 49" xfId="50551" xr:uid="{00000000-0005-0000-0000-00006AC50000}"/>
    <cellStyle name="Comma 5" xfId="50552" xr:uid="{00000000-0005-0000-0000-00006BC50000}"/>
    <cellStyle name="Comma 5 2" xfId="50553" xr:uid="{00000000-0005-0000-0000-00006CC50000}"/>
    <cellStyle name="Comma 5 3" xfId="50554" xr:uid="{00000000-0005-0000-0000-00006DC50000}"/>
    <cellStyle name="Comma 5 4" xfId="50555" xr:uid="{00000000-0005-0000-0000-00006EC50000}"/>
    <cellStyle name="Comma 5 5" xfId="50556" xr:uid="{00000000-0005-0000-0000-00006FC50000}"/>
    <cellStyle name="Comma 5_update comparison " xfId="50557" xr:uid="{00000000-0005-0000-0000-000070C50000}"/>
    <cellStyle name="Comma 50" xfId="50558" xr:uid="{00000000-0005-0000-0000-000071C50000}"/>
    <cellStyle name="Comma 51" xfId="50559" xr:uid="{00000000-0005-0000-0000-000072C50000}"/>
    <cellStyle name="Comma 52" xfId="50560" xr:uid="{00000000-0005-0000-0000-000073C50000}"/>
    <cellStyle name="Comma 53" xfId="50561" xr:uid="{00000000-0005-0000-0000-000074C50000}"/>
    <cellStyle name="Comma 54" xfId="50562" xr:uid="{00000000-0005-0000-0000-000075C50000}"/>
    <cellStyle name="Comma 55" xfId="50563" xr:uid="{00000000-0005-0000-0000-000076C50000}"/>
    <cellStyle name="Comma 56" xfId="50564" xr:uid="{00000000-0005-0000-0000-000077C50000}"/>
    <cellStyle name="Comma 57" xfId="50565" xr:uid="{00000000-0005-0000-0000-000078C50000}"/>
    <cellStyle name="Comma 58" xfId="50566" xr:uid="{00000000-0005-0000-0000-000079C50000}"/>
    <cellStyle name="Comma 59" xfId="50567" xr:uid="{00000000-0005-0000-0000-00007AC50000}"/>
    <cellStyle name="Comma 6" xfId="50568" xr:uid="{00000000-0005-0000-0000-00007BC50000}"/>
    <cellStyle name="Comma 6 2" xfId="50569" xr:uid="{00000000-0005-0000-0000-00007CC50000}"/>
    <cellStyle name="Comma 6 3" xfId="50570" xr:uid="{00000000-0005-0000-0000-00007DC50000}"/>
    <cellStyle name="Comma 6 4" xfId="50571" xr:uid="{00000000-0005-0000-0000-00007EC50000}"/>
    <cellStyle name="Comma 6 5" xfId="50572" xr:uid="{00000000-0005-0000-0000-00007FC50000}"/>
    <cellStyle name="Comma 60" xfId="50573" xr:uid="{00000000-0005-0000-0000-000080C50000}"/>
    <cellStyle name="Comma 61" xfId="50574" xr:uid="{00000000-0005-0000-0000-000081C50000}"/>
    <cellStyle name="Comma 61 2" xfId="50575" xr:uid="{00000000-0005-0000-0000-000082C50000}"/>
    <cellStyle name="Comma 62" xfId="50576" xr:uid="{00000000-0005-0000-0000-000083C50000}"/>
    <cellStyle name="Comma 63" xfId="50577" xr:uid="{00000000-0005-0000-0000-000084C50000}"/>
    <cellStyle name="Comma 64" xfId="50578" xr:uid="{00000000-0005-0000-0000-000085C50000}"/>
    <cellStyle name="Comma 65" xfId="50579" xr:uid="{00000000-0005-0000-0000-000086C50000}"/>
    <cellStyle name="Comma 66" xfId="50580" xr:uid="{00000000-0005-0000-0000-000087C50000}"/>
    <cellStyle name="Comma 67" xfId="50581" xr:uid="{00000000-0005-0000-0000-000088C50000}"/>
    <cellStyle name="Comma 68" xfId="50582" xr:uid="{00000000-0005-0000-0000-000089C50000}"/>
    <cellStyle name="Comma 69" xfId="50583" xr:uid="{00000000-0005-0000-0000-00008AC50000}"/>
    <cellStyle name="Comma 7" xfId="50584" xr:uid="{00000000-0005-0000-0000-00008BC50000}"/>
    <cellStyle name="Comma 7 2" xfId="50585" xr:uid="{00000000-0005-0000-0000-00008CC50000}"/>
    <cellStyle name="Comma 7 3" xfId="50586" xr:uid="{00000000-0005-0000-0000-00008DC50000}"/>
    <cellStyle name="Comma 7 4" xfId="50587" xr:uid="{00000000-0005-0000-0000-00008EC50000}"/>
    <cellStyle name="Comma 7 5" xfId="50588" xr:uid="{00000000-0005-0000-0000-00008FC50000}"/>
    <cellStyle name="Comma 70" xfId="50589" xr:uid="{00000000-0005-0000-0000-000090C50000}"/>
    <cellStyle name="Comma 71" xfId="50590" xr:uid="{00000000-0005-0000-0000-000091C50000}"/>
    <cellStyle name="Comma 72" xfId="50591" xr:uid="{00000000-0005-0000-0000-000092C50000}"/>
    <cellStyle name="Comma 73" xfId="50592" xr:uid="{00000000-0005-0000-0000-000093C50000}"/>
    <cellStyle name="Comma 74" xfId="50593" xr:uid="{00000000-0005-0000-0000-000094C50000}"/>
    <cellStyle name="Comma 75" xfId="50594" xr:uid="{00000000-0005-0000-0000-000095C50000}"/>
    <cellStyle name="Comma 76" xfId="50595" xr:uid="{00000000-0005-0000-0000-000096C50000}"/>
    <cellStyle name="Comma 77" xfId="50596" xr:uid="{00000000-0005-0000-0000-000097C50000}"/>
    <cellStyle name="Comma 77 2" xfId="50597" xr:uid="{00000000-0005-0000-0000-000098C50000}"/>
    <cellStyle name="Comma 78" xfId="50598" xr:uid="{00000000-0005-0000-0000-000099C50000}"/>
    <cellStyle name="Comma 79" xfId="50599" xr:uid="{00000000-0005-0000-0000-00009AC50000}"/>
    <cellStyle name="Comma 8" xfId="50600" xr:uid="{00000000-0005-0000-0000-00009BC50000}"/>
    <cellStyle name="Comma 8 2" xfId="50601" xr:uid="{00000000-0005-0000-0000-00009CC50000}"/>
    <cellStyle name="Comma 8 3" xfId="50602" xr:uid="{00000000-0005-0000-0000-00009DC50000}"/>
    <cellStyle name="Comma 80" xfId="50603" xr:uid="{00000000-0005-0000-0000-00009EC50000}"/>
    <cellStyle name="Comma 81" xfId="50604" xr:uid="{00000000-0005-0000-0000-00009FC50000}"/>
    <cellStyle name="Comma 82" xfId="50605" xr:uid="{00000000-0005-0000-0000-0000A0C50000}"/>
    <cellStyle name="Comma 83" xfId="50606" xr:uid="{00000000-0005-0000-0000-0000A1C50000}"/>
    <cellStyle name="Comma 84" xfId="50607" xr:uid="{00000000-0005-0000-0000-0000A2C50000}"/>
    <cellStyle name="Comma 85" xfId="50608" xr:uid="{00000000-0005-0000-0000-0000A3C50000}"/>
    <cellStyle name="Comma 86" xfId="50609" xr:uid="{00000000-0005-0000-0000-0000A4C50000}"/>
    <cellStyle name="Comma 87" xfId="50610" xr:uid="{00000000-0005-0000-0000-0000A5C50000}"/>
    <cellStyle name="Comma 88" xfId="50611" xr:uid="{00000000-0005-0000-0000-0000A6C50000}"/>
    <cellStyle name="Comma 89" xfId="50612" xr:uid="{00000000-0005-0000-0000-0000A7C50000}"/>
    <cellStyle name="Comma 9" xfId="50613" xr:uid="{00000000-0005-0000-0000-0000A8C50000}"/>
    <cellStyle name="Comma 9 2" xfId="50614" xr:uid="{00000000-0005-0000-0000-0000A9C50000}"/>
    <cellStyle name="Comma 9 3" xfId="50615" xr:uid="{00000000-0005-0000-0000-0000AAC50000}"/>
    <cellStyle name="Comma 90" xfId="50616" xr:uid="{00000000-0005-0000-0000-0000ABC50000}"/>
    <cellStyle name="Comma 91" xfId="50617" xr:uid="{00000000-0005-0000-0000-0000ACC50000}"/>
    <cellStyle name="Comma 92" xfId="50618" xr:uid="{00000000-0005-0000-0000-0000ADC50000}"/>
    <cellStyle name="Comma 93" xfId="50619" xr:uid="{00000000-0005-0000-0000-0000AEC50000}"/>
    <cellStyle name="Comma 94" xfId="50620" xr:uid="{00000000-0005-0000-0000-0000AFC50000}"/>
    <cellStyle name="Comma 95" xfId="50621" xr:uid="{00000000-0005-0000-0000-0000B0C50000}"/>
    <cellStyle name="Comma 96" xfId="50622" xr:uid="{00000000-0005-0000-0000-0000B1C50000}"/>
    <cellStyle name="Comma 97" xfId="50623" xr:uid="{00000000-0005-0000-0000-0000B2C50000}"/>
    <cellStyle name="Comma 98" xfId="50624" xr:uid="{00000000-0005-0000-0000-0000B3C50000}"/>
    <cellStyle name="Comma 99" xfId="50625" xr:uid="{00000000-0005-0000-0000-0000B4C50000}"/>
    <cellStyle name="comma zerodec" xfId="50626" xr:uid="{00000000-0005-0000-0000-0000B5C50000}"/>
    <cellStyle name="Comma(3)" xfId="50627" xr:uid="{00000000-0005-0000-0000-0000B6C50000}"/>
    <cellStyle name="Comma0" xfId="50628" xr:uid="{00000000-0005-0000-0000-0000B7C50000}"/>
    <cellStyle name="Comma0 2" xfId="50629" xr:uid="{00000000-0005-0000-0000-0000B8C50000}"/>
    <cellStyle name="Comma0 2 2" xfId="50630" xr:uid="{00000000-0005-0000-0000-0000B9C50000}"/>
    <cellStyle name="Comma0 3" xfId="50631" xr:uid="{00000000-0005-0000-0000-0000BAC50000}"/>
    <cellStyle name="Comma0 3 2" xfId="50632" xr:uid="{00000000-0005-0000-0000-0000BBC50000}"/>
    <cellStyle name="Comma0 4" xfId="50633" xr:uid="{00000000-0005-0000-0000-0000BCC50000}"/>
    <cellStyle name="Comma0 5" xfId="50634" xr:uid="{00000000-0005-0000-0000-0000BDC50000}"/>
    <cellStyle name="cong" xfId="50635" xr:uid="{00000000-0005-0000-0000-0000BEC50000}"/>
    <cellStyle name="ContentsHyperlink" xfId="50636" xr:uid="{00000000-0005-0000-0000-0000BFC50000}"/>
    <cellStyle name="ContentsHyperlink 2" xfId="50637" xr:uid="{00000000-0005-0000-0000-0000C0C50000}"/>
    <cellStyle name="ContentsHyperlink 3" xfId="50638" xr:uid="{00000000-0005-0000-0000-0000C1C50000}"/>
    <cellStyle name="Curren - Style3" xfId="50639" xr:uid="{00000000-0005-0000-0000-0000C2C50000}"/>
    <cellStyle name="Curren - Style3 2" xfId="50640" xr:uid="{00000000-0005-0000-0000-0000C3C50000}"/>
    <cellStyle name="Curren - Style3 2 2" xfId="50641" xr:uid="{00000000-0005-0000-0000-0000C4C50000}"/>
    <cellStyle name="Curren - Style3 3" xfId="50642" xr:uid="{00000000-0005-0000-0000-0000C5C50000}"/>
    <cellStyle name="Curren - Style3 4" xfId="50643" xr:uid="{00000000-0005-0000-0000-0000C6C50000}"/>
    <cellStyle name="Curren - Style3 4 2" xfId="50644" xr:uid="{00000000-0005-0000-0000-0000C7C50000}"/>
    <cellStyle name="Curren - Style4" xfId="50645" xr:uid="{00000000-0005-0000-0000-0000C8C50000}"/>
    <cellStyle name="Curren - Style4 2" xfId="50646" xr:uid="{00000000-0005-0000-0000-0000C9C50000}"/>
    <cellStyle name="Curren - Style4 2 2" xfId="50647" xr:uid="{00000000-0005-0000-0000-0000CAC50000}"/>
    <cellStyle name="Curren - Style4 3" xfId="50648" xr:uid="{00000000-0005-0000-0000-0000CBC50000}"/>
    <cellStyle name="Curren - Style4 4" xfId="50649" xr:uid="{00000000-0005-0000-0000-0000CCC50000}"/>
    <cellStyle name="Curren - Style4 4 2" xfId="50650" xr:uid="{00000000-0005-0000-0000-0000CDC50000}"/>
    <cellStyle name="Currency [00]" xfId="50651" xr:uid="{00000000-0005-0000-0000-0000CEC50000}"/>
    <cellStyle name="Currency 10" xfId="50652" xr:uid="{00000000-0005-0000-0000-0000CFC50000}"/>
    <cellStyle name="Currency 11" xfId="50653" xr:uid="{00000000-0005-0000-0000-0000D0C50000}"/>
    <cellStyle name="Currency 12" xfId="50654" xr:uid="{00000000-0005-0000-0000-0000D1C50000}"/>
    <cellStyle name="Currency 13" xfId="50655" xr:uid="{00000000-0005-0000-0000-0000D2C50000}"/>
    <cellStyle name="Currency 14" xfId="50656" xr:uid="{00000000-0005-0000-0000-0000D3C50000}"/>
    <cellStyle name="Currency 15" xfId="50657" xr:uid="{00000000-0005-0000-0000-0000D4C50000}"/>
    <cellStyle name="Currency 16" xfId="50658" xr:uid="{00000000-0005-0000-0000-0000D5C50000}"/>
    <cellStyle name="Currency 2" xfId="50659" xr:uid="{00000000-0005-0000-0000-0000D6C50000}"/>
    <cellStyle name="Currency 3" xfId="50660" xr:uid="{00000000-0005-0000-0000-0000D7C50000}"/>
    <cellStyle name="Currency 4" xfId="50661" xr:uid="{00000000-0005-0000-0000-0000D8C50000}"/>
    <cellStyle name="Currency 5" xfId="50662" xr:uid="{00000000-0005-0000-0000-0000D9C50000}"/>
    <cellStyle name="Currency 6" xfId="50663" xr:uid="{00000000-0005-0000-0000-0000DAC50000}"/>
    <cellStyle name="Currency 7" xfId="50664" xr:uid="{00000000-0005-0000-0000-0000DBC50000}"/>
    <cellStyle name="Currency 8" xfId="50665" xr:uid="{00000000-0005-0000-0000-0000DCC50000}"/>
    <cellStyle name="Currency 9" xfId="50666" xr:uid="{00000000-0005-0000-0000-0000DDC50000}"/>
    <cellStyle name="Currency0" xfId="50667" xr:uid="{00000000-0005-0000-0000-0000DEC50000}"/>
    <cellStyle name="Currency0 2" xfId="50668" xr:uid="{00000000-0005-0000-0000-0000DFC50000}"/>
    <cellStyle name="Currency0 2 2" xfId="50669" xr:uid="{00000000-0005-0000-0000-0000E0C50000}"/>
    <cellStyle name="Currency0 3" xfId="50670" xr:uid="{00000000-0005-0000-0000-0000E1C50000}"/>
    <cellStyle name="Currency0 3 2" xfId="50671" xr:uid="{00000000-0005-0000-0000-0000E2C50000}"/>
    <cellStyle name="Currency0 3 2 2" xfId="50672" xr:uid="{00000000-0005-0000-0000-0000E3C50000}"/>
    <cellStyle name="Currency0 4" xfId="50673" xr:uid="{00000000-0005-0000-0000-0000E4C50000}"/>
    <cellStyle name="Currency0 5" xfId="50674" xr:uid="{00000000-0005-0000-0000-0000E5C50000}"/>
    <cellStyle name="Currency0 6" xfId="50675" xr:uid="{00000000-0005-0000-0000-0000E6C50000}"/>
    <cellStyle name="Currency0_update comparison " xfId="50676" xr:uid="{00000000-0005-0000-0000-0000E7C50000}"/>
    <cellStyle name="Currency1" xfId="50677" xr:uid="{00000000-0005-0000-0000-0000E8C50000}"/>
    <cellStyle name="Currency1 2" xfId="50678" xr:uid="{00000000-0005-0000-0000-0000E9C50000}"/>
    <cellStyle name="Currency1_Content" xfId="50679" xr:uid="{00000000-0005-0000-0000-0000EAC50000}"/>
    <cellStyle name="Data" xfId="50680" xr:uid="{00000000-0005-0000-0000-0000EBC50000}"/>
    <cellStyle name="Date" xfId="50681" xr:uid="{00000000-0005-0000-0000-0000ECC50000}"/>
    <cellStyle name="Date 2" xfId="50682" xr:uid="{00000000-0005-0000-0000-0000EDC50000}"/>
    <cellStyle name="Date 2 2" xfId="50683" xr:uid="{00000000-0005-0000-0000-0000EEC50000}"/>
    <cellStyle name="Date 2 2 2" xfId="50684" xr:uid="{00000000-0005-0000-0000-0000EFC50000}"/>
    <cellStyle name="Date 2 3" xfId="50685" xr:uid="{00000000-0005-0000-0000-0000F0C50000}"/>
    <cellStyle name="Date 2 4" xfId="50686" xr:uid="{00000000-0005-0000-0000-0000F1C50000}"/>
    <cellStyle name="Date 2 5" xfId="50687" xr:uid="{00000000-0005-0000-0000-0000F2C50000}"/>
    <cellStyle name="Date 2_update comparison " xfId="50688" xr:uid="{00000000-0005-0000-0000-0000F3C50000}"/>
    <cellStyle name="Date 3" xfId="50689" xr:uid="{00000000-0005-0000-0000-0000F4C50000}"/>
    <cellStyle name="Date 3 2" xfId="50690" xr:uid="{00000000-0005-0000-0000-0000F5C50000}"/>
    <cellStyle name="Date 3 3" xfId="50691" xr:uid="{00000000-0005-0000-0000-0000F6C50000}"/>
    <cellStyle name="Date 3 4" xfId="50692" xr:uid="{00000000-0005-0000-0000-0000F7C50000}"/>
    <cellStyle name="Date 3_update comparison " xfId="50693" xr:uid="{00000000-0005-0000-0000-0000F8C50000}"/>
    <cellStyle name="Date 4" xfId="50694" xr:uid="{00000000-0005-0000-0000-0000F9C50000}"/>
    <cellStyle name="Date 4 2" xfId="50695" xr:uid="{00000000-0005-0000-0000-0000FAC50000}"/>
    <cellStyle name="Date 5" xfId="50696" xr:uid="{00000000-0005-0000-0000-0000FBC50000}"/>
    <cellStyle name="Date 6" xfId="50697" xr:uid="{00000000-0005-0000-0000-0000FCC50000}"/>
    <cellStyle name="Date Short" xfId="50698" xr:uid="{00000000-0005-0000-0000-0000FDC50000}"/>
    <cellStyle name="Datum" xfId="50699" xr:uid="{00000000-0005-0000-0000-0000FEC50000}"/>
    <cellStyle name="Datum 2" xfId="50700" xr:uid="{00000000-0005-0000-0000-0000FFC50000}"/>
    <cellStyle name="Datum 3" xfId="50701" xr:uid="{00000000-0005-0000-0000-000000C60000}"/>
    <cellStyle name="Datum 4" xfId="50702" xr:uid="{00000000-0005-0000-0000-000001C60000}"/>
    <cellStyle name="DAUDE" xfId="50703" xr:uid="{00000000-0005-0000-0000-000002C60000}"/>
    <cellStyle name="DAUDE 2" xfId="50704" xr:uid="{00000000-0005-0000-0000-000003C60000}"/>
    <cellStyle name="DAUDE 2 2" xfId="50705" xr:uid="{00000000-0005-0000-0000-000004C60000}"/>
    <cellStyle name="DAUDE 3" xfId="50706" xr:uid="{00000000-0005-0000-0000-000005C60000}"/>
    <cellStyle name="day of week" xfId="50707" xr:uid="{00000000-0005-0000-0000-000006C60000}"/>
    <cellStyle name="DEM" xfId="50708" xr:uid="{00000000-0005-0000-0000-000007C60000}"/>
    <cellStyle name="DEM 2" xfId="50709" xr:uid="{00000000-0005-0000-0000-000008C60000}"/>
    <cellStyle name="Dezimal [0]_CoAsDCol" xfId="50710" xr:uid="{00000000-0005-0000-0000-000009C60000}"/>
    <cellStyle name="Dezimal_CoAsDCol" xfId="50711" xr:uid="{00000000-0005-0000-0000-00000AC60000}"/>
    <cellStyle name="diskette" xfId="50712" xr:uid="{00000000-0005-0000-0000-00000BC60000}"/>
    <cellStyle name="dollar" xfId="50713" xr:uid="{00000000-0005-0000-0000-00000CC60000}"/>
    <cellStyle name="Dollar (zero dec)" xfId="50714" xr:uid="{00000000-0005-0000-0000-00000DC60000}"/>
    <cellStyle name="Dollar (zero dec) 2" xfId="50715" xr:uid="{00000000-0005-0000-0000-00000EC60000}"/>
    <cellStyle name="Dollar (zero dec)_Content" xfId="50716" xr:uid="{00000000-0005-0000-0000-00000FC60000}"/>
    <cellStyle name="dollar 2" xfId="50717" xr:uid="{00000000-0005-0000-0000-000010C60000}"/>
    <cellStyle name="données" xfId="50718" xr:uid="{00000000-0005-0000-0000-000011C60000}"/>
    <cellStyle name="Enter Currency (0)" xfId="50719" xr:uid="{00000000-0005-0000-0000-000012C60000}"/>
    <cellStyle name="Enter Currency (2)" xfId="50720" xr:uid="{00000000-0005-0000-0000-000013C60000}"/>
    <cellStyle name="Enter Units (0)" xfId="50721" xr:uid="{00000000-0005-0000-0000-000014C60000}"/>
    <cellStyle name="Enter Units (1)" xfId="50722" xr:uid="{00000000-0005-0000-0000-000015C60000}"/>
    <cellStyle name="Enter Units (2)" xfId="50723" xr:uid="{00000000-0005-0000-0000-000016C60000}"/>
    <cellStyle name="eptembre" xfId="50724" xr:uid="{00000000-0005-0000-0000-000017C60000}"/>
    <cellStyle name="eptembre 2" xfId="50725" xr:uid="{00000000-0005-0000-0000-000018C60000}"/>
    <cellStyle name="eptembre 2 10" xfId="50726" xr:uid="{00000000-0005-0000-0000-000019C60000}"/>
    <cellStyle name="eptembre 2 2" xfId="50727" xr:uid="{00000000-0005-0000-0000-00001AC60000}"/>
    <cellStyle name="eptembre 2 2 2" xfId="50728" xr:uid="{00000000-0005-0000-0000-00001BC60000}"/>
    <cellStyle name="eptembre 2 2 3" xfId="50729" xr:uid="{00000000-0005-0000-0000-00001CC60000}"/>
    <cellStyle name="eptembre 2 2 4" xfId="50730" xr:uid="{00000000-0005-0000-0000-00001DC60000}"/>
    <cellStyle name="eptembre 2 2 5" xfId="50731" xr:uid="{00000000-0005-0000-0000-00001EC60000}"/>
    <cellStyle name="eptembre 2 2 6" xfId="50732" xr:uid="{00000000-0005-0000-0000-00001FC60000}"/>
    <cellStyle name="eptembre 2 3" xfId="50733" xr:uid="{00000000-0005-0000-0000-000020C60000}"/>
    <cellStyle name="eptembre 2 3 2" xfId="50734" xr:uid="{00000000-0005-0000-0000-000021C60000}"/>
    <cellStyle name="eptembre 2 3 3" xfId="50735" xr:uid="{00000000-0005-0000-0000-000022C60000}"/>
    <cellStyle name="eptembre 2 3 4" xfId="50736" xr:uid="{00000000-0005-0000-0000-000023C60000}"/>
    <cellStyle name="eptembre 2 3 5" xfId="50737" xr:uid="{00000000-0005-0000-0000-000024C60000}"/>
    <cellStyle name="eptembre 2 3 6" xfId="50738" xr:uid="{00000000-0005-0000-0000-000025C60000}"/>
    <cellStyle name="eptembre 2 4" xfId="50739" xr:uid="{00000000-0005-0000-0000-000026C60000}"/>
    <cellStyle name="eptembre 2 4 2" xfId="50740" xr:uid="{00000000-0005-0000-0000-000027C60000}"/>
    <cellStyle name="eptembre 2 4 3" xfId="50741" xr:uid="{00000000-0005-0000-0000-000028C60000}"/>
    <cellStyle name="eptembre 2 4 4" xfId="50742" xr:uid="{00000000-0005-0000-0000-000029C60000}"/>
    <cellStyle name="eptembre 2 4 5" xfId="50743" xr:uid="{00000000-0005-0000-0000-00002AC60000}"/>
    <cellStyle name="eptembre 2 4 6" xfId="50744" xr:uid="{00000000-0005-0000-0000-00002BC60000}"/>
    <cellStyle name="eptembre 2 5" xfId="50745" xr:uid="{00000000-0005-0000-0000-00002CC60000}"/>
    <cellStyle name="eptembre 2 5 2" xfId="50746" xr:uid="{00000000-0005-0000-0000-00002DC60000}"/>
    <cellStyle name="eptembre 2 5 3" xfId="50747" xr:uid="{00000000-0005-0000-0000-00002EC60000}"/>
    <cellStyle name="eptembre 2 5 4" xfId="50748" xr:uid="{00000000-0005-0000-0000-00002FC60000}"/>
    <cellStyle name="eptembre 2 5 5" xfId="50749" xr:uid="{00000000-0005-0000-0000-000030C60000}"/>
    <cellStyle name="eptembre 2 5 6" xfId="50750" xr:uid="{00000000-0005-0000-0000-000031C60000}"/>
    <cellStyle name="eptembre 2 6" xfId="50751" xr:uid="{00000000-0005-0000-0000-000032C60000}"/>
    <cellStyle name="eptembre 2 6 2" xfId="50752" xr:uid="{00000000-0005-0000-0000-000033C60000}"/>
    <cellStyle name="eptembre 2 6 3" xfId="50753" xr:uid="{00000000-0005-0000-0000-000034C60000}"/>
    <cellStyle name="eptembre 2 6 4" xfId="50754" xr:uid="{00000000-0005-0000-0000-000035C60000}"/>
    <cellStyle name="eptembre 2 6 5" xfId="50755" xr:uid="{00000000-0005-0000-0000-000036C60000}"/>
    <cellStyle name="eptembre 2 6 6" xfId="50756" xr:uid="{00000000-0005-0000-0000-000037C60000}"/>
    <cellStyle name="eptembre 2 7" xfId="50757" xr:uid="{00000000-0005-0000-0000-000038C60000}"/>
    <cellStyle name="eptembre 2 7 2" xfId="50758" xr:uid="{00000000-0005-0000-0000-000039C60000}"/>
    <cellStyle name="eptembre 2 7 3" xfId="50759" xr:uid="{00000000-0005-0000-0000-00003AC60000}"/>
    <cellStyle name="eptembre 2 7 4" xfId="50760" xr:uid="{00000000-0005-0000-0000-00003BC60000}"/>
    <cellStyle name="eptembre 2 7 5" xfId="50761" xr:uid="{00000000-0005-0000-0000-00003CC60000}"/>
    <cellStyle name="eptembre 2 7 6" xfId="50762" xr:uid="{00000000-0005-0000-0000-00003DC60000}"/>
    <cellStyle name="eptembre 2 8" xfId="50763" xr:uid="{00000000-0005-0000-0000-00003EC60000}"/>
    <cellStyle name="eptembre 2 9" xfId="50764" xr:uid="{00000000-0005-0000-0000-00003FC60000}"/>
    <cellStyle name="eptembre 3" xfId="50765" xr:uid="{00000000-0005-0000-0000-000040C60000}"/>
    <cellStyle name="eptembre 3 2" xfId="50766" xr:uid="{00000000-0005-0000-0000-000041C60000}"/>
    <cellStyle name="eptembre 3 3" xfId="50767" xr:uid="{00000000-0005-0000-0000-000042C60000}"/>
    <cellStyle name="eptembre 3 4" xfId="50768" xr:uid="{00000000-0005-0000-0000-000043C60000}"/>
    <cellStyle name="eptembre 3 5" xfId="50769" xr:uid="{00000000-0005-0000-0000-000044C60000}"/>
    <cellStyle name="eptembre 3 6" xfId="50770" xr:uid="{00000000-0005-0000-0000-000045C60000}"/>
    <cellStyle name="Euro" xfId="25" xr:uid="{00000000-0005-0000-0000-000046C60000}"/>
    <cellStyle name="Euro 10" xfId="50771" xr:uid="{00000000-0005-0000-0000-000047C60000}"/>
    <cellStyle name="Euro 11" xfId="50772" xr:uid="{00000000-0005-0000-0000-000048C60000}"/>
    <cellStyle name="Euro 12" xfId="50773" xr:uid="{00000000-0005-0000-0000-000049C60000}"/>
    <cellStyle name="Euro 2" xfId="50774" xr:uid="{00000000-0005-0000-0000-00004AC60000}"/>
    <cellStyle name="Euro 2 2" xfId="50775" xr:uid="{00000000-0005-0000-0000-00004BC60000}"/>
    <cellStyle name="Euro 2 2 2" xfId="50776" xr:uid="{00000000-0005-0000-0000-00004CC60000}"/>
    <cellStyle name="Euro 2 3" xfId="50777" xr:uid="{00000000-0005-0000-0000-00004DC60000}"/>
    <cellStyle name="Euro 2 4" xfId="50778" xr:uid="{00000000-0005-0000-0000-00004EC60000}"/>
    <cellStyle name="Euro 2_update comparison " xfId="50779" xr:uid="{00000000-0005-0000-0000-00004FC60000}"/>
    <cellStyle name="Euro 3" xfId="50780" xr:uid="{00000000-0005-0000-0000-000050C60000}"/>
    <cellStyle name="Euro 3 2" xfId="50781" xr:uid="{00000000-0005-0000-0000-000051C60000}"/>
    <cellStyle name="Euro 3 3" xfId="50782" xr:uid="{00000000-0005-0000-0000-000052C60000}"/>
    <cellStyle name="Euro 3 4" xfId="50783" xr:uid="{00000000-0005-0000-0000-000053C60000}"/>
    <cellStyle name="Euro 3_update comparison " xfId="50784" xr:uid="{00000000-0005-0000-0000-000054C60000}"/>
    <cellStyle name="Euro 4" xfId="50785" xr:uid="{00000000-0005-0000-0000-000055C60000}"/>
    <cellStyle name="Euro 5" xfId="50786" xr:uid="{00000000-0005-0000-0000-000056C60000}"/>
    <cellStyle name="Euro 6" xfId="50787" xr:uid="{00000000-0005-0000-0000-000057C60000}"/>
    <cellStyle name="Euro 7" xfId="50788" xr:uid="{00000000-0005-0000-0000-000058C60000}"/>
    <cellStyle name="Euro 8" xfId="50789" xr:uid="{00000000-0005-0000-0000-000059C60000}"/>
    <cellStyle name="Euro 9" xfId="50790" xr:uid="{00000000-0005-0000-0000-00005AC60000}"/>
    <cellStyle name="Euro_Sheet1" xfId="50791" xr:uid="{00000000-0005-0000-0000-00005BC60000}"/>
    <cellStyle name="Excel.Chart" xfId="50792" xr:uid="{00000000-0005-0000-0000-00005CC60000}"/>
    <cellStyle name="Explanatory Text 10" xfId="50793" xr:uid="{00000000-0005-0000-0000-00005DC60000}"/>
    <cellStyle name="Explanatory Text 11" xfId="50794" xr:uid="{00000000-0005-0000-0000-00005EC60000}"/>
    <cellStyle name="Explanatory Text 12" xfId="50795" xr:uid="{00000000-0005-0000-0000-00005FC60000}"/>
    <cellStyle name="Explanatory Text 13" xfId="50796" xr:uid="{00000000-0005-0000-0000-000060C60000}"/>
    <cellStyle name="Explanatory Text 14" xfId="50797" xr:uid="{00000000-0005-0000-0000-000061C60000}"/>
    <cellStyle name="Explanatory Text 15" xfId="50798" xr:uid="{00000000-0005-0000-0000-000062C60000}"/>
    <cellStyle name="Explanatory Text 16" xfId="50799" xr:uid="{00000000-0005-0000-0000-000063C60000}"/>
    <cellStyle name="Explanatory Text 17" xfId="50800" xr:uid="{00000000-0005-0000-0000-000064C60000}"/>
    <cellStyle name="Explanatory Text 2" xfId="50801" xr:uid="{00000000-0005-0000-0000-000065C60000}"/>
    <cellStyle name="Explanatory Text 3" xfId="50802" xr:uid="{00000000-0005-0000-0000-000066C60000}"/>
    <cellStyle name="Explanatory Text 3 2" xfId="50803" xr:uid="{00000000-0005-0000-0000-000067C60000}"/>
    <cellStyle name="Explanatory Text 4" xfId="50804" xr:uid="{00000000-0005-0000-0000-000068C60000}"/>
    <cellStyle name="Explanatory Text 5" xfId="50805" xr:uid="{00000000-0005-0000-0000-000069C60000}"/>
    <cellStyle name="Explanatory Text 6" xfId="50806" xr:uid="{00000000-0005-0000-0000-00006AC60000}"/>
    <cellStyle name="Explanatory Text 7" xfId="50807" xr:uid="{00000000-0005-0000-0000-00006BC60000}"/>
    <cellStyle name="Explanatory Text 8" xfId="50808" xr:uid="{00000000-0005-0000-0000-00006CC60000}"/>
    <cellStyle name="Explanatory Text 9" xfId="50809" xr:uid="{00000000-0005-0000-0000-00006DC60000}"/>
    <cellStyle name="f‰H_x0010_‹Ëf‰h,ÿt$_x0018_è¸Wÿÿé&gt;Ëÿÿ÷Ç_x0001_" xfId="50810" xr:uid="{00000000-0005-0000-0000-00006EC60000}"/>
    <cellStyle name="f‰H_x0010_‹Ëf‰h,ÿt$_x0018_è¸Wÿÿé&gt;Ëÿÿ÷Ç_x0001_ 2" xfId="50811" xr:uid="{00000000-0005-0000-0000-00006FC60000}"/>
    <cellStyle name="f‰H_x0010_‹Ëf‰h,ÿt$_x0018_è¸Wÿÿé&gt;Ëÿÿ÷Ç_x0001_ 3" xfId="50812" xr:uid="{00000000-0005-0000-0000-000070C60000}"/>
    <cellStyle name="f‰H_x0010_‹Ëf‰h,ÿt$_x0018_è¸Wÿÿé&gt;Ëÿÿ÷Ç_x0001_ 4" xfId="50813" xr:uid="{00000000-0005-0000-0000-000071C60000}"/>
    <cellStyle name="F2" xfId="50814" xr:uid="{00000000-0005-0000-0000-000072C60000}"/>
    <cellStyle name="F2 2" xfId="50815" xr:uid="{00000000-0005-0000-0000-000073C60000}"/>
    <cellStyle name="F2 3" xfId="50816" xr:uid="{00000000-0005-0000-0000-000074C60000}"/>
    <cellStyle name="F3" xfId="50817" xr:uid="{00000000-0005-0000-0000-000075C60000}"/>
    <cellStyle name="F3 2" xfId="50818" xr:uid="{00000000-0005-0000-0000-000076C60000}"/>
    <cellStyle name="F3 3" xfId="50819" xr:uid="{00000000-0005-0000-0000-000077C60000}"/>
    <cellStyle name="F4" xfId="50820" xr:uid="{00000000-0005-0000-0000-000078C60000}"/>
    <cellStyle name="F4 2" xfId="50821" xr:uid="{00000000-0005-0000-0000-000079C60000}"/>
    <cellStyle name="F4 3" xfId="50822" xr:uid="{00000000-0005-0000-0000-00007AC60000}"/>
    <cellStyle name="F5" xfId="50823" xr:uid="{00000000-0005-0000-0000-00007BC60000}"/>
    <cellStyle name="F5 - Style8" xfId="50824" xr:uid="{00000000-0005-0000-0000-00007CC60000}"/>
    <cellStyle name="F5 10" xfId="50825" xr:uid="{00000000-0005-0000-0000-00007DC60000}"/>
    <cellStyle name="F5 11" xfId="50826" xr:uid="{00000000-0005-0000-0000-00007EC60000}"/>
    <cellStyle name="F5 2" xfId="50827" xr:uid="{00000000-0005-0000-0000-00007FC60000}"/>
    <cellStyle name="F5 3" xfId="50828" xr:uid="{00000000-0005-0000-0000-000080C60000}"/>
    <cellStyle name="F5 4" xfId="50829" xr:uid="{00000000-0005-0000-0000-000081C60000}"/>
    <cellStyle name="F5 5" xfId="50830" xr:uid="{00000000-0005-0000-0000-000082C60000}"/>
    <cellStyle name="F5 6" xfId="50831" xr:uid="{00000000-0005-0000-0000-000083C60000}"/>
    <cellStyle name="F5 7" xfId="50832" xr:uid="{00000000-0005-0000-0000-000084C60000}"/>
    <cellStyle name="F5 8" xfId="50833" xr:uid="{00000000-0005-0000-0000-000085C60000}"/>
    <cellStyle name="F5 9" xfId="50834" xr:uid="{00000000-0005-0000-0000-000086C60000}"/>
    <cellStyle name="F5_Risk Assessment Mission Inputs" xfId="50835" xr:uid="{00000000-0005-0000-0000-000087C60000}"/>
    <cellStyle name="F6" xfId="50836" xr:uid="{00000000-0005-0000-0000-000088C60000}"/>
    <cellStyle name="F6 - Style5" xfId="50837" xr:uid="{00000000-0005-0000-0000-000089C60000}"/>
    <cellStyle name="F6 10" xfId="50838" xr:uid="{00000000-0005-0000-0000-00008AC60000}"/>
    <cellStyle name="F6 11" xfId="50839" xr:uid="{00000000-0005-0000-0000-00008BC60000}"/>
    <cellStyle name="F6 2" xfId="50840" xr:uid="{00000000-0005-0000-0000-00008CC60000}"/>
    <cellStyle name="F6 3" xfId="50841" xr:uid="{00000000-0005-0000-0000-00008DC60000}"/>
    <cellStyle name="F6 4" xfId="50842" xr:uid="{00000000-0005-0000-0000-00008EC60000}"/>
    <cellStyle name="F6 5" xfId="50843" xr:uid="{00000000-0005-0000-0000-00008FC60000}"/>
    <cellStyle name="F6 6" xfId="50844" xr:uid="{00000000-0005-0000-0000-000090C60000}"/>
    <cellStyle name="F6 7" xfId="50845" xr:uid="{00000000-0005-0000-0000-000091C60000}"/>
    <cellStyle name="F6 8" xfId="50846" xr:uid="{00000000-0005-0000-0000-000092C60000}"/>
    <cellStyle name="F6 9" xfId="50847" xr:uid="{00000000-0005-0000-0000-000093C60000}"/>
    <cellStyle name="F6_2008-12-23 Staff Report Tables -- FIN's request (2)" xfId="50848" xr:uid="{00000000-0005-0000-0000-000094C60000}"/>
    <cellStyle name="F7" xfId="50849" xr:uid="{00000000-0005-0000-0000-000095C60000}"/>
    <cellStyle name="F7 - Style7" xfId="50850" xr:uid="{00000000-0005-0000-0000-000096C60000}"/>
    <cellStyle name="F7 10" xfId="50851" xr:uid="{00000000-0005-0000-0000-000097C60000}"/>
    <cellStyle name="F7 11" xfId="50852" xr:uid="{00000000-0005-0000-0000-000098C60000}"/>
    <cellStyle name="F7 2" xfId="50853" xr:uid="{00000000-0005-0000-0000-000099C60000}"/>
    <cellStyle name="F7 3" xfId="50854" xr:uid="{00000000-0005-0000-0000-00009AC60000}"/>
    <cellStyle name="F7 4" xfId="50855" xr:uid="{00000000-0005-0000-0000-00009BC60000}"/>
    <cellStyle name="F7 5" xfId="50856" xr:uid="{00000000-0005-0000-0000-00009CC60000}"/>
    <cellStyle name="F7 6" xfId="50857" xr:uid="{00000000-0005-0000-0000-00009DC60000}"/>
    <cellStyle name="F7 7" xfId="50858" xr:uid="{00000000-0005-0000-0000-00009EC60000}"/>
    <cellStyle name="F7 8" xfId="50859" xr:uid="{00000000-0005-0000-0000-00009FC60000}"/>
    <cellStyle name="F7 9" xfId="50860" xr:uid="{00000000-0005-0000-0000-0000A0C60000}"/>
    <cellStyle name="F7_Risk Assessment Mission Inputs" xfId="50861" xr:uid="{00000000-0005-0000-0000-0000A1C60000}"/>
    <cellStyle name="F8" xfId="50862" xr:uid="{00000000-0005-0000-0000-0000A2C60000}"/>
    <cellStyle name="F8 - Style6" xfId="50863" xr:uid="{00000000-0005-0000-0000-0000A3C60000}"/>
    <cellStyle name="F8 10" xfId="50864" xr:uid="{00000000-0005-0000-0000-0000A4C60000}"/>
    <cellStyle name="F8 11" xfId="50865" xr:uid="{00000000-0005-0000-0000-0000A5C60000}"/>
    <cellStyle name="F8 2" xfId="50866" xr:uid="{00000000-0005-0000-0000-0000A6C60000}"/>
    <cellStyle name="F8 3" xfId="50867" xr:uid="{00000000-0005-0000-0000-0000A7C60000}"/>
    <cellStyle name="F8 4" xfId="50868" xr:uid="{00000000-0005-0000-0000-0000A8C60000}"/>
    <cellStyle name="F8 5" xfId="50869" xr:uid="{00000000-0005-0000-0000-0000A9C60000}"/>
    <cellStyle name="F8 6" xfId="50870" xr:uid="{00000000-0005-0000-0000-0000AAC60000}"/>
    <cellStyle name="F8 7" xfId="50871" xr:uid="{00000000-0005-0000-0000-0000ABC60000}"/>
    <cellStyle name="F8 8" xfId="50872" xr:uid="{00000000-0005-0000-0000-0000ACC60000}"/>
    <cellStyle name="F8 9" xfId="50873" xr:uid="{00000000-0005-0000-0000-0000ADC60000}"/>
    <cellStyle name="F8_Risk Assessment Mission Inputs" xfId="50874" xr:uid="{00000000-0005-0000-0000-0000AEC60000}"/>
    <cellStyle name="facha" xfId="50875" xr:uid="{00000000-0005-0000-0000-0000AFC60000}"/>
    <cellStyle name="Fecha" xfId="50876" xr:uid="{00000000-0005-0000-0000-0000B0C60000}"/>
    <cellStyle name="Fijo" xfId="50877" xr:uid="{00000000-0005-0000-0000-0000B1C60000}"/>
    <cellStyle name="Finanční0" xfId="50878" xr:uid="{00000000-0005-0000-0000-0000B2C60000}"/>
    <cellStyle name="financniO" xfId="50879" xr:uid="{00000000-0005-0000-0000-0000B3C60000}"/>
    <cellStyle name="Finanèní0" xfId="50880" xr:uid="{00000000-0005-0000-0000-0000B4C60000}"/>
    <cellStyle name="Fixed" xfId="50881" xr:uid="{00000000-0005-0000-0000-0000B5C60000}"/>
    <cellStyle name="Fixed 2" xfId="50882" xr:uid="{00000000-0005-0000-0000-0000B6C60000}"/>
    <cellStyle name="Fixed 2 2" xfId="50883" xr:uid="{00000000-0005-0000-0000-0000B7C60000}"/>
    <cellStyle name="Fixed 3" xfId="50884" xr:uid="{00000000-0005-0000-0000-0000B8C60000}"/>
    <cellStyle name="Fixed 3 2" xfId="50885" xr:uid="{00000000-0005-0000-0000-0000B9C60000}"/>
    <cellStyle name="Fixed 4" xfId="50886" xr:uid="{00000000-0005-0000-0000-0000BAC60000}"/>
    <cellStyle name="Fixed 5" xfId="50887" xr:uid="{00000000-0005-0000-0000-0000BBC60000}"/>
    <cellStyle name="Fixed 6" xfId="50888" xr:uid="{00000000-0005-0000-0000-0000BCC60000}"/>
    <cellStyle name="fixed0 - Style4" xfId="50889" xr:uid="{00000000-0005-0000-0000-0000BDC60000}"/>
    <cellStyle name="fixed0 - Style4 2" xfId="50890" xr:uid="{00000000-0005-0000-0000-0000BEC60000}"/>
    <cellStyle name="fixed0 - Style4 3" xfId="50891" xr:uid="{00000000-0005-0000-0000-0000BFC60000}"/>
    <cellStyle name="Fixed1 - Style1" xfId="50892" xr:uid="{00000000-0005-0000-0000-0000C0C60000}"/>
    <cellStyle name="Fixed1 - Style2" xfId="50893" xr:uid="{00000000-0005-0000-0000-0000C1C60000}"/>
    <cellStyle name="Fixo" xfId="50894" xr:uid="{00000000-0005-0000-0000-0000C2C60000}"/>
    <cellStyle name="Följde hyperlänken" xfId="50895" xr:uid="{00000000-0005-0000-0000-0000C3C60000}"/>
    <cellStyle name="Footnote" xfId="50896" xr:uid="{00000000-0005-0000-0000-0000C4C60000}"/>
    <cellStyle name="formula1" xfId="50897" xr:uid="{00000000-0005-0000-0000-0000C5C60000}"/>
    <cellStyle name="formula2" xfId="50898" xr:uid="{00000000-0005-0000-0000-0000C6C60000}"/>
    <cellStyle name="formula3" xfId="50899" xr:uid="{00000000-0005-0000-0000-0000C7C60000}"/>
    <cellStyle name="gia" xfId="50900" xr:uid="{00000000-0005-0000-0000-0000C8C60000}"/>
    <cellStyle name="Good 10" xfId="50901" xr:uid="{00000000-0005-0000-0000-0000C9C60000}"/>
    <cellStyle name="Good 11" xfId="50902" xr:uid="{00000000-0005-0000-0000-0000CAC60000}"/>
    <cellStyle name="Good 12" xfId="50903" xr:uid="{00000000-0005-0000-0000-0000CBC60000}"/>
    <cellStyle name="Good 2" xfId="50904" xr:uid="{00000000-0005-0000-0000-0000CCC60000}"/>
    <cellStyle name="Good 2 2" xfId="50905" xr:uid="{00000000-0005-0000-0000-0000CDC60000}"/>
    <cellStyle name="Good 2_update comparison " xfId="50906" xr:uid="{00000000-0005-0000-0000-0000CEC60000}"/>
    <cellStyle name="Good 3" xfId="50907" xr:uid="{00000000-0005-0000-0000-0000CFC60000}"/>
    <cellStyle name="Good 3 2" xfId="50908" xr:uid="{00000000-0005-0000-0000-0000D0C60000}"/>
    <cellStyle name="Good 4" xfId="50909" xr:uid="{00000000-0005-0000-0000-0000D1C60000}"/>
    <cellStyle name="Good 5" xfId="50910" xr:uid="{00000000-0005-0000-0000-0000D2C60000}"/>
    <cellStyle name="Good 6" xfId="50911" xr:uid="{00000000-0005-0000-0000-0000D3C60000}"/>
    <cellStyle name="Good 7" xfId="50912" xr:uid="{00000000-0005-0000-0000-0000D4C60000}"/>
    <cellStyle name="Good 8" xfId="50913" xr:uid="{00000000-0005-0000-0000-0000D5C60000}"/>
    <cellStyle name="Good 9" xfId="50914" xr:uid="{00000000-0005-0000-0000-0000D6C60000}"/>
    <cellStyle name="GOVDATA" xfId="50915" xr:uid="{00000000-0005-0000-0000-0000D7C60000}"/>
    <cellStyle name="Grey" xfId="50916" xr:uid="{00000000-0005-0000-0000-0000D8C60000}"/>
    <cellStyle name="Grey 2" xfId="50917" xr:uid="{00000000-0005-0000-0000-0000D9C60000}"/>
    <cellStyle name="Grey 3" xfId="50918" xr:uid="{00000000-0005-0000-0000-0000DAC60000}"/>
    <cellStyle name="hard_num" xfId="50919" xr:uid="{00000000-0005-0000-0000-0000DBC60000}"/>
    <cellStyle name="HEADER" xfId="50920" xr:uid="{00000000-0005-0000-0000-0000DCC60000}"/>
    <cellStyle name="Header style" xfId="50921" xr:uid="{00000000-0005-0000-0000-0000DDC60000}"/>
    <cellStyle name="Header style 2" xfId="50922" xr:uid="{00000000-0005-0000-0000-0000DEC60000}"/>
    <cellStyle name="Header1" xfId="50923" xr:uid="{00000000-0005-0000-0000-0000DFC60000}"/>
    <cellStyle name="Header1 2" xfId="50924" xr:uid="{00000000-0005-0000-0000-0000E0C60000}"/>
    <cellStyle name="Header1 3" xfId="50925" xr:uid="{00000000-0005-0000-0000-0000E1C60000}"/>
    <cellStyle name="Header2" xfId="50926" xr:uid="{00000000-0005-0000-0000-0000E2C60000}"/>
    <cellStyle name="Header2 2" xfId="50927" xr:uid="{00000000-0005-0000-0000-0000E3C60000}"/>
    <cellStyle name="Header2 2 2" xfId="50928" xr:uid="{00000000-0005-0000-0000-0000E4C60000}"/>
    <cellStyle name="Header2 2 2 10" xfId="50929" xr:uid="{00000000-0005-0000-0000-0000E5C60000}"/>
    <cellStyle name="Header2 2 2 2" xfId="50930" xr:uid="{00000000-0005-0000-0000-0000E6C60000}"/>
    <cellStyle name="Header2 2 2 2 2" xfId="50931" xr:uid="{00000000-0005-0000-0000-0000E7C60000}"/>
    <cellStyle name="Header2 2 2 2 3" xfId="50932" xr:uid="{00000000-0005-0000-0000-0000E8C60000}"/>
    <cellStyle name="Header2 2 2 2 4" xfId="50933" xr:uid="{00000000-0005-0000-0000-0000E9C60000}"/>
    <cellStyle name="Header2 2 2 2 5" xfId="50934" xr:uid="{00000000-0005-0000-0000-0000EAC60000}"/>
    <cellStyle name="Header2 2 2 2 6" xfId="50935" xr:uid="{00000000-0005-0000-0000-0000EBC60000}"/>
    <cellStyle name="Header2 2 2 3" xfId="50936" xr:uid="{00000000-0005-0000-0000-0000ECC60000}"/>
    <cellStyle name="Header2 2 2 3 2" xfId="50937" xr:uid="{00000000-0005-0000-0000-0000EDC60000}"/>
    <cellStyle name="Header2 2 2 3 3" xfId="50938" xr:uid="{00000000-0005-0000-0000-0000EEC60000}"/>
    <cellStyle name="Header2 2 2 3 4" xfId="50939" xr:uid="{00000000-0005-0000-0000-0000EFC60000}"/>
    <cellStyle name="Header2 2 2 3 5" xfId="50940" xr:uid="{00000000-0005-0000-0000-0000F0C60000}"/>
    <cellStyle name="Header2 2 2 3 6" xfId="50941" xr:uid="{00000000-0005-0000-0000-0000F1C60000}"/>
    <cellStyle name="Header2 2 2 4" xfId="50942" xr:uid="{00000000-0005-0000-0000-0000F2C60000}"/>
    <cellStyle name="Header2 2 2 4 2" xfId="50943" xr:uid="{00000000-0005-0000-0000-0000F3C60000}"/>
    <cellStyle name="Header2 2 2 4 3" xfId="50944" xr:uid="{00000000-0005-0000-0000-0000F4C60000}"/>
    <cellStyle name="Header2 2 2 4 4" xfId="50945" xr:uid="{00000000-0005-0000-0000-0000F5C60000}"/>
    <cellStyle name="Header2 2 2 4 5" xfId="50946" xr:uid="{00000000-0005-0000-0000-0000F6C60000}"/>
    <cellStyle name="Header2 2 2 4 6" xfId="50947" xr:uid="{00000000-0005-0000-0000-0000F7C60000}"/>
    <cellStyle name="Header2 2 2 5" xfId="50948" xr:uid="{00000000-0005-0000-0000-0000F8C60000}"/>
    <cellStyle name="Header2 2 2 5 2" xfId="50949" xr:uid="{00000000-0005-0000-0000-0000F9C60000}"/>
    <cellStyle name="Header2 2 2 5 3" xfId="50950" xr:uid="{00000000-0005-0000-0000-0000FAC60000}"/>
    <cellStyle name="Header2 2 2 5 4" xfId="50951" xr:uid="{00000000-0005-0000-0000-0000FBC60000}"/>
    <cellStyle name="Header2 2 2 5 5" xfId="50952" xr:uid="{00000000-0005-0000-0000-0000FCC60000}"/>
    <cellStyle name="Header2 2 2 5 6" xfId="50953" xr:uid="{00000000-0005-0000-0000-0000FDC60000}"/>
    <cellStyle name="Header2 2 2 6" xfId="50954" xr:uid="{00000000-0005-0000-0000-0000FEC60000}"/>
    <cellStyle name="Header2 2 2 6 2" xfId="50955" xr:uid="{00000000-0005-0000-0000-0000FFC60000}"/>
    <cellStyle name="Header2 2 2 6 3" xfId="50956" xr:uid="{00000000-0005-0000-0000-000000C70000}"/>
    <cellStyle name="Header2 2 2 6 4" xfId="50957" xr:uid="{00000000-0005-0000-0000-000001C70000}"/>
    <cellStyle name="Header2 2 2 6 5" xfId="50958" xr:uid="{00000000-0005-0000-0000-000002C70000}"/>
    <cellStyle name="Header2 2 2 6 6" xfId="50959" xr:uid="{00000000-0005-0000-0000-000003C70000}"/>
    <cellStyle name="Header2 2 2 7" xfId="50960" xr:uid="{00000000-0005-0000-0000-000004C70000}"/>
    <cellStyle name="Header2 2 2 7 2" xfId="50961" xr:uid="{00000000-0005-0000-0000-000005C70000}"/>
    <cellStyle name="Header2 2 2 7 3" xfId="50962" xr:uid="{00000000-0005-0000-0000-000006C70000}"/>
    <cellStyle name="Header2 2 2 7 4" xfId="50963" xr:uid="{00000000-0005-0000-0000-000007C70000}"/>
    <cellStyle name="Header2 2 2 7 5" xfId="50964" xr:uid="{00000000-0005-0000-0000-000008C70000}"/>
    <cellStyle name="Header2 2 2 7 6" xfId="50965" xr:uid="{00000000-0005-0000-0000-000009C70000}"/>
    <cellStyle name="Header2 2 2 8" xfId="50966" xr:uid="{00000000-0005-0000-0000-00000AC70000}"/>
    <cellStyle name="Header2 2 2 9" xfId="50967" xr:uid="{00000000-0005-0000-0000-00000BC70000}"/>
    <cellStyle name="Header2 2 3" xfId="50968" xr:uid="{00000000-0005-0000-0000-00000CC70000}"/>
    <cellStyle name="Header2 2 3 2" xfId="50969" xr:uid="{00000000-0005-0000-0000-00000DC70000}"/>
    <cellStyle name="Header2 2 3 3" xfId="50970" xr:uid="{00000000-0005-0000-0000-00000EC70000}"/>
    <cellStyle name="Header2 2 3 4" xfId="50971" xr:uid="{00000000-0005-0000-0000-00000FC70000}"/>
    <cellStyle name="Header2 2 3 5" xfId="50972" xr:uid="{00000000-0005-0000-0000-000010C70000}"/>
    <cellStyle name="Header2 2 3 6" xfId="50973" xr:uid="{00000000-0005-0000-0000-000011C70000}"/>
    <cellStyle name="Header2 3" xfId="50974" xr:uid="{00000000-0005-0000-0000-000012C70000}"/>
    <cellStyle name="Header2 3 2" xfId="50975" xr:uid="{00000000-0005-0000-0000-000013C70000}"/>
    <cellStyle name="Header2 3 2 10" xfId="50976" xr:uid="{00000000-0005-0000-0000-000014C70000}"/>
    <cellStyle name="Header2 3 2 2" xfId="50977" xr:uid="{00000000-0005-0000-0000-000015C70000}"/>
    <cellStyle name="Header2 3 2 2 2" xfId="50978" xr:uid="{00000000-0005-0000-0000-000016C70000}"/>
    <cellStyle name="Header2 3 2 2 3" xfId="50979" xr:uid="{00000000-0005-0000-0000-000017C70000}"/>
    <cellStyle name="Header2 3 2 2 4" xfId="50980" xr:uid="{00000000-0005-0000-0000-000018C70000}"/>
    <cellStyle name="Header2 3 2 2 5" xfId="50981" xr:uid="{00000000-0005-0000-0000-000019C70000}"/>
    <cellStyle name="Header2 3 2 2 6" xfId="50982" xr:uid="{00000000-0005-0000-0000-00001AC70000}"/>
    <cellStyle name="Header2 3 2 3" xfId="50983" xr:uid="{00000000-0005-0000-0000-00001BC70000}"/>
    <cellStyle name="Header2 3 2 3 2" xfId="50984" xr:uid="{00000000-0005-0000-0000-00001CC70000}"/>
    <cellStyle name="Header2 3 2 3 3" xfId="50985" xr:uid="{00000000-0005-0000-0000-00001DC70000}"/>
    <cellStyle name="Header2 3 2 3 4" xfId="50986" xr:uid="{00000000-0005-0000-0000-00001EC70000}"/>
    <cellStyle name="Header2 3 2 3 5" xfId="50987" xr:uid="{00000000-0005-0000-0000-00001FC70000}"/>
    <cellStyle name="Header2 3 2 3 6" xfId="50988" xr:uid="{00000000-0005-0000-0000-000020C70000}"/>
    <cellStyle name="Header2 3 2 4" xfId="50989" xr:uid="{00000000-0005-0000-0000-000021C70000}"/>
    <cellStyle name="Header2 3 2 4 2" xfId="50990" xr:uid="{00000000-0005-0000-0000-000022C70000}"/>
    <cellStyle name="Header2 3 2 4 3" xfId="50991" xr:uid="{00000000-0005-0000-0000-000023C70000}"/>
    <cellStyle name="Header2 3 2 4 4" xfId="50992" xr:uid="{00000000-0005-0000-0000-000024C70000}"/>
    <cellStyle name="Header2 3 2 4 5" xfId="50993" xr:uid="{00000000-0005-0000-0000-000025C70000}"/>
    <cellStyle name="Header2 3 2 4 6" xfId="50994" xr:uid="{00000000-0005-0000-0000-000026C70000}"/>
    <cellStyle name="Header2 3 2 5" xfId="50995" xr:uid="{00000000-0005-0000-0000-000027C70000}"/>
    <cellStyle name="Header2 3 2 5 2" xfId="50996" xr:uid="{00000000-0005-0000-0000-000028C70000}"/>
    <cellStyle name="Header2 3 2 5 3" xfId="50997" xr:uid="{00000000-0005-0000-0000-000029C70000}"/>
    <cellStyle name="Header2 3 2 5 4" xfId="50998" xr:uid="{00000000-0005-0000-0000-00002AC70000}"/>
    <cellStyle name="Header2 3 2 5 5" xfId="50999" xr:uid="{00000000-0005-0000-0000-00002BC70000}"/>
    <cellStyle name="Header2 3 2 5 6" xfId="51000" xr:uid="{00000000-0005-0000-0000-00002CC70000}"/>
    <cellStyle name="Header2 3 2 6" xfId="51001" xr:uid="{00000000-0005-0000-0000-00002DC70000}"/>
    <cellStyle name="Header2 3 2 6 2" xfId="51002" xr:uid="{00000000-0005-0000-0000-00002EC70000}"/>
    <cellStyle name="Header2 3 2 6 3" xfId="51003" xr:uid="{00000000-0005-0000-0000-00002FC70000}"/>
    <cellStyle name="Header2 3 2 6 4" xfId="51004" xr:uid="{00000000-0005-0000-0000-000030C70000}"/>
    <cellStyle name="Header2 3 2 6 5" xfId="51005" xr:uid="{00000000-0005-0000-0000-000031C70000}"/>
    <cellStyle name="Header2 3 2 6 6" xfId="51006" xr:uid="{00000000-0005-0000-0000-000032C70000}"/>
    <cellStyle name="Header2 3 2 7" xfId="51007" xr:uid="{00000000-0005-0000-0000-000033C70000}"/>
    <cellStyle name="Header2 3 2 7 2" xfId="51008" xr:uid="{00000000-0005-0000-0000-000034C70000}"/>
    <cellStyle name="Header2 3 2 7 3" xfId="51009" xr:uid="{00000000-0005-0000-0000-000035C70000}"/>
    <cellStyle name="Header2 3 2 7 4" xfId="51010" xr:uid="{00000000-0005-0000-0000-000036C70000}"/>
    <cellStyle name="Header2 3 2 7 5" xfId="51011" xr:uid="{00000000-0005-0000-0000-000037C70000}"/>
    <cellStyle name="Header2 3 2 7 6" xfId="51012" xr:uid="{00000000-0005-0000-0000-000038C70000}"/>
    <cellStyle name="Header2 3 2 8" xfId="51013" xr:uid="{00000000-0005-0000-0000-000039C70000}"/>
    <cellStyle name="Header2 3 2 9" xfId="51014" xr:uid="{00000000-0005-0000-0000-00003AC70000}"/>
    <cellStyle name="Header2 3 3" xfId="51015" xr:uid="{00000000-0005-0000-0000-00003BC70000}"/>
    <cellStyle name="Header2 3 3 2" xfId="51016" xr:uid="{00000000-0005-0000-0000-00003CC70000}"/>
    <cellStyle name="Header2 3 3 3" xfId="51017" xr:uid="{00000000-0005-0000-0000-00003DC70000}"/>
    <cellStyle name="Header2 3 3 4" xfId="51018" xr:uid="{00000000-0005-0000-0000-00003EC70000}"/>
    <cellStyle name="Header2 3 3 5" xfId="51019" xr:uid="{00000000-0005-0000-0000-00003FC70000}"/>
    <cellStyle name="Header2 3 3 6" xfId="51020" xr:uid="{00000000-0005-0000-0000-000040C70000}"/>
    <cellStyle name="Header2 4" xfId="51021" xr:uid="{00000000-0005-0000-0000-000041C70000}"/>
    <cellStyle name="Header2 4 10" xfId="51022" xr:uid="{00000000-0005-0000-0000-000042C70000}"/>
    <cellStyle name="Header2 4 2" xfId="51023" xr:uid="{00000000-0005-0000-0000-000043C70000}"/>
    <cellStyle name="Header2 4 2 2" xfId="51024" xr:uid="{00000000-0005-0000-0000-000044C70000}"/>
    <cellStyle name="Header2 4 2 3" xfId="51025" xr:uid="{00000000-0005-0000-0000-000045C70000}"/>
    <cellStyle name="Header2 4 2 4" xfId="51026" xr:uid="{00000000-0005-0000-0000-000046C70000}"/>
    <cellStyle name="Header2 4 2 5" xfId="51027" xr:uid="{00000000-0005-0000-0000-000047C70000}"/>
    <cellStyle name="Header2 4 2 6" xfId="51028" xr:uid="{00000000-0005-0000-0000-000048C70000}"/>
    <cellStyle name="Header2 4 3" xfId="51029" xr:uid="{00000000-0005-0000-0000-000049C70000}"/>
    <cellStyle name="Header2 4 3 2" xfId="51030" xr:uid="{00000000-0005-0000-0000-00004AC70000}"/>
    <cellStyle name="Header2 4 3 3" xfId="51031" xr:uid="{00000000-0005-0000-0000-00004BC70000}"/>
    <cellStyle name="Header2 4 3 4" xfId="51032" xr:uid="{00000000-0005-0000-0000-00004CC70000}"/>
    <cellStyle name="Header2 4 3 5" xfId="51033" xr:uid="{00000000-0005-0000-0000-00004DC70000}"/>
    <cellStyle name="Header2 4 3 6" xfId="51034" xr:uid="{00000000-0005-0000-0000-00004EC70000}"/>
    <cellStyle name="Header2 4 4" xfId="51035" xr:uid="{00000000-0005-0000-0000-00004FC70000}"/>
    <cellStyle name="Header2 4 4 2" xfId="51036" xr:uid="{00000000-0005-0000-0000-000050C70000}"/>
    <cellStyle name="Header2 4 4 3" xfId="51037" xr:uid="{00000000-0005-0000-0000-000051C70000}"/>
    <cellStyle name="Header2 4 4 4" xfId="51038" xr:uid="{00000000-0005-0000-0000-000052C70000}"/>
    <cellStyle name="Header2 4 4 5" xfId="51039" xr:uid="{00000000-0005-0000-0000-000053C70000}"/>
    <cellStyle name="Header2 4 4 6" xfId="51040" xr:uid="{00000000-0005-0000-0000-000054C70000}"/>
    <cellStyle name="Header2 4 5" xfId="51041" xr:uid="{00000000-0005-0000-0000-000055C70000}"/>
    <cellStyle name="Header2 4 5 2" xfId="51042" xr:uid="{00000000-0005-0000-0000-000056C70000}"/>
    <cellStyle name="Header2 4 5 3" xfId="51043" xr:uid="{00000000-0005-0000-0000-000057C70000}"/>
    <cellStyle name="Header2 4 5 4" xfId="51044" xr:uid="{00000000-0005-0000-0000-000058C70000}"/>
    <cellStyle name="Header2 4 5 5" xfId="51045" xr:uid="{00000000-0005-0000-0000-000059C70000}"/>
    <cellStyle name="Header2 4 5 6" xfId="51046" xr:uid="{00000000-0005-0000-0000-00005AC70000}"/>
    <cellStyle name="Header2 4 6" xfId="51047" xr:uid="{00000000-0005-0000-0000-00005BC70000}"/>
    <cellStyle name="Header2 4 6 2" xfId="51048" xr:uid="{00000000-0005-0000-0000-00005CC70000}"/>
    <cellStyle name="Header2 4 6 3" xfId="51049" xr:uid="{00000000-0005-0000-0000-00005DC70000}"/>
    <cellStyle name="Header2 4 6 4" xfId="51050" xr:uid="{00000000-0005-0000-0000-00005EC70000}"/>
    <cellStyle name="Header2 4 6 5" xfId="51051" xr:uid="{00000000-0005-0000-0000-00005FC70000}"/>
    <cellStyle name="Header2 4 6 6" xfId="51052" xr:uid="{00000000-0005-0000-0000-000060C70000}"/>
    <cellStyle name="Header2 4 7" xfId="51053" xr:uid="{00000000-0005-0000-0000-000061C70000}"/>
    <cellStyle name="Header2 4 7 2" xfId="51054" xr:uid="{00000000-0005-0000-0000-000062C70000}"/>
    <cellStyle name="Header2 4 7 3" xfId="51055" xr:uid="{00000000-0005-0000-0000-000063C70000}"/>
    <cellStyle name="Header2 4 7 4" xfId="51056" xr:uid="{00000000-0005-0000-0000-000064C70000}"/>
    <cellStyle name="Header2 4 7 5" xfId="51057" xr:uid="{00000000-0005-0000-0000-000065C70000}"/>
    <cellStyle name="Header2 4 7 6" xfId="51058" xr:uid="{00000000-0005-0000-0000-000066C70000}"/>
    <cellStyle name="Header2 4 8" xfId="51059" xr:uid="{00000000-0005-0000-0000-000067C70000}"/>
    <cellStyle name="Header2 4 9" xfId="51060" xr:uid="{00000000-0005-0000-0000-000068C70000}"/>
    <cellStyle name="Header2 5" xfId="51061" xr:uid="{00000000-0005-0000-0000-000069C70000}"/>
    <cellStyle name="Header2 5 2" xfId="51062" xr:uid="{00000000-0005-0000-0000-00006AC70000}"/>
    <cellStyle name="Header2 5 3" xfId="51063" xr:uid="{00000000-0005-0000-0000-00006BC70000}"/>
    <cellStyle name="Header2 5 4" xfId="51064" xr:uid="{00000000-0005-0000-0000-00006CC70000}"/>
    <cellStyle name="Header2 5 5" xfId="51065" xr:uid="{00000000-0005-0000-0000-00006DC70000}"/>
    <cellStyle name="Header2 5 6" xfId="51066" xr:uid="{00000000-0005-0000-0000-00006EC70000}"/>
    <cellStyle name="Heading 1 10" xfId="51067" xr:uid="{00000000-0005-0000-0000-00006FC70000}"/>
    <cellStyle name="Heading 1 11" xfId="51068" xr:uid="{00000000-0005-0000-0000-000070C70000}"/>
    <cellStyle name="Heading 1 2" xfId="51069" xr:uid="{00000000-0005-0000-0000-000071C70000}"/>
    <cellStyle name="Heading 1 2 2" xfId="51070" xr:uid="{00000000-0005-0000-0000-000072C70000}"/>
    <cellStyle name="Heading 1 2 3" xfId="51071" xr:uid="{00000000-0005-0000-0000-000073C70000}"/>
    <cellStyle name="Heading 1 2 4" xfId="51072" xr:uid="{00000000-0005-0000-0000-000074C70000}"/>
    <cellStyle name="Heading 1 3" xfId="51073" xr:uid="{00000000-0005-0000-0000-000075C70000}"/>
    <cellStyle name="Heading 1 3 2" xfId="51074" xr:uid="{00000000-0005-0000-0000-000076C70000}"/>
    <cellStyle name="Heading 1 3 3" xfId="51075" xr:uid="{00000000-0005-0000-0000-000077C70000}"/>
    <cellStyle name="Heading 1 3 4" xfId="51076" xr:uid="{00000000-0005-0000-0000-000078C70000}"/>
    <cellStyle name="Heading 1 4" xfId="51077" xr:uid="{00000000-0005-0000-0000-000079C70000}"/>
    <cellStyle name="Heading 1 5" xfId="51078" xr:uid="{00000000-0005-0000-0000-00007AC70000}"/>
    <cellStyle name="Heading 1 6" xfId="51079" xr:uid="{00000000-0005-0000-0000-00007BC70000}"/>
    <cellStyle name="Heading 1 7" xfId="51080" xr:uid="{00000000-0005-0000-0000-00007CC70000}"/>
    <cellStyle name="Heading 1 8" xfId="51081" xr:uid="{00000000-0005-0000-0000-00007DC70000}"/>
    <cellStyle name="Heading 1 9" xfId="51082" xr:uid="{00000000-0005-0000-0000-00007EC70000}"/>
    <cellStyle name="Heading 2 10" xfId="51083" xr:uid="{00000000-0005-0000-0000-00007FC70000}"/>
    <cellStyle name="Heading 2 11" xfId="51084" xr:uid="{00000000-0005-0000-0000-000080C70000}"/>
    <cellStyle name="Heading 2 2" xfId="51085" xr:uid="{00000000-0005-0000-0000-000081C70000}"/>
    <cellStyle name="Heading 2 2 2" xfId="51086" xr:uid="{00000000-0005-0000-0000-000082C70000}"/>
    <cellStyle name="Heading 2 2 3" xfId="51087" xr:uid="{00000000-0005-0000-0000-000083C70000}"/>
    <cellStyle name="Heading 2 2 4" xfId="51088" xr:uid="{00000000-0005-0000-0000-000084C70000}"/>
    <cellStyle name="Heading 2 3" xfId="51089" xr:uid="{00000000-0005-0000-0000-000085C70000}"/>
    <cellStyle name="Heading 2 3 2" xfId="51090" xr:uid="{00000000-0005-0000-0000-000086C70000}"/>
    <cellStyle name="Heading 2 3 3" xfId="51091" xr:uid="{00000000-0005-0000-0000-000087C70000}"/>
    <cellStyle name="Heading 2 3 4" xfId="51092" xr:uid="{00000000-0005-0000-0000-000088C70000}"/>
    <cellStyle name="Heading 2 4" xfId="51093" xr:uid="{00000000-0005-0000-0000-000089C70000}"/>
    <cellStyle name="Heading 2 5" xfId="51094" xr:uid="{00000000-0005-0000-0000-00008AC70000}"/>
    <cellStyle name="Heading 2 6" xfId="51095" xr:uid="{00000000-0005-0000-0000-00008BC70000}"/>
    <cellStyle name="Heading 2 7" xfId="51096" xr:uid="{00000000-0005-0000-0000-00008CC70000}"/>
    <cellStyle name="Heading 2 8" xfId="51097" xr:uid="{00000000-0005-0000-0000-00008DC70000}"/>
    <cellStyle name="Heading 2 9" xfId="51098" xr:uid="{00000000-0005-0000-0000-00008EC70000}"/>
    <cellStyle name="Heading 3 10" xfId="51099" xr:uid="{00000000-0005-0000-0000-00008FC70000}"/>
    <cellStyle name="Heading 3 2" xfId="51100" xr:uid="{00000000-0005-0000-0000-000090C70000}"/>
    <cellStyle name="Heading 3 2 2" xfId="51101" xr:uid="{00000000-0005-0000-0000-000091C70000}"/>
    <cellStyle name="Heading 3 2_update comparison " xfId="51102" xr:uid="{00000000-0005-0000-0000-000092C70000}"/>
    <cellStyle name="Heading 3 3" xfId="51103" xr:uid="{00000000-0005-0000-0000-000093C70000}"/>
    <cellStyle name="Heading 3 3 2" xfId="51104" xr:uid="{00000000-0005-0000-0000-000094C70000}"/>
    <cellStyle name="Heading 3 4" xfId="51105" xr:uid="{00000000-0005-0000-0000-000095C70000}"/>
    <cellStyle name="Heading 3 5" xfId="51106" xr:uid="{00000000-0005-0000-0000-000096C70000}"/>
    <cellStyle name="Heading 3 6" xfId="51107" xr:uid="{00000000-0005-0000-0000-000097C70000}"/>
    <cellStyle name="Heading 3 7" xfId="51108" xr:uid="{00000000-0005-0000-0000-000098C70000}"/>
    <cellStyle name="Heading 3 8" xfId="51109" xr:uid="{00000000-0005-0000-0000-000099C70000}"/>
    <cellStyle name="Heading 3 9" xfId="51110" xr:uid="{00000000-0005-0000-0000-00009AC70000}"/>
    <cellStyle name="Heading 4 10" xfId="51111" xr:uid="{00000000-0005-0000-0000-00009BC70000}"/>
    <cellStyle name="Heading 4 2" xfId="51112" xr:uid="{00000000-0005-0000-0000-00009CC70000}"/>
    <cellStyle name="Heading 4 2 2" xfId="51113" xr:uid="{00000000-0005-0000-0000-00009DC70000}"/>
    <cellStyle name="Heading 4 2_update comparison " xfId="51114" xr:uid="{00000000-0005-0000-0000-00009EC70000}"/>
    <cellStyle name="Heading 4 3" xfId="51115" xr:uid="{00000000-0005-0000-0000-00009FC70000}"/>
    <cellStyle name="Heading 4 3 2" xfId="51116" xr:uid="{00000000-0005-0000-0000-0000A0C70000}"/>
    <cellStyle name="Heading 4 4" xfId="51117" xr:uid="{00000000-0005-0000-0000-0000A1C70000}"/>
    <cellStyle name="Heading 4 5" xfId="51118" xr:uid="{00000000-0005-0000-0000-0000A2C70000}"/>
    <cellStyle name="Heading 4 6" xfId="51119" xr:uid="{00000000-0005-0000-0000-0000A3C70000}"/>
    <cellStyle name="Heading 4 7" xfId="51120" xr:uid="{00000000-0005-0000-0000-0000A4C70000}"/>
    <cellStyle name="Heading 4 8" xfId="51121" xr:uid="{00000000-0005-0000-0000-0000A5C70000}"/>
    <cellStyle name="Heading 4 9" xfId="51122" xr:uid="{00000000-0005-0000-0000-0000A6C70000}"/>
    <cellStyle name="HEADING1" xfId="51123" xr:uid="{00000000-0005-0000-0000-0000A7C70000}"/>
    <cellStyle name="Heading1 2" xfId="51124" xr:uid="{00000000-0005-0000-0000-0000A8C70000}"/>
    <cellStyle name="Heading1 3" xfId="51125" xr:uid="{00000000-0005-0000-0000-0000A9C70000}"/>
    <cellStyle name="Heading1 4" xfId="51126" xr:uid="{00000000-0005-0000-0000-0000AAC70000}"/>
    <cellStyle name="HEADING2" xfId="51127" xr:uid="{00000000-0005-0000-0000-0000ABC70000}"/>
    <cellStyle name="Heading2 2" xfId="51128" xr:uid="{00000000-0005-0000-0000-0000ACC70000}"/>
    <cellStyle name="Heading2 3" xfId="51129" xr:uid="{00000000-0005-0000-0000-0000ADC70000}"/>
    <cellStyle name="Heading2 4" xfId="51130" xr:uid="{00000000-0005-0000-0000-0000AEC70000}"/>
    <cellStyle name="Hipervínculo" xfId="51131" xr:uid="{00000000-0005-0000-0000-0000AFC70000}"/>
    <cellStyle name="Hipervínculo visitado" xfId="51132" xr:uid="{00000000-0005-0000-0000-0000B0C70000}"/>
    <cellStyle name="Hipervínculo_10-01-03 2003 2003 NUEVOS RON -NUEVOS INTERESES" xfId="51133" xr:uid="{00000000-0005-0000-0000-0000B1C70000}"/>
    <cellStyle name="Hyperlänk" xfId="51134" xr:uid="{00000000-0005-0000-0000-0000B2C70000}"/>
    <cellStyle name="Hyperlink" xfId="55073" builtinId="8"/>
    <cellStyle name="Hyperlink 2" xfId="51135" xr:uid="{00000000-0005-0000-0000-0000B3C70000}"/>
    <cellStyle name="Hyperlink 3" xfId="51136" xr:uid="{00000000-0005-0000-0000-0000B4C70000}"/>
    <cellStyle name="Hyperlink 3 2" xfId="51137" xr:uid="{00000000-0005-0000-0000-0000B5C70000}"/>
    <cellStyle name="Hyperlink 4" xfId="51138" xr:uid="{00000000-0005-0000-0000-0000B6C70000}"/>
    <cellStyle name="Hyperlink 5" xfId="51139" xr:uid="{00000000-0005-0000-0000-0000B7C70000}"/>
    <cellStyle name="Hyperlink 6" xfId="51140" xr:uid="{00000000-0005-0000-0000-0000B8C70000}"/>
    <cellStyle name="Hyperlink 7" xfId="51141" xr:uid="{00000000-0005-0000-0000-0000B9C70000}"/>
    <cellStyle name="Hyperlink seguido_NFGC_SPE_1995_2003" xfId="51142" xr:uid="{00000000-0005-0000-0000-0000BAC70000}"/>
    <cellStyle name="Îáû÷íûé_Table16" xfId="51143" xr:uid="{00000000-0005-0000-0000-0000BBC70000}"/>
    <cellStyle name="imf-one decimal" xfId="51144" xr:uid="{00000000-0005-0000-0000-0000BCC70000}"/>
    <cellStyle name="imf-one decimal 2" xfId="51145" xr:uid="{00000000-0005-0000-0000-0000BDC70000}"/>
    <cellStyle name="imf-one decimal 2 2" xfId="51146" xr:uid="{00000000-0005-0000-0000-0000BEC70000}"/>
    <cellStyle name="imf-one decimal 3" xfId="51147" xr:uid="{00000000-0005-0000-0000-0000BFC70000}"/>
    <cellStyle name="imf-one decimal 4" xfId="51148" xr:uid="{00000000-0005-0000-0000-0000C0C70000}"/>
    <cellStyle name="imf-one decimal 5" xfId="51149" xr:uid="{00000000-0005-0000-0000-0000C1C70000}"/>
    <cellStyle name="imf-zero decimal" xfId="51150" xr:uid="{00000000-0005-0000-0000-0000C2C70000}"/>
    <cellStyle name="imf-zero decimal 2" xfId="51151" xr:uid="{00000000-0005-0000-0000-0000C3C70000}"/>
    <cellStyle name="imf-zero decimal 3" xfId="51152" xr:uid="{00000000-0005-0000-0000-0000C4C70000}"/>
    <cellStyle name="imf-zero decimal 4" xfId="51153" xr:uid="{00000000-0005-0000-0000-0000C5C70000}"/>
    <cellStyle name="imf-zero decimal 5" xfId="51154" xr:uid="{00000000-0005-0000-0000-0000C6C70000}"/>
    <cellStyle name="Input [yellow]" xfId="51155" xr:uid="{00000000-0005-0000-0000-0000C7C70000}"/>
    <cellStyle name="Input [yellow] 10" xfId="51156" xr:uid="{00000000-0005-0000-0000-0000C8C70000}"/>
    <cellStyle name="Input [yellow] 11" xfId="51157" xr:uid="{00000000-0005-0000-0000-0000C9C70000}"/>
    <cellStyle name="Input [yellow] 2" xfId="51158" xr:uid="{00000000-0005-0000-0000-0000CAC70000}"/>
    <cellStyle name="Input [yellow] 2 2" xfId="51159" xr:uid="{00000000-0005-0000-0000-0000CBC70000}"/>
    <cellStyle name="Input [yellow] 2 3" xfId="51160" xr:uid="{00000000-0005-0000-0000-0000CCC70000}"/>
    <cellStyle name="Input [yellow] 2 4" xfId="51161" xr:uid="{00000000-0005-0000-0000-0000CDC70000}"/>
    <cellStyle name="Input [yellow] 2 5" xfId="51162" xr:uid="{00000000-0005-0000-0000-0000CEC70000}"/>
    <cellStyle name="Input [yellow] 2 6" xfId="51163" xr:uid="{00000000-0005-0000-0000-0000CFC70000}"/>
    <cellStyle name="Input [yellow] 2 7" xfId="51164" xr:uid="{00000000-0005-0000-0000-0000D0C70000}"/>
    <cellStyle name="Input [yellow] 3" xfId="51165" xr:uid="{00000000-0005-0000-0000-0000D1C70000}"/>
    <cellStyle name="Input [yellow] 3 2" xfId="51166" xr:uid="{00000000-0005-0000-0000-0000D2C70000}"/>
    <cellStyle name="Input [yellow] 3 3" xfId="51167" xr:uid="{00000000-0005-0000-0000-0000D3C70000}"/>
    <cellStyle name="Input [yellow] 3 4" xfId="51168" xr:uid="{00000000-0005-0000-0000-0000D4C70000}"/>
    <cellStyle name="Input [yellow] 3 5" xfId="51169" xr:uid="{00000000-0005-0000-0000-0000D5C70000}"/>
    <cellStyle name="Input [yellow] 3 6" xfId="51170" xr:uid="{00000000-0005-0000-0000-0000D6C70000}"/>
    <cellStyle name="Input [yellow] 3 7" xfId="51171" xr:uid="{00000000-0005-0000-0000-0000D7C70000}"/>
    <cellStyle name="Input [yellow] 4" xfId="51172" xr:uid="{00000000-0005-0000-0000-0000D8C70000}"/>
    <cellStyle name="Input [yellow] 4 2" xfId="51173" xr:uid="{00000000-0005-0000-0000-0000D9C70000}"/>
    <cellStyle name="Input [yellow] 4 3" xfId="51174" xr:uid="{00000000-0005-0000-0000-0000DAC70000}"/>
    <cellStyle name="Input [yellow] 4 4" xfId="51175" xr:uid="{00000000-0005-0000-0000-0000DBC70000}"/>
    <cellStyle name="Input [yellow] 4 5" xfId="51176" xr:uid="{00000000-0005-0000-0000-0000DCC70000}"/>
    <cellStyle name="Input [yellow] 4 6" xfId="51177" xr:uid="{00000000-0005-0000-0000-0000DDC70000}"/>
    <cellStyle name="Input [yellow] 4 7" xfId="51178" xr:uid="{00000000-0005-0000-0000-0000DEC70000}"/>
    <cellStyle name="Input [yellow] 5" xfId="51179" xr:uid="{00000000-0005-0000-0000-0000DFC70000}"/>
    <cellStyle name="Input [yellow] 6" xfId="51180" xr:uid="{00000000-0005-0000-0000-0000E0C70000}"/>
    <cellStyle name="Input [yellow] 7" xfId="51181" xr:uid="{00000000-0005-0000-0000-0000E1C70000}"/>
    <cellStyle name="Input [yellow] 8" xfId="51182" xr:uid="{00000000-0005-0000-0000-0000E2C70000}"/>
    <cellStyle name="Input [yellow] 9" xfId="51183" xr:uid="{00000000-0005-0000-0000-0000E3C70000}"/>
    <cellStyle name="Input [yellow]_update comparison " xfId="51184" xr:uid="{00000000-0005-0000-0000-0000E4C70000}"/>
    <cellStyle name="Input 10" xfId="51185" xr:uid="{00000000-0005-0000-0000-0000E5C70000}"/>
    <cellStyle name="Input 10 10" xfId="51186" xr:uid="{00000000-0005-0000-0000-0000E6C70000}"/>
    <cellStyle name="Input 10 11" xfId="51187" xr:uid="{00000000-0005-0000-0000-0000E7C70000}"/>
    <cellStyle name="Input 10 2" xfId="51188" xr:uid="{00000000-0005-0000-0000-0000E8C70000}"/>
    <cellStyle name="Input 10 2 2" xfId="51189" xr:uid="{00000000-0005-0000-0000-0000E9C70000}"/>
    <cellStyle name="Input 10 2 3" xfId="51190" xr:uid="{00000000-0005-0000-0000-0000EAC70000}"/>
    <cellStyle name="Input 10 2 4" xfId="51191" xr:uid="{00000000-0005-0000-0000-0000EBC70000}"/>
    <cellStyle name="Input 10 2 5" xfId="51192" xr:uid="{00000000-0005-0000-0000-0000ECC70000}"/>
    <cellStyle name="Input 10 2 6" xfId="51193" xr:uid="{00000000-0005-0000-0000-0000EDC70000}"/>
    <cellStyle name="Input 10 3" xfId="51194" xr:uid="{00000000-0005-0000-0000-0000EEC70000}"/>
    <cellStyle name="Input 10 3 2" xfId="51195" xr:uid="{00000000-0005-0000-0000-0000EFC70000}"/>
    <cellStyle name="Input 10 3 3" xfId="51196" xr:uid="{00000000-0005-0000-0000-0000F0C70000}"/>
    <cellStyle name="Input 10 3 4" xfId="51197" xr:uid="{00000000-0005-0000-0000-0000F1C70000}"/>
    <cellStyle name="Input 10 3 5" xfId="51198" xr:uid="{00000000-0005-0000-0000-0000F2C70000}"/>
    <cellStyle name="Input 10 3 6" xfId="51199" xr:uid="{00000000-0005-0000-0000-0000F3C70000}"/>
    <cellStyle name="Input 10 4" xfId="51200" xr:uid="{00000000-0005-0000-0000-0000F4C70000}"/>
    <cellStyle name="Input 10 4 2" xfId="51201" xr:uid="{00000000-0005-0000-0000-0000F5C70000}"/>
    <cellStyle name="Input 10 4 3" xfId="51202" xr:uid="{00000000-0005-0000-0000-0000F6C70000}"/>
    <cellStyle name="Input 10 4 4" xfId="51203" xr:uid="{00000000-0005-0000-0000-0000F7C70000}"/>
    <cellStyle name="Input 10 4 5" xfId="51204" xr:uid="{00000000-0005-0000-0000-0000F8C70000}"/>
    <cellStyle name="Input 10 4 6" xfId="51205" xr:uid="{00000000-0005-0000-0000-0000F9C70000}"/>
    <cellStyle name="Input 10 5" xfId="51206" xr:uid="{00000000-0005-0000-0000-0000FAC70000}"/>
    <cellStyle name="Input 10 5 2" xfId="51207" xr:uid="{00000000-0005-0000-0000-0000FBC70000}"/>
    <cellStyle name="Input 10 5 3" xfId="51208" xr:uid="{00000000-0005-0000-0000-0000FCC70000}"/>
    <cellStyle name="Input 10 5 4" xfId="51209" xr:uid="{00000000-0005-0000-0000-0000FDC70000}"/>
    <cellStyle name="Input 10 5 5" xfId="51210" xr:uid="{00000000-0005-0000-0000-0000FEC70000}"/>
    <cellStyle name="Input 10 5 6" xfId="51211" xr:uid="{00000000-0005-0000-0000-0000FFC70000}"/>
    <cellStyle name="Input 10 6" xfId="51212" xr:uid="{00000000-0005-0000-0000-000000C80000}"/>
    <cellStyle name="Input 10 6 2" xfId="51213" xr:uid="{00000000-0005-0000-0000-000001C80000}"/>
    <cellStyle name="Input 10 6 3" xfId="51214" xr:uid="{00000000-0005-0000-0000-000002C80000}"/>
    <cellStyle name="Input 10 6 4" xfId="51215" xr:uid="{00000000-0005-0000-0000-000003C80000}"/>
    <cellStyle name="Input 10 6 5" xfId="51216" xr:uid="{00000000-0005-0000-0000-000004C80000}"/>
    <cellStyle name="Input 10 6 6" xfId="51217" xr:uid="{00000000-0005-0000-0000-000005C80000}"/>
    <cellStyle name="Input 10 7" xfId="51218" xr:uid="{00000000-0005-0000-0000-000006C80000}"/>
    <cellStyle name="Input 10 7 2" xfId="51219" xr:uid="{00000000-0005-0000-0000-000007C80000}"/>
    <cellStyle name="Input 10 7 3" xfId="51220" xr:uid="{00000000-0005-0000-0000-000008C80000}"/>
    <cellStyle name="Input 10 7 4" xfId="51221" xr:uid="{00000000-0005-0000-0000-000009C80000}"/>
    <cellStyle name="Input 10 7 5" xfId="51222" xr:uid="{00000000-0005-0000-0000-00000AC80000}"/>
    <cellStyle name="Input 10 7 6" xfId="51223" xr:uid="{00000000-0005-0000-0000-00000BC80000}"/>
    <cellStyle name="Input 10 8" xfId="51224" xr:uid="{00000000-0005-0000-0000-00000CC80000}"/>
    <cellStyle name="Input 10 9" xfId="51225" xr:uid="{00000000-0005-0000-0000-00000DC80000}"/>
    <cellStyle name="Input 11" xfId="51226" xr:uid="{00000000-0005-0000-0000-00000EC80000}"/>
    <cellStyle name="Input 11 10" xfId="51227" xr:uid="{00000000-0005-0000-0000-00000FC80000}"/>
    <cellStyle name="Input 11 2" xfId="51228" xr:uid="{00000000-0005-0000-0000-000010C80000}"/>
    <cellStyle name="Input 11 2 2" xfId="51229" xr:uid="{00000000-0005-0000-0000-000011C80000}"/>
    <cellStyle name="Input 11 2 3" xfId="51230" xr:uid="{00000000-0005-0000-0000-000012C80000}"/>
    <cellStyle name="Input 11 2 4" xfId="51231" xr:uid="{00000000-0005-0000-0000-000013C80000}"/>
    <cellStyle name="Input 11 2 5" xfId="51232" xr:uid="{00000000-0005-0000-0000-000014C80000}"/>
    <cellStyle name="Input 11 2 6" xfId="51233" xr:uid="{00000000-0005-0000-0000-000015C80000}"/>
    <cellStyle name="Input 11 3" xfId="51234" xr:uid="{00000000-0005-0000-0000-000016C80000}"/>
    <cellStyle name="Input 11 3 2" xfId="51235" xr:uid="{00000000-0005-0000-0000-000017C80000}"/>
    <cellStyle name="Input 11 3 3" xfId="51236" xr:uid="{00000000-0005-0000-0000-000018C80000}"/>
    <cellStyle name="Input 11 3 4" xfId="51237" xr:uid="{00000000-0005-0000-0000-000019C80000}"/>
    <cellStyle name="Input 11 3 5" xfId="51238" xr:uid="{00000000-0005-0000-0000-00001AC80000}"/>
    <cellStyle name="Input 11 3 6" xfId="51239" xr:uid="{00000000-0005-0000-0000-00001BC80000}"/>
    <cellStyle name="Input 11 4" xfId="51240" xr:uid="{00000000-0005-0000-0000-00001CC80000}"/>
    <cellStyle name="Input 11 4 2" xfId="51241" xr:uid="{00000000-0005-0000-0000-00001DC80000}"/>
    <cellStyle name="Input 11 4 3" xfId="51242" xr:uid="{00000000-0005-0000-0000-00001EC80000}"/>
    <cellStyle name="Input 11 4 4" xfId="51243" xr:uid="{00000000-0005-0000-0000-00001FC80000}"/>
    <cellStyle name="Input 11 4 5" xfId="51244" xr:uid="{00000000-0005-0000-0000-000020C80000}"/>
    <cellStyle name="Input 11 4 6" xfId="51245" xr:uid="{00000000-0005-0000-0000-000021C80000}"/>
    <cellStyle name="Input 11 5" xfId="51246" xr:uid="{00000000-0005-0000-0000-000022C80000}"/>
    <cellStyle name="Input 11 5 2" xfId="51247" xr:uid="{00000000-0005-0000-0000-000023C80000}"/>
    <cellStyle name="Input 11 5 3" xfId="51248" xr:uid="{00000000-0005-0000-0000-000024C80000}"/>
    <cellStyle name="Input 11 5 4" xfId="51249" xr:uid="{00000000-0005-0000-0000-000025C80000}"/>
    <cellStyle name="Input 11 5 5" xfId="51250" xr:uid="{00000000-0005-0000-0000-000026C80000}"/>
    <cellStyle name="Input 11 5 6" xfId="51251" xr:uid="{00000000-0005-0000-0000-000027C80000}"/>
    <cellStyle name="Input 11 6" xfId="51252" xr:uid="{00000000-0005-0000-0000-000028C80000}"/>
    <cellStyle name="Input 11 6 2" xfId="51253" xr:uid="{00000000-0005-0000-0000-000029C80000}"/>
    <cellStyle name="Input 11 6 3" xfId="51254" xr:uid="{00000000-0005-0000-0000-00002AC80000}"/>
    <cellStyle name="Input 11 6 4" xfId="51255" xr:uid="{00000000-0005-0000-0000-00002BC80000}"/>
    <cellStyle name="Input 11 6 5" xfId="51256" xr:uid="{00000000-0005-0000-0000-00002CC80000}"/>
    <cellStyle name="Input 11 6 6" xfId="51257" xr:uid="{00000000-0005-0000-0000-00002DC80000}"/>
    <cellStyle name="Input 11 7" xfId="51258" xr:uid="{00000000-0005-0000-0000-00002EC80000}"/>
    <cellStyle name="Input 11 7 2" xfId="51259" xr:uid="{00000000-0005-0000-0000-00002FC80000}"/>
    <cellStyle name="Input 11 7 3" xfId="51260" xr:uid="{00000000-0005-0000-0000-000030C80000}"/>
    <cellStyle name="Input 11 7 4" xfId="51261" xr:uid="{00000000-0005-0000-0000-000031C80000}"/>
    <cellStyle name="Input 11 7 5" xfId="51262" xr:uid="{00000000-0005-0000-0000-000032C80000}"/>
    <cellStyle name="Input 11 7 6" xfId="51263" xr:uid="{00000000-0005-0000-0000-000033C80000}"/>
    <cellStyle name="Input 11 8" xfId="51264" xr:uid="{00000000-0005-0000-0000-000034C80000}"/>
    <cellStyle name="Input 11 9" xfId="51265" xr:uid="{00000000-0005-0000-0000-000035C80000}"/>
    <cellStyle name="Input 12" xfId="51266" xr:uid="{00000000-0005-0000-0000-000036C80000}"/>
    <cellStyle name="Input 12 10" xfId="51267" xr:uid="{00000000-0005-0000-0000-000037C80000}"/>
    <cellStyle name="Input 12 2" xfId="51268" xr:uid="{00000000-0005-0000-0000-000038C80000}"/>
    <cellStyle name="Input 12 2 2" xfId="51269" xr:uid="{00000000-0005-0000-0000-000039C80000}"/>
    <cellStyle name="Input 12 2 3" xfId="51270" xr:uid="{00000000-0005-0000-0000-00003AC80000}"/>
    <cellStyle name="Input 12 2 4" xfId="51271" xr:uid="{00000000-0005-0000-0000-00003BC80000}"/>
    <cellStyle name="Input 12 2 5" xfId="51272" xr:uid="{00000000-0005-0000-0000-00003CC80000}"/>
    <cellStyle name="Input 12 2 6" xfId="51273" xr:uid="{00000000-0005-0000-0000-00003DC80000}"/>
    <cellStyle name="Input 12 3" xfId="51274" xr:uid="{00000000-0005-0000-0000-00003EC80000}"/>
    <cellStyle name="Input 12 3 2" xfId="51275" xr:uid="{00000000-0005-0000-0000-00003FC80000}"/>
    <cellStyle name="Input 12 3 3" xfId="51276" xr:uid="{00000000-0005-0000-0000-000040C80000}"/>
    <cellStyle name="Input 12 3 4" xfId="51277" xr:uid="{00000000-0005-0000-0000-000041C80000}"/>
    <cellStyle name="Input 12 3 5" xfId="51278" xr:uid="{00000000-0005-0000-0000-000042C80000}"/>
    <cellStyle name="Input 12 3 6" xfId="51279" xr:uid="{00000000-0005-0000-0000-000043C80000}"/>
    <cellStyle name="Input 12 4" xfId="51280" xr:uid="{00000000-0005-0000-0000-000044C80000}"/>
    <cellStyle name="Input 12 4 2" xfId="51281" xr:uid="{00000000-0005-0000-0000-000045C80000}"/>
    <cellStyle name="Input 12 4 3" xfId="51282" xr:uid="{00000000-0005-0000-0000-000046C80000}"/>
    <cellStyle name="Input 12 4 4" xfId="51283" xr:uid="{00000000-0005-0000-0000-000047C80000}"/>
    <cellStyle name="Input 12 4 5" xfId="51284" xr:uid="{00000000-0005-0000-0000-000048C80000}"/>
    <cellStyle name="Input 12 4 6" xfId="51285" xr:uid="{00000000-0005-0000-0000-000049C80000}"/>
    <cellStyle name="Input 12 5" xfId="51286" xr:uid="{00000000-0005-0000-0000-00004AC80000}"/>
    <cellStyle name="Input 12 5 2" xfId="51287" xr:uid="{00000000-0005-0000-0000-00004BC80000}"/>
    <cellStyle name="Input 12 5 3" xfId="51288" xr:uid="{00000000-0005-0000-0000-00004CC80000}"/>
    <cellStyle name="Input 12 5 4" xfId="51289" xr:uid="{00000000-0005-0000-0000-00004DC80000}"/>
    <cellStyle name="Input 12 5 5" xfId="51290" xr:uid="{00000000-0005-0000-0000-00004EC80000}"/>
    <cellStyle name="Input 12 5 6" xfId="51291" xr:uid="{00000000-0005-0000-0000-00004FC80000}"/>
    <cellStyle name="Input 12 6" xfId="51292" xr:uid="{00000000-0005-0000-0000-000050C80000}"/>
    <cellStyle name="Input 12 6 2" xfId="51293" xr:uid="{00000000-0005-0000-0000-000051C80000}"/>
    <cellStyle name="Input 12 6 3" xfId="51294" xr:uid="{00000000-0005-0000-0000-000052C80000}"/>
    <cellStyle name="Input 12 6 4" xfId="51295" xr:uid="{00000000-0005-0000-0000-000053C80000}"/>
    <cellStyle name="Input 12 6 5" xfId="51296" xr:uid="{00000000-0005-0000-0000-000054C80000}"/>
    <cellStyle name="Input 12 6 6" xfId="51297" xr:uid="{00000000-0005-0000-0000-000055C80000}"/>
    <cellStyle name="Input 12 7" xfId="51298" xr:uid="{00000000-0005-0000-0000-000056C80000}"/>
    <cellStyle name="Input 12 7 2" xfId="51299" xr:uid="{00000000-0005-0000-0000-000057C80000}"/>
    <cellStyle name="Input 12 7 3" xfId="51300" xr:uid="{00000000-0005-0000-0000-000058C80000}"/>
    <cellStyle name="Input 12 7 4" xfId="51301" xr:uid="{00000000-0005-0000-0000-000059C80000}"/>
    <cellStyle name="Input 12 7 5" xfId="51302" xr:uid="{00000000-0005-0000-0000-00005AC80000}"/>
    <cellStyle name="Input 12 7 6" xfId="51303" xr:uid="{00000000-0005-0000-0000-00005BC80000}"/>
    <cellStyle name="Input 12 8" xfId="51304" xr:uid="{00000000-0005-0000-0000-00005CC80000}"/>
    <cellStyle name="Input 12 9" xfId="51305" xr:uid="{00000000-0005-0000-0000-00005DC80000}"/>
    <cellStyle name="Input 13" xfId="51306" xr:uid="{00000000-0005-0000-0000-00005EC80000}"/>
    <cellStyle name="Input 13 10" xfId="51307" xr:uid="{00000000-0005-0000-0000-00005FC80000}"/>
    <cellStyle name="Input 13 2" xfId="51308" xr:uid="{00000000-0005-0000-0000-000060C80000}"/>
    <cellStyle name="Input 13 2 2" xfId="51309" xr:uid="{00000000-0005-0000-0000-000061C80000}"/>
    <cellStyle name="Input 13 2 3" xfId="51310" xr:uid="{00000000-0005-0000-0000-000062C80000}"/>
    <cellStyle name="Input 13 2 4" xfId="51311" xr:uid="{00000000-0005-0000-0000-000063C80000}"/>
    <cellStyle name="Input 13 2 5" xfId="51312" xr:uid="{00000000-0005-0000-0000-000064C80000}"/>
    <cellStyle name="Input 13 2 6" xfId="51313" xr:uid="{00000000-0005-0000-0000-000065C80000}"/>
    <cellStyle name="Input 13 3" xfId="51314" xr:uid="{00000000-0005-0000-0000-000066C80000}"/>
    <cellStyle name="Input 13 3 2" xfId="51315" xr:uid="{00000000-0005-0000-0000-000067C80000}"/>
    <cellStyle name="Input 13 3 3" xfId="51316" xr:uid="{00000000-0005-0000-0000-000068C80000}"/>
    <cellStyle name="Input 13 3 4" xfId="51317" xr:uid="{00000000-0005-0000-0000-000069C80000}"/>
    <cellStyle name="Input 13 3 5" xfId="51318" xr:uid="{00000000-0005-0000-0000-00006AC80000}"/>
    <cellStyle name="Input 13 3 6" xfId="51319" xr:uid="{00000000-0005-0000-0000-00006BC80000}"/>
    <cellStyle name="Input 13 4" xfId="51320" xr:uid="{00000000-0005-0000-0000-00006CC80000}"/>
    <cellStyle name="Input 13 4 2" xfId="51321" xr:uid="{00000000-0005-0000-0000-00006DC80000}"/>
    <cellStyle name="Input 13 4 3" xfId="51322" xr:uid="{00000000-0005-0000-0000-00006EC80000}"/>
    <cellStyle name="Input 13 4 4" xfId="51323" xr:uid="{00000000-0005-0000-0000-00006FC80000}"/>
    <cellStyle name="Input 13 4 5" xfId="51324" xr:uid="{00000000-0005-0000-0000-000070C80000}"/>
    <cellStyle name="Input 13 4 6" xfId="51325" xr:uid="{00000000-0005-0000-0000-000071C80000}"/>
    <cellStyle name="Input 13 5" xfId="51326" xr:uid="{00000000-0005-0000-0000-000072C80000}"/>
    <cellStyle name="Input 13 5 2" xfId="51327" xr:uid="{00000000-0005-0000-0000-000073C80000}"/>
    <cellStyle name="Input 13 5 3" xfId="51328" xr:uid="{00000000-0005-0000-0000-000074C80000}"/>
    <cellStyle name="Input 13 5 4" xfId="51329" xr:uid="{00000000-0005-0000-0000-000075C80000}"/>
    <cellStyle name="Input 13 5 5" xfId="51330" xr:uid="{00000000-0005-0000-0000-000076C80000}"/>
    <cellStyle name="Input 13 5 6" xfId="51331" xr:uid="{00000000-0005-0000-0000-000077C80000}"/>
    <cellStyle name="Input 13 6" xfId="51332" xr:uid="{00000000-0005-0000-0000-000078C80000}"/>
    <cellStyle name="Input 13 6 2" xfId="51333" xr:uid="{00000000-0005-0000-0000-000079C80000}"/>
    <cellStyle name="Input 13 6 3" xfId="51334" xr:uid="{00000000-0005-0000-0000-00007AC80000}"/>
    <cellStyle name="Input 13 6 4" xfId="51335" xr:uid="{00000000-0005-0000-0000-00007BC80000}"/>
    <cellStyle name="Input 13 6 5" xfId="51336" xr:uid="{00000000-0005-0000-0000-00007CC80000}"/>
    <cellStyle name="Input 13 6 6" xfId="51337" xr:uid="{00000000-0005-0000-0000-00007DC80000}"/>
    <cellStyle name="Input 13 7" xfId="51338" xr:uid="{00000000-0005-0000-0000-00007EC80000}"/>
    <cellStyle name="Input 13 7 2" xfId="51339" xr:uid="{00000000-0005-0000-0000-00007FC80000}"/>
    <cellStyle name="Input 13 7 3" xfId="51340" xr:uid="{00000000-0005-0000-0000-000080C80000}"/>
    <cellStyle name="Input 13 7 4" xfId="51341" xr:uid="{00000000-0005-0000-0000-000081C80000}"/>
    <cellStyle name="Input 13 7 5" xfId="51342" xr:uid="{00000000-0005-0000-0000-000082C80000}"/>
    <cellStyle name="Input 13 7 6" xfId="51343" xr:uid="{00000000-0005-0000-0000-000083C80000}"/>
    <cellStyle name="Input 13 8" xfId="51344" xr:uid="{00000000-0005-0000-0000-000084C80000}"/>
    <cellStyle name="Input 13 9" xfId="51345" xr:uid="{00000000-0005-0000-0000-000085C80000}"/>
    <cellStyle name="Input 14" xfId="51346" xr:uid="{00000000-0005-0000-0000-000086C80000}"/>
    <cellStyle name="Input 14 10" xfId="51347" xr:uid="{00000000-0005-0000-0000-000087C80000}"/>
    <cellStyle name="Input 14 2" xfId="51348" xr:uid="{00000000-0005-0000-0000-000088C80000}"/>
    <cellStyle name="Input 14 2 2" xfId="51349" xr:uid="{00000000-0005-0000-0000-000089C80000}"/>
    <cellStyle name="Input 14 2 3" xfId="51350" xr:uid="{00000000-0005-0000-0000-00008AC80000}"/>
    <cellStyle name="Input 14 2 4" xfId="51351" xr:uid="{00000000-0005-0000-0000-00008BC80000}"/>
    <cellStyle name="Input 14 2 5" xfId="51352" xr:uid="{00000000-0005-0000-0000-00008CC80000}"/>
    <cellStyle name="Input 14 2 6" xfId="51353" xr:uid="{00000000-0005-0000-0000-00008DC80000}"/>
    <cellStyle name="Input 14 3" xfId="51354" xr:uid="{00000000-0005-0000-0000-00008EC80000}"/>
    <cellStyle name="Input 14 3 2" xfId="51355" xr:uid="{00000000-0005-0000-0000-00008FC80000}"/>
    <cellStyle name="Input 14 3 3" xfId="51356" xr:uid="{00000000-0005-0000-0000-000090C80000}"/>
    <cellStyle name="Input 14 3 4" xfId="51357" xr:uid="{00000000-0005-0000-0000-000091C80000}"/>
    <cellStyle name="Input 14 3 5" xfId="51358" xr:uid="{00000000-0005-0000-0000-000092C80000}"/>
    <cellStyle name="Input 14 3 6" xfId="51359" xr:uid="{00000000-0005-0000-0000-000093C80000}"/>
    <cellStyle name="Input 14 4" xfId="51360" xr:uid="{00000000-0005-0000-0000-000094C80000}"/>
    <cellStyle name="Input 14 4 2" xfId="51361" xr:uid="{00000000-0005-0000-0000-000095C80000}"/>
    <cellStyle name="Input 14 4 3" xfId="51362" xr:uid="{00000000-0005-0000-0000-000096C80000}"/>
    <cellStyle name="Input 14 4 4" xfId="51363" xr:uid="{00000000-0005-0000-0000-000097C80000}"/>
    <cellStyle name="Input 14 4 5" xfId="51364" xr:uid="{00000000-0005-0000-0000-000098C80000}"/>
    <cellStyle name="Input 14 4 6" xfId="51365" xr:uid="{00000000-0005-0000-0000-000099C80000}"/>
    <cellStyle name="Input 14 5" xfId="51366" xr:uid="{00000000-0005-0000-0000-00009AC80000}"/>
    <cellStyle name="Input 14 5 2" xfId="51367" xr:uid="{00000000-0005-0000-0000-00009BC80000}"/>
    <cellStyle name="Input 14 5 3" xfId="51368" xr:uid="{00000000-0005-0000-0000-00009CC80000}"/>
    <cellStyle name="Input 14 5 4" xfId="51369" xr:uid="{00000000-0005-0000-0000-00009DC80000}"/>
    <cellStyle name="Input 14 5 5" xfId="51370" xr:uid="{00000000-0005-0000-0000-00009EC80000}"/>
    <cellStyle name="Input 14 5 6" xfId="51371" xr:uid="{00000000-0005-0000-0000-00009FC80000}"/>
    <cellStyle name="Input 14 6" xfId="51372" xr:uid="{00000000-0005-0000-0000-0000A0C80000}"/>
    <cellStyle name="Input 14 6 2" xfId="51373" xr:uid="{00000000-0005-0000-0000-0000A1C80000}"/>
    <cellStyle name="Input 14 6 3" xfId="51374" xr:uid="{00000000-0005-0000-0000-0000A2C80000}"/>
    <cellStyle name="Input 14 6 4" xfId="51375" xr:uid="{00000000-0005-0000-0000-0000A3C80000}"/>
    <cellStyle name="Input 14 6 5" xfId="51376" xr:uid="{00000000-0005-0000-0000-0000A4C80000}"/>
    <cellStyle name="Input 14 6 6" xfId="51377" xr:uid="{00000000-0005-0000-0000-0000A5C80000}"/>
    <cellStyle name="Input 14 7" xfId="51378" xr:uid="{00000000-0005-0000-0000-0000A6C80000}"/>
    <cellStyle name="Input 14 7 2" xfId="51379" xr:uid="{00000000-0005-0000-0000-0000A7C80000}"/>
    <cellStyle name="Input 14 7 3" xfId="51380" xr:uid="{00000000-0005-0000-0000-0000A8C80000}"/>
    <cellStyle name="Input 14 7 4" xfId="51381" xr:uid="{00000000-0005-0000-0000-0000A9C80000}"/>
    <cellStyle name="Input 14 7 5" xfId="51382" xr:uid="{00000000-0005-0000-0000-0000AAC80000}"/>
    <cellStyle name="Input 14 7 6" xfId="51383" xr:uid="{00000000-0005-0000-0000-0000ABC80000}"/>
    <cellStyle name="Input 14 8" xfId="51384" xr:uid="{00000000-0005-0000-0000-0000ACC80000}"/>
    <cellStyle name="Input 14 9" xfId="51385" xr:uid="{00000000-0005-0000-0000-0000ADC80000}"/>
    <cellStyle name="Input 15" xfId="51386" xr:uid="{00000000-0005-0000-0000-0000AEC80000}"/>
    <cellStyle name="Input 15 10" xfId="51387" xr:uid="{00000000-0005-0000-0000-0000AFC80000}"/>
    <cellStyle name="Input 15 2" xfId="51388" xr:uid="{00000000-0005-0000-0000-0000B0C80000}"/>
    <cellStyle name="Input 15 2 2" xfId="51389" xr:uid="{00000000-0005-0000-0000-0000B1C80000}"/>
    <cellStyle name="Input 15 2 3" xfId="51390" xr:uid="{00000000-0005-0000-0000-0000B2C80000}"/>
    <cellStyle name="Input 15 2 4" xfId="51391" xr:uid="{00000000-0005-0000-0000-0000B3C80000}"/>
    <cellStyle name="Input 15 2 5" xfId="51392" xr:uid="{00000000-0005-0000-0000-0000B4C80000}"/>
    <cellStyle name="Input 15 2 6" xfId="51393" xr:uid="{00000000-0005-0000-0000-0000B5C80000}"/>
    <cellStyle name="Input 15 3" xfId="51394" xr:uid="{00000000-0005-0000-0000-0000B6C80000}"/>
    <cellStyle name="Input 15 3 2" xfId="51395" xr:uid="{00000000-0005-0000-0000-0000B7C80000}"/>
    <cellStyle name="Input 15 3 3" xfId="51396" xr:uid="{00000000-0005-0000-0000-0000B8C80000}"/>
    <cellStyle name="Input 15 3 4" xfId="51397" xr:uid="{00000000-0005-0000-0000-0000B9C80000}"/>
    <cellStyle name="Input 15 3 5" xfId="51398" xr:uid="{00000000-0005-0000-0000-0000BAC80000}"/>
    <cellStyle name="Input 15 3 6" xfId="51399" xr:uid="{00000000-0005-0000-0000-0000BBC80000}"/>
    <cellStyle name="Input 15 4" xfId="51400" xr:uid="{00000000-0005-0000-0000-0000BCC80000}"/>
    <cellStyle name="Input 15 4 2" xfId="51401" xr:uid="{00000000-0005-0000-0000-0000BDC80000}"/>
    <cellStyle name="Input 15 4 3" xfId="51402" xr:uid="{00000000-0005-0000-0000-0000BEC80000}"/>
    <cellStyle name="Input 15 4 4" xfId="51403" xr:uid="{00000000-0005-0000-0000-0000BFC80000}"/>
    <cellStyle name="Input 15 4 5" xfId="51404" xr:uid="{00000000-0005-0000-0000-0000C0C80000}"/>
    <cellStyle name="Input 15 4 6" xfId="51405" xr:uid="{00000000-0005-0000-0000-0000C1C80000}"/>
    <cellStyle name="Input 15 5" xfId="51406" xr:uid="{00000000-0005-0000-0000-0000C2C80000}"/>
    <cellStyle name="Input 15 5 2" xfId="51407" xr:uid="{00000000-0005-0000-0000-0000C3C80000}"/>
    <cellStyle name="Input 15 5 3" xfId="51408" xr:uid="{00000000-0005-0000-0000-0000C4C80000}"/>
    <cellStyle name="Input 15 5 4" xfId="51409" xr:uid="{00000000-0005-0000-0000-0000C5C80000}"/>
    <cellStyle name="Input 15 5 5" xfId="51410" xr:uid="{00000000-0005-0000-0000-0000C6C80000}"/>
    <cellStyle name="Input 15 5 6" xfId="51411" xr:uid="{00000000-0005-0000-0000-0000C7C80000}"/>
    <cellStyle name="Input 15 6" xfId="51412" xr:uid="{00000000-0005-0000-0000-0000C8C80000}"/>
    <cellStyle name="Input 15 6 2" xfId="51413" xr:uid="{00000000-0005-0000-0000-0000C9C80000}"/>
    <cellStyle name="Input 15 6 3" xfId="51414" xr:uid="{00000000-0005-0000-0000-0000CAC80000}"/>
    <cellStyle name="Input 15 6 4" xfId="51415" xr:uid="{00000000-0005-0000-0000-0000CBC80000}"/>
    <cellStyle name="Input 15 6 5" xfId="51416" xr:uid="{00000000-0005-0000-0000-0000CCC80000}"/>
    <cellStyle name="Input 15 6 6" xfId="51417" xr:uid="{00000000-0005-0000-0000-0000CDC80000}"/>
    <cellStyle name="Input 15 7" xfId="51418" xr:uid="{00000000-0005-0000-0000-0000CEC80000}"/>
    <cellStyle name="Input 15 7 2" xfId="51419" xr:uid="{00000000-0005-0000-0000-0000CFC80000}"/>
    <cellStyle name="Input 15 7 3" xfId="51420" xr:uid="{00000000-0005-0000-0000-0000D0C80000}"/>
    <cellStyle name="Input 15 7 4" xfId="51421" xr:uid="{00000000-0005-0000-0000-0000D1C80000}"/>
    <cellStyle name="Input 15 7 5" xfId="51422" xr:uid="{00000000-0005-0000-0000-0000D2C80000}"/>
    <cellStyle name="Input 15 7 6" xfId="51423" xr:uid="{00000000-0005-0000-0000-0000D3C80000}"/>
    <cellStyle name="Input 15 8" xfId="51424" xr:uid="{00000000-0005-0000-0000-0000D4C80000}"/>
    <cellStyle name="Input 15 9" xfId="51425" xr:uid="{00000000-0005-0000-0000-0000D5C80000}"/>
    <cellStyle name="Input 16" xfId="51426" xr:uid="{00000000-0005-0000-0000-0000D6C80000}"/>
    <cellStyle name="Input 16 10" xfId="51427" xr:uid="{00000000-0005-0000-0000-0000D7C80000}"/>
    <cellStyle name="Input 16 2" xfId="51428" xr:uid="{00000000-0005-0000-0000-0000D8C80000}"/>
    <cellStyle name="Input 16 2 2" xfId="51429" xr:uid="{00000000-0005-0000-0000-0000D9C80000}"/>
    <cellStyle name="Input 16 2 3" xfId="51430" xr:uid="{00000000-0005-0000-0000-0000DAC80000}"/>
    <cellStyle name="Input 16 2 4" xfId="51431" xr:uid="{00000000-0005-0000-0000-0000DBC80000}"/>
    <cellStyle name="Input 16 2 5" xfId="51432" xr:uid="{00000000-0005-0000-0000-0000DCC80000}"/>
    <cellStyle name="Input 16 2 6" xfId="51433" xr:uid="{00000000-0005-0000-0000-0000DDC80000}"/>
    <cellStyle name="Input 16 3" xfId="51434" xr:uid="{00000000-0005-0000-0000-0000DEC80000}"/>
    <cellStyle name="Input 16 3 2" xfId="51435" xr:uid="{00000000-0005-0000-0000-0000DFC80000}"/>
    <cellStyle name="Input 16 3 3" xfId="51436" xr:uid="{00000000-0005-0000-0000-0000E0C80000}"/>
    <cellStyle name="Input 16 3 4" xfId="51437" xr:uid="{00000000-0005-0000-0000-0000E1C80000}"/>
    <cellStyle name="Input 16 3 5" xfId="51438" xr:uid="{00000000-0005-0000-0000-0000E2C80000}"/>
    <cellStyle name="Input 16 3 6" xfId="51439" xr:uid="{00000000-0005-0000-0000-0000E3C80000}"/>
    <cellStyle name="Input 16 4" xfId="51440" xr:uid="{00000000-0005-0000-0000-0000E4C80000}"/>
    <cellStyle name="Input 16 4 2" xfId="51441" xr:uid="{00000000-0005-0000-0000-0000E5C80000}"/>
    <cellStyle name="Input 16 4 3" xfId="51442" xr:uid="{00000000-0005-0000-0000-0000E6C80000}"/>
    <cellStyle name="Input 16 4 4" xfId="51443" xr:uid="{00000000-0005-0000-0000-0000E7C80000}"/>
    <cellStyle name="Input 16 4 5" xfId="51444" xr:uid="{00000000-0005-0000-0000-0000E8C80000}"/>
    <cellStyle name="Input 16 4 6" xfId="51445" xr:uid="{00000000-0005-0000-0000-0000E9C80000}"/>
    <cellStyle name="Input 16 5" xfId="51446" xr:uid="{00000000-0005-0000-0000-0000EAC80000}"/>
    <cellStyle name="Input 16 5 2" xfId="51447" xr:uid="{00000000-0005-0000-0000-0000EBC80000}"/>
    <cellStyle name="Input 16 5 3" xfId="51448" xr:uid="{00000000-0005-0000-0000-0000ECC80000}"/>
    <cellStyle name="Input 16 5 4" xfId="51449" xr:uid="{00000000-0005-0000-0000-0000EDC80000}"/>
    <cellStyle name="Input 16 5 5" xfId="51450" xr:uid="{00000000-0005-0000-0000-0000EEC80000}"/>
    <cellStyle name="Input 16 5 6" xfId="51451" xr:uid="{00000000-0005-0000-0000-0000EFC80000}"/>
    <cellStyle name="Input 16 6" xfId="51452" xr:uid="{00000000-0005-0000-0000-0000F0C80000}"/>
    <cellStyle name="Input 16 6 2" xfId="51453" xr:uid="{00000000-0005-0000-0000-0000F1C80000}"/>
    <cellStyle name="Input 16 6 3" xfId="51454" xr:uid="{00000000-0005-0000-0000-0000F2C80000}"/>
    <cellStyle name="Input 16 6 4" xfId="51455" xr:uid="{00000000-0005-0000-0000-0000F3C80000}"/>
    <cellStyle name="Input 16 6 5" xfId="51456" xr:uid="{00000000-0005-0000-0000-0000F4C80000}"/>
    <cellStyle name="Input 16 6 6" xfId="51457" xr:uid="{00000000-0005-0000-0000-0000F5C80000}"/>
    <cellStyle name="Input 16 7" xfId="51458" xr:uid="{00000000-0005-0000-0000-0000F6C80000}"/>
    <cellStyle name="Input 16 7 2" xfId="51459" xr:uid="{00000000-0005-0000-0000-0000F7C80000}"/>
    <cellStyle name="Input 16 7 3" xfId="51460" xr:uid="{00000000-0005-0000-0000-0000F8C80000}"/>
    <cellStyle name="Input 16 7 4" xfId="51461" xr:uid="{00000000-0005-0000-0000-0000F9C80000}"/>
    <cellStyle name="Input 16 7 5" xfId="51462" xr:uid="{00000000-0005-0000-0000-0000FAC80000}"/>
    <cellStyle name="Input 16 7 6" xfId="51463" xr:uid="{00000000-0005-0000-0000-0000FBC80000}"/>
    <cellStyle name="Input 16 8" xfId="51464" xr:uid="{00000000-0005-0000-0000-0000FCC80000}"/>
    <cellStyle name="Input 16 9" xfId="51465" xr:uid="{00000000-0005-0000-0000-0000FDC80000}"/>
    <cellStyle name="Input 17" xfId="51466" xr:uid="{00000000-0005-0000-0000-0000FEC80000}"/>
    <cellStyle name="Input 17 10" xfId="51467" xr:uid="{00000000-0005-0000-0000-0000FFC80000}"/>
    <cellStyle name="Input 17 2" xfId="51468" xr:uid="{00000000-0005-0000-0000-000000C90000}"/>
    <cellStyle name="Input 17 2 2" xfId="51469" xr:uid="{00000000-0005-0000-0000-000001C90000}"/>
    <cellStyle name="Input 17 2 3" xfId="51470" xr:uid="{00000000-0005-0000-0000-000002C90000}"/>
    <cellStyle name="Input 17 2 4" xfId="51471" xr:uid="{00000000-0005-0000-0000-000003C90000}"/>
    <cellStyle name="Input 17 2 5" xfId="51472" xr:uid="{00000000-0005-0000-0000-000004C90000}"/>
    <cellStyle name="Input 17 2 6" xfId="51473" xr:uid="{00000000-0005-0000-0000-000005C90000}"/>
    <cellStyle name="Input 17 3" xfId="51474" xr:uid="{00000000-0005-0000-0000-000006C90000}"/>
    <cellStyle name="Input 17 3 2" xfId="51475" xr:uid="{00000000-0005-0000-0000-000007C90000}"/>
    <cellStyle name="Input 17 3 3" xfId="51476" xr:uid="{00000000-0005-0000-0000-000008C90000}"/>
    <cellStyle name="Input 17 3 4" xfId="51477" xr:uid="{00000000-0005-0000-0000-000009C90000}"/>
    <cellStyle name="Input 17 3 5" xfId="51478" xr:uid="{00000000-0005-0000-0000-00000AC90000}"/>
    <cellStyle name="Input 17 3 6" xfId="51479" xr:uid="{00000000-0005-0000-0000-00000BC90000}"/>
    <cellStyle name="Input 17 4" xfId="51480" xr:uid="{00000000-0005-0000-0000-00000CC90000}"/>
    <cellStyle name="Input 17 4 2" xfId="51481" xr:uid="{00000000-0005-0000-0000-00000DC90000}"/>
    <cellStyle name="Input 17 4 3" xfId="51482" xr:uid="{00000000-0005-0000-0000-00000EC90000}"/>
    <cellStyle name="Input 17 4 4" xfId="51483" xr:uid="{00000000-0005-0000-0000-00000FC90000}"/>
    <cellStyle name="Input 17 4 5" xfId="51484" xr:uid="{00000000-0005-0000-0000-000010C90000}"/>
    <cellStyle name="Input 17 4 6" xfId="51485" xr:uid="{00000000-0005-0000-0000-000011C90000}"/>
    <cellStyle name="Input 17 5" xfId="51486" xr:uid="{00000000-0005-0000-0000-000012C90000}"/>
    <cellStyle name="Input 17 5 2" xfId="51487" xr:uid="{00000000-0005-0000-0000-000013C90000}"/>
    <cellStyle name="Input 17 5 3" xfId="51488" xr:uid="{00000000-0005-0000-0000-000014C90000}"/>
    <cellStyle name="Input 17 5 4" xfId="51489" xr:uid="{00000000-0005-0000-0000-000015C90000}"/>
    <cellStyle name="Input 17 5 5" xfId="51490" xr:uid="{00000000-0005-0000-0000-000016C90000}"/>
    <cellStyle name="Input 17 5 6" xfId="51491" xr:uid="{00000000-0005-0000-0000-000017C90000}"/>
    <cellStyle name="Input 17 6" xfId="51492" xr:uid="{00000000-0005-0000-0000-000018C90000}"/>
    <cellStyle name="Input 17 6 2" xfId="51493" xr:uid="{00000000-0005-0000-0000-000019C90000}"/>
    <cellStyle name="Input 17 6 3" xfId="51494" xr:uid="{00000000-0005-0000-0000-00001AC90000}"/>
    <cellStyle name="Input 17 6 4" xfId="51495" xr:uid="{00000000-0005-0000-0000-00001BC90000}"/>
    <cellStyle name="Input 17 6 5" xfId="51496" xr:uid="{00000000-0005-0000-0000-00001CC90000}"/>
    <cellStyle name="Input 17 6 6" xfId="51497" xr:uid="{00000000-0005-0000-0000-00001DC90000}"/>
    <cellStyle name="Input 17 7" xfId="51498" xr:uid="{00000000-0005-0000-0000-00001EC90000}"/>
    <cellStyle name="Input 17 7 2" xfId="51499" xr:uid="{00000000-0005-0000-0000-00001FC90000}"/>
    <cellStyle name="Input 17 7 3" xfId="51500" xr:uid="{00000000-0005-0000-0000-000020C90000}"/>
    <cellStyle name="Input 17 7 4" xfId="51501" xr:uid="{00000000-0005-0000-0000-000021C90000}"/>
    <cellStyle name="Input 17 7 5" xfId="51502" xr:uid="{00000000-0005-0000-0000-000022C90000}"/>
    <cellStyle name="Input 17 7 6" xfId="51503" xr:uid="{00000000-0005-0000-0000-000023C90000}"/>
    <cellStyle name="Input 17 8" xfId="51504" xr:uid="{00000000-0005-0000-0000-000024C90000}"/>
    <cellStyle name="Input 17 9" xfId="51505" xr:uid="{00000000-0005-0000-0000-000025C90000}"/>
    <cellStyle name="Input 18" xfId="51506" xr:uid="{00000000-0005-0000-0000-000026C90000}"/>
    <cellStyle name="Input 18 10" xfId="51507" xr:uid="{00000000-0005-0000-0000-000027C90000}"/>
    <cellStyle name="Input 18 2" xfId="51508" xr:uid="{00000000-0005-0000-0000-000028C90000}"/>
    <cellStyle name="Input 18 2 2" xfId="51509" xr:uid="{00000000-0005-0000-0000-000029C90000}"/>
    <cellStyle name="Input 18 2 3" xfId="51510" xr:uid="{00000000-0005-0000-0000-00002AC90000}"/>
    <cellStyle name="Input 18 2 4" xfId="51511" xr:uid="{00000000-0005-0000-0000-00002BC90000}"/>
    <cellStyle name="Input 18 2 5" xfId="51512" xr:uid="{00000000-0005-0000-0000-00002CC90000}"/>
    <cellStyle name="Input 18 2 6" xfId="51513" xr:uid="{00000000-0005-0000-0000-00002DC90000}"/>
    <cellStyle name="Input 18 3" xfId="51514" xr:uid="{00000000-0005-0000-0000-00002EC90000}"/>
    <cellStyle name="Input 18 3 2" xfId="51515" xr:uid="{00000000-0005-0000-0000-00002FC90000}"/>
    <cellStyle name="Input 18 3 3" xfId="51516" xr:uid="{00000000-0005-0000-0000-000030C90000}"/>
    <cellStyle name="Input 18 3 4" xfId="51517" xr:uid="{00000000-0005-0000-0000-000031C90000}"/>
    <cellStyle name="Input 18 3 5" xfId="51518" xr:uid="{00000000-0005-0000-0000-000032C90000}"/>
    <cellStyle name="Input 18 3 6" xfId="51519" xr:uid="{00000000-0005-0000-0000-000033C90000}"/>
    <cellStyle name="Input 18 4" xfId="51520" xr:uid="{00000000-0005-0000-0000-000034C90000}"/>
    <cellStyle name="Input 18 4 2" xfId="51521" xr:uid="{00000000-0005-0000-0000-000035C90000}"/>
    <cellStyle name="Input 18 4 3" xfId="51522" xr:uid="{00000000-0005-0000-0000-000036C90000}"/>
    <cellStyle name="Input 18 4 4" xfId="51523" xr:uid="{00000000-0005-0000-0000-000037C90000}"/>
    <cellStyle name="Input 18 4 5" xfId="51524" xr:uid="{00000000-0005-0000-0000-000038C90000}"/>
    <cellStyle name="Input 18 4 6" xfId="51525" xr:uid="{00000000-0005-0000-0000-000039C90000}"/>
    <cellStyle name="Input 18 5" xfId="51526" xr:uid="{00000000-0005-0000-0000-00003AC90000}"/>
    <cellStyle name="Input 18 5 2" xfId="51527" xr:uid="{00000000-0005-0000-0000-00003BC90000}"/>
    <cellStyle name="Input 18 5 3" xfId="51528" xr:uid="{00000000-0005-0000-0000-00003CC90000}"/>
    <cellStyle name="Input 18 5 4" xfId="51529" xr:uid="{00000000-0005-0000-0000-00003DC90000}"/>
    <cellStyle name="Input 18 5 5" xfId="51530" xr:uid="{00000000-0005-0000-0000-00003EC90000}"/>
    <cellStyle name="Input 18 5 6" xfId="51531" xr:uid="{00000000-0005-0000-0000-00003FC90000}"/>
    <cellStyle name="Input 18 6" xfId="51532" xr:uid="{00000000-0005-0000-0000-000040C90000}"/>
    <cellStyle name="Input 18 6 2" xfId="51533" xr:uid="{00000000-0005-0000-0000-000041C90000}"/>
    <cellStyle name="Input 18 6 3" xfId="51534" xr:uid="{00000000-0005-0000-0000-000042C90000}"/>
    <cellStyle name="Input 18 6 4" xfId="51535" xr:uid="{00000000-0005-0000-0000-000043C90000}"/>
    <cellStyle name="Input 18 6 5" xfId="51536" xr:uid="{00000000-0005-0000-0000-000044C90000}"/>
    <cellStyle name="Input 18 6 6" xfId="51537" xr:uid="{00000000-0005-0000-0000-000045C90000}"/>
    <cellStyle name="Input 18 7" xfId="51538" xr:uid="{00000000-0005-0000-0000-000046C90000}"/>
    <cellStyle name="Input 18 7 2" xfId="51539" xr:uid="{00000000-0005-0000-0000-000047C90000}"/>
    <cellStyle name="Input 18 7 3" xfId="51540" xr:uid="{00000000-0005-0000-0000-000048C90000}"/>
    <cellStyle name="Input 18 7 4" xfId="51541" xr:uid="{00000000-0005-0000-0000-000049C90000}"/>
    <cellStyle name="Input 18 7 5" xfId="51542" xr:uid="{00000000-0005-0000-0000-00004AC90000}"/>
    <cellStyle name="Input 18 7 6" xfId="51543" xr:uid="{00000000-0005-0000-0000-00004BC90000}"/>
    <cellStyle name="Input 18 8" xfId="51544" xr:uid="{00000000-0005-0000-0000-00004CC90000}"/>
    <cellStyle name="Input 18 9" xfId="51545" xr:uid="{00000000-0005-0000-0000-00004DC90000}"/>
    <cellStyle name="Input 19" xfId="51546" xr:uid="{00000000-0005-0000-0000-00004EC90000}"/>
    <cellStyle name="Input 19 10" xfId="51547" xr:uid="{00000000-0005-0000-0000-00004FC90000}"/>
    <cellStyle name="Input 19 2" xfId="51548" xr:uid="{00000000-0005-0000-0000-000050C90000}"/>
    <cellStyle name="Input 19 2 2" xfId="51549" xr:uid="{00000000-0005-0000-0000-000051C90000}"/>
    <cellStyle name="Input 19 2 3" xfId="51550" xr:uid="{00000000-0005-0000-0000-000052C90000}"/>
    <cellStyle name="Input 19 2 4" xfId="51551" xr:uid="{00000000-0005-0000-0000-000053C90000}"/>
    <cellStyle name="Input 19 2 5" xfId="51552" xr:uid="{00000000-0005-0000-0000-000054C90000}"/>
    <cellStyle name="Input 19 2 6" xfId="51553" xr:uid="{00000000-0005-0000-0000-000055C90000}"/>
    <cellStyle name="Input 19 3" xfId="51554" xr:uid="{00000000-0005-0000-0000-000056C90000}"/>
    <cellStyle name="Input 19 3 2" xfId="51555" xr:uid="{00000000-0005-0000-0000-000057C90000}"/>
    <cellStyle name="Input 19 3 3" xfId="51556" xr:uid="{00000000-0005-0000-0000-000058C90000}"/>
    <cellStyle name="Input 19 3 4" xfId="51557" xr:uid="{00000000-0005-0000-0000-000059C90000}"/>
    <cellStyle name="Input 19 3 5" xfId="51558" xr:uid="{00000000-0005-0000-0000-00005AC90000}"/>
    <cellStyle name="Input 19 3 6" xfId="51559" xr:uid="{00000000-0005-0000-0000-00005BC90000}"/>
    <cellStyle name="Input 19 4" xfId="51560" xr:uid="{00000000-0005-0000-0000-00005CC90000}"/>
    <cellStyle name="Input 19 4 2" xfId="51561" xr:uid="{00000000-0005-0000-0000-00005DC90000}"/>
    <cellStyle name="Input 19 4 3" xfId="51562" xr:uid="{00000000-0005-0000-0000-00005EC90000}"/>
    <cellStyle name="Input 19 4 4" xfId="51563" xr:uid="{00000000-0005-0000-0000-00005FC90000}"/>
    <cellStyle name="Input 19 4 5" xfId="51564" xr:uid="{00000000-0005-0000-0000-000060C90000}"/>
    <cellStyle name="Input 19 4 6" xfId="51565" xr:uid="{00000000-0005-0000-0000-000061C90000}"/>
    <cellStyle name="Input 19 5" xfId="51566" xr:uid="{00000000-0005-0000-0000-000062C90000}"/>
    <cellStyle name="Input 19 5 2" xfId="51567" xr:uid="{00000000-0005-0000-0000-000063C90000}"/>
    <cellStyle name="Input 19 5 3" xfId="51568" xr:uid="{00000000-0005-0000-0000-000064C90000}"/>
    <cellStyle name="Input 19 5 4" xfId="51569" xr:uid="{00000000-0005-0000-0000-000065C90000}"/>
    <cellStyle name="Input 19 5 5" xfId="51570" xr:uid="{00000000-0005-0000-0000-000066C90000}"/>
    <cellStyle name="Input 19 5 6" xfId="51571" xr:uid="{00000000-0005-0000-0000-000067C90000}"/>
    <cellStyle name="Input 19 6" xfId="51572" xr:uid="{00000000-0005-0000-0000-000068C90000}"/>
    <cellStyle name="Input 19 6 2" xfId="51573" xr:uid="{00000000-0005-0000-0000-000069C90000}"/>
    <cellStyle name="Input 19 6 3" xfId="51574" xr:uid="{00000000-0005-0000-0000-00006AC90000}"/>
    <cellStyle name="Input 19 6 4" xfId="51575" xr:uid="{00000000-0005-0000-0000-00006BC90000}"/>
    <cellStyle name="Input 19 6 5" xfId="51576" xr:uid="{00000000-0005-0000-0000-00006CC90000}"/>
    <cellStyle name="Input 19 6 6" xfId="51577" xr:uid="{00000000-0005-0000-0000-00006DC90000}"/>
    <cellStyle name="Input 19 7" xfId="51578" xr:uid="{00000000-0005-0000-0000-00006EC90000}"/>
    <cellStyle name="Input 19 7 2" xfId="51579" xr:uid="{00000000-0005-0000-0000-00006FC90000}"/>
    <cellStyle name="Input 19 7 3" xfId="51580" xr:uid="{00000000-0005-0000-0000-000070C90000}"/>
    <cellStyle name="Input 19 7 4" xfId="51581" xr:uid="{00000000-0005-0000-0000-000071C90000}"/>
    <cellStyle name="Input 19 7 5" xfId="51582" xr:uid="{00000000-0005-0000-0000-000072C90000}"/>
    <cellStyle name="Input 19 7 6" xfId="51583" xr:uid="{00000000-0005-0000-0000-000073C90000}"/>
    <cellStyle name="Input 19 8" xfId="51584" xr:uid="{00000000-0005-0000-0000-000074C90000}"/>
    <cellStyle name="Input 19 9" xfId="51585" xr:uid="{00000000-0005-0000-0000-000075C90000}"/>
    <cellStyle name="Input 2" xfId="51586" xr:uid="{00000000-0005-0000-0000-000076C90000}"/>
    <cellStyle name="Input 2 10" xfId="51587" xr:uid="{00000000-0005-0000-0000-000077C90000}"/>
    <cellStyle name="Input 2 11" xfId="51588" xr:uid="{00000000-0005-0000-0000-000078C90000}"/>
    <cellStyle name="Input 2 12" xfId="51589" xr:uid="{00000000-0005-0000-0000-000079C90000}"/>
    <cellStyle name="Input 2 2" xfId="51590" xr:uid="{00000000-0005-0000-0000-00007AC90000}"/>
    <cellStyle name="Input 2 2 10" xfId="51591" xr:uid="{00000000-0005-0000-0000-00007BC90000}"/>
    <cellStyle name="Input 2 2 2" xfId="51592" xr:uid="{00000000-0005-0000-0000-00007CC90000}"/>
    <cellStyle name="Input 2 2 2 2" xfId="51593" xr:uid="{00000000-0005-0000-0000-00007DC90000}"/>
    <cellStyle name="Input 2 2 2 3" xfId="51594" xr:uid="{00000000-0005-0000-0000-00007EC90000}"/>
    <cellStyle name="Input 2 2 2 4" xfId="51595" xr:uid="{00000000-0005-0000-0000-00007FC90000}"/>
    <cellStyle name="Input 2 2 2 5" xfId="51596" xr:uid="{00000000-0005-0000-0000-000080C90000}"/>
    <cellStyle name="Input 2 2 2 6" xfId="51597" xr:uid="{00000000-0005-0000-0000-000081C90000}"/>
    <cellStyle name="Input 2 2 3" xfId="51598" xr:uid="{00000000-0005-0000-0000-000082C90000}"/>
    <cellStyle name="Input 2 2 3 2" xfId="51599" xr:uid="{00000000-0005-0000-0000-000083C90000}"/>
    <cellStyle name="Input 2 2 3 3" xfId="51600" xr:uid="{00000000-0005-0000-0000-000084C90000}"/>
    <cellStyle name="Input 2 2 3 4" xfId="51601" xr:uid="{00000000-0005-0000-0000-000085C90000}"/>
    <cellStyle name="Input 2 2 3 5" xfId="51602" xr:uid="{00000000-0005-0000-0000-000086C90000}"/>
    <cellStyle name="Input 2 2 3 6" xfId="51603" xr:uid="{00000000-0005-0000-0000-000087C90000}"/>
    <cellStyle name="Input 2 2 4" xfId="51604" xr:uid="{00000000-0005-0000-0000-000088C90000}"/>
    <cellStyle name="Input 2 2 4 2" xfId="51605" xr:uid="{00000000-0005-0000-0000-000089C90000}"/>
    <cellStyle name="Input 2 2 4 3" xfId="51606" xr:uid="{00000000-0005-0000-0000-00008AC90000}"/>
    <cellStyle name="Input 2 2 4 4" xfId="51607" xr:uid="{00000000-0005-0000-0000-00008BC90000}"/>
    <cellStyle name="Input 2 2 4 5" xfId="51608" xr:uid="{00000000-0005-0000-0000-00008CC90000}"/>
    <cellStyle name="Input 2 2 4 6" xfId="51609" xr:uid="{00000000-0005-0000-0000-00008DC90000}"/>
    <cellStyle name="Input 2 2 5" xfId="51610" xr:uid="{00000000-0005-0000-0000-00008EC90000}"/>
    <cellStyle name="Input 2 2 5 2" xfId="51611" xr:uid="{00000000-0005-0000-0000-00008FC90000}"/>
    <cellStyle name="Input 2 2 5 3" xfId="51612" xr:uid="{00000000-0005-0000-0000-000090C90000}"/>
    <cellStyle name="Input 2 2 5 4" xfId="51613" xr:uid="{00000000-0005-0000-0000-000091C90000}"/>
    <cellStyle name="Input 2 2 5 5" xfId="51614" xr:uid="{00000000-0005-0000-0000-000092C90000}"/>
    <cellStyle name="Input 2 2 5 6" xfId="51615" xr:uid="{00000000-0005-0000-0000-000093C90000}"/>
    <cellStyle name="Input 2 2 6" xfId="51616" xr:uid="{00000000-0005-0000-0000-000094C90000}"/>
    <cellStyle name="Input 2 2 6 2" xfId="51617" xr:uid="{00000000-0005-0000-0000-000095C90000}"/>
    <cellStyle name="Input 2 2 6 3" xfId="51618" xr:uid="{00000000-0005-0000-0000-000096C90000}"/>
    <cellStyle name="Input 2 2 6 4" xfId="51619" xr:uid="{00000000-0005-0000-0000-000097C90000}"/>
    <cellStyle name="Input 2 2 6 5" xfId="51620" xr:uid="{00000000-0005-0000-0000-000098C90000}"/>
    <cellStyle name="Input 2 2 6 6" xfId="51621" xr:uid="{00000000-0005-0000-0000-000099C90000}"/>
    <cellStyle name="Input 2 2 7" xfId="51622" xr:uid="{00000000-0005-0000-0000-00009AC90000}"/>
    <cellStyle name="Input 2 2 7 2" xfId="51623" xr:uid="{00000000-0005-0000-0000-00009BC90000}"/>
    <cellStyle name="Input 2 2 7 3" xfId="51624" xr:uid="{00000000-0005-0000-0000-00009CC90000}"/>
    <cellStyle name="Input 2 2 7 4" xfId="51625" xr:uid="{00000000-0005-0000-0000-00009DC90000}"/>
    <cellStyle name="Input 2 2 7 5" xfId="51626" xr:uid="{00000000-0005-0000-0000-00009EC90000}"/>
    <cellStyle name="Input 2 2 7 6" xfId="51627" xr:uid="{00000000-0005-0000-0000-00009FC90000}"/>
    <cellStyle name="Input 2 2 8" xfId="51628" xr:uid="{00000000-0005-0000-0000-0000A0C90000}"/>
    <cellStyle name="Input 2 2 9" xfId="51629" xr:uid="{00000000-0005-0000-0000-0000A1C90000}"/>
    <cellStyle name="Input 2 3" xfId="51630" xr:uid="{00000000-0005-0000-0000-0000A2C90000}"/>
    <cellStyle name="Input 2 3 10" xfId="51631" xr:uid="{00000000-0005-0000-0000-0000A3C90000}"/>
    <cellStyle name="Input 2 3 2" xfId="51632" xr:uid="{00000000-0005-0000-0000-0000A4C90000}"/>
    <cellStyle name="Input 2 3 2 2" xfId="51633" xr:uid="{00000000-0005-0000-0000-0000A5C90000}"/>
    <cellStyle name="Input 2 3 2 3" xfId="51634" xr:uid="{00000000-0005-0000-0000-0000A6C90000}"/>
    <cellStyle name="Input 2 3 2 4" xfId="51635" xr:uid="{00000000-0005-0000-0000-0000A7C90000}"/>
    <cellStyle name="Input 2 3 2 5" xfId="51636" xr:uid="{00000000-0005-0000-0000-0000A8C90000}"/>
    <cellStyle name="Input 2 3 2 6" xfId="51637" xr:uid="{00000000-0005-0000-0000-0000A9C90000}"/>
    <cellStyle name="Input 2 3 3" xfId="51638" xr:uid="{00000000-0005-0000-0000-0000AAC90000}"/>
    <cellStyle name="Input 2 3 3 2" xfId="51639" xr:uid="{00000000-0005-0000-0000-0000ABC90000}"/>
    <cellStyle name="Input 2 3 3 3" xfId="51640" xr:uid="{00000000-0005-0000-0000-0000ACC90000}"/>
    <cellStyle name="Input 2 3 3 4" xfId="51641" xr:uid="{00000000-0005-0000-0000-0000ADC90000}"/>
    <cellStyle name="Input 2 3 3 5" xfId="51642" xr:uid="{00000000-0005-0000-0000-0000AEC90000}"/>
    <cellStyle name="Input 2 3 3 6" xfId="51643" xr:uid="{00000000-0005-0000-0000-0000AFC90000}"/>
    <cellStyle name="Input 2 3 4" xfId="51644" xr:uid="{00000000-0005-0000-0000-0000B0C90000}"/>
    <cellStyle name="Input 2 3 4 2" xfId="51645" xr:uid="{00000000-0005-0000-0000-0000B1C90000}"/>
    <cellStyle name="Input 2 3 4 3" xfId="51646" xr:uid="{00000000-0005-0000-0000-0000B2C90000}"/>
    <cellStyle name="Input 2 3 4 4" xfId="51647" xr:uid="{00000000-0005-0000-0000-0000B3C90000}"/>
    <cellStyle name="Input 2 3 4 5" xfId="51648" xr:uid="{00000000-0005-0000-0000-0000B4C90000}"/>
    <cellStyle name="Input 2 3 4 6" xfId="51649" xr:uid="{00000000-0005-0000-0000-0000B5C90000}"/>
    <cellStyle name="Input 2 3 5" xfId="51650" xr:uid="{00000000-0005-0000-0000-0000B6C90000}"/>
    <cellStyle name="Input 2 3 5 2" xfId="51651" xr:uid="{00000000-0005-0000-0000-0000B7C90000}"/>
    <cellStyle name="Input 2 3 5 3" xfId="51652" xr:uid="{00000000-0005-0000-0000-0000B8C90000}"/>
    <cellStyle name="Input 2 3 5 4" xfId="51653" xr:uid="{00000000-0005-0000-0000-0000B9C90000}"/>
    <cellStyle name="Input 2 3 5 5" xfId="51654" xr:uid="{00000000-0005-0000-0000-0000BAC90000}"/>
    <cellStyle name="Input 2 3 5 6" xfId="51655" xr:uid="{00000000-0005-0000-0000-0000BBC90000}"/>
    <cellStyle name="Input 2 3 6" xfId="51656" xr:uid="{00000000-0005-0000-0000-0000BCC90000}"/>
    <cellStyle name="Input 2 3 6 2" xfId="51657" xr:uid="{00000000-0005-0000-0000-0000BDC90000}"/>
    <cellStyle name="Input 2 3 6 3" xfId="51658" xr:uid="{00000000-0005-0000-0000-0000BEC90000}"/>
    <cellStyle name="Input 2 3 6 4" xfId="51659" xr:uid="{00000000-0005-0000-0000-0000BFC90000}"/>
    <cellStyle name="Input 2 3 6 5" xfId="51660" xr:uid="{00000000-0005-0000-0000-0000C0C90000}"/>
    <cellStyle name="Input 2 3 6 6" xfId="51661" xr:uid="{00000000-0005-0000-0000-0000C1C90000}"/>
    <cellStyle name="Input 2 3 7" xfId="51662" xr:uid="{00000000-0005-0000-0000-0000C2C90000}"/>
    <cellStyle name="Input 2 3 7 2" xfId="51663" xr:uid="{00000000-0005-0000-0000-0000C3C90000}"/>
    <cellStyle name="Input 2 3 7 3" xfId="51664" xr:uid="{00000000-0005-0000-0000-0000C4C90000}"/>
    <cellStyle name="Input 2 3 7 4" xfId="51665" xr:uid="{00000000-0005-0000-0000-0000C5C90000}"/>
    <cellStyle name="Input 2 3 7 5" xfId="51666" xr:uid="{00000000-0005-0000-0000-0000C6C90000}"/>
    <cellStyle name="Input 2 3 7 6" xfId="51667" xr:uid="{00000000-0005-0000-0000-0000C7C90000}"/>
    <cellStyle name="Input 2 3 8" xfId="51668" xr:uid="{00000000-0005-0000-0000-0000C8C90000}"/>
    <cellStyle name="Input 2 3 9" xfId="51669" xr:uid="{00000000-0005-0000-0000-0000C9C90000}"/>
    <cellStyle name="Input 2 4" xfId="51670" xr:uid="{00000000-0005-0000-0000-0000CAC90000}"/>
    <cellStyle name="Input 2 4 2" xfId="51671" xr:uid="{00000000-0005-0000-0000-0000CBC90000}"/>
    <cellStyle name="Input 2 4 3" xfId="51672" xr:uid="{00000000-0005-0000-0000-0000CCC90000}"/>
    <cellStyle name="Input 2 4 4" xfId="51673" xr:uid="{00000000-0005-0000-0000-0000CDC90000}"/>
    <cellStyle name="Input 2 4 5" xfId="51674" xr:uid="{00000000-0005-0000-0000-0000CEC90000}"/>
    <cellStyle name="Input 2 4 6" xfId="51675" xr:uid="{00000000-0005-0000-0000-0000CFC90000}"/>
    <cellStyle name="Input 2 5" xfId="51676" xr:uid="{00000000-0005-0000-0000-0000D0C90000}"/>
    <cellStyle name="Input 2 5 2" xfId="51677" xr:uid="{00000000-0005-0000-0000-0000D1C90000}"/>
    <cellStyle name="Input 2 5 3" xfId="51678" xr:uid="{00000000-0005-0000-0000-0000D2C90000}"/>
    <cellStyle name="Input 2 5 4" xfId="51679" xr:uid="{00000000-0005-0000-0000-0000D3C90000}"/>
    <cellStyle name="Input 2 5 5" xfId="51680" xr:uid="{00000000-0005-0000-0000-0000D4C90000}"/>
    <cellStyle name="Input 2 5 6" xfId="51681" xr:uid="{00000000-0005-0000-0000-0000D5C90000}"/>
    <cellStyle name="Input 2 6" xfId="51682" xr:uid="{00000000-0005-0000-0000-0000D6C90000}"/>
    <cellStyle name="Input 2 6 2" xfId="51683" xr:uid="{00000000-0005-0000-0000-0000D7C90000}"/>
    <cellStyle name="Input 2 6 3" xfId="51684" xr:uid="{00000000-0005-0000-0000-0000D8C90000}"/>
    <cellStyle name="Input 2 6 4" xfId="51685" xr:uid="{00000000-0005-0000-0000-0000D9C90000}"/>
    <cellStyle name="Input 2 6 5" xfId="51686" xr:uid="{00000000-0005-0000-0000-0000DAC90000}"/>
    <cellStyle name="Input 2 6 6" xfId="51687" xr:uid="{00000000-0005-0000-0000-0000DBC90000}"/>
    <cellStyle name="Input 2 7" xfId="51688" xr:uid="{00000000-0005-0000-0000-0000DCC90000}"/>
    <cellStyle name="Input 2 7 2" xfId="51689" xr:uid="{00000000-0005-0000-0000-0000DDC90000}"/>
    <cellStyle name="Input 2 7 3" xfId="51690" xr:uid="{00000000-0005-0000-0000-0000DEC90000}"/>
    <cellStyle name="Input 2 7 4" xfId="51691" xr:uid="{00000000-0005-0000-0000-0000DFC90000}"/>
    <cellStyle name="Input 2 7 5" xfId="51692" xr:uid="{00000000-0005-0000-0000-0000E0C90000}"/>
    <cellStyle name="Input 2 7 6" xfId="51693" xr:uid="{00000000-0005-0000-0000-0000E1C90000}"/>
    <cellStyle name="Input 2 8" xfId="51694" xr:uid="{00000000-0005-0000-0000-0000E2C90000}"/>
    <cellStyle name="Input 2 8 2" xfId="51695" xr:uid="{00000000-0005-0000-0000-0000E3C90000}"/>
    <cellStyle name="Input 2 8 3" xfId="51696" xr:uid="{00000000-0005-0000-0000-0000E4C90000}"/>
    <cellStyle name="Input 2 8 4" xfId="51697" xr:uid="{00000000-0005-0000-0000-0000E5C90000}"/>
    <cellStyle name="Input 2 8 5" xfId="51698" xr:uid="{00000000-0005-0000-0000-0000E6C90000}"/>
    <cellStyle name="Input 2 8 6" xfId="51699" xr:uid="{00000000-0005-0000-0000-0000E7C90000}"/>
    <cellStyle name="Input 2 9" xfId="51700" xr:uid="{00000000-0005-0000-0000-0000E8C90000}"/>
    <cellStyle name="Input 2 9 2" xfId="51701" xr:uid="{00000000-0005-0000-0000-0000E9C90000}"/>
    <cellStyle name="Input 2 9 3" xfId="51702" xr:uid="{00000000-0005-0000-0000-0000EAC90000}"/>
    <cellStyle name="Input 2 9 4" xfId="51703" xr:uid="{00000000-0005-0000-0000-0000EBC90000}"/>
    <cellStyle name="Input 2 9 5" xfId="51704" xr:uid="{00000000-0005-0000-0000-0000ECC90000}"/>
    <cellStyle name="Input 2 9 6" xfId="51705" xr:uid="{00000000-0005-0000-0000-0000EDC90000}"/>
    <cellStyle name="Input 2_update comparison " xfId="51706" xr:uid="{00000000-0005-0000-0000-0000EEC90000}"/>
    <cellStyle name="Input 20" xfId="51707" xr:uid="{00000000-0005-0000-0000-0000EFC90000}"/>
    <cellStyle name="Input 20 10" xfId="51708" xr:uid="{00000000-0005-0000-0000-0000F0C90000}"/>
    <cellStyle name="Input 20 2" xfId="51709" xr:uid="{00000000-0005-0000-0000-0000F1C90000}"/>
    <cellStyle name="Input 20 2 2" xfId="51710" xr:uid="{00000000-0005-0000-0000-0000F2C90000}"/>
    <cellStyle name="Input 20 2 3" xfId="51711" xr:uid="{00000000-0005-0000-0000-0000F3C90000}"/>
    <cellStyle name="Input 20 2 4" xfId="51712" xr:uid="{00000000-0005-0000-0000-0000F4C90000}"/>
    <cellStyle name="Input 20 2 5" xfId="51713" xr:uid="{00000000-0005-0000-0000-0000F5C90000}"/>
    <cellStyle name="Input 20 2 6" xfId="51714" xr:uid="{00000000-0005-0000-0000-0000F6C90000}"/>
    <cellStyle name="Input 20 3" xfId="51715" xr:uid="{00000000-0005-0000-0000-0000F7C90000}"/>
    <cellStyle name="Input 20 3 2" xfId="51716" xr:uid="{00000000-0005-0000-0000-0000F8C90000}"/>
    <cellStyle name="Input 20 3 3" xfId="51717" xr:uid="{00000000-0005-0000-0000-0000F9C90000}"/>
    <cellStyle name="Input 20 3 4" xfId="51718" xr:uid="{00000000-0005-0000-0000-0000FAC90000}"/>
    <cellStyle name="Input 20 3 5" xfId="51719" xr:uid="{00000000-0005-0000-0000-0000FBC90000}"/>
    <cellStyle name="Input 20 3 6" xfId="51720" xr:uid="{00000000-0005-0000-0000-0000FCC90000}"/>
    <cellStyle name="Input 20 4" xfId="51721" xr:uid="{00000000-0005-0000-0000-0000FDC90000}"/>
    <cellStyle name="Input 20 4 2" xfId="51722" xr:uid="{00000000-0005-0000-0000-0000FEC90000}"/>
    <cellStyle name="Input 20 4 3" xfId="51723" xr:uid="{00000000-0005-0000-0000-0000FFC90000}"/>
    <cellStyle name="Input 20 4 4" xfId="51724" xr:uid="{00000000-0005-0000-0000-000000CA0000}"/>
    <cellStyle name="Input 20 4 5" xfId="51725" xr:uid="{00000000-0005-0000-0000-000001CA0000}"/>
    <cellStyle name="Input 20 4 6" xfId="51726" xr:uid="{00000000-0005-0000-0000-000002CA0000}"/>
    <cellStyle name="Input 20 5" xfId="51727" xr:uid="{00000000-0005-0000-0000-000003CA0000}"/>
    <cellStyle name="Input 20 5 2" xfId="51728" xr:uid="{00000000-0005-0000-0000-000004CA0000}"/>
    <cellStyle name="Input 20 5 3" xfId="51729" xr:uid="{00000000-0005-0000-0000-000005CA0000}"/>
    <cellStyle name="Input 20 5 4" xfId="51730" xr:uid="{00000000-0005-0000-0000-000006CA0000}"/>
    <cellStyle name="Input 20 5 5" xfId="51731" xr:uid="{00000000-0005-0000-0000-000007CA0000}"/>
    <cellStyle name="Input 20 5 6" xfId="51732" xr:uid="{00000000-0005-0000-0000-000008CA0000}"/>
    <cellStyle name="Input 20 6" xfId="51733" xr:uid="{00000000-0005-0000-0000-000009CA0000}"/>
    <cellStyle name="Input 20 6 2" xfId="51734" xr:uid="{00000000-0005-0000-0000-00000ACA0000}"/>
    <cellStyle name="Input 20 6 3" xfId="51735" xr:uid="{00000000-0005-0000-0000-00000BCA0000}"/>
    <cellStyle name="Input 20 6 4" xfId="51736" xr:uid="{00000000-0005-0000-0000-00000CCA0000}"/>
    <cellStyle name="Input 20 6 5" xfId="51737" xr:uid="{00000000-0005-0000-0000-00000DCA0000}"/>
    <cellStyle name="Input 20 6 6" xfId="51738" xr:uid="{00000000-0005-0000-0000-00000ECA0000}"/>
    <cellStyle name="Input 20 7" xfId="51739" xr:uid="{00000000-0005-0000-0000-00000FCA0000}"/>
    <cellStyle name="Input 20 7 2" xfId="51740" xr:uid="{00000000-0005-0000-0000-000010CA0000}"/>
    <cellStyle name="Input 20 7 3" xfId="51741" xr:uid="{00000000-0005-0000-0000-000011CA0000}"/>
    <cellStyle name="Input 20 7 4" xfId="51742" xr:uid="{00000000-0005-0000-0000-000012CA0000}"/>
    <cellStyle name="Input 20 7 5" xfId="51743" xr:uid="{00000000-0005-0000-0000-000013CA0000}"/>
    <cellStyle name="Input 20 7 6" xfId="51744" xr:uid="{00000000-0005-0000-0000-000014CA0000}"/>
    <cellStyle name="Input 20 8" xfId="51745" xr:uid="{00000000-0005-0000-0000-000015CA0000}"/>
    <cellStyle name="Input 20 9" xfId="51746" xr:uid="{00000000-0005-0000-0000-000016CA0000}"/>
    <cellStyle name="Input 21" xfId="51747" xr:uid="{00000000-0005-0000-0000-000017CA0000}"/>
    <cellStyle name="Input 21 10" xfId="51748" xr:uid="{00000000-0005-0000-0000-000018CA0000}"/>
    <cellStyle name="Input 21 2" xfId="51749" xr:uid="{00000000-0005-0000-0000-000019CA0000}"/>
    <cellStyle name="Input 21 2 2" xfId="51750" xr:uid="{00000000-0005-0000-0000-00001ACA0000}"/>
    <cellStyle name="Input 21 2 3" xfId="51751" xr:uid="{00000000-0005-0000-0000-00001BCA0000}"/>
    <cellStyle name="Input 21 2 4" xfId="51752" xr:uid="{00000000-0005-0000-0000-00001CCA0000}"/>
    <cellStyle name="Input 21 2 5" xfId="51753" xr:uid="{00000000-0005-0000-0000-00001DCA0000}"/>
    <cellStyle name="Input 21 2 6" xfId="51754" xr:uid="{00000000-0005-0000-0000-00001ECA0000}"/>
    <cellStyle name="Input 21 3" xfId="51755" xr:uid="{00000000-0005-0000-0000-00001FCA0000}"/>
    <cellStyle name="Input 21 3 2" xfId="51756" xr:uid="{00000000-0005-0000-0000-000020CA0000}"/>
    <cellStyle name="Input 21 3 3" xfId="51757" xr:uid="{00000000-0005-0000-0000-000021CA0000}"/>
    <cellStyle name="Input 21 3 4" xfId="51758" xr:uid="{00000000-0005-0000-0000-000022CA0000}"/>
    <cellStyle name="Input 21 3 5" xfId="51759" xr:uid="{00000000-0005-0000-0000-000023CA0000}"/>
    <cellStyle name="Input 21 3 6" xfId="51760" xr:uid="{00000000-0005-0000-0000-000024CA0000}"/>
    <cellStyle name="Input 21 4" xfId="51761" xr:uid="{00000000-0005-0000-0000-000025CA0000}"/>
    <cellStyle name="Input 21 4 2" xfId="51762" xr:uid="{00000000-0005-0000-0000-000026CA0000}"/>
    <cellStyle name="Input 21 4 3" xfId="51763" xr:uid="{00000000-0005-0000-0000-000027CA0000}"/>
    <cellStyle name="Input 21 4 4" xfId="51764" xr:uid="{00000000-0005-0000-0000-000028CA0000}"/>
    <cellStyle name="Input 21 4 5" xfId="51765" xr:uid="{00000000-0005-0000-0000-000029CA0000}"/>
    <cellStyle name="Input 21 4 6" xfId="51766" xr:uid="{00000000-0005-0000-0000-00002ACA0000}"/>
    <cellStyle name="Input 21 5" xfId="51767" xr:uid="{00000000-0005-0000-0000-00002BCA0000}"/>
    <cellStyle name="Input 21 5 2" xfId="51768" xr:uid="{00000000-0005-0000-0000-00002CCA0000}"/>
    <cellStyle name="Input 21 5 3" xfId="51769" xr:uid="{00000000-0005-0000-0000-00002DCA0000}"/>
    <cellStyle name="Input 21 5 4" xfId="51770" xr:uid="{00000000-0005-0000-0000-00002ECA0000}"/>
    <cellStyle name="Input 21 5 5" xfId="51771" xr:uid="{00000000-0005-0000-0000-00002FCA0000}"/>
    <cellStyle name="Input 21 5 6" xfId="51772" xr:uid="{00000000-0005-0000-0000-000030CA0000}"/>
    <cellStyle name="Input 21 6" xfId="51773" xr:uid="{00000000-0005-0000-0000-000031CA0000}"/>
    <cellStyle name="Input 21 6 2" xfId="51774" xr:uid="{00000000-0005-0000-0000-000032CA0000}"/>
    <cellStyle name="Input 21 6 3" xfId="51775" xr:uid="{00000000-0005-0000-0000-000033CA0000}"/>
    <cellStyle name="Input 21 6 4" xfId="51776" xr:uid="{00000000-0005-0000-0000-000034CA0000}"/>
    <cellStyle name="Input 21 6 5" xfId="51777" xr:uid="{00000000-0005-0000-0000-000035CA0000}"/>
    <cellStyle name="Input 21 6 6" xfId="51778" xr:uid="{00000000-0005-0000-0000-000036CA0000}"/>
    <cellStyle name="Input 21 7" xfId="51779" xr:uid="{00000000-0005-0000-0000-000037CA0000}"/>
    <cellStyle name="Input 21 7 2" xfId="51780" xr:uid="{00000000-0005-0000-0000-000038CA0000}"/>
    <cellStyle name="Input 21 7 3" xfId="51781" xr:uid="{00000000-0005-0000-0000-000039CA0000}"/>
    <cellStyle name="Input 21 7 4" xfId="51782" xr:uid="{00000000-0005-0000-0000-00003ACA0000}"/>
    <cellStyle name="Input 21 7 5" xfId="51783" xr:uid="{00000000-0005-0000-0000-00003BCA0000}"/>
    <cellStyle name="Input 21 7 6" xfId="51784" xr:uid="{00000000-0005-0000-0000-00003CCA0000}"/>
    <cellStyle name="Input 21 8" xfId="51785" xr:uid="{00000000-0005-0000-0000-00003DCA0000}"/>
    <cellStyle name="Input 21 9" xfId="51786" xr:uid="{00000000-0005-0000-0000-00003ECA0000}"/>
    <cellStyle name="Input 22" xfId="51787" xr:uid="{00000000-0005-0000-0000-00003FCA0000}"/>
    <cellStyle name="Input 22 10" xfId="51788" xr:uid="{00000000-0005-0000-0000-000040CA0000}"/>
    <cellStyle name="Input 22 2" xfId="51789" xr:uid="{00000000-0005-0000-0000-000041CA0000}"/>
    <cellStyle name="Input 22 2 2" xfId="51790" xr:uid="{00000000-0005-0000-0000-000042CA0000}"/>
    <cellStyle name="Input 22 2 3" xfId="51791" xr:uid="{00000000-0005-0000-0000-000043CA0000}"/>
    <cellStyle name="Input 22 2 4" xfId="51792" xr:uid="{00000000-0005-0000-0000-000044CA0000}"/>
    <cellStyle name="Input 22 2 5" xfId="51793" xr:uid="{00000000-0005-0000-0000-000045CA0000}"/>
    <cellStyle name="Input 22 2 6" xfId="51794" xr:uid="{00000000-0005-0000-0000-000046CA0000}"/>
    <cellStyle name="Input 22 3" xfId="51795" xr:uid="{00000000-0005-0000-0000-000047CA0000}"/>
    <cellStyle name="Input 22 3 2" xfId="51796" xr:uid="{00000000-0005-0000-0000-000048CA0000}"/>
    <cellStyle name="Input 22 3 3" xfId="51797" xr:uid="{00000000-0005-0000-0000-000049CA0000}"/>
    <cellStyle name="Input 22 3 4" xfId="51798" xr:uid="{00000000-0005-0000-0000-00004ACA0000}"/>
    <cellStyle name="Input 22 3 5" xfId="51799" xr:uid="{00000000-0005-0000-0000-00004BCA0000}"/>
    <cellStyle name="Input 22 3 6" xfId="51800" xr:uid="{00000000-0005-0000-0000-00004CCA0000}"/>
    <cellStyle name="Input 22 4" xfId="51801" xr:uid="{00000000-0005-0000-0000-00004DCA0000}"/>
    <cellStyle name="Input 22 4 2" xfId="51802" xr:uid="{00000000-0005-0000-0000-00004ECA0000}"/>
    <cellStyle name="Input 22 4 3" xfId="51803" xr:uid="{00000000-0005-0000-0000-00004FCA0000}"/>
    <cellStyle name="Input 22 4 4" xfId="51804" xr:uid="{00000000-0005-0000-0000-000050CA0000}"/>
    <cellStyle name="Input 22 4 5" xfId="51805" xr:uid="{00000000-0005-0000-0000-000051CA0000}"/>
    <cellStyle name="Input 22 4 6" xfId="51806" xr:uid="{00000000-0005-0000-0000-000052CA0000}"/>
    <cellStyle name="Input 22 5" xfId="51807" xr:uid="{00000000-0005-0000-0000-000053CA0000}"/>
    <cellStyle name="Input 22 5 2" xfId="51808" xr:uid="{00000000-0005-0000-0000-000054CA0000}"/>
    <cellStyle name="Input 22 5 3" xfId="51809" xr:uid="{00000000-0005-0000-0000-000055CA0000}"/>
    <cellStyle name="Input 22 5 4" xfId="51810" xr:uid="{00000000-0005-0000-0000-000056CA0000}"/>
    <cellStyle name="Input 22 5 5" xfId="51811" xr:uid="{00000000-0005-0000-0000-000057CA0000}"/>
    <cellStyle name="Input 22 5 6" xfId="51812" xr:uid="{00000000-0005-0000-0000-000058CA0000}"/>
    <cellStyle name="Input 22 6" xfId="51813" xr:uid="{00000000-0005-0000-0000-000059CA0000}"/>
    <cellStyle name="Input 22 6 2" xfId="51814" xr:uid="{00000000-0005-0000-0000-00005ACA0000}"/>
    <cellStyle name="Input 22 6 3" xfId="51815" xr:uid="{00000000-0005-0000-0000-00005BCA0000}"/>
    <cellStyle name="Input 22 6 4" xfId="51816" xr:uid="{00000000-0005-0000-0000-00005CCA0000}"/>
    <cellStyle name="Input 22 6 5" xfId="51817" xr:uid="{00000000-0005-0000-0000-00005DCA0000}"/>
    <cellStyle name="Input 22 6 6" xfId="51818" xr:uid="{00000000-0005-0000-0000-00005ECA0000}"/>
    <cellStyle name="Input 22 7" xfId="51819" xr:uid="{00000000-0005-0000-0000-00005FCA0000}"/>
    <cellStyle name="Input 22 7 2" xfId="51820" xr:uid="{00000000-0005-0000-0000-000060CA0000}"/>
    <cellStyle name="Input 22 7 3" xfId="51821" xr:uid="{00000000-0005-0000-0000-000061CA0000}"/>
    <cellStyle name="Input 22 7 4" xfId="51822" xr:uid="{00000000-0005-0000-0000-000062CA0000}"/>
    <cellStyle name="Input 22 7 5" xfId="51823" xr:uid="{00000000-0005-0000-0000-000063CA0000}"/>
    <cellStyle name="Input 22 7 6" xfId="51824" xr:uid="{00000000-0005-0000-0000-000064CA0000}"/>
    <cellStyle name="Input 22 8" xfId="51825" xr:uid="{00000000-0005-0000-0000-000065CA0000}"/>
    <cellStyle name="Input 22 9" xfId="51826" xr:uid="{00000000-0005-0000-0000-000066CA0000}"/>
    <cellStyle name="Input 23" xfId="51827" xr:uid="{00000000-0005-0000-0000-000067CA0000}"/>
    <cellStyle name="Input 23 10" xfId="51828" xr:uid="{00000000-0005-0000-0000-000068CA0000}"/>
    <cellStyle name="Input 23 2" xfId="51829" xr:uid="{00000000-0005-0000-0000-000069CA0000}"/>
    <cellStyle name="Input 23 2 2" xfId="51830" xr:uid="{00000000-0005-0000-0000-00006ACA0000}"/>
    <cellStyle name="Input 23 2 3" xfId="51831" xr:uid="{00000000-0005-0000-0000-00006BCA0000}"/>
    <cellStyle name="Input 23 2 4" xfId="51832" xr:uid="{00000000-0005-0000-0000-00006CCA0000}"/>
    <cellStyle name="Input 23 2 5" xfId="51833" xr:uid="{00000000-0005-0000-0000-00006DCA0000}"/>
    <cellStyle name="Input 23 2 6" xfId="51834" xr:uid="{00000000-0005-0000-0000-00006ECA0000}"/>
    <cellStyle name="Input 23 3" xfId="51835" xr:uid="{00000000-0005-0000-0000-00006FCA0000}"/>
    <cellStyle name="Input 23 3 2" xfId="51836" xr:uid="{00000000-0005-0000-0000-000070CA0000}"/>
    <cellStyle name="Input 23 3 3" xfId="51837" xr:uid="{00000000-0005-0000-0000-000071CA0000}"/>
    <cellStyle name="Input 23 3 4" xfId="51838" xr:uid="{00000000-0005-0000-0000-000072CA0000}"/>
    <cellStyle name="Input 23 3 5" xfId="51839" xr:uid="{00000000-0005-0000-0000-000073CA0000}"/>
    <cellStyle name="Input 23 3 6" xfId="51840" xr:uid="{00000000-0005-0000-0000-000074CA0000}"/>
    <cellStyle name="Input 23 4" xfId="51841" xr:uid="{00000000-0005-0000-0000-000075CA0000}"/>
    <cellStyle name="Input 23 4 2" xfId="51842" xr:uid="{00000000-0005-0000-0000-000076CA0000}"/>
    <cellStyle name="Input 23 4 3" xfId="51843" xr:uid="{00000000-0005-0000-0000-000077CA0000}"/>
    <cellStyle name="Input 23 4 4" xfId="51844" xr:uid="{00000000-0005-0000-0000-000078CA0000}"/>
    <cellStyle name="Input 23 4 5" xfId="51845" xr:uid="{00000000-0005-0000-0000-000079CA0000}"/>
    <cellStyle name="Input 23 4 6" xfId="51846" xr:uid="{00000000-0005-0000-0000-00007ACA0000}"/>
    <cellStyle name="Input 23 5" xfId="51847" xr:uid="{00000000-0005-0000-0000-00007BCA0000}"/>
    <cellStyle name="Input 23 5 2" xfId="51848" xr:uid="{00000000-0005-0000-0000-00007CCA0000}"/>
    <cellStyle name="Input 23 5 3" xfId="51849" xr:uid="{00000000-0005-0000-0000-00007DCA0000}"/>
    <cellStyle name="Input 23 5 4" xfId="51850" xr:uid="{00000000-0005-0000-0000-00007ECA0000}"/>
    <cellStyle name="Input 23 5 5" xfId="51851" xr:uid="{00000000-0005-0000-0000-00007FCA0000}"/>
    <cellStyle name="Input 23 5 6" xfId="51852" xr:uid="{00000000-0005-0000-0000-000080CA0000}"/>
    <cellStyle name="Input 23 6" xfId="51853" xr:uid="{00000000-0005-0000-0000-000081CA0000}"/>
    <cellStyle name="Input 23 6 2" xfId="51854" xr:uid="{00000000-0005-0000-0000-000082CA0000}"/>
    <cellStyle name="Input 23 6 3" xfId="51855" xr:uid="{00000000-0005-0000-0000-000083CA0000}"/>
    <cellStyle name="Input 23 6 4" xfId="51856" xr:uid="{00000000-0005-0000-0000-000084CA0000}"/>
    <cellStyle name="Input 23 6 5" xfId="51857" xr:uid="{00000000-0005-0000-0000-000085CA0000}"/>
    <cellStyle name="Input 23 6 6" xfId="51858" xr:uid="{00000000-0005-0000-0000-000086CA0000}"/>
    <cellStyle name="Input 23 7" xfId="51859" xr:uid="{00000000-0005-0000-0000-000087CA0000}"/>
    <cellStyle name="Input 23 7 2" xfId="51860" xr:uid="{00000000-0005-0000-0000-000088CA0000}"/>
    <cellStyle name="Input 23 7 3" xfId="51861" xr:uid="{00000000-0005-0000-0000-000089CA0000}"/>
    <cellStyle name="Input 23 7 4" xfId="51862" xr:uid="{00000000-0005-0000-0000-00008ACA0000}"/>
    <cellStyle name="Input 23 7 5" xfId="51863" xr:uid="{00000000-0005-0000-0000-00008BCA0000}"/>
    <cellStyle name="Input 23 7 6" xfId="51864" xr:uid="{00000000-0005-0000-0000-00008CCA0000}"/>
    <cellStyle name="Input 23 8" xfId="51865" xr:uid="{00000000-0005-0000-0000-00008DCA0000}"/>
    <cellStyle name="Input 23 9" xfId="51866" xr:uid="{00000000-0005-0000-0000-00008ECA0000}"/>
    <cellStyle name="Input 24" xfId="51867" xr:uid="{00000000-0005-0000-0000-00008FCA0000}"/>
    <cellStyle name="Input 24 10" xfId="51868" xr:uid="{00000000-0005-0000-0000-000090CA0000}"/>
    <cellStyle name="Input 24 2" xfId="51869" xr:uid="{00000000-0005-0000-0000-000091CA0000}"/>
    <cellStyle name="Input 24 2 2" xfId="51870" xr:uid="{00000000-0005-0000-0000-000092CA0000}"/>
    <cellStyle name="Input 24 2 3" xfId="51871" xr:uid="{00000000-0005-0000-0000-000093CA0000}"/>
    <cellStyle name="Input 24 2 4" xfId="51872" xr:uid="{00000000-0005-0000-0000-000094CA0000}"/>
    <cellStyle name="Input 24 2 5" xfId="51873" xr:uid="{00000000-0005-0000-0000-000095CA0000}"/>
    <cellStyle name="Input 24 2 6" xfId="51874" xr:uid="{00000000-0005-0000-0000-000096CA0000}"/>
    <cellStyle name="Input 24 3" xfId="51875" xr:uid="{00000000-0005-0000-0000-000097CA0000}"/>
    <cellStyle name="Input 24 3 2" xfId="51876" xr:uid="{00000000-0005-0000-0000-000098CA0000}"/>
    <cellStyle name="Input 24 3 3" xfId="51877" xr:uid="{00000000-0005-0000-0000-000099CA0000}"/>
    <cellStyle name="Input 24 3 4" xfId="51878" xr:uid="{00000000-0005-0000-0000-00009ACA0000}"/>
    <cellStyle name="Input 24 3 5" xfId="51879" xr:uid="{00000000-0005-0000-0000-00009BCA0000}"/>
    <cellStyle name="Input 24 3 6" xfId="51880" xr:uid="{00000000-0005-0000-0000-00009CCA0000}"/>
    <cellStyle name="Input 24 4" xfId="51881" xr:uid="{00000000-0005-0000-0000-00009DCA0000}"/>
    <cellStyle name="Input 24 4 2" xfId="51882" xr:uid="{00000000-0005-0000-0000-00009ECA0000}"/>
    <cellStyle name="Input 24 4 3" xfId="51883" xr:uid="{00000000-0005-0000-0000-00009FCA0000}"/>
    <cellStyle name="Input 24 4 4" xfId="51884" xr:uid="{00000000-0005-0000-0000-0000A0CA0000}"/>
    <cellStyle name="Input 24 4 5" xfId="51885" xr:uid="{00000000-0005-0000-0000-0000A1CA0000}"/>
    <cellStyle name="Input 24 4 6" xfId="51886" xr:uid="{00000000-0005-0000-0000-0000A2CA0000}"/>
    <cellStyle name="Input 24 5" xfId="51887" xr:uid="{00000000-0005-0000-0000-0000A3CA0000}"/>
    <cellStyle name="Input 24 5 2" xfId="51888" xr:uid="{00000000-0005-0000-0000-0000A4CA0000}"/>
    <cellStyle name="Input 24 5 3" xfId="51889" xr:uid="{00000000-0005-0000-0000-0000A5CA0000}"/>
    <cellStyle name="Input 24 5 4" xfId="51890" xr:uid="{00000000-0005-0000-0000-0000A6CA0000}"/>
    <cellStyle name="Input 24 5 5" xfId="51891" xr:uid="{00000000-0005-0000-0000-0000A7CA0000}"/>
    <cellStyle name="Input 24 5 6" xfId="51892" xr:uid="{00000000-0005-0000-0000-0000A8CA0000}"/>
    <cellStyle name="Input 24 6" xfId="51893" xr:uid="{00000000-0005-0000-0000-0000A9CA0000}"/>
    <cellStyle name="Input 24 6 2" xfId="51894" xr:uid="{00000000-0005-0000-0000-0000AACA0000}"/>
    <cellStyle name="Input 24 6 3" xfId="51895" xr:uid="{00000000-0005-0000-0000-0000ABCA0000}"/>
    <cellStyle name="Input 24 6 4" xfId="51896" xr:uid="{00000000-0005-0000-0000-0000ACCA0000}"/>
    <cellStyle name="Input 24 6 5" xfId="51897" xr:uid="{00000000-0005-0000-0000-0000ADCA0000}"/>
    <cellStyle name="Input 24 6 6" xfId="51898" xr:uid="{00000000-0005-0000-0000-0000AECA0000}"/>
    <cellStyle name="Input 24 7" xfId="51899" xr:uid="{00000000-0005-0000-0000-0000AFCA0000}"/>
    <cellStyle name="Input 24 7 2" xfId="51900" xr:uid="{00000000-0005-0000-0000-0000B0CA0000}"/>
    <cellStyle name="Input 24 7 3" xfId="51901" xr:uid="{00000000-0005-0000-0000-0000B1CA0000}"/>
    <cellStyle name="Input 24 7 4" xfId="51902" xr:uid="{00000000-0005-0000-0000-0000B2CA0000}"/>
    <cellStyle name="Input 24 7 5" xfId="51903" xr:uid="{00000000-0005-0000-0000-0000B3CA0000}"/>
    <cellStyle name="Input 24 7 6" xfId="51904" xr:uid="{00000000-0005-0000-0000-0000B4CA0000}"/>
    <cellStyle name="Input 24 8" xfId="51905" xr:uid="{00000000-0005-0000-0000-0000B5CA0000}"/>
    <cellStyle name="Input 24 9" xfId="51906" xr:uid="{00000000-0005-0000-0000-0000B6CA0000}"/>
    <cellStyle name="Input 3" xfId="51907" xr:uid="{00000000-0005-0000-0000-0000B7CA0000}"/>
    <cellStyle name="Input 3 10" xfId="51908" xr:uid="{00000000-0005-0000-0000-0000B8CA0000}"/>
    <cellStyle name="Input 3 11" xfId="51909" xr:uid="{00000000-0005-0000-0000-0000B9CA0000}"/>
    <cellStyle name="Input 3 2" xfId="51910" xr:uid="{00000000-0005-0000-0000-0000BACA0000}"/>
    <cellStyle name="Input 3 2 2" xfId="51911" xr:uid="{00000000-0005-0000-0000-0000BBCA0000}"/>
    <cellStyle name="Input 3 2 3" xfId="51912" xr:uid="{00000000-0005-0000-0000-0000BCCA0000}"/>
    <cellStyle name="Input 3 2 4" xfId="51913" xr:uid="{00000000-0005-0000-0000-0000BDCA0000}"/>
    <cellStyle name="Input 3 2 5" xfId="51914" xr:uid="{00000000-0005-0000-0000-0000BECA0000}"/>
    <cellStyle name="Input 3 2 6" xfId="51915" xr:uid="{00000000-0005-0000-0000-0000BFCA0000}"/>
    <cellStyle name="Input 3 3" xfId="51916" xr:uid="{00000000-0005-0000-0000-0000C0CA0000}"/>
    <cellStyle name="Input 3 3 2" xfId="51917" xr:uid="{00000000-0005-0000-0000-0000C1CA0000}"/>
    <cellStyle name="Input 3 3 3" xfId="51918" xr:uid="{00000000-0005-0000-0000-0000C2CA0000}"/>
    <cellStyle name="Input 3 3 4" xfId="51919" xr:uid="{00000000-0005-0000-0000-0000C3CA0000}"/>
    <cellStyle name="Input 3 3 5" xfId="51920" xr:uid="{00000000-0005-0000-0000-0000C4CA0000}"/>
    <cellStyle name="Input 3 3 6" xfId="51921" xr:uid="{00000000-0005-0000-0000-0000C5CA0000}"/>
    <cellStyle name="Input 3 4" xfId="51922" xr:uid="{00000000-0005-0000-0000-0000C6CA0000}"/>
    <cellStyle name="Input 3 4 2" xfId="51923" xr:uid="{00000000-0005-0000-0000-0000C7CA0000}"/>
    <cellStyle name="Input 3 4 3" xfId="51924" xr:uid="{00000000-0005-0000-0000-0000C8CA0000}"/>
    <cellStyle name="Input 3 4 4" xfId="51925" xr:uid="{00000000-0005-0000-0000-0000C9CA0000}"/>
    <cellStyle name="Input 3 4 5" xfId="51926" xr:uid="{00000000-0005-0000-0000-0000CACA0000}"/>
    <cellStyle name="Input 3 4 6" xfId="51927" xr:uid="{00000000-0005-0000-0000-0000CBCA0000}"/>
    <cellStyle name="Input 3 5" xfId="51928" xr:uid="{00000000-0005-0000-0000-0000CCCA0000}"/>
    <cellStyle name="Input 3 5 2" xfId="51929" xr:uid="{00000000-0005-0000-0000-0000CDCA0000}"/>
    <cellStyle name="Input 3 5 3" xfId="51930" xr:uid="{00000000-0005-0000-0000-0000CECA0000}"/>
    <cellStyle name="Input 3 5 4" xfId="51931" xr:uid="{00000000-0005-0000-0000-0000CFCA0000}"/>
    <cellStyle name="Input 3 5 5" xfId="51932" xr:uid="{00000000-0005-0000-0000-0000D0CA0000}"/>
    <cellStyle name="Input 3 5 6" xfId="51933" xr:uid="{00000000-0005-0000-0000-0000D1CA0000}"/>
    <cellStyle name="Input 3 6" xfId="51934" xr:uid="{00000000-0005-0000-0000-0000D2CA0000}"/>
    <cellStyle name="Input 3 6 2" xfId="51935" xr:uid="{00000000-0005-0000-0000-0000D3CA0000}"/>
    <cellStyle name="Input 3 6 3" xfId="51936" xr:uid="{00000000-0005-0000-0000-0000D4CA0000}"/>
    <cellStyle name="Input 3 6 4" xfId="51937" xr:uid="{00000000-0005-0000-0000-0000D5CA0000}"/>
    <cellStyle name="Input 3 6 5" xfId="51938" xr:uid="{00000000-0005-0000-0000-0000D6CA0000}"/>
    <cellStyle name="Input 3 6 6" xfId="51939" xr:uid="{00000000-0005-0000-0000-0000D7CA0000}"/>
    <cellStyle name="Input 3 7" xfId="51940" xr:uid="{00000000-0005-0000-0000-0000D8CA0000}"/>
    <cellStyle name="Input 3 7 2" xfId="51941" xr:uid="{00000000-0005-0000-0000-0000D9CA0000}"/>
    <cellStyle name="Input 3 7 3" xfId="51942" xr:uid="{00000000-0005-0000-0000-0000DACA0000}"/>
    <cellStyle name="Input 3 7 4" xfId="51943" xr:uid="{00000000-0005-0000-0000-0000DBCA0000}"/>
    <cellStyle name="Input 3 7 5" xfId="51944" xr:uid="{00000000-0005-0000-0000-0000DCCA0000}"/>
    <cellStyle name="Input 3 7 6" xfId="51945" xr:uid="{00000000-0005-0000-0000-0000DDCA0000}"/>
    <cellStyle name="Input 3 8" xfId="51946" xr:uid="{00000000-0005-0000-0000-0000DECA0000}"/>
    <cellStyle name="Input 3 9" xfId="51947" xr:uid="{00000000-0005-0000-0000-0000DFCA0000}"/>
    <cellStyle name="Input 4" xfId="51948" xr:uid="{00000000-0005-0000-0000-0000E0CA0000}"/>
    <cellStyle name="Input 4 10" xfId="51949" xr:uid="{00000000-0005-0000-0000-0000E1CA0000}"/>
    <cellStyle name="Input 4 11" xfId="51950" xr:uid="{00000000-0005-0000-0000-0000E2CA0000}"/>
    <cellStyle name="Input 4 2" xfId="51951" xr:uid="{00000000-0005-0000-0000-0000E3CA0000}"/>
    <cellStyle name="Input 4 2 2" xfId="51952" xr:uid="{00000000-0005-0000-0000-0000E4CA0000}"/>
    <cellStyle name="Input 4 2 3" xfId="51953" xr:uid="{00000000-0005-0000-0000-0000E5CA0000}"/>
    <cellStyle name="Input 4 2 4" xfId="51954" xr:uid="{00000000-0005-0000-0000-0000E6CA0000}"/>
    <cellStyle name="Input 4 2 5" xfId="51955" xr:uid="{00000000-0005-0000-0000-0000E7CA0000}"/>
    <cellStyle name="Input 4 2 6" xfId="51956" xr:uid="{00000000-0005-0000-0000-0000E8CA0000}"/>
    <cellStyle name="Input 4 3" xfId="51957" xr:uid="{00000000-0005-0000-0000-0000E9CA0000}"/>
    <cellStyle name="Input 4 3 2" xfId="51958" xr:uid="{00000000-0005-0000-0000-0000EACA0000}"/>
    <cellStyle name="Input 4 3 3" xfId="51959" xr:uid="{00000000-0005-0000-0000-0000EBCA0000}"/>
    <cellStyle name="Input 4 3 4" xfId="51960" xr:uid="{00000000-0005-0000-0000-0000ECCA0000}"/>
    <cellStyle name="Input 4 3 5" xfId="51961" xr:uid="{00000000-0005-0000-0000-0000EDCA0000}"/>
    <cellStyle name="Input 4 3 6" xfId="51962" xr:uid="{00000000-0005-0000-0000-0000EECA0000}"/>
    <cellStyle name="Input 4 4" xfId="51963" xr:uid="{00000000-0005-0000-0000-0000EFCA0000}"/>
    <cellStyle name="Input 4 4 2" xfId="51964" xr:uid="{00000000-0005-0000-0000-0000F0CA0000}"/>
    <cellStyle name="Input 4 4 3" xfId="51965" xr:uid="{00000000-0005-0000-0000-0000F1CA0000}"/>
    <cellStyle name="Input 4 4 4" xfId="51966" xr:uid="{00000000-0005-0000-0000-0000F2CA0000}"/>
    <cellStyle name="Input 4 4 5" xfId="51967" xr:uid="{00000000-0005-0000-0000-0000F3CA0000}"/>
    <cellStyle name="Input 4 4 6" xfId="51968" xr:uid="{00000000-0005-0000-0000-0000F4CA0000}"/>
    <cellStyle name="Input 4 5" xfId="51969" xr:uid="{00000000-0005-0000-0000-0000F5CA0000}"/>
    <cellStyle name="Input 4 5 2" xfId="51970" xr:uid="{00000000-0005-0000-0000-0000F6CA0000}"/>
    <cellStyle name="Input 4 5 3" xfId="51971" xr:uid="{00000000-0005-0000-0000-0000F7CA0000}"/>
    <cellStyle name="Input 4 5 4" xfId="51972" xr:uid="{00000000-0005-0000-0000-0000F8CA0000}"/>
    <cellStyle name="Input 4 5 5" xfId="51973" xr:uid="{00000000-0005-0000-0000-0000F9CA0000}"/>
    <cellStyle name="Input 4 5 6" xfId="51974" xr:uid="{00000000-0005-0000-0000-0000FACA0000}"/>
    <cellStyle name="Input 4 6" xfId="51975" xr:uid="{00000000-0005-0000-0000-0000FBCA0000}"/>
    <cellStyle name="Input 4 6 2" xfId="51976" xr:uid="{00000000-0005-0000-0000-0000FCCA0000}"/>
    <cellStyle name="Input 4 6 3" xfId="51977" xr:uid="{00000000-0005-0000-0000-0000FDCA0000}"/>
    <cellStyle name="Input 4 6 4" xfId="51978" xr:uid="{00000000-0005-0000-0000-0000FECA0000}"/>
    <cellStyle name="Input 4 6 5" xfId="51979" xr:uid="{00000000-0005-0000-0000-0000FFCA0000}"/>
    <cellStyle name="Input 4 6 6" xfId="51980" xr:uid="{00000000-0005-0000-0000-000000CB0000}"/>
    <cellStyle name="Input 4 7" xfId="51981" xr:uid="{00000000-0005-0000-0000-000001CB0000}"/>
    <cellStyle name="Input 4 7 2" xfId="51982" xr:uid="{00000000-0005-0000-0000-000002CB0000}"/>
    <cellStyle name="Input 4 7 3" xfId="51983" xr:uid="{00000000-0005-0000-0000-000003CB0000}"/>
    <cellStyle name="Input 4 7 4" xfId="51984" xr:uid="{00000000-0005-0000-0000-000004CB0000}"/>
    <cellStyle name="Input 4 7 5" xfId="51985" xr:uid="{00000000-0005-0000-0000-000005CB0000}"/>
    <cellStyle name="Input 4 7 6" xfId="51986" xr:uid="{00000000-0005-0000-0000-000006CB0000}"/>
    <cellStyle name="Input 4 8" xfId="51987" xr:uid="{00000000-0005-0000-0000-000007CB0000}"/>
    <cellStyle name="Input 4 9" xfId="51988" xr:uid="{00000000-0005-0000-0000-000008CB0000}"/>
    <cellStyle name="Input 5" xfId="51989" xr:uid="{00000000-0005-0000-0000-000009CB0000}"/>
    <cellStyle name="Input 5 10" xfId="51990" xr:uid="{00000000-0005-0000-0000-00000ACB0000}"/>
    <cellStyle name="Input 5 11" xfId="51991" xr:uid="{00000000-0005-0000-0000-00000BCB0000}"/>
    <cellStyle name="Input 5 2" xfId="51992" xr:uid="{00000000-0005-0000-0000-00000CCB0000}"/>
    <cellStyle name="Input 5 2 2" xfId="51993" xr:uid="{00000000-0005-0000-0000-00000DCB0000}"/>
    <cellStyle name="Input 5 2 3" xfId="51994" xr:uid="{00000000-0005-0000-0000-00000ECB0000}"/>
    <cellStyle name="Input 5 2 4" xfId="51995" xr:uid="{00000000-0005-0000-0000-00000FCB0000}"/>
    <cellStyle name="Input 5 2 5" xfId="51996" xr:uid="{00000000-0005-0000-0000-000010CB0000}"/>
    <cellStyle name="Input 5 2 6" xfId="51997" xr:uid="{00000000-0005-0000-0000-000011CB0000}"/>
    <cellStyle name="Input 5 3" xfId="51998" xr:uid="{00000000-0005-0000-0000-000012CB0000}"/>
    <cellStyle name="Input 5 3 2" xfId="51999" xr:uid="{00000000-0005-0000-0000-000013CB0000}"/>
    <cellStyle name="Input 5 3 3" xfId="52000" xr:uid="{00000000-0005-0000-0000-000014CB0000}"/>
    <cellStyle name="Input 5 3 4" xfId="52001" xr:uid="{00000000-0005-0000-0000-000015CB0000}"/>
    <cellStyle name="Input 5 3 5" xfId="52002" xr:uid="{00000000-0005-0000-0000-000016CB0000}"/>
    <cellStyle name="Input 5 3 6" xfId="52003" xr:uid="{00000000-0005-0000-0000-000017CB0000}"/>
    <cellStyle name="Input 5 4" xfId="52004" xr:uid="{00000000-0005-0000-0000-000018CB0000}"/>
    <cellStyle name="Input 5 4 2" xfId="52005" xr:uid="{00000000-0005-0000-0000-000019CB0000}"/>
    <cellStyle name="Input 5 4 3" xfId="52006" xr:uid="{00000000-0005-0000-0000-00001ACB0000}"/>
    <cellStyle name="Input 5 4 4" xfId="52007" xr:uid="{00000000-0005-0000-0000-00001BCB0000}"/>
    <cellStyle name="Input 5 4 5" xfId="52008" xr:uid="{00000000-0005-0000-0000-00001CCB0000}"/>
    <cellStyle name="Input 5 4 6" xfId="52009" xr:uid="{00000000-0005-0000-0000-00001DCB0000}"/>
    <cellStyle name="Input 5 5" xfId="52010" xr:uid="{00000000-0005-0000-0000-00001ECB0000}"/>
    <cellStyle name="Input 5 5 2" xfId="52011" xr:uid="{00000000-0005-0000-0000-00001FCB0000}"/>
    <cellStyle name="Input 5 5 3" xfId="52012" xr:uid="{00000000-0005-0000-0000-000020CB0000}"/>
    <cellStyle name="Input 5 5 4" xfId="52013" xr:uid="{00000000-0005-0000-0000-000021CB0000}"/>
    <cellStyle name="Input 5 5 5" xfId="52014" xr:uid="{00000000-0005-0000-0000-000022CB0000}"/>
    <cellStyle name="Input 5 5 6" xfId="52015" xr:uid="{00000000-0005-0000-0000-000023CB0000}"/>
    <cellStyle name="Input 5 6" xfId="52016" xr:uid="{00000000-0005-0000-0000-000024CB0000}"/>
    <cellStyle name="Input 5 6 2" xfId="52017" xr:uid="{00000000-0005-0000-0000-000025CB0000}"/>
    <cellStyle name="Input 5 6 3" xfId="52018" xr:uid="{00000000-0005-0000-0000-000026CB0000}"/>
    <cellStyle name="Input 5 6 4" xfId="52019" xr:uid="{00000000-0005-0000-0000-000027CB0000}"/>
    <cellStyle name="Input 5 6 5" xfId="52020" xr:uid="{00000000-0005-0000-0000-000028CB0000}"/>
    <cellStyle name="Input 5 6 6" xfId="52021" xr:uid="{00000000-0005-0000-0000-000029CB0000}"/>
    <cellStyle name="Input 5 7" xfId="52022" xr:uid="{00000000-0005-0000-0000-00002ACB0000}"/>
    <cellStyle name="Input 5 7 2" xfId="52023" xr:uid="{00000000-0005-0000-0000-00002BCB0000}"/>
    <cellStyle name="Input 5 7 3" xfId="52024" xr:uid="{00000000-0005-0000-0000-00002CCB0000}"/>
    <cellStyle name="Input 5 7 4" xfId="52025" xr:uid="{00000000-0005-0000-0000-00002DCB0000}"/>
    <cellStyle name="Input 5 7 5" xfId="52026" xr:uid="{00000000-0005-0000-0000-00002ECB0000}"/>
    <cellStyle name="Input 5 7 6" xfId="52027" xr:uid="{00000000-0005-0000-0000-00002FCB0000}"/>
    <cellStyle name="Input 5 8" xfId="52028" xr:uid="{00000000-0005-0000-0000-000030CB0000}"/>
    <cellStyle name="Input 5 9" xfId="52029" xr:uid="{00000000-0005-0000-0000-000031CB0000}"/>
    <cellStyle name="Input 6" xfId="52030" xr:uid="{00000000-0005-0000-0000-000032CB0000}"/>
    <cellStyle name="Input 6 10" xfId="52031" xr:uid="{00000000-0005-0000-0000-000033CB0000}"/>
    <cellStyle name="Input 6 11" xfId="52032" xr:uid="{00000000-0005-0000-0000-000034CB0000}"/>
    <cellStyle name="Input 6 2" xfId="52033" xr:uid="{00000000-0005-0000-0000-000035CB0000}"/>
    <cellStyle name="Input 6 2 2" xfId="52034" xr:uid="{00000000-0005-0000-0000-000036CB0000}"/>
    <cellStyle name="Input 6 2 3" xfId="52035" xr:uid="{00000000-0005-0000-0000-000037CB0000}"/>
    <cellStyle name="Input 6 2 4" xfId="52036" xr:uid="{00000000-0005-0000-0000-000038CB0000}"/>
    <cellStyle name="Input 6 2 5" xfId="52037" xr:uid="{00000000-0005-0000-0000-000039CB0000}"/>
    <cellStyle name="Input 6 2 6" xfId="52038" xr:uid="{00000000-0005-0000-0000-00003ACB0000}"/>
    <cellStyle name="Input 6 3" xfId="52039" xr:uid="{00000000-0005-0000-0000-00003BCB0000}"/>
    <cellStyle name="Input 6 3 2" xfId="52040" xr:uid="{00000000-0005-0000-0000-00003CCB0000}"/>
    <cellStyle name="Input 6 3 3" xfId="52041" xr:uid="{00000000-0005-0000-0000-00003DCB0000}"/>
    <cellStyle name="Input 6 3 4" xfId="52042" xr:uid="{00000000-0005-0000-0000-00003ECB0000}"/>
    <cellStyle name="Input 6 3 5" xfId="52043" xr:uid="{00000000-0005-0000-0000-00003FCB0000}"/>
    <cellStyle name="Input 6 3 6" xfId="52044" xr:uid="{00000000-0005-0000-0000-000040CB0000}"/>
    <cellStyle name="Input 6 4" xfId="52045" xr:uid="{00000000-0005-0000-0000-000041CB0000}"/>
    <cellStyle name="Input 6 4 2" xfId="52046" xr:uid="{00000000-0005-0000-0000-000042CB0000}"/>
    <cellStyle name="Input 6 4 3" xfId="52047" xr:uid="{00000000-0005-0000-0000-000043CB0000}"/>
    <cellStyle name="Input 6 4 4" xfId="52048" xr:uid="{00000000-0005-0000-0000-000044CB0000}"/>
    <cellStyle name="Input 6 4 5" xfId="52049" xr:uid="{00000000-0005-0000-0000-000045CB0000}"/>
    <cellStyle name="Input 6 4 6" xfId="52050" xr:uid="{00000000-0005-0000-0000-000046CB0000}"/>
    <cellStyle name="Input 6 5" xfId="52051" xr:uid="{00000000-0005-0000-0000-000047CB0000}"/>
    <cellStyle name="Input 6 5 2" xfId="52052" xr:uid="{00000000-0005-0000-0000-000048CB0000}"/>
    <cellStyle name="Input 6 5 3" xfId="52053" xr:uid="{00000000-0005-0000-0000-000049CB0000}"/>
    <cellStyle name="Input 6 5 4" xfId="52054" xr:uid="{00000000-0005-0000-0000-00004ACB0000}"/>
    <cellStyle name="Input 6 5 5" xfId="52055" xr:uid="{00000000-0005-0000-0000-00004BCB0000}"/>
    <cellStyle name="Input 6 5 6" xfId="52056" xr:uid="{00000000-0005-0000-0000-00004CCB0000}"/>
    <cellStyle name="Input 6 6" xfId="52057" xr:uid="{00000000-0005-0000-0000-00004DCB0000}"/>
    <cellStyle name="Input 6 6 2" xfId="52058" xr:uid="{00000000-0005-0000-0000-00004ECB0000}"/>
    <cellStyle name="Input 6 6 3" xfId="52059" xr:uid="{00000000-0005-0000-0000-00004FCB0000}"/>
    <cellStyle name="Input 6 6 4" xfId="52060" xr:uid="{00000000-0005-0000-0000-000050CB0000}"/>
    <cellStyle name="Input 6 6 5" xfId="52061" xr:uid="{00000000-0005-0000-0000-000051CB0000}"/>
    <cellStyle name="Input 6 6 6" xfId="52062" xr:uid="{00000000-0005-0000-0000-000052CB0000}"/>
    <cellStyle name="Input 6 7" xfId="52063" xr:uid="{00000000-0005-0000-0000-000053CB0000}"/>
    <cellStyle name="Input 6 7 2" xfId="52064" xr:uid="{00000000-0005-0000-0000-000054CB0000}"/>
    <cellStyle name="Input 6 7 3" xfId="52065" xr:uid="{00000000-0005-0000-0000-000055CB0000}"/>
    <cellStyle name="Input 6 7 4" xfId="52066" xr:uid="{00000000-0005-0000-0000-000056CB0000}"/>
    <cellStyle name="Input 6 7 5" xfId="52067" xr:uid="{00000000-0005-0000-0000-000057CB0000}"/>
    <cellStyle name="Input 6 7 6" xfId="52068" xr:uid="{00000000-0005-0000-0000-000058CB0000}"/>
    <cellStyle name="Input 6 8" xfId="52069" xr:uid="{00000000-0005-0000-0000-000059CB0000}"/>
    <cellStyle name="Input 6 9" xfId="52070" xr:uid="{00000000-0005-0000-0000-00005ACB0000}"/>
    <cellStyle name="Input 7" xfId="52071" xr:uid="{00000000-0005-0000-0000-00005BCB0000}"/>
    <cellStyle name="Input 7 10" xfId="52072" xr:uid="{00000000-0005-0000-0000-00005CCB0000}"/>
    <cellStyle name="Input 7 11" xfId="52073" xr:uid="{00000000-0005-0000-0000-00005DCB0000}"/>
    <cellStyle name="Input 7 2" xfId="52074" xr:uid="{00000000-0005-0000-0000-00005ECB0000}"/>
    <cellStyle name="Input 7 2 2" xfId="52075" xr:uid="{00000000-0005-0000-0000-00005FCB0000}"/>
    <cellStyle name="Input 7 2 3" xfId="52076" xr:uid="{00000000-0005-0000-0000-000060CB0000}"/>
    <cellStyle name="Input 7 2 4" xfId="52077" xr:uid="{00000000-0005-0000-0000-000061CB0000}"/>
    <cellStyle name="Input 7 2 5" xfId="52078" xr:uid="{00000000-0005-0000-0000-000062CB0000}"/>
    <cellStyle name="Input 7 2 6" xfId="52079" xr:uid="{00000000-0005-0000-0000-000063CB0000}"/>
    <cellStyle name="Input 7 3" xfId="52080" xr:uid="{00000000-0005-0000-0000-000064CB0000}"/>
    <cellStyle name="Input 7 3 2" xfId="52081" xr:uid="{00000000-0005-0000-0000-000065CB0000}"/>
    <cellStyle name="Input 7 3 3" xfId="52082" xr:uid="{00000000-0005-0000-0000-000066CB0000}"/>
    <cellStyle name="Input 7 3 4" xfId="52083" xr:uid="{00000000-0005-0000-0000-000067CB0000}"/>
    <cellStyle name="Input 7 3 5" xfId="52084" xr:uid="{00000000-0005-0000-0000-000068CB0000}"/>
    <cellStyle name="Input 7 3 6" xfId="52085" xr:uid="{00000000-0005-0000-0000-000069CB0000}"/>
    <cellStyle name="Input 7 4" xfId="52086" xr:uid="{00000000-0005-0000-0000-00006ACB0000}"/>
    <cellStyle name="Input 7 4 2" xfId="52087" xr:uid="{00000000-0005-0000-0000-00006BCB0000}"/>
    <cellStyle name="Input 7 4 3" xfId="52088" xr:uid="{00000000-0005-0000-0000-00006CCB0000}"/>
    <cellStyle name="Input 7 4 4" xfId="52089" xr:uid="{00000000-0005-0000-0000-00006DCB0000}"/>
    <cellStyle name="Input 7 4 5" xfId="52090" xr:uid="{00000000-0005-0000-0000-00006ECB0000}"/>
    <cellStyle name="Input 7 4 6" xfId="52091" xr:uid="{00000000-0005-0000-0000-00006FCB0000}"/>
    <cellStyle name="Input 7 5" xfId="52092" xr:uid="{00000000-0005-0000-0000-000070CB0000}"/>
    <cellStyle name="Input 7 5 2" xfId="52093" xr:uid="{00000000-0005-0000-0000-000071CB0000}"/>
    <cellStyle name="Input 7 5 3" xfId="52094" xr:uid="{00000000-0005-0000-0000-000072CB0000}"/>
    <cellStyle name="Input 7 5 4" xfId="52095" xr:uid="{00000000-0005-0000-0000-000073CB0000}"/>
    <cellStyle name="Input 7 5 5" xfId="52096" xr:uid="{00000000-0005-0000-0000-000074CB0000}"/>
    <cellStyle name="Input 7 5 6" xfId="52097" xr:uid="{00000000-0005-0000-0000-000075CB0000}"/>
    <cellStyle name="Input 7 6" xfId="52098" xr:uid="{00000000-0005-0000-0000-000076CB0000}"/>
    <cellStyle name="Input 7 6 2" xfId="52099" xr:uid="{00000000-0005-0000-0000-000077CB0000}"/>
    <cellStyle name="Input 7 6 3" xfId="52100" xr:uid="{00000000-0005-0000-0000-000078CB0000}"/>
    <cellStyle name="Input 7 6 4" xfId="52101" xr:uid="{00000000-0005-0000-0000-000079CB0000}"/>
    <cellStyle name="Input 7 6 5" xfId="52102" xr:uid="{00000000-0005-0000-0000-00007ACB0000}"/>
    <cellStyle name="Input 7 6 6" xfId="52103" xr:uid="{00000000-0005-0000-0000-00007BCB0000}"/>
    <cellStyle name="Input 7 7" xfId="52104" xr:uid="{00000000-0005-0000-0000-00007CCB0000}"/>
    <cellStyle name="Input 7 7 2" xfId="52105" xr:uid="{00000000-0005-0000-0000-00007DCB0000}"/>
    <cellStyle name="Input 7 7 3" xfId="52106" xr:uid="{00000000-0005-0000-0000-00007ECB0000}"/>
    <cellStyle name="Input 7 7 4" xfId="52107" xr:uid="{00000000-0005-0000-0000-00007FCB0000}"/>
    <cellStyle name="Input 7 7 5" xfId="52108" xr:uid="{00000000-0005-0000-0000-000080CB0000}"/>
    <cellStyle name="Input 7 7 6" xfId="52109" xr:uid="{00000000-0005-0000-0000-000081CB0000}"/>
    <cellStyle name="Input 7 8" xfId="52110" xr:uid="{00000000-0005-0000-0000-000082CB0000}"/>
    <cellStyle name="Input 7 9" xfId="52111" xr:uid="{00000000-0005-0000-0000-000083CB0000}"/>
    <cellStyle name="Input 8" xfId="52112" xr:uid="{00000000-0005-0000-0000-000084CB0000}"/>
    <cellStyle name="Input 8 10" xfId="52113" xr:uid="{00000000-0005-0000-0000-000085CB0000}"/>
    <cellStyle name="Input 8 11" xfId="52114" xr:uid="{00000000-0005-0000-0000-000086CB0000}"/>
    <cellStyle name="Input 8 2" xfId="52115" xr:uid="{00000000-0005-0000-0000-000087CB0000}"/>
    <cellStyle name="Input 8 2 2" xfId="52116" xr:uid="{00000000-0005-0000-0000-000088CB0000}"/>
    <cellStyle name="Input 8 2 3" xfId="52117" xr:uid="{00000000-0005-0000-0000-000089CB0000}"/>
    <cellStyle name="Input 8 2 4" xfId="52118" xr:uid="{00000000-0005-0000-0000-00008ACB0000}"/>
    <cellStyle name="Input 8 2 5" xfId="52119" xr:uid="{00000000-0005-0000-0000-00008BCB0000}"/>
    <cellStyle name="Input 8 2 6" xfId="52120" xr:uid="{00000000-0005-0000-0000-00008CCB0000}"/>
    <cellStyle name="Input 8 3" xfId="52121" xr:uid="{00000000-0005-0000-0000-00008DCB0000}"/>
    <cellStyle name="Input 8 3 2" xfId="52122" xr:uid="{00000000-0005-0000-0000-00008ECB0000}"/>
    <cellStyle name="Input 8 3 3" xfId="52123" xr:uid="{00000000-0005-0000-0000-00008FCB0000}"/>
    <cellStyle name="Input 8 3 4" xfId="52124" xr:uid="{00000000-0005-0000-0000-000090CB0000}"/>
    <cellStyle name="Input 8 3 5" xfId="52125" xr:uid="{00000000-0005-0000-0000-000091CB0000}"/>
    <cellStyle name="Input 8 3 6" xfId="52126" xr:uid="{00000000-0005-0000-0000-000092CB0000}"/>
    <cellStyle name="Input 8 4" xfId="52127" xr:uid="{00000000-0005-0000-0000-000093CB0000}"/>
    <cellStyle name="Input 8 4 2" xfId="52128" xr:uid="{00000000-0005-0000-0000-000094CB0000}"/>
    <cellStyle name="Input 8 4 3" xfId="52129" xr:uid="{00000000-0005-0000-0000-000095CB0000}"/>
    <cellStyle name="Input 8 4 4" xfId="52130" xr:uid="{00000000-0005-0000-0000-000096CB0000}"/>
    <cellStyle name="Input 8 4 5" xfId="52131" xr:uid="{00000000-0005-0000-0000-000097CB0000}"/>
    <cellStyle name="Input 8 4 6" xfId="52132" xr:uid="{00000000-0005-0000-0000-000098CB0000}"/>
    <cellStyle name="Input 8 5" xfId="52133" xr:uid="{00000000-0005-0000-0000-000099CB0000}"/>
    <cellStyle name="Input 8 5 2" xfId="52134" xr:uid="{00000000-0005-0000-0000-00009ACB0000}"/>
    <cellStyle name="Input 8 5 3" xfId="52135" xr:uid="{00000000-0005-0000-0000-00009BCB0000}"/>
    <cellStyle name="Input 8 5 4" xfId="52136" xr:uid="{00000000-0005-0000-0000-00009CCB0000}"/>
    <cellStyle name="Input 8 5 5" xfId="52137" xr:uid="{00000000-0005-0000-0000-00009DCB0000}"/>
    <cellStyle name="Input 8 5 6" xfId="52138" xr:uid="{00000000-0005-0000-0000-00009ECB0000}"/>
    <cellStyle name="Input 8 6" xfId="52139" xr:uid="{00000000-0005-0000-0000-00009FCB0000}"/>
    <cellStyle name="Input 8 6 2" xfId="52140" xr:uid="{00000000-0005-0000-0000-0000A0CB0000}"/>
    <cellStyle name="Input 8 6 3" xfId="52141" xr:uid="{00000000-0005-0000-0000-0000A1CB0000}"/>
    <cellStyle name="Input 8 6 4" xfId="52142" xr:uid="{00000000-0005-0000-0000-0000A2CB0000}"/>
    <cellStyle name="Input 8 6 5" xfId="52143" xr:uid="{00000000-0005-0000-0000-0000A3CB0000}"/>
    <cellStyle name="Input 8 6 6" xfId="52144" xr:uid="{00000000-0005-0000-0000-0000A4CB0000}"/>
    <cellStyle name="Input 8 7" xfId="52145" xr:uid="{00000000-0005-0000-0000-0000A5CB0000}"/>
    <cellStyle name="Input 8 7 2" xfId="52146" xr:uid="{00000000-0005-0000-0000-0000A6CB0000}"/>
    <cellStyle name="Input 8 7 3" xfId="52147" xr:uid="{00000000-0005-0000-0000-0000A7CB0000}"/>
    <cellStyle name="Input 8 7 4" xfId="52148" xr:uid="{00000000-0005-0000-0000-0000A8CB0000}"/>
    <cellStyle name="Input 8 7 5" xfId="52149" xr:uid="{00000000-0005-0000-0000-0000A9CB0000}"/>
    <cellStyle name="Input 8 7 6" xfId="52150" xr:uid="{00000000-0005-0000-0000-0000AACB0000}"/>
    <cellStyle name="Input 8 8" xfId="52151" xr:uid="{00000000-0005-0000-0000-0000ABCB0000}"/>
    <cellStyle name="Input 8 9" xfId="52152" xr:uid="{00000000-0005-0000-0000-0000ACCB0000}"/>
    <cellStyle name="Input 9" xfId="52153" xr:uid="{00000000-0005-0000-0000-0000ADCB0000}"/>
    <cellStyle name="Input 9 10" xfId="52154" xr:uid="{00000000-0005-0000-0000-0000AECB0000}"/>
    <cellStyle name="Input 9 11" xfId="52155" xr:uid="{00000000-0005-0000-0000-0000AFCB0000}"/>
    <cellStyle name="Input 9 2" xfId="52156" xr:uid="{00000000-0005-0000-0000-0000B0CB0000}"/>
    <cellStyle name="Input 9 2 2" xfId="52157" xr:uid="{00000000-0005-0000-0000-0000B1CB0000}"/>
    <cellStyle name="Input 9 2 3" xfId="52158" xr:uid="{00000000-0005-0000-0000-0000B2CB0000}"/>
    <cellStyle name="Input 9 2 4" xfId="52159" xr:uid="{00000000-0005-0000-0000-0000B3CB0000}"/>
    <cellStyle name="Input 9 2 5" xfId="52160" xr:uid="{00000000-0005-0000-0000-0000B4CB0000}"/>
    <cellStyle name="Input 9 2 6" xfId="52161" xr:uid="{00000000-0005-0000-0000-0000B5CB0000}"/>
    <cellStyle name="Input 9 3" xfId="52162" xr:uid="{00000000-0005-0000-0000-0000B6CB0000}"/>
    <cellStyle name="Input 9 3 2" xfId="52163" xr:uid="{00000000-0005-0000-0000-0000B7CB0000}"/>
    <cellStyle name="Input 9 3 3" xfId="52164" xr:uid="{00000000-0005-0000-0000-0000B8CB0000}"/>
    <cellStyle name="Input 9 3 4" xfId="52165" xr:uid="{00000000-0005-0000-0000-0000B9CB0000}"/>
    <cellStyle name="Input 9 3 5" xfId="52166" xr:uid="{00000000-0005-0000-0000-0000BACB0000}"/>
    <cellStyle name="Input 9 3 6" xfId="52167" xr:uid="{00000000-0005-0000-0000-0000BBCB0000}"/>
    <cellStyle name="Input 9 4" xfId="52168" xr:uid="{00000000-0005-0000-0000-0000BCCB0000}"/>
    <cellStyle name="Input 9 4 2" xfId="52169" xr:uid="{00000000-0005-0000-0000-0000BDCB0000}"/>
    <cellStyle name="Input 9 4 3" xfId="52170" xr:uid="{00000000-0005-0000-0000-0000BECB0000}"/>
    <cellStyle name="Input 9 4 4" xfId="52171" xr:uid="{00000000-0005-0000-0000-0000BFCB0000}"/>
    <cellStyle name="Input 9 4 5" xfId="52172" xr:uid="{00000000-0005-0000-0000-0000C0CB0000}"/>
    <cellStyle name="Input 9 4 6" xfId="52173" xr:uid="{00000000-0005-0000-0000-0000C1CB0000}"/>
    <cellStyle name="Input 9 5" xfId="52174" xr:uid="{00000000-0005-0000-0000-0000C2CB0000}"/>
    <cellStyle name="Input 9 5 2" xfId="52175" xr:uid="{00000000-0005-0000-0000-0000C3CB0000}"/>
    <cellStyle name="Input 9 5 3" xfId="52176" xr:uid="{00000000-0005-0000-0000-0000C4CB0000}"/>
    <cellStyle name="Input 9 5 4" xfId="52177" xr:uid="{00000000-0005-0000-0000-0000C5CB0000}"/>
    <cellStyle name="Input 9 5 5" xfId="52178" xr:uid="{00000000-0005-0000-0000-0000C6CB0000}"/>
    <cellStyle name="Input 9 5 6" xfId="52179" xr:uid="{00000000-0005-0000-0000-0000C7CB0000}"/>
    <cellStyle name="Input 9 6" xfId="52180" xr:uid="{00000000-0005-0000-0000-0000C8CB0000}"/>
    <cellStyle name="Input 9 6 2" xfId="52181" xr:uid="{00000000-0005-0000-0000-0000C9CB0000}"/>
    <cellStyle name="Input 9 6 3" xfId="52182" xr:uid="{00000000-0005-0000-0000-0000CACB0000}"/>
    <cellStyle name="Input 9 6 4" xfId="52183" xr:uid="{00000000-0005-0000-0000-0000CBCB0000}"/>
    <cellStyle name="Input 9 6 5" xfId="52184" xr:uid="{00000000-0005-0000-0000-0000CCCB0000}"/>
    <cellStyle name="Input 9 6 6" xfId="52185" xr:uid="{00000000-0005-0000-0000-0000CDCB0000}"/>
    <cellStyle name="Input 9 7" xfId="52186" xr:uid="{00000000-0005-0000-0000-0000CECB0000}"/>
    <cellStyle name="Input 9 7 2" xfId="52187" xr:uid="{00000000-0005-0000-0000-0000CFCB0000}"/>
    <cellStyle name="Input 9 7 3" xfId="52188" xr:uid="{00000000-0005-0000-0000-0000D0CB0000}"/>
    <cellStyle name="Input 9 7 4" xfId="52189" xr:uid="{00000000-0005-0000-0000-0000D1CB0000}"/>
    <cellStyle name="Input 9 7 5" xfId="52190" xr:uid="{00000000-0005-0000-0000-0000D2CB0000}"/>
    <cellStyle name="Input 9 7 6" xfId="52191" xr:uid="{00000000-0005-0000-0000-0000D3CB0000}"/>
    <cellStyle name="Input 9 8" xfId="52192" xr:uid="{00000000-0005-0000-0000-0000D4CB0000}"/>
    <cellStyle name="Input 9 9" xfId="52193" xr:uid="{00000000-0005-0000-0000-0000D5CB0000}"/>
    <cellStyle name="İzlenen Köprü" xfId="52194" xr:uid="{00000000-0005-0000-0000-0000D6CB0000}"/>
    <cellStyle name="jo[" xfId="52195" xr:uid="{00000000-0005-0000-0000-0000D7CB0000}"/>
    <cellStyle name="jo[ 2" xfId="52196" xr:uid="{00000000-0005-0000-0000-0000D8CB0000}"/>
    <cellStyle name="jo[ 3" xfId="52197" xr:uid="{00000000-0005-0000-0000-0000D9CB0000}"/>
    <cellStyle name="jo[ 4" xfId="52198" xr:uid="{00000000-0005-0000-0000-0000DACB0000}"/>
    <cellStyle name="JPY" xfId="52199" xr:uid="{00000000-0005-0000-0000-0000DBCB0000}"/>
    <cellStyle name="JPY 2" xfId="52200" xr:uid="{00000000-0005-0000-0000-0000DCCB0000}"/>
    <cellStyle name="Köprü" xfId="52201" xr:uid="{00000000-0005-0000-0000-0000DDCB0000}"/>
    <cellStyle name="Label" xfId="52202" xr:uid="{00000000-0005-0000-0000-0000DECB0000}"/>
    <cellStyle name="leftli - Style3" xfId="52203" xr:uid="{00000000-0005-0000-0000-0000DFCB0000}"/>
    <cellStyle name="Lien hypertexte" xfId="52204" xr:uid="{00000000-0005-0000-0000-0000E0CB0000}"/>
    <cellStyle name="Lien hypertexte 2" xfId="52205" xr:uid="{00000000-0005-0000-0000-0000E1CB0000}"/>
    <cellStyle name="Lien hypertexte 3" xfId="52206" xr:uid="{00000000-0005-0000-0000-0000E2CB0000}"/>
    <cellStyle name="Lien hypertexte visité" xfId="52207" xr:uid="{00000000-0005-0000-0000-0000E3CB0000}"/>
    <cellStyle name="Lien hypertexte visité 2" xfId="52208" xr:uid="{00000000-0005-0000-0000-0000E4CB0000}"/>
    <cellStyle name="Lien hypertexte visité 3" xfId="52209" xr:uid="{00000000-0005-0000-0000-0000E5CB0000}"/>
    <cellStyle name="Lien hypertexte_CivMon" xfId="52210" xr:uid="{00000000-0005-0000-0000-0000E6CB0000}"/>
    <cellStyle name="Link Currency (0)" xfId="52211" xr:uid="{00000000-0005-0000-0000-0000E7CB0000}"/>
    <cellStyle name="Link Currency (2)" xfId="52212" xr:uid="{00000000-0005-0000-0000-0000E8CB0000}"/>
    <cellStyle name="Link Units (0)" xfId="52213" xr:uid="{00000000-0005-0000-0000-0000E9CB0000}"/>
    <cellStyle name="Link Units (1)" xfId="52214" xr:uid="{00000000-0005-0000-0000-0000EACB0000}"/>
    <cellStyle name="Link Units (2)" xfId="52215" xr:uid="{00000000-0005-0000-0000-0000EBCB0000}"/>
    <cellStyle name="link_ext" xfId="52216" xr:uid="{00000000-0005-0000-0000-0000ECCB0000}"/>
    <cellStyle name="Linked Cell 10" xfId="52217" xr:uid="{00000000-0005-0000-0000-0000EDCB0000}"/>
    <cellStyle name="Linked Cell 2" xfId="52218" xr:uid="{00000000-0005-0000-0000-0000EECB0000}"/>
    <cellStyle name="Linked Cell 2 2" xfId="52219" xr:uid="{00000000-0005-0000-0000-0000EFCB0000}"/>
    <cellStyle name="Linked Cell 2_update comparison " xfId="52220" xr:uid="{00000000-0005-0000-0000-0000F0CB0000}"/>
    <cellStyle name="Linked Cell 3" xfId="52221" xr:uid="{00000000-0005-0000-0000-0000F1CB0000}"/>
    <cellStyle name="Linked Cell 3 2" xfId="52222" xr:uid="{00000000-0005-0000-0000-0000F2CB0000}"/>
    <cellStyle name="Linked Cell 4" xfId="52223" xr:uid="{00000000-0005-0000-0000-0000F3CB0000}"/>
    <cellStyle name="Linked Cell 5" xfId="52224" xr:uid="{00000000-0005-0000-0000-0000F4CB0000}"/>
    <cellStyle name="Linked Cell 6" xfId="52225" xr:uid="{00000000-0005-0000-0000-0000F5CB0000}"/>
    <cellStyle name="Linked Cell 7" xfId="52226" xr:uid="{00000000-0005-0000-0000-0000F6CB0000}"/>
    <cellStyle name="Linked Cell 8" xfId="52227" xr:uid="{00000000-0005-0000-0000-0000F7CB0000}"/>
    <cellStyle name="Linked Cell 9" xfId="52228" xr:uid="{00000000-0005-0000-0000-0000F8CB0000}"/>
    <cellStyle name="MacroCode" xfId="52229" xr:uid="{00000000-0005-0000-0000-0000F9CB0000}"/>
    <cellStyle name="MacroCode 2" xfId="52230" xr:uid="{00000000-0005-0000-0000-0000FACB0000}"/>
    <cellStyle name="MandOTableHeadline" xfId="52231" xr:uid="{00000000-0005-0000-0000-0000FBCB0000}"/>
    <cellStyle name="Map Data Values" xfId="52232" xr:uid="{00000000-0005-0000-0000-0000FCCB0000}"/>
    <cellStyle name="Map Distance" xfId="52233" xr:uid="{00000000-0005-0000-0000-0000FDCB0000}"/>
    <cellStyle name="Map Legend" xfId="52234" xr:uid="{00000000-0005-0000-0000-0000FECB0000}"/>
    <cellStyle name="Map Object Names" xfId="52235" xr:uid="{00000000-0005-0000-0000-0000FFCB0000}"/>
    <cellStyle name="Map Title" xfId="52236" xr:uid="{00000000-0005-0000-0000-000000CC0000}"/>
    <cellStyle name="Měna0" xfId="52237" xr:uid="{00000000-0005-0000-0000-000001CC0000}"/>
    <cellStyle name="Millares [0]_107" xfId="52238" xr:uid="{00000000-0005-0000-0000-000002CC0000}"/>
    <cellStyle name="Millares_107" xfId="52239" xr:uid="{00000000-0005-0000-0000-000003CC0000}"/>
    <cellStyle name="Milliers [0]_Annexe vf.xls Graphique 1" xfId="52240" xr:uid="{00000000-0005-0000-0000-000004CC0000}"/>
    <cellStyle name="Milliers_Annexe vf.xls Graphique 1" xfId="52241" xr:uid="{00000000-0005-0000-0000-000005CC0000}"/>
    <cellStyle name="Mìna0" xfId="52242" xr:uid="{00000000-0005-0000-0000-000006CC0000}"/>
    <cellStyle name="Model" xfId="52243" xr:uid="{00000000-0005-0000-0000-000007CC0000}"/>
    <cellStyle name="Moeda [0]_A" xfId="52244" xr:uid="{00000000-0005-0000-0000-000008CC0000}"/>
    <cellStyle name="Moeda_A" xfId="52245" xr:uid="{00000000-0005-0000-0000-000009CC0000}"/>
    <cellStyle name="Moeda0" xfId="52246" xr:uid="{00000000-0005-0000-0000-00000ACC0000}"/>
    <cellStyle name="Moneda [0]_107" xfId="52247" xr:uid="{00000000-0005-0000-0000-00000BCC0000}"/>
    <cellStyle name="Moneda_107" xfId="52248" xr:uid="{00000000-0005-0000-0000-00000CCC0000}"/>
    <cellStyle name="Monétaire [0]_Annexe vf.xls Graphique 1" xfId="52249" xr:uid="{00000000-0005-0000-0000-00000DCC0000}"/>
    <cellStyle name="Monétaire_Annexe vf.xls Graphique 1" xfId="52250" xr:uid="{00000000-0005-0000-0000-00000ECC0000}"/>
    <cellStyle name="Monetario" xfId="52251" xr:uid="{00000000-0005-0000-0000-00000FCC0000}"/>
    <cellStyle name="Monetario0" xfId="52252" xr:uid="{00000000-0005-0000-0000-000010CC0000}"/>
    <cellStyle name="Money" xfId="52253" xr:uid="{00000000-0005-0000-0000-000011CC0000}"/>
    <cellStyle name="MS_Arabic" xfId="52254" xr:uid="{00000000-0005-0000-0000-000012CC0000}"/>
    <cellStyle name="MTW" xfId="52255" xr:uid="{00000000-0005-0000-0000-000013CC0000}"/>
    <cellStyle name="n" xfId="52256" xr:uid="{00000000-0005-0000-0000-000014CC0000}"/>
    <cellStyle name="Navadno_Slo" xfId="52257" xr:uid="{00000000-0005-0000-0000-000015CC0000}"/>
    <cellStyle name="Neutral 10" xfId="52258" xr:uid="{00000000-0005-0000-0000-000016CC0000}"/>
    <cellStyle name="Neutral 2" xfId="52259" xr:uid="{00000000-0005-0000-0000-000017CC0000}"/>
    <cellStyle name="Neutral 2 2" xfId="52260" xr:uid="{00000000-0005-0000-0000-000018CC0000}"/>
    <cellStyle name="Neutral 2_update comparison " xfId="52261" xr:uid="{00000000-0005-0000-0000-000019CC0000}"/>
    <cellStyle name="Neutral 3" xfId="52262" xr:uid="{00000000-0005-0000-0000-00001ACC0000}"/>
    <cellStyle name="Neutral 3 2" xfId="52263" xr:uid="{00000000-0005-0000-0000-00001BCC0000}"/>
    <cellStyle name="Neutral 4" xfId="52264" xr:uid="{00000000-0005-0000-0000-00001CCC0000}"/>
    <cellStyle name="Neutral 5" xfId="52265" xr:uid="{00000000-0005-0000-0000-00001DCC0000}"/>
    <cellStyle name="Neutral 6" xfId="52266" xr:uid="{00000000-0005-0000-0000-00001ECC0000}"/>
    <cellStyle name="Neutral 7" xfId="52267" xr:uid="{00000000-0005-0000-0000-00001FCC0000}"/>
    <cellStyle name="Neutral 8" xfId="52268" xr:uid="{00000000-0005-0000-0000-000020CC0000}"/>
    <cellStyle name="Neutral 9" xfId="52269" xr:uid="{00000000-0005-0000-0000-000021CC0000}"/>
    <cellStyle name="New Times Roman" xfId="52270" xr:uid="{00000000-0005-0000-0000-000022CC0000}"/>
    <cellStyle name="No" xfId="52271" xr:uid="{00000000-0005-0000-0000-000023CC0000}"/>
    <cellStyle name="No 2" xfId="52272" xr:uid="{00000000-0005-0000-0000-000024CC0000}"/>
    <cellStyle name="No 3" xfId="52273" xr:uid="{00000000-0005-0000-0000-000025CC0000}"/>
    <cellStyle name="No 4" xfId="52274" xr:uid="{00000000-0005-0000-0000-000026CC0000}"/>
    <cellStyle name="no dec" xfId="52275" xr:uid="{00000000-0005-0000-0000-000027CC0000}"/>
    <cellStyle name="No_01 DVHC-DSLD 2010" xfId="52276" xr:uid="{00000000-0005-0000-0000-000028CC0000}"/>
    <cellStyle name="No-definido" xfId="52277" xr:uid="{00000000-0005-0000-0000-000029CC0000}"/>
    <cellStyle name="Non défini" xfId="52278" xr:uid="{00000000-0005-0000-0000-00002ACC0000}"/>
    <cellStyle name="Normal" xfId="0" builtinId="0"/>
    <cellStyle name="Normal - Modelo1" xfId="52279" xr:uid="{00000000-0005-0000-0000-00002CCC0000}"/>
    <cellStyle name="Normal - Style1" xfId="52280" xr:uid="{00000000-0005-0000-0000-00002DCC0000}"/>
    <cellStyle name="Normal - Style1 2" xfId="52281" xr:uid="{00000000-0005-0000-0000-00002ECC0000}"/>
    <cellStyle name="Normal - Style1 2 2" xfId="52282" xr:uid="{00000000-0005-0000-0000-00002FCC0000}"/>
    <cellStyle name="Normal - Style1 2 3" xfId="52283" xr:uid="{00000000-0005-0000-0000-000030CC0000}"/>
    <cellStyle name="Normal - Style1 2 4" xfId="52284" xr:uid="{00000000-0005-0000-0000-000031CC0000}"/>
    <cellStyle name="Normal - Style1 2 5" xfId="52285" xr:uid="{00000000-0005-0000-0000-000032CC0000}"/>
    <cellStyle name="Normal - Style1 2_update comparison " xfId="52286" xr:uid="{00000000-0005-0000-0000-000033CC0000}"/>
    <cellStyle name="Normal - Style1 3" xfId="52287" xr:uid="{00000000-0005-0000-0000-000034CC0000}"/>
    <cellStyle name="Normal - Style1 4" xfId="52288" xr:uid="{00000000-0005-0000-0000-000035CC0000}"/>
    <cellStyle name="Normal - Style1 5" xfId="52289" xr:uid="{00000000-0005-0000-0000-000036CC0000}"/>
    <cellStyle name="Normal - Style1 6" xfId="52290" xr:uid="{00000000-0005-0000-0000-000037CC0000}"/>
    <cellStyle name="Normal - Style1 7" xfId="52291" xr:uid="{00000000-0005-0000-0000-000038CC0000}"/>
    <cellStyle name="Normal - Style1 8" xfId="52292" xr:uid="{00000000-0005-0000-0000-000039CC0000}"/>
    <cellStyle name="Normal - Style1 9" xfId="52293" xr:uid="{00000000-0005-0000-0000-00003ACC0000}"/>
    <cellStyle name="Normal - Style1_01 DVHC - DD (Ok)" xfId="52294" xr:uid="{00000000-0005-0000-0000-00003BCC0000}"/>
    <cellStyle name="Normal - Style2" xfId="52295" xr:uid="{00000000-0005-0000-0000-00003CCC0000}"/>
    <cellStyle name="Normal - Style2 10" xfId="52296" xr:uid="{00000000-0005-0000-0000-00003DCC0000}"/>
    <cellStyle name="Normal - Style2 11" xfId="52297" xr:uid="{00000000-0005-0000-0000-00003ECC0000}"/>
    <cellStyle name="Normal - Style2 2" xfId="52298" xr:uid="{00000000-0005-0000-0000-00003FCC0000}"/>
    <cellStyle name="Normal - Style2 2 2" xfId="52299" xr:uid="{00000000-0005-0000-0000-000040CC0000}"/>
    <cellStyle name="Normal - Style2 2 3" xfId="52300" xr:uid="{00000000-0005-0000-0000-000041CC0000}"/>
    <cellStyle name="Normal - Style2 2 4" xfId="52301" xr:uid="{00000000-0005-0000-0000-000042CC0000}"/>
    <cellStyle name="Normal - Style2 2_update comparison " xfId="52302" xr:uid="{00000000-0005-0000-0000-000043CC0000}"/>
    <cellStyle name="Normal - Style2 3" xfId="52303" xr:uid="{00000000-0005-0000-0000-000044CC0000}"/>
    <cellStyle name="Normal - Style2 4" xfId="52304" xr:uid="{00000000-0005-0000-0000-000045CC0000}"/>
    <cellStyle name="Normal - Style2 5" xfId="52305" xr:uid="{00000000-0005-0000-0000-000046CC0000}"/>
    <cellStyle name="Normal - Style2 6" xfId="52306" xr:uid="{00000000-0005-0000-0000-000047CC0000}"/>
    <cellStyle name="Normal - Style2 7" xfId="52307" xr:uid="{00000000-0005-0000-0000-000048CC0000}"/>
    <cellStyle name="Normal - Style2 8" xfId="52308" xr:uid="{00000000-0005-0000-0000-000049CC0000}"/>
    <cellStyle name="Normal - Style2 9" xfId="52309" xr:uid="{00000000-0005-0000-0000-00004ACC0000}"/>
    <cellStyle name="Normal - Style3" xfId="52310" xr:uid="{00000000-0005-0000-0000-00004BCC0000}"/>
    <cellStyle name="Normal - Style3 2" xfId="52311" xr:uid="{00000000-0005-0000-0000-00004CCC0000}"/>
    <cellStyle name="Normal - Style3 2 2" xfId="52312" xr:uid="{00000000-0005-0000-0000-00004DCC0000}"/>
    <cellStyle name="Normal - Style3 3" xfId="52313" xr:uid="{00000000-0005-0000-0000-00004ECC0000}"/>
    <cellStyle name="Normal - Style4" xfId="52314" xr:uid="{00000000-0005-0000-0000-00004FCC0000}"/>
    <cellStyle name="Normal - Style4 2" xfId="52315" xr:uid="{00000000-0005-0000-0000-000050CC0000}"/>
    <cellStyle name="Normal - Style5" xfId="52316" xr:uid="{00000000-0005-0000-0000-000051CC0000}"/>
    <cellStyle name="Normal - Style5 2" xfId="52317" xr:uid="{00000000-0005-0000-0000-000052CC0000}"/>
    <cellStyle name="Normal - Style5 2 2" xfId="52318" xr:uid="{00000000-0005-0000-0000-000053CC0000}"/>
    <cellStyle name="Normal - Style5 3" xfId="52319" xr:uid="{00000000-0005-0000-0000-000054CC0000}"/>
    <cellStyle name="Normal - Style5 4" xfId="52320" xr:uid="{00000000-0005-0000-0000-000055CC0000}"/>
    <cellStyle name="Normal - Style5 4 2" xfId="52321" xr:uid="{00000000-0005-0000-0000-000056CC0000}"/>
    <cellStyle name="Normal - Style6" xfId="52322" xr:uid="{00000000-0005-0000-0000-000057CC0000}"/>
    <cellStyle name="Normal - Style6 2" xfId="52323" xr:uid="{00000000-0005-0000-0000-000058CC0000}"/>
    <cellStyle name="Normal - Style6 2 2" xfId="52324" xr:uid="{00000000-0005-0000-0000-000059CC0000}"/>
    <cellStyle name="Normal - Style6 3" xfId="52325" xr:uid="{00000000-0005-0000-0000-00005ACC0000}"/>
    <cellStyle name="Normal - Style6 4" xfId="52326" xr:uid="{00000000-0005-0000-0000-00005BCC0000}"/>
    <cellStyle name="Normal - Style6 4 2" xfId="52327" xr:uid="{00000000-0005-0000-0000-00005CCC0000}"/>
    <cellStyle name="Normal - Style7" xfId="52328" xr:uid="{00000000-0005-0000-0000-00005DCC0000}"/>
    <cellStyle name="Normal - Style7 2" xfId="52329" xr:uid="{00000000-0005-0000-0000-00005ECC0000}"/>
    <cellStyle name="Normal - Style7 2 2" xfId="52330" xr:uid="{00000000-0005-0000-0000-00005FCC0000}"/>
    <cellStyle name="Normal - Style7 3" xfId="52331" xr:uid="{00000000-0005-0000-0000-000060CC0000}"/>
    <cellStyle name="Normal - Style7 4" xfId="52332" xr:uid="{00000000-0005-0000-0000-000061CC0000}"/>
    <cellStyle name="Normal - Style7 4 2" xfId="52333" xr:uid="{00000000-0005-0000-0000-000062CC0000}"/>
    <cellStyle name="Normal - Style8" xfId="52334" xr:uid="{00000000-0005-0000-0000-000063CC0000}"/>
    <cellStyle name="Normal - Style8 2" xfId="52335" xr:uid="{00000000-0005-0000-0000-000064CC0000}"/>
    <cellStyle name="Normal - Style8 2 2" xfId="52336" xr:uid="{00000000-0005-0000-0000-000065CC0000}"/>
    <cellStyle name="Normal - Style8 3" xfId="52337" xr:uid="{00000000-0005-0000-0000-000066CC0000}"/>
    <cellStyle name="Normal - Style8 4" xfId="52338" xr:uid="{00000000-0005-0000-0000-000067CC0000}"/>
    <cellStyle name="Normal - Style8 4 2" xfId="52339" xr:uid="{00000000-0005-0000-0000-000068CC0000}"/>
    <cellStyle name="Normal 10" xfId="52340" xr:uid="{00000000-0005-0000-0000-000069CC0000}"/>
    <cellStyle name="Normal 10 10" xfId="52341" xr:uid="{00000000-0005-0000-0000-00006ACC0000}"/>
    <cellStyle name="Normal 10 11" xfId="52342" xr:uid="{00000000-0005-0000-0000-00006BCC0000}"/>
    <cellStyle name="Normal 10 2" xfId="52343" xr:uid="{00000000-0005-0000-0000-00006CCC0000}"/>
    <cellStyle name="Normal 10 2 2" xfId="52344" xr:uid="{00000000-0005-0000-0000-00006DCC0000}"/>
    <cellStyle name="Normal 10 2 2 2" xfId="52345" xr:uid="{00000000-0005-0000-0000-00006ECC0000}"/>
    <cellStyle name="Normal 10 2_update comparison " xfId="52346" xr:uid="{00000000-0005-0000-0000-00006FCC0000}"/>
    <cellStyle name="Normal 10 3" xfId="52347" xr:uid="{00000000-0005-0000-0000-000070CC0000}"/>
    <cellStyle name="Normal 10 3 2" xfId="52348" xr:uid="{00000000-0005-0000-0000-000071CC0000}"/>
    <cellStyle name="Normal 10 3_update comparison " xfId="52349" xr:uid="{00000000-0005-0000-0000-000072CC0000}"/>
    <cellStyle name="Normal 10 4" xfId="52350" xr:uid="{00000000-0005-0000-0000-000073CC0000}"/>
    <cellStyle name="Normal 10 5" xfId="52351" xr:uid="{00000000-0005-0000-0000-000074CC0000}"/>
    <cellStyle name="Normal 10 6" xfId="52352" xr:uid="{00000000-0005-0000-0000-000075CC0000}"/>
    <cellStyle name="Normal 10 7" xfId="52353" xr:uid="{00000000-0005-0000-0000-000076CC0000}"/>
    <cellStyle name="Normal 10 8" xfId="52354" xr:uid="{00000000-0005-0000-0000-000077CC0000}"/>
    <cellStyle name="Normal 10 9" xfId="52355" xr:uid="{00000000-0005-0000-0000-000078CC0000}"/>
    <cellStyle name="Normal 10_update comparison " xfId="52356" xr:uid="{00000000-0005-0000-0000-000079CC0000}"/>
    <cellStyle name="Normal 100" xfId="52357" xr:uid="{00000000-0005-0000-0000-00007ACC0000}"/>
    <cellStyle name="Normal 101" xfId="52358" xr:uid="{00000000-0005-0000-0000-00007BCC0000}"/>
    <cellStyle name="Normal 102" xfId="52359" xr:uid="{00000000-0005-0000-0000-00007CCC0000}"/>
    <cellStyle name="Normal 103" xfId="52360" xr:uid="{00000000-0005-0000-0000-00007DCC0000}"/>
    <cellStyle name="Normal 104" xfId="52361" xr:uid="{00000000-0005-0000-0000-00007ECC0000}"/>
    <cellStyle name="Normal 104 2" xfId="52362" xr:uid="{00000000-0005-0000-0000-00007FCC0000}"/>
    <cellStyle name="Normal 105" xfId="52363" xr:uid="{00000000-0005-0000-0000-000080CC0000}"/>
    <cellStyle name="Normal 105 2" xfId="52364" xr:uid="{00000000-0005-0000-0000-000081CC0000}"/>
    <cellStyle name="Normal 106" xfId="52365" xr:uid="{00000000-0005-0000-0000-000082CC0000}"/>
    <cellStyle name="Normal 107" xfId="52366" xr:uid="{00000000-0005-0000-0000-000083CC0000}"/>
    <cellStyle name="Normal 108" xfId="52367" xr:uid="{00000000-0005-0000-0000-000084CC0000}"/>
    <cellStyle name="Normal 109" xfId="52368" xr:uid="{00000000-0005-0000-0000-000085CC0000}"/>
    <cellStyle name="Normal 11" xfId="52369" xr:uid="{00000000-0005-0000-0000-000086CC0000}"/>
    <cellStyle name="Normal 11 10" xfId="52370" xr:uid="{00000000-0005-0000-0000-000087CC0000}"/>
    <cellStyle name="Normal 11 11" xfId="52371" xr:uid="{00000000-0005-0000-0000-000088CC0000}"/>
    <cellStyle name="Normal 11 2" xfId="52372" xr:uid="{00000000-0005-0000-0000-000089CC0000}"/>
    <cellStyle name="Normal 11 2 2" xfId="52373" xr:uid="{00000000-0005-0000-0000-00008ACC0000}"/>
    <cellStyle name="Normal 11 2 3" xfId="52374" xr:uid="{00000000-0005-0000-0000-00008BCC0000}"/>
    <cellStyle name="Normal 11 2_update comparison " xfId="52375" xr:uid="{00000000-0005-0000-0000-00008CCC0000}"/>
    <cellStyle name="Normal 11 3" xfId="52376" xr:uid="{00000000-0005-0000-0000-00008DCC0000}"/>
    <cellStyle name="Normal 11 4" xfId="52377" xr:uid="{00000000-0005-0000-0000-00008ECC0000}"/>
    <cellStyle name="Normal 11 4 2" xfId="52378" xr:uid="{00000000-0005-0000-0000-00008FCC0000}"/>
    <cellStyle name="Normal 11 4 3" xfId="52379" xr:uid="{00000000-0005-0000-0000-000090CC0000}"/>
    <cellStyle name="Normal 11 4 4" xfId="52380" xr:uid="{00000000-0005-0000-0000-000091CC0000}"/>
    <cellStyle name="Normal 11 5" xfId="52381" xr:uid="{00000000-0005-0000-0000-000092CC0000}"/>
    <cellStyle name="Normal 11 6" xfId="52382" xr:uid="{00000000-0005-0000-0000-000093CC0000}"/>
    <cellStyle name="Normal 11 7" xfId="52383" xr:uid="{00000000-0005-0000-0000-000094CC0000}"/>
    <cellStyle name="Normal 11 8" xfId="52384" xr:uid="{00000000-0005-0000-0000-000095CC0000}"/>
    <cellStyle name="Normal 11 9" xfId="52385" xr:uid="{00000000-0005-0000-0000-000096CC0000}"/>
    <cellStyle name="Normal 11_update comparison " xfId="52386" xr:uid="{00000000-0005-0000-0000-000097CC0000}"/>
    <cellStyle name="Normal 110" xfId="52387" xr:uid="{00000000-0005-0000-0000-000098CC0000}"/>
    <cellStyle name="Normal 111" xfId="52388" xr:uid="{00000000-0005-0000-0000-000099CC0000}"/>
    <cellStyle name="Normal 112" xfId="52389" xr:uid="{00000000-0005-0000-0000-00009ACC0000}"/>
    <cellStyle name="Normal 113" xfId="52390" xr:uid="{00000000-0005-0000-0000-00009BCC0000}"/>
    <cellStyle name="Normal 114" xfId="52391" xr:uid="{00000000-0005-0000-0000-00009CCC0000}"/>
    <cellStyle name="Normal 115" xfId="52392" xr:uid="{00000000-0005-0000-0000-00009DCC0000}"/>
    <cellStyle name="Normal 116" xfId="52393" xr:uid="{00000000-0005-0000-0000-00009ECC0000}"/>
    <cellStyle name="Normal 117" xfId="52394" xr:uid="{00000000-0005-0000-0000-00009FCC0000}"/>
    <cellStyle name="Normal 118" xfId="52395" xr:uid="{00000000-0005-0000-0000-0000A0CC0000}"/>
    <cellStyle name="Normal 119" xfId="52396" xr:uid="{00000000-0005-0000-0000-0000A1CC0000}"/>
    <cellStyle name="Normal 12" xfId="52397" xr:uid="{00000000-0005-0000-0000-0000A2CC0000}"/>
    <cellStyle name="Normal 12 2" xfId="52398" xr:uid="{00000000-0005-0000-0000-0000A3CC0000}"/>
    <cellStyle name="Normal 12 3" xfId="52399" xr:uid="{00000000-0005-0000-0000-0000A4CC0000}"/>
    <cellStyle name="Normal 12 4" xfId="52400" xr:uid="{00000000-0005-0000-0000-0000A5CC0000}"/>
    <cellStyle name="Normal 12 5" xfId="52401" xr:uid="{00000000-0005-0000-0000-0000A6CC0000}"/>
    <cellStyle name="Normal 12 6" xfId="52402" xr:uid="{00000000-0005-0000-0000-0000A7CC0000}"/>
    <cellStyle name="Normal 12_update comparison " xfId="52403" xr:uid="{00000000-0005-0000-0000-0000A8CC0000}"/>
    <cellStyle name="Normal 120" xfId="52404" xr:uid="{00000000-0005-0000-0000-0000A9CC0000}"/>
    <cellStyle name="Normal 121" xfId="52405" xr:uid="{00000000-0005-0000-0000-0000AACC0000}"/>
    <cellStyle name="Normal 122" xfId="52406" xr:uid="{00000000-0005-0000-0000-0000ABCC0000}"/>
    <cellStyle name="Normal 123" xfId="52407" xr:uid="{00000000-0005-0000-0000-0000ACCC0000}"/>
    <cellStyle name="Normal 124" xfId="52408" xr:uid="{00000000-0005-0000-0000-0000ADCC0000}"/>
    <cellStyle name="Normal 125" xfId="52409" xr:uid="{00000000-0005-0000-0000-0000AECC0000}"/>
    <cellStyle name="Normal 126" xfId="52410" xr:uid="{00000000-0005-0000-0000-0000AFCC0000}"/>
    <cellStyle name="Normal 127" xfId="52411" xr:uid="{00000000-0005-0000-0000-0000B0CC0000}"/>
    <cellStyle name="Normal 128" xfId="52412" xr:uid="{00000000-0005-0000-0000-0000B1CC0000}"/>
    <cellStyle name="Normal 129" xfId="52413" xr:uid="{00000000-0005-0000-0000-0000B2CC0000}"/>
    <cellStyle name="Normal 13" xfId="52414" xr:uid="{00000000-0005-0000-0000-0000B3CC0000}"/>
    <cellStyle name="Normal 13 10" xfId="52415" xr:uid="{00000000-0005-0000-0000-0000B4CC0000}"/>
    <cellStyle name="Normal 13 11" xfId="52416" xr:uid="{00000000-0005-0000-0000-0000B5CC0000}"/>
    <cellStyle name="Normal 13 12" xfId="52417" xr:uid="{00000000-0005-0000-0000-0000B6CC0000}"/>
    <cellStyle name="Normal 13 13" xfId="52418" xr:uid="{00000000-0005-0000-0000-0000B7CC0000}"/>
    <cellStyle name="Normal 13 14" xfId="52419" xr:uid="{00000000-0005-0000-0000-0000B8CC0000}"/>
    <cellStyle name="Normal 13 15" xfId="52420" xr:uid="{00000000-0005-0000-0000-0000B9CC0000}"/>
    <cellStyle name="Normal 13 16" xfId="52421" xr:uid="{00000000-0005-0000-0000-0000BACC0000}"/>
    <cellStyle name="Normal 13 2" xfId="52422" xr:uid="{00000000-0005-0000-0000-0000BBCC0000}"/>
    <cellStyle name="Normal 13 2 10" xfId="52423" xr:uid="{00000000-0005-0000-0000-0000BCCC0000}"/>
    <cellStyle name="Normal 13 2 11" xfId="52424" xr:uid="{00000000-0005-0000-0000-0000BDCC0000}"/>
    <cellStyle name="Normal 13 2 12" xfId="52425" xr:uid="{00000000-0005-0000-0000-0000BECC0000}"/>
    <cellStyle name="Normal 13 2 2" xfId="52426" xr:uid="{00000000-0005-0000-0000-0000BFCC0000}"/>
    <cellStyle name="Normal 13 2 2 2" xfId="52427" xr:uid="{00000000-0005-0000-0000-0000C0CC0000}"/>
    <cellStyle name="Normal 13 2 2 3" xfId="52428" xr:uid="{00000000-0005-0000-0000-0000C1CC0000}"/>
    <cellStyle name="Normal 13 2 2 4" xfId="52429" xr:uid="{00000000-0005-0000-0000-0000C2CC0000}"/>
    <cellStyle name="Normal 13 2 2 5" xfId="52430" xr:uid="{00000000-0005-0000-0000-0000C3CC0000}"/>
    <cellStyle name="Normal 13 2 2 6" xfId="52431" xr:uid="{00000000-0005-0000-0000-0000C4CC0000}"/>
    <cellStyle name="Normal 13 2 2_contents" xfId="52432" xr:uid="{00000000-0005-0000-0000-0000C5CC0000}"/>
    <cellStyle name="Normal 13 2 3" xfId="52433" xr:uid="{00000000-0005-0000-0000-0000C6CC0000}"/>
    <cellStyle name="Normal 13 2 3 2" xfId="52434" xr:uid="{00000000-0005-0000-0000-0000C7CC0000}"/>
    <cellStyle name="Normal 13 2 3 3" xfId="52435" xr:uid="{00000000-0005-0000-0000-0000C8CC0000}"/>
    <cellStyle name="Normal 13 2 3_contents" xfId="52436" xr:uid="{00000000-0005-0000-0000-0000C9CC0000}"/>
    <cellStyle name="Normal 13 2 4" xfId="52437" xr:uid="{00000000-0005-0000-0000-0000CACC0000}"/>
    <cellStyle name="Normal 13 2 5" xfId="52438" xr:uid="{00000000-0005-0000-0000-0000CBCC0000}"/>
    <cellStyle name="Normal 13 2 6" xfId="52439" xr:uid="{00000000-0005-0000-0000-0000CCCC0000}"/>
    <cellStyle name="Normal 13 2 7" xfId="52440" xr:uid="{00000000-0005-0000-0000-0000CDCC0000}"/>
    <cellStyle name="Normal 13 2 8" xfId="52441" xr:uid="{00000000-0005-0000-0000-0000CECC0000}"/>
    <cellStyle name="Normal 13 2 9" xfId="52442" xr:uid="{00000000-0005-0000-0000-0000CFCC0000}"/>
    <cellStyle name="Normal 13 2_contents" xfId="52443" xr:uid="{00000000-0005-0000-0000-0000D0CC0000}"/>
    <cellStyle name="Normal 13 3" xfId="52444" xr:uid="{00000000-0005-0000-0000-0000D1CC0000}"/>
    <cellStyle name="Normal 13 3 2" xfId="52445" xr:uid="{00000000-0005-0000-0000-0000D2CC0000}"/>
    <cellStyle name="Normal 13 3 3" xfId="52446" xr:uid="{00000000-0005-0000-0000-0000D3CC0000}"/>
    <cellStyle name="Normal 13 3 4" xfId="52447" xr:uid="{00000000-0005-0000-0000-0000D4CC0000}"/>
    <cellStyle name="Normal 13 3 5" xfId="52448" xr:uid="{00000000-0005-0000-0000-0000D5CC0000}"/>
    <cellStyle name="Normal 13 3 6" xfId="52449" xr:uid="{00000000-0005-0000-0000-0000D6CC0000}"/>
    <cellStyle name="Normal 13 3_contents" xfId="52450" xr:uid="{00000000-0005-0000-0000-0000D7CC0000}"/>
    <cellStyle name="Normal 13 4" xfId="52451" xr:uid="{00000000-0005-0000-0000-0000D8CC0000}"/>
    <cellStyle name="Normal 13 4 2" xfId="52452" xr:uid="{00000000-0005-0000-0000-0000D9CC0000}"/>
    <cellStyle name="Normal 13 4_update comparison " xfId="52453" xr:uid="{00000000-0005-0000-0000-0000DACC0000}"/>
    <cellStyle name="Normal 13 5" xfId="52454" xr:uid="{00000000-0005-0000-0000-0000DBCC0000}"/>
    <cellStyle name="Normal 13 5 2" xfId="52455" xr:uid="{00000000-0005-0000-0000-0000DCCC0000}"/>
    <cellStyle name="Normal 13 5_update comparison " xfId="52456" xr:uid="{00000000-0005-0000-0000-0000DDCC0000}"/>
    <cellStyle name="Normal 13 6" xfId="52457" xr:uid="{00000000-0005-0000-0000-0000DECC0000}"/>
    <cellStyle name="Normal 13 7" xfId="52458" xr:uid="{00000000-0005-0000-0000-0000DFCC0000}"/>
    <cellStyle name="Normal 13 8" xfId="52459" xr:uid="{00000000-0005-0000-0000-0000E0CC0000}"/>
    <cellStyle name="Normal 13 9" xfId="52460" xr:uid="{00000000-0005-0000-0000-0000E1CC0000}"/>
    <cellStyle name="Normal 13_update comparison " xfId="52461" xr:uid="{00000000-0005-0000-0000-0000E2CC0000}"/>
    <cellStyle name="Normal 130" xfId="52462" xr:uid="{00000000-0005-0000-0000-0000E3CC0000}"/>
    <cellStyle name="Normal 131" xfId="52463" xr:uid="{00000000-0005-0000-0000-0000E4CC0000}"/>
    <cellStyle name="Normal 132" xfId="52464" xr:uid="{00000000-0005-0000-0000-0000E5CC0000}"/>
    <cellStyle name="Normal 133" xfId="52465" xr:uid="{00000000-0005-0000-0000-0000E6CC0000}"/>
    <cellStyle name="Normal 134" xfId="52466" xr:uid="{00000000-0005-0000-0000-0000E7CC0000}"/>
    <cellStyle name="Normal 135" xfId="52467" xr:uid="{00000000-0005-0000-0000-0000E8CC0000}"/>
    <cellStyle name="Normal 136" xfId="52468" xr:uid="{00000000-0005-0000-0000-0000E9CC0000}"/>
    <cellStyle name="Normal 137" xfId="52469" xr:uid="{00000000-0005-0000-0000-0000EACC0000}"/>
    <cellStyle name="Normal 138" xfId="52470" xr:uid="{00000000-0005-0000-0000-0000EBCC0000}"/>
    <cellStyle name="Normal 139" xfId="52471" xr:uid="{00000000-0005-0000-0000-0000ECCC0000}"/>
    <cellStyle name="Normal 14" xfId="52472" xr:uid="{00000000-0005-0000-0000-0000EDCC0000}"/>
    <cellStyle name="Normal 14 10" xfId="52473" xr:uid="{00000000-0005-0000-0000-0000EECC0000}"/>
    <cellStyle name="Normal 14 11" xfId="52474" xr:uid="{00000000-0005-0000-0000-0000EFCC0000}"/>
    <cellStyle name="Normal 14 2" xfId="52475" xr:uid="{00000000-0005-0000-0000-0000F0CC0000}"/>
    <cellStyle name="Normal 14 2 2" xfId="52476" xr:uid="{00000000-0005-0000-0000-0000F1CC0000}"/>
    <cellStyle name="Normal 14 2_update comparison " xfId="52477" xr:uid="{00000000-0005-0000-0000-0000F2CC0000}"/>
    <cellStyle name="Normal 14 3" xfId="52478" xr:uid="{00000000-0005-0000-0000-0000F3CC0000}"/>
    <cellStyle name="Normal 14 4" xfId="52479" xr:uid="{00000000-0005-0000-0000-0000F4CC0000}"/>
    <cellStyle name="Normal 14 5" xfId="52480" xr:uid="{00000000-0005-0000-0000-0000F5CC0000}"/>
    <cellStyle name="Normal 14 6" xfId="52481" xr:uid="{00000000-0005-0000-0000-0000F6CC0000}"/>
    <cellStyle name="Normal 14 7" xfId="52482" xr:uid="{00000000-0005-0000-0000-0000F7CC0000}"/>
    <cellStyle name="Normal 14 8" xfId="52483" xr:uid="{00000000-0005-0000-0000-0000F8CC0000}"/>
    <cellStyle name="Normal 14 9" xfId="52484" xr:uid="{00000000-0005-0000-0000-0000F9CC0000}"/>
    <cellStyle name="Normal 14_update comparison " xfId="52485" xr:uid="{00000000-0005-0000-0000-0000FACC0000}"/>
    <cellStyle name="Normal 140" xfId="52486" xr:uid="{00000000-0005-0000-0000-0000FBCC0000}"/>
    <cellStyle name="Normal 141" xfId="52487" xr:uid="{00000000-0005-0000-0000-0000FCCC0000}"/>
    <cellStyle name="Normal 142" xfId="52488" xr:uid="{00000000-0005-0000-0000-0000FDCC0000}"/>
    <cellStyle name="Normal 143" xfId="52489" xr:uid="{00000000-0005-0000-0000-0000FECC0000}"/>
    <cellStyle name="Normal 144" xfId="52490" xr:uid="{00000000-0005-0000-0000-0000FFCC0000}"/>
    <cellStyle name="Normal 145" xfId="52491" xr:uid="{00000000-0005-0000-0000-000000CD0000}"/>
    <cellStyle name="Normal 146" xfId="52492" xr:uid="{00000000-0005-0000-0000-000001CD0000}"/>
    <cellStyle name="Normal 147" xfId="52493" xr:uid="{00000000-0005-0000-0000-000002CD0000}"/>
    <cellStyle name="Normal 148" xfId="52494" xr:uid="{00000000-0005-0000-0000-000003CD0000}"/>
    <cellStyle name="Normal 149" xfId="52495" xr:uid="{00000000-0005-0000-0000-000004CD0000}"/>
    <cellStyle name="Normal 15" xfId="52496" xr:uid="{00000000-0005-0000-0000-000005CD0000}"/>
    <cellStyle name="Normal 15 10" xfId="52497" xr:uid="{00000000-0005-0000-0000-000006CD0000}"/>
    <cellStyle name="Normal 15 11" xfId="52498" xr:uid="{00000000-0005-0000-0000-000007CD0000}"/>
    <cellStyle name="Normal 15 2" xfId="52499" xr:uid="{00000000-0005-0000-0000-000008CD0000}"/>
    <cellStyle name="Normal 15 2 2" xfId="52500" xr:uid="{00000000-0005-0000-0000-000009CD0000}"/>
    <cellStyle name="Normal 15 2_update comparison " xfId="52501" xr:uid="{00000000-0005-0000-0000-00000ACD0000}"/>
    <cellStyle name="Normal 15 3" xfId="52502" xr:uid="{00000000-0005-0000-0000-00000BCD0000}"/>
    <cellStyle name="Normal 15 4" xfId="52503" xr:uid="{00000000-0005-0000-0000-00000CCD0000}"/>
    <cellStyle name="Normal 15 5" xfId="52504" xr:uid="{00000000-0005-0000-0000-00000DCD0000}"/>
    <cellStyle name="Normal 15 6" xfId="52505" xr:uid="{00000000-0005-0000-0000-00000ECD0000}"/>
    <cellStyle name="Normal 15 7" xfId="52506" xr:uid="{00000000-0005-0000-0000-00000FCD0000}"/>
    <cellStyle name="Normal 15 8" xfId="52507" xr:uid="{00000000-0005-0000-0000-000010CD0000}"/>
    <cellStyle name="Normal 15 9" xfId="52508" xr:uid="{00000000-0005-0000-0000-000011CD0000}"/>
    <cellStyle name="Normal 15_update comparison " xfId="52509" xr:uid="{00000000-0005-0000-0000-000012CD0000}"/>
    <cellStyle name="Normal 150" xfId="52510" xr:uid="{00000000-0005-0000-0000-000013CD0000}"/>
    <cellStyle name="Normal 151" xfId="52511" xr:uid="{00000000-0005-0000-0000-000014CD0000}"/>
    <cellStyle name="Normal 152" xfId="52512" xr:uid="{00000000-0005-0000-0000-000015CD0000}"/>
    <cellStyle name="Normal 153" xfId="52513" xr:uid="{00000000-0005-0000-0000-000016CD0000}"/>
    <cellStyle name="Normal 154" xfId="52514" xr:uid="{00000000-0005-0000-0000-000017CD0000}"/>
    <cellStyle name="Normal 154 2" xfId="52515" xr:uid="{00000000-0005-0000-0000-000018CD0000}"/>
    <cellStyle name="Normal 154 2 2" xfId="52516" xr:uid="{00000000-0005-0000-0000-000019CD0000}"/>
    <cellStyle name="Normal 154 2 3" xfId="52517" xr:uid="{00000000-0005-0000-0000-00001ACD0000}"/>
    <cellStyle name="Normal 154 2 4" xfId="52518" xr:uid="{00000000-0005-0000-0000-00001BCD0000}"/>
    <cellStyle name="Normal 154 2 5" xfId="52519" xr:uid="{00000000-0005-0000-0000-00001CCD0000}"/>
    <cellStyle name="Normal 155" xfId="52520" xr:uid="{00000000-0005-0000-0000-00001DCD0000}"/>
    <cellStyle name="Normal 156" xfId="52521" xr:uid="{00000000-0005-0000-0000-00001ECD0000}"/>
    <cellStyle name="Normal 157" xfId="52522" xr:uid="{00000000-0005-0000-0000-00001FCD0000}"/>
    <cellStyle name="Normal 158" xfId="52523" xr:uid="{00000000-0005-0000-0000-000020CD0000}"/>
    <cellStyle name="Normal 159" xfId="52524" xr:uid="{00000000-0005-0000-0000-000021CD0000}"/>
    <cellStyle name="Normal 16" xfId="52525" xr:uid="{00000000-0005-0000-0000-000022CD0000}"/>
    <cellStyle name="Normal 16 2" xfId="52526" xr:uid="{00000000-0005-0000-0000-000023CD0000}"/>
    <cellStyle name="Normal 16 2 2" xfId="52527" xr:uid="{00000000-0005-0000-0000-000024CD0000}"/>
    <cellStyle name="Normal 16 3" xfId="52528" xr:uid="{00000000-0005-0000-0000-000025CD0000}"/>
    <cellStyle name="Normal 16 3 2" xfId="52529" xr:uid="{00000000-0005-0000-0000-000026CD0000}"/>
    <cellStyle name="Normal 16 4" xfId="52530" xr:uid="{00000000-0005-0000-0000-000027CD0000}"/>
    <cellStyle name="Normal 16 5" xfId="52531" xr:uid="{00000000-0005-0000-0000-000028CD0000}"/>
    <cellStyle name="Normal 16 6" xfId="52532" xr:uid="{00000000-0005-0000-0000-000029CD0000}"/>
    <cellStyle name="Normal 16_update comparison " xfId="52533" xr:uid="{00000000-0005-0000-0000-00002ACD0000}"/>
    <cellStyle name="Normal 160" xfId="52534" xr:uid="{00000000-0005-0000-0000-00002BCD0000}"/>
    <cellStyle name="Normal 161" xfId="52535" xr:uid="{00000000-0005-0000-0000-00002CCD0000}"/>
    <cellStyle name="Normal 162" xfId="52536" xr:uid="{00000000-0005-0000-0000-00002DCD0000}"/>
    <cellStyle name="Normal 163" xfId="52537" xr:uid="{00000000-0005-0000-0000-00002ECD0000}"/>
    <cellStyle name="Normal 164" xfId="52538" xr:uid="{00000000-0005-0000-0000-00002FCD0000}"/>
    <cellStyle name="Normal 165" xfId="52539" xr:uid="{00000000-0005-0000-0000-000030CD0000}"/>
    <cellStyle name="Normal 166" xfId="52540" xr:uid="{00000000-0005-0000-0000-000031CD0000}"/>
    <cellStyle name="Normal 167" xfId="52541" xr:uid="{00000000-0005-0000-0000-000032CD0000}"/>
    <cellStyle name="Normal 168" xfId="52542" xr:uid="{00000000-0005-0000-0000-000033CD0000}"/>
    <cellStyle name="Normal 169" xfId="52543" xr:uid="{00000000-0005-0000-0000-000034CD0000}"/>
    <cellStyle name="Normal 17" xfId="52544" xr:uid="{00000000-0005-0000-0000-000035CD0000}"/>
    <cellStyle name="Normal 17 2" xfId="52545" xr:uid="{00000000-0005-0000-0000-000036CD0000}"/>
    <cellStyle name="Normal 17 2 2" xfId="52546" xr:uid="{00000000-0005-0000-0000-000037CD0000}"/>
    <cellStyle name="Normal 17 3" xfId="52547" xr:uid="{00000000-0005-0000-0000-000038CD0000}"/>
    <cellStyle name="Normal 17 4" xfId="52548" xr:uid="{00000000-0005-0000-0000-000039CD0000}"/>
    <cellStyle name="Normal 17 5" xfId="52549" xr:uid="{00000000-0005-0000-0000-00003ACD0000}"/>
    <cellStyle name="Normal 17 6" xfId="52550" xr:uid="{00000000-0005-0000-0000-00003BCD0000}"/>
    <cellStyle name="Normal 17_update comparison " xfId="52551" xr:uid="{00000000-0005-0000-0000-00003CCD0000}"/>
    <cellStyle name="Normal 170" xfId="52552" xr:uid="{00000000-0005-0000-0000-00003DCD0000}"/>
    <cellStyle name="Normal 171" xfId="52553" xr:uid="{00000000-0005-0000-0000-00003ECD0000}"/>
    <cellStyle name="Normal 172" xfId="52554" xr:uid="{00000000-0005-0000-0000-00003FCD0000}"/>
    <cellStyle name="Normal 173" xfId="52555" xr:uid="{00000000-0005-0000-0000-000040CD0000}"/>
    <cellStyle name="Normal 174" xfId="52556" xr:uid="{00000000-0005-0000-0000-000041CD0000}"/>
    <cellStyle name="Normal 175" xfId="52557" xr:uid="{00000000-0005-0000-0000-000042CD0000}"/>
    <cellStyle name="Normal 176" xfId="52558" xr:uid="{00000000-0005-0000-0000-000043CD0000}"/>
    <cellStyle name="Normal 177" xfId="52559" xr:uid="{00000000-0005-0000-0000-000044CD0000}"/>
    <cellStyle name="Normal 178" xfId="52560" xr:uid="{00000000-0005-0000-0000-000045CD0000}"/>
    <cellStyle name="Normal 179" xfId="52561" xr:uid="{00000000-0005-0000-0000-000046CD0000}"/>
    <cellStyle name="Normal 18" xfId="52562" xr:uid="{00000000-0005-0000-0000-000047CD0000}"/>
    <cellStyle name="Normal 18 2" xfId="52563" xr:uid="{00000000-0005-0000-0000-000048CD0000}"/>
    <cellStyle name="Normal 18 2 2" xfId="52564" xr:uid="{00000000-0005-0000-0000-000049CD0000}"/>
    <cellStyle name="Normal 18 3" xfId="52565" xr:uid="{00000000-0005-0000-0000-00004ACD0000}"/>
    <cellStyle name="Normal 18 4" xfId="52566" xr:uid="{00000000-0005-0000-0000-00004BCD0000}"/>
    <cellStyle name="Normal 18 5" xfId="52567" xr:uid="{00000000-0005-0000-0000-00004CCD0000}"/>
    <cellStyle name="Normal 18_update comparison " xfId="52568" xr:uid="{00000000-0005-0000-0000-00004DCD0000}"/>
    <cellStyle name="Normal 180" xfId="52569" xr:uid="{00000000-0005-0000-0000-00004ECD0000}"/>
    <cellStyle name="Normal 181" xfId="52570" xr:uid="{00000000-0005-0000-0000-00004FCD0000}"/>
    <cellStyle name="Normal 182" xfId="52571" xr:uid="{00000000-0005-0000-0000-000050CD0000}"/>
    <cellStyle name="Normal 183" xfId="52572" xr:uid="{00000000-0005-0000-0000-000051CD0000}"/>
    <cellStyle name="Normal 184" xfId="52573" xr:uid="{00000000-0005-0000-0000-000052CD0000}"/>
    <cellStyle name="Normal 185" xfId="52574" xr:uid="{00000000-0005-0000-0000-000053CD0000}"/>
    <cellStyle name="Normal 186" xfId="52575" xr:uid="{00000000-0005-0000-0000-000054CD0000}"/>
    <cellStyle name="Normal 187" xfId="52576" xr:uid="{00000000-0005-0000-0000-000055CD0000}"/>
    <cellStyle name="Normal 19" xfId="52577" xr:uid="{00000000-0005-0000-0000-000056CD0000}"/>
    <cellStyle name="Normal 19 2" xfId="52578" xr:uid="{00000000-0005-0000-0000-000057CD0000}"/>
    <cellStyle name="Normal 19 2 2" xfId="52579" xr:uid="{00000000-0005-0000-0000-000058CD0000}"/>
    <cellStyle name="Normal 19 3" xfId="52580" xr:uid="{00000000-0005-0000-0000-000059CD0000}"/>
    <cellStyle name="Normal 19 4" xfId="52581" xr:uid="{00000000-0005-0000-0000-00005ACD0000}"/>
    <cellStyle name="Normal 19 5" xfId="52582" xr:uid="{00000000-0005-0000-0000-00005BCD0000}"/>
    <cellStyle name="Normal 19_update comparison " xfId="52583" xr:uid="{00000000-0005-0000-0000-00005CCD0000}"/>
    <cellStyle name="Normal 2" xfId="26" xr:uid="{00000000-0005-0000-0000-00005DCD0000}"/>
    <cellStyle name="Normal 2 10" xfId="52584" xr:uid="{00000000-0005-0000-0000-00005ECD0000}"/>
    <cellStyle name="Normal 2 11" xfId="52585" xr:uid="{00000000-0005-0000-0000-00005FCD0000}"/>
    <cellStyle name="Normal 2 12" xfId="52586" xr:uid="{00000000-0005-0000-0000-000060CD0000}"/>
    <cellStyle name="Normal 2 13" xfId="52587" xr:uid="{00000000-0005-0000-0000-000061CD0000}"/>
    <cellStyle name="Normal 2 2" xfId="52588" xr:uid="{00000000-0005-0000-0000-000062CD0000}"/>
    <cellStyle name="Normal 2 2 2" xfId="52589" xr:uid="{00000000-0005-0000-0000-000063CD0000}"/>
    <cellStyle name="Normal 2 2 2 2" xfId="52590" xr:uid="{00000000-0005-0000-0000-000064CD0000}"/>
    <cellStyle name="Normal 2 2 2 3" xfId="52591" xr:uid="{00000000-0005-0000-0000-000065CD0000}"/>
    <cellStyle name="Normal 2 2 3" xfId="52592" xr:uid="{00000000-0005-0000-0000-000066CD0000}"/>
    <cellStyle name="Normal 2 2 4" xfId="52593" xr:uid="{00000000-0005-0000-0000-000067CD0000}"/>
    <cellStyle name="Normal 2 2 5" xfId="52594" xr:uid="{00000000-0005-0000-0000-000068CD0000}"/>
    <cellStyle name="Normal 2 2 6" xfId="52595" xr:uid="{00000000-0005-0000-0000-000069CD0000}"/>
    <cellStyle name="Normal 2 2 7" xfId="52596" xr:uid="{00000000-0005-0000-0000-00006ACD0000}"/>
    <cellStyle name="Normal 2 2 8" xfId="52597" xr:uid="{00000000-0005-0000-0000-00006BCD0000}"/>
    <cellStyle name="Normal 2 2 9" xfId="52598" xr:uid="{00000000-0005-0000-0000-00006CCD0000}"/>
    <cellStyle name="Normal 2 2_update comparison " xfId="52599" xr:uid="{00000000-0005-0000-0000-00006DCD0000}"/>
    <cellStyle name="Normal 2 3" xfId="52600" xr:uid="{00000000-0005-0000-0000-00006ECD0000}"/>
    <cellStyle name="Normal 2 3 2" xfId="52601" xr:uid="{00000000-0005-0000-0000-00006FCD0000}"/>
    <cellStyle name="Normal 2 3 3" xfId="52602" xr:uid="{00000000-0005-0000-0000-000070CD0000}"/>
    <cellStyle name="Normal 2 3 4" xfId="52603" xr:uid="{00000000-0005-0000-0000-000071CD0000}"/>
    <cellStyle name="Normal 2 3 5" xfId="52604" xr:uid="{00000000-0005-0000-0000-000072CD0000}"/>
    <cellStyle name="Normal 2 3 6" xfId="52605" xr:uid="{00000000-0005-0000-0000-000073CD0000}"/>
    <cellStyle name="Normal 2 3 7" xfId="52606" xr:uid="{00000000-0005-0000-0000-000074CD0000}"/>
    <cellStyle name="Normal 2 3 8" xfId="52607" xr:uid="{00000000-0005-0000-0000-000075CD0000}"/>
    <cellStyle name="Normal 2 3_update comparison " xfId="52608" xr:uid="{00000000-0005-0000-0000-000076CD0000}"/>
    <cellStyle name="Normal 2 4" xfId="52609" xr:uid="{00000000-0005-0000-0000-000077CD0000}"/>
    <cellStyle name="Normal 2 4 2" xfId="52610" xr:uid="{00000000-0005-0000-0000-000078CD0000}"/>
    <cellStyle name="Normal 2 4 3" xfId="52611" xr:uid="{00000000-0005-0000-0000-000079CD0000}"/>
    <cellStyle name="Normal 2 4_update comparison " xfId="52612" xr:uid="{00000000-0005-0000-0000-00007ACD0000}"/>
    <cellStyle name="Normal 2 5" xfId="52613" xr:uid="{00000000-0005-0000-0000-00007BCD0000}"/>
    <cellStyle name="Normal 2 5 10" xfId="52614" xr:uid="{00000000-0005-0000-0000-00007CCD0000}"/>
    <cellStyle name="Normal 2 5 2" xfId="52615" xr:uid="{00000000-0005-0000-0000-00007DCD0000}"/>
    <cellStyle name="Normal 2 5 3" xfId="52616" xr:uid="{00000000-0005-0000-0000-00007ECD0000}"/>
    <cellStyle name="Normal 2 5 4" xfId="52617" xr:uid="{00000000-0005-0000-0000-00007FCD0000}"/>
    <cellStyle name="Normal 2 5 5" xfId="52618" xr:uid="{00000000-0005-0000-0000-000080CD0000}"/>
    <cellStyle name="Normal 2 5 6" xfId="52619" xr:uid="{00000000-0005-0000-0000-000081CD0000}"/>
    <cellStyle name="Normal 2 5 7" xfId="52620" xr:uid="{00000000-0005-0000-0000-000082CD0000}"/>
    <cellStyle name="Normal 2 5 8" xfId="52621" xr:uid="{00000000-0005-0000-0000-000083CD0000}"/>
    <cellStyle name="Normal 2 5 9" xfId="52622" xr:uid="{00000000-0005-0000-0000-000084CD0000}"/>
    <cellStyle name="Normal 2 5_update comparison " xfId="52623" xr:uid="{00000000-0005-0000-0000-000085CD0000}"/>
    <cellStyle name="Normal 2 6" xfId="52624" xr:uid="{00000000-0005-0000-0000-000086CD0000}"/>
    <cellStyle name="Normal 2 6 2" xfId="52625" xr:uid="{00000000-0005-0000-0000-000087CD0000}"/>
    <cellStyle name="Normal 2 6 2 2" xfId="52626" xr:uid="{00000000-0005-0000-0000-000088CD0000}"/>
    <cellStyle name="Normal 2 6 3" xfId="52627" xr:uid="{00000000-0005-0000-0000-000089CD0000}"/>
    <cellStyle name="Normal 2 6 4" xfId="52628" xr:uid="{00000000-0005-0000-0000-00008ACD0000}"/>
    <cellStyle name="Normal 2 6_Content" xfId="52629" xr:uid="{00000000-0005-0000-0000-00008BCD0000}"/>
    <cellStyle name="Normal 2 7" xfId="52630" xr:uid="{00000000-0005-0000-0000-00008CCD0000}"/>
    <cellStyle name="Normal 2 7 2" xfId="52631" xr:uid="{00000000-0005-0000-0000-00008DCD0000}"/>
    <cellStyle name="Normal 2 7 2 2" xfId="52632" xr:uid="{00000000-0005-0000-0000-00008ECD0000}"/>
    <cellStyle name="Normal 2 7_update comparison " xfId="52633" xr:uid="{00000000-0005-0000-0000-00008FCD0000}"/>
    <cellStyle name="Normal 2 8" xfId="52634" xr:uid="{00000000-0005-0000-0000-000090CD0000}"/>
    <cellStyle name="Normal 2 8 2" xfId="52635" xr:uid="{00000000-0005-0000-0000-000091CD0000}"/>
    <cellStyle name="Normal 2 9" xfId="52636" xr:uid="{00000000-0005-0000-0000-000092CD0000}"/>
    <cellStyle name="Normal 2 9 2" xfId="52637" xr:uid="{00000000-0005-0000-0000-000093CD0000}"/>
    <cellStyle name="Normal 2_BOP 2004-2009 1Q with 2008 BOP by June 30" xfId="52638" xr:uid="{00000000-0005-0000-0000-000094CD0000}"/>
    <cellStyle name="Normal 20" xfId="52639" xr:uid="{00000000-0005-0000-0000-000095CD0000}"/>
    <cellStyle name="Normal 20 2" xfId="52640" xr:uid="{00000000-0005-0000-0000-000096CD0000}"/>
    <cellStyle name="Normal 20 2 2" xfId="52641" xr:uid="{00000000-0005-0000-0000-000097CD0000}"/>
    <cellStyle name="Normal 20 2 3" xfId="52642" xr:uid="{00000000-0005-0000-0000-000098CD0000}"/>
    <cellStyle name="Normal 20 3" xfId="52643" xr:uid="{00000000-0005-0000-0000-000099CD0000}"/>
    <cellStyle name="Normal 20 4" xfId="52644" xr:uid="{00000000-0005-0000-0000-00009ACD0000}"/>
    <cellStyle name="Normal 20_update comparison " xfId="52645" xr:uid="{00000000-0005-0000-0000-00009BCD0000}"/>
    <cellStyle name="Normal 21" xfId="52646" xr:uid="{00000000-0005-0000-0000-00009CCD0000}"/>
    <cellStyle name="Normal 21 2" xfId="52647" xr:uid="{00000000-0005-0000-0000-00009DCD0000}"/>
    <cellStyle name="Normal 21 3" xfId="52648" xr:uid="{00000000-0005-0000-0000-00009ECD0000}"/>
    <cellStyle name="Normal 21 3 2" xfId="52649" xr:uid="{00000000-0005-0000-0000-00009FCD0000}"/>
    <cellStyle name="Normal 21 4" xfId="52650" xr:uid="{00000000-0005-0000-0000-0000A0CD0000}"/>
    <cellStyle name="Normal 21 5" xfId="52651" xr:uid="{00000000-0005-0000-0000-0000A1CD0000}"/>
    <cellStyle name="Normal 21 6" xfId="52652" xr:uid="{00000000-0005-0000-0000-0000A2CD0000}"/>
    <cellStyle name="Normal 21_update comparison " xfId="52653" xr:uid="{00000000-0005-0000-0000-0000A3CD0000}"/>
    <cellStyle name="Normal 22" xfId="52654" xr:uid="{00000000-0005-0000-0000-0000A4CD0000}"/>
    <cellStyle name="Normal 22 2" xfId="52655" xr:uid="{00000000-0005-0000-0000-0000A5CD0000}"/>
    <cellStyle name="Normal 22 2 2" xfId="52656" xr:uid="{00000000-0005-0000-0000-0000A6CD0000}"/>
    <cellStyle name="Normal 22 3" xfId="52657" xr:uid="{00000000-0005-0000-0000-0000A7CD0000}"/>
    <cellStyle name="Normal 22 4" xfId="52658" xr:uid="{00000000-0005-0000-0000-0000A8CD0000}"/>
    <cellStyle name="Normal 22_update comparison " xfId="52659" xr:uid="{00000000-0005-0000-0000-0000A9CD0000}"/>
    <cellStyle name="Normal 23" xfId="52660" xr:uid="{00000000-0005-0000-0000-0000AACD0000}"/>
    <cellStyle name="Normal 23 2" xfId="52661" xr:uid="{00000000-0005-0000-0000-0000ABCD0000}"/>
    <cellStyle name="Normal 23 3" xfId="52662" xr:uid="{00000000-0005-0000-0000-0000ACCD0000}"/>
    <cellStyle name="Normal 23 4" xfId="52663" xr:uid="{00000000-0005-0000-0000-0000ADCD0000}"/>
    <cellStyle name="Normal 23_update comparison " xfId="52664" xr:uid="{00000000-0005-0000-0000-0000AECD0000}"/>
    <cellStyle name="Normal 24" xfId="52665" xr:uid="{00000000-0005-0000-0000-0000AFCD0000}"/>
    <cellStyle name="Normal 24 2" xfId="52666" xr:uid="{00000000-0005-0000-0000-0000B0CD0000}"/>
    <cellStyle name="Normal 24 3" xfId="52667" xr:uid="{00000000-0005-0000-0000-0000B1CD0000}"/>
    <cellStyle name="Normal 24_update comparison " xfId="52668" xr:uid="{00000000-0005-0000-0000-0000B2CD0000}"/>
    <cellStyle name="Normal 25" xfId="52669" xr:uid="{00000000-0005-0000-0000-0000B3CD0000}"/>
    <cellStyle name="Normal 25 2" xfId="52670" xr:uid="{00000000-0005-0000-0000-0000B4CD0000}"/>
    <cellStyle name="Normal 25 3" xfId="52671" xr:uid="{00000000-0005-0000-0000-0000B5CD0000}"/>
    <cellStyle name="Normal 25 3 2" xfId="52672" xr:uid="{00000000-0005-0000-0000-0000B6CD0000}"/>
    <cellStyle name="Normal 25 3 2 2" xfId="52673" xr:uid="{00000000-0005-0000-0000-0000B7CD0000}"/>
    <cellStyle name="Normal 25 3 3" xfId="52674" xr:uid="{00000000-0005-0000-0000-0000B8CD0000}"/>
    <cellStyle name="Normal 25 4" xfId="52675" xr:uid="{00000000-0005-0000-0000-0000B9CD0000}"/>
    <cellStyle name="Normal 25_update comparison " xfId="52676" xr:uid="{00000000-0005-0000-0000-0000BACD0000}"/>
    <cellStyle name="Normal 26" xfId="52677" xr:uid="{00000000-0005-0000-0000-0000BBCD0000}"/>
    <cellStyle name="Normal 26 2" xfId="52678" xr:uid="{00000000-0005-0000-0000-0000BCCD0000}"/>
    <cellStyle name="Normal 26 2 2" xfId="52679" xr:uid="{00000000-0005-0000-0000-0000BDCD0000}"/>
    <cellStyle name="Normal 26 3" xfId="52680" xr:uid="{00000000-0005-0000-0000-0000BECD0000}"/>
    <cellStyle name="Normal 26 3 2" xfId="52681" xr:uid="{00000000-0005-0000-0000-0000BFCD0000}"/>
    <cellStyle name="Normal 26 3 3" xfId="52682" xr:uid="{00000000-0005-0000-0000-0000C0CD0000}"/>
    <cellStyle name="Normal 26 3 4" xfId="52683" xr:uid="{00000000-0005-0000-0000-0000C1CD0000}"/>
    <cellStyle name="Normal 26 3 5" xfId="52684" xr:uid="{00000000-0005-0000-0000-0000C2CD0000}"/>
    <cellStyle name="Normal 26 4" xfId="52685" xr:uid="{00000000-0005-0000-0000-0000C3CD0000}"/>
    <cellStyle name="Normal 26 5" xfId="52686" xr:uid="{00000000-0005-0000-0000-0000C4CD0000}"/>
    <cellStyle name="Normal 26_update comparison " xfId="52687" xr:uid="{00000000-0005-0000-0000-0000C5CD0000}"/>
    <cellStyle name="Normal 27" xfId="52688" xr:uid="{00000000-0005-0000-0000-0000C6CD0000}"/>
    <cellStyle name="Normal 27 2" xfId="52689" xr:uid="{00000000-0005-0000-0000-0000C7CD0000}"/>
    <cellStyle name="Normal 27 2 2" xfId="52690" xr:uid="{00000000-0005-0000-0000-0000C8CD0000}"/>
    <cellStyle name="Normal 27 3" xfId="52691" xr:uid="{00000000-0005-0000-0000-0000C9CD0000}"/>
    <cellStyle name="Normal 27_update comparison " xfId="52692" xr:uid="{00000000-0005-0000-0000-0000CACD0000}"/>
    <cellStyle name="Normal 28" xfId="52693" xr:uid="{00000000-0005-0000-0000-0000CBCD0000}"/>
    <cellStyle name="Normal 28 2" xfId="52694" xr:uid="{00000000-0005-0000-0000-0000CCCD0000}"/>
    <cellStyle name="Normal 28 3" xfId="52695" xr:uid="{00000000-0005-0000-0000-0000CDCD0000}"/>
    <cellStyle name="Normal 28 4" xfId="52696" xr:uid="{00000000-0005-0000-0000-0000CECD0000}"/>
    <cellStyle name="Normal 28_update comparison " xfId="52697" xr:uid="{00000000-0005-0000-0000-0000CFCD0000}"/>
    <cellStyle name="Normal 29" xfId="52698" xr:uid="{00000000-0005-0000-0000-0000D0CD0000}"/>
    <cellStyle name="Normal 29 2" xfId="52699" xr:uid="{00000000-0005-0000-0000-0000D1CD0000}"/>
    <cellStyle name="Normal 29 3" xfId="52700" xr:uid="{00000000-0005-0000-0000-0000D2CD0000}"/>
    <cellStyle name="Normal 29_update comparison " xfId="52701" xr:uid="{00000000-0005-0000-0000-0000D3CD0000}"/>
    <cellStyle name="Normal 3" xfId="1" xr:uid="{00000000-0005-0000-0000-0000D4CD0000}"/>
    <cellStyle name="Normal 3 10" xfId="52702" xr:uid="{00000000-0005-0000-0000-0000D5CD0000}"/>
    <cellStyle name="Normal 3 11" xfId="52703" xr:uid="{00000000-0005-0000-0000-0000D6CD0000}"/>
    <cellStyle name="Normal 3 12" xfId="52704" xr:uid="{00000000-0005-0000-0000-0000D7CD0000}"/>
    <cellStyle name="Normal 3 13" xfId="52705" xr:uid="{00000000-0005-0000-0000-0000D8CD0000}"/>
    <cellStyle name="Normal 3 14" xfId="52706" xr:uid="{00000000-0005-0000-0000-0000D9CD0000}"/>
    <cellStyle name="Normal 3 15" xfId="52707" xr:uid="{00000000-0005-0000-0000-0000DACD0000}"/>
    <cellStyle name="Normal 3 16" xfId="52708" xr:uid="{00000000-0005-0000-0000-0000DBCD0000}"/>
    <cellStyle name="Normal 3 17" xfId="52709" xr:uid="{00000000-0005-0000-0000-0000DCCD0000}"/>
    <cellStyle name="Normal 3 2" xfId="27" xr:uid="{00000000-0005-0000-0000-0000DDCD0000}"/>
    <cellStyle name="Normal 3 2 10" xfId="52710" xr:uid="{00000000-0005-0000-0000-0000DECD0000}"/>
    <cellStyle name="Normal 3 2 11" xfId="52711" xr:uid="{00000000-0005-0000-0000-0000DFCD0000}"/>
    <cellStyle name="Normal 3 2 12" xfId="52712" xr:uid="{00000000-0005-0000-0000-0000E0CD0000}"/>
    <cellStyle name="Normal 3 2 13" xfId="52713" xr:uid="{00000000-0005-0000-0000-0000E1CD0000}"/>
    <cellStyle name="Normal 3 2 14" xfId="52714" xr:uid="{00000000-0005-0000-0000-0000E2CD0000}"/>
    <cellStyle name="Normal 3 2 15" xfId="52715" xr:uid="{00000000-0005-0000-0000-0000E3CD0000}"/>
    <cellStyle name="Normal 3 2 2" xfId="52716" xr:uid="{00000000-0005-0000-0000-0000E4CD0000}"/>
    <cellStyle name="Normal 3 2 2 2" xfId="52717" xr:uid="{00000000-0005-0000-0000-0000E5CD0000}"/>
    <cellStyle name="Normal 3 2 2 2 2" xfId="52718" xr:uid="{00000000-0005-0000-0000-0000E6CD0000}"/>
    <cellStyle name="Normal 3 2 2 2 3" xfId="52719" xr:uid="{00000000-0005-0000-0000-0000E7CD0000}"/>
    <cellStyle name="Normal 3 2 2 3" xfId="52720" xr:uid="{00000000-0005-0000-0000-0000E8CD0000}"/>
    <cellStyle name="Normal 3 2 2 4" xfId="52721" xr:uid="{00000000-0005-0000-0000-0000E9CD0000}"/>
    <cellStyle name="Normal 3 2 2_update comparison " xfId="52722" xr:uid="{00000000-0005-0000-0000-0000EACD0000}"/>
    <cellStyle name="Normal 3 2 3" xfId="52723" xr:uid="{00000000-0005-0000-0000-0000EBCD0000}"/>
    <cellStyle name="Normal 3 2 3 2" xfId="52724" xr:uid="{00000000-0005-0000-0000-0000ECCD0000}"/>
    <cellStyle name="Normal 3 2 3 3" xfId="52725" xr:uid="{00000000-0005-0000-0000-0000EDCD0000}"/>
    <cellStyle name="Normal 3 2 3_update comparison " xfId="52726" xr:uid="{00000000-0005-0000-0000-0000EECD0000}"/>
    <cellStyle name="Normal 3 2 4" xfId="52727" xr:uid="{00000000-0005-0000-0000-0000EFCD0000}"/>
    <cellStyle name="Normal 3 2 4 2" xfId="52728" xr:uid="{00000000-0005-0000-0000-0000F0CD0000}"/>
    <cellStyle name="Normal 3 2 4 3" xfId="52729" xr:uid="{00000000-0005-0000-0000-0000F1CD0000}"/>
    <cellStyle name="Normal 3 2 4 4" xfId="52730" xr:uid="{00000000-0005-0000-0000-0000F2CD0000}"/>
    <cellStyle name="Normal 3 2 4_contents" xfId="52731" xr:uid="{00000000-0005-0000-0000-0000F3CD0000}"/>
    <cellStyle name="Normal 3 2 5" xfId="52732" xr:uid="{00000000-0005-0000-0000-0000F4CD0000}"/>
    <cellStyle name="Normal 3 2 6" xfId="52733" xr:uid="{00000000-0005-0000-0000-0000F5CD0000}"/>
    <cellStyle name="Normal 3 2 7" xfId="52734" xr:uid="{00000000-0005-0000-0000-0000F6CD0000}"/>
    <cellStyle name="Normal 3 2 8" xfId="52735" xr:uid="{00000000-0005-0000-0000-0000F7CD0000}"/>
    <cellStyle name="Normal 3 2 9" xfId="52736" xr:uid="{00000000-0005-0000-0000-0000F8CD0000}"/>
    <cellStyle name="Normal 3 2_update comparison " xfId="52737" xr:uid="{00000000-0005-0000-0000-0000F9CD0000}"/>
    <cellStyle name="Normal 3 3" xfId="52738" xr:uid="{00000000-0005-0000-0000-0000FACD0000}"/>
    <cellStyle name="Normal 3 3 10" xfId="52739" xr:uid="{00000000-0005-0000-0000-0000FBCD0000}"/>
    <cellStyle name="Normal 3 3 11" xfId="52740" xr:uid="{00000000-0005-0000-0000-0000FCCD0000}"/>
    <cellStyle name="Normal 3 3 12" xfId="52741" xr:uid="{00000000-0005-0000-0000-0000FDCD0000}"/>
    <cellStyle name="Normal 3 3 13" xfId="52742" xr:uid="{00000000-0005-0000-0000-0000FECD0000}"/>
    <cellStyle name="Normal 3 3 2" xfId="52743" xr:uid="{00000000-0005-0000-0000-0000FFCD0000}"/>
    <cellStyle name="Normal 3 3 2 2" xfId="52744" xr:uid="{00000000-0005-0000-0000-000000CE0000}"/>
    <cellStyle name="Normal 3 3 2 2 2" xfId="52745" xr:uid="{00000000-0005-0000-0000-000001CE0000}"/>
    <cellStyle name="Normal 3 3 2 3" xfId="52746" xr:uid="{00000000-0005-0000-0000-000002CE0000}"/>
    <cellStyle name="Normal 3 3 2 4" xfId="52747" xr:uid="{00000000-0005-0000-0000-000003CE0000}"/>
    <cellStyle name="Normal 3 3 2_contents" xfId="52748" xr:uid="{00000000-0005-0000-0000-000004CE0000}"/>
    <cellStyle name="Normal 3 3 3" xfId="52749" xr:uid="{00000000-0005-0000-0000-000005CE0000}"/>
    <cellStyle name="Normal 3 3 3 2" xfId="52750" xr:uid="{00000000-0005-0000-0000-000006CE0000}"/>
    <cellStyle name="Normal 3 3 4" xfId="52751" xr:uid="{00000000-0005-0000-0000-000007CE0000}"/>
    <cellStyle name="Normal 3 3 5" xfId="52752" xr:uid="{00000000-0005-0000-0000-000008CE0000}"/>
    <cellStyle name="Normal 3 3 6" xfId="52753" xr:uid="{00000000-0005-0000-0000-000009CE0000}"/>
    <cellStyle name="Normal 3 3 7" xfId="52754" xr:uid="{00000000-0005-0000-0000-00000ACE0000}"/>
    <cellStyle name="Normal 3 3 8" xfId="52755" xr:uid="{00000000-0005-0000-0000-00000BCE0000}"/>
    <cellStyle name="Normal 3 3 9" xfId="52756" xr:uid="{00000000-0005-0000-0000-00000CCE0000}"/>
    <cellStyle name="Normal 3 3_contents" xfId="52757" xr:uid="{00000000-0005-0000-0000-00000DCE0000}"/>
    <cellStyle name="Normal 3 4" xfId="52758" xr:uid="{00000000-0005-0000-0000-00000ECE0000}"/>
    <cellStyle name="Normal 3 4 2" xfId="52759" xr:uid="{00000000-0005-0000-0000-00000FCE0000}"/>
    <cellStyle name="Normal 3 4 2 2" xfId="52760" xr:uid="{00000000-0005-0000-0000-000010CE0000}"/>
    <cellStyle name="Normal 3 4 2 2 2" xfId="52761" xr:uid="{00000000-0005-0000-0000-000011CE0000}"/>
    <cellStyle name="Normal 3 4 2 3" xfId="52762" xr:uid="{00000000-0005-0000-0000-000012CE0000}"/>
    <cellStyle name="Normal 3 4 2 4" xfId="52763" xr:uid="{00000000-0005-0000-0000-000013CE0000}"/>
    <cellStyle name="Normal 3 4 3" xfId="52764" xr:uid="{00000000-0005-0000-0000-000014CE0000}"/>
    <cellStyle name="Normal 3 4 3 2" xfId="52765" xr:uid="{00000000-0005-0000-0000-000015CE0000}"/>
    <cellStyle name="Normal 3 4 4" xfId="52766" xr:uid="{00000000-0005-0000-0000-000016CE0000}"/>
    <cellStyle name="Normal 3 4 5" xfId="52767" xr:uid="{00000000-0005-0000-0000-000017CE0000}"/>
    <cellStyle name="Normal 3 4 6" xfId="52768" xr:uid="{00000000-0005-0000-0000-000018CE0000}"/>
    <cellStyle name="Normal 3 4 7" xfId="52769" xr:uid="{00000000-0005-0000-0000-000019CE0000}"/>
    <cellStyle name="Normal 3 4_update comparison " xfId="52770" xr:uid="{00000000-0005-0000-0000-00001ACE0000}"/>
    <cellStyle name="Normal 3 5" xfId="52771" xr:uid="{00000000-0005-0000-0000-00001BCE0000}"/>
    <cellStyle name="Normal 3 5 2" xfId="52772" xr:uid="{00000000-0005-0000-0000-00001CCE0000}"/>
    <cellStyle name="Normal 3 5 3" xfId="52773" xr:uid="{00000000-0005-0000-0000-00001DCE0000}"/>
    <cellStyle name="Normal 3 5_update comparison " xfId="52774" xr:uid="{00000000-0005-0000-0000-00001ECE0000}"/>
    <cellStyle name="Normal 3 6" xfId="52775" xr:uid="{00000000-0005-0000-0000-00001FCE0000}"/>
    <cellStyle name="Normal 3 6 2" xfId="52776" xr:uid="{00000000-0005-0000-0000-000020CE0000}"/>
    <cellStyle name="Normal 3 6 2 2" xfId="52777" xr:uid="{00000000-0005-0000-0000-000021CE0000}"/>
    <cellStyle name="Normal 3 6 3" xfId="52778" xr:uid="{00000000-0005-0000-0000-000022CE0000}"/>
    <cellStyle name="Normal 3 7" xfId="52779" xr:uid="{00000000-0005-0000-0000-000023CE0000}"/>
    <cellStyle name="Normal 3 8" xfId="52780" xr:uid="{00000000-0005-0000-0000-000024CE0000}"/>
    <cellStyle name="Normal 3 8 2" xfId="52781" xr:uid="{00000000-0005-0000-0000-000025CE0000}"/>
    <cellStyle name="Normal 3 9" xfId="52782" xr:uid="{00000000-0005-0000-0000-000026CE0000}"/>
    <cellStyle name="Normal 3_PPG debt" xfId="52783" xr:uid="{00000000-0005-0000-0000-000027CE0000}"/>
    <cellStyle name="Normal 30" xfId="52784" xr:uid="{00000000-0005-0000-0000-000028CE0000}"/>
    <cellStyle name="Normal 30 2" xfId="52785" xr:uid="{00000000-0005-0000-0000-000029CE0000}"/>
    <cellStyle name="Normal 30 3" xfId="52786" xr:uid="{00000000-0005-0000-0000-00002ACE0000}"/>
    <cellStyle name="Normal 30 4" xfId="52787" xr:uid="{00000000-0005-0000-0000-00002BCE0000}"/>
    <cellStyle name="Normal 30_update comparison " xfId="52788" xr:uid="{00000000-0005-0000-0000-00002CCE0000}"/>
    <cellStyle name="Normal 31" xfId="52789" xr:uid="{00000000-0005-0000-0000-00002DCE0000}"/>
    <cellStyle name="Normal 31 2" xfId="52790" xr:uid="{00000000-0005-0000-0000-00002ECE0000}"/>
    <cellStyle name="Normal 32" xfId="52791" xr:uid="{00000000-0005-0000-0000-00002FCE0000}"/>
    <cellStyle name="Normal 32 2" xfId="52792" xr:uid="{00000000-0005-0000-0000-000030CE0000}"/>
    <cellStyle name="Normal 32 2 2" xfId="52793" xr:uid="{00000000-0005-0000-0000-000031CE0000}"/>
    <cellStyle name="Normal 32 3" xfId="52794" xr:uid="{00000000-0005-0000-0000-000032CE0000}"/>
    <cellStyle name="Normal 32 4" xfId="52795" xr:uid="{00000000-0005-0000-0000-000033CE0000}"/>
    <cellStyle name="Normal 32_update comparison " xfId="52796" xr:uid="{00000000-0005-0000-0000-000034CE0000}"/>
    <cellStyle name="Normal 33" xfId="52797" xr:uid="{00000000-0005-0000-0000-000035CE0000}"/>
    <cellStyle name="Normal 33 2" xfId="52798" xr:uid="{00000000-0005-0000-0000-000036CE0000}"/>
    <cellStyle name="Normal 33 3" xfId="52799" xr:uid="{00000000-0005-0000-0000-000037CE0000}"/>
    <cellStyle name="Normal 33_update comparison " xfId="52800" xr:uid="{00000000-0005-0000-0000-000038CE0000}"/>
    <cellStyle name="Normal 34" xfId="52801" xr:uid="{00000000-0005-0000-0000-000039CE0000}"/>
    <cellStyle name="Normal 34 2" xfId="52802" xr:uid="{00000000-0005-0000-0000-00003ACE0000}"/>
    <cellStyle name="Normal 34 3" xfId="52803" xr:uid="{00000000-0005-0000-0000-00003BCE0000}"/>
    <cellStyle name="Normal 34 4" xfId="52804" xr:uid="{00000000-0005-0000-0000-00003CCE0000}"/>
    <cellStyle name="Normal 34_update comparison " xfId="52805" xr:uid="{00000000-0005-0000-0000-00003DCE0000}"/>
    <cellStyle name="Normal 35" xfId="52806" xr:uid="{00000000-0005-0000-0000-00003ECE0000}"/>
    <cellStyle name="Normal 35 2" xfId="52807" xr:uid="{00000000-0005-0000-0000-00003FCE0000}"/>
    <cellStyle name="Normal 35 2 2" xfId="52808" xr:uid="{00000000-0005-0000-0000-000040CE0000}"/>
    <cellStyle name="Normal 35 3" xfId="52809" xr:uid="{00000000-0005-0000-0000-000041CE0000}"/>
    <cellStyle name="Normal 35 4" xfId="52810" xr:uid="{00000000-0005-0000-0000-000042CE0000}"/>
    <cellStyle name="Normal 35_update comparison " xfId="52811" xr:uid="{00000000-0005-0000-0000-000043CE0000}"/>
    <cellStyle name="Normal 36" xfId="52812" xr:uid="{00000000-0005-0000-0000-000044CE0000}"/>
    <cellStyle name="Normal 36 2" xfId="52813" xr:uid="{00000000-0005-0000-0000-000045CE0000}"/>
    <cellStyle name="Normal 37" xfId="52814" xr:uid="{00000000-0005-0000-0000-000046CE0000}"/>
    <cellStyle name="Normal 37 2" xfId="52815" xr:uid="{00000000-0005-0000-0000-000047CE0000}"/>
    <cellStyle name="Normal 38" xfId="52816" xr:uid="{00000000-0005-0000-0000-000048CE0000}"/>
    <cellStyle name="Normal 38 2" xfId="52817" xr:uid="{00000000-0005-0000-0000-000049CE0000}"/>
    <cellStyle name="Normal 39" xfId="52818" xr:uid="{00000000-0005-0000-0000-00004ACE0000}"/>
    <cellStyle name="Normal 39 2" xfId="52819" xr:uid="{00000000-0005-0000-0000-00004BCE0000}"/>
    <cellStyle name="Normal 4" xfId="28" xr:uid="{00000000-0005-0000-0000-00004CCE0000}"/>
    <cellStyle name="Normal 4 10" xfId="52820" xr:uid="{00000000-0005-0000-0000-00004DCE0000}"/>
    <cellStyle name="Normal 4 11" xfId="52821" xr:uid="{00000000-0005-0000-0000-00004ECE0000}"/>
    <cellStyle name="Normal 4 12" xfId="52822" xr:uid="{00000000-0005-0000-0000-00004FCE0000}"/>
    <cellStyle name="Normal 4 13" xfId="52823" xr:uid="{00000000-0005-0000-0000-000050CE0000}"/>
    <cellStyle name="Normal 4 2" xfId="52824" xr:uid="{00000000-0005-0000-0000-000051CE0000}"/>
    <cellStyle name="Normal 4 2 10" xfId="52825" xr:uid="{00000000-0005-0000-0000-000052CE0000}"/>
    <cellStyle name="Normal 4 2 11" xfId="52826" xr:uid="{00000000-0005-0000-0000-000053CE0000}"/>
    <cellStyle name="Normal 4 2 12" xfId="52827" xr:uid="{00000000-0005-0000-0000-000054CE0000}"/>
    <cellStyle name="Normal 4 2 13" xfId="52828" xr:uid="{00000000-0005-0000-0000-000055CE0000}"/>
    <cellStyle name="Normal 4 2 14" xfId="52829" xr:uid="{00000000-0005-0000-0000-000056CE0000}"/>
    <cellStyle name="Normal 4 2 15" xfId="52830" xr:uid="{00000000-0005-0000-0000-000057CE0000}"/>
    <cellStyle name="Normal 4 2 2" xfId="52831" xr:uid="{00000000-0005-0000-0000-000058CE0000}"/>
    <cellStyle name="Normal 4 2 2 2" xfId="52832" xr:uid="{00000000-0005-0000-0000-000059CE0000}"/>
    <cellStyle name="Normal 4 2 2_update comparison " xfId="52833" xr:uid="{00000000-0005-0000-0000-00005ACE0000}"/>
    <cellStyle name="Normal 4 2 3" xfId="52834" xr:uid="{00000000-0005-0000-0000-00005BCE0000}"/>
    <cellStyle name="Normal 4 2 3 2" xfId="52835" xr:uid="{00000000-0005-0000-0000-00005CCE0000}"/>
    <cellStyle name="Normal 4 2 3 3" xfId="52836" xr:uid="{00000000-0005-0000-0000-00005DCE0000}"/>
    <cellStyle name="Normal 4 2 3 4" xfId="52837" xr:uid="{00000000-0005-0000-0000-00005ECE0000}"/>
    <cellStyle name="Normal 4 2 3_contents" xfId="52838" xr:uid="{00000000-0005-0000-0000-00005FCE0000}"/>
    <cellStyle name="Normal 4 2 4" xfId="52839" xr:uid="{00000000-0005-0000-0000-000060CE0000}"/>
    <cellStyle name="Normal 4 2 5" xfId="52840" xr:uid="{00000000-0005-0000-0000-000061CE0000}"/>
    <cellStyle name="Normal 4 2 6" xfId="52841" xr:uid="{00000000-0005-0000-0000-000062CE0000}"/>
    <cellStyle name="Normal 4 2 7" xfId="52842" xr:uid="{00000000-0005-0000-0000-000063CE0000}"/>
    <cellStyle name="Normal 4 2 8" xfId="52843" xr:uid="{00000000-0005-0000-0000-000064CE0000}"/>
    <cellStyle name="Normal 4 2 9" xfId="52844" xr:uid="{00000000-0005-0000-0000-000065CE0000}"/>
    <cellStyle name="Normal 4 2_update comparison " xfId="52845" xr:uid="{00000000-0005-0000-0000-000066CE0000}"/>
    <cellStyle name="Normal 4 3" xfId="52846" xr:uid="{00000000-0005-0000-0000-000067CE0000}"/>
    <cellStyle name="Normal 4 3 10" xfId="52847" xr:uid="{00000000-0005-0000-0000-000068CE0000}"/>
    <cellStyle name="Normal 4 3 11" xfId="52848" xr:uid="{00000000-0005-0000-0000-000069CE0000}"/>
    <cellStyle name="Normal 4 3 12" xfId="52849" xr:uid="{00000000-0005-0000-0000-00006ACE0000}"/>
    <cellStyle name="Normal 4 3 13" xfId="52850" xr:uid="{00000000-0005-0000-0000-00006BCE0000}"/>
    <cellStyle name="Normal 4 3 14" xfId="52851" xr:uid="{00000000-0005-0000-0000-00006CCE0000}"/>
    <cellStyle name="Normal 4 3 2" xfId="52852" xr:uid="{00000000-0005-0000-0000-00006DCE0000}"/>
    <cellStyle name="Normal 4 3 2 2" xfId="52853" xr:uid="{00000000-0005-0000-0000-00006ECE0000}"/>
    <cellStyle name="Normal 4 3 2 3" xfId="52854" xr:uid="{00000000-0005-0000-0000-00006FCE0000}"/>
    <cellStyle name="Normal 4 3 2 4" xfId="52855" xr:uid="{00000000-0005-0000-0000-000070CE0000}"/>
    <cellStyle name="Normal 4 3 2_contents" xfId="52856" xr:uid="{00000000-0005-0000-0000-000071CE0000}"/>
    <cellStyle name="Normal 4 3 3" xfId="52857" xr:uid="{00000000-0005-0000-0000-000072CE0000}"/>
    <cellStyle name="Normal 4 3 4" xfId="52858" xr:uid="{00000000-0005-0000-0000-000073CE0000}"/>
    <cellStyle name="Normal 4 3 5" xfId="52859" xr:uid="{00000000-0005-0000-0000-000074CE0000}"/>
    <cellStyle name="Normal 4 3 6" xfId="52860" xr:uid="{00000000-0005-0000-0000-000075CE0000}"/>
    <cellStyle name="Normal 4 3 7" xfId="52861" xr:uid="{00000000-0005-0000-0000-000076CE0000}"/>
    <cellStyle name="Normal 4 3 8" xfId="52862" xr:uid="{00000000-0005-0000-0000-000077CE0000}"/>
    <cellStyle name="Normal 4 3 9" xfId="52863" xr:uid="{00000000-0005-0000-0000-000078CE0000}"/>
    <cellStyle name="Normal 4 3_update comparison " xfId="52864" xr:uid="{00000000-0005-0000-0000-000079CE0000}"/>
    <cellStyle name="Normal 4 4" xfId="52865" xr:uid="{00000000-0005-0000-0000-00007ACE0000}"/>
    <cellStyle name="Normal 4 4 2" xfId="52866" xr:uid="{00000000-0005-0000-0000-00007BCE0000}"/>
    <cellStyle name="Normal 4 4 3" xfId="52867" xr:uid="{00000000-0005-0000-0000-00007CCE0000}"/>
    <cellStyle name="Normal 4 4_update comparison " xfId="52868" xr:uid="{00000000-0005-0000-0000-00007DCE0000}"/>
    <cellStyle name="Normal 4 5" xfId="52869" xr:uid="{00000000-0005-0000-0000-00007ECE0000}"/>
    <cellStyle name="Normal 4 6" xfId="52870" xr:uid="{00000000-0005-0000-0000-00007FCE0000}"/>
    <cellStyle name="Normal 4 7" xfId="52871" xr:uid="{00000000-0005-0000-0000-000080CE0000}"/>
    <cellStyle name="Normal 4 8" xfId="52872" xr:uid="{00000000-0005-0000-0000-000081CE0000}"/>
    <cellStyle name="Normal 4 9" xfId="52873" xr:uid="{00000000-0005-0000-0000-000082CE0000}"/>
    <cellStyle name="Normal 4_Table 1" xfId="52874" xr:uid="{00000000-0005-0000-0000-000083CE0000}"/>
    <cellStyle name="Normal 40" xfId="52875" xr:uid="{00000000-0005-0000-0000-000084CE0000}"/>
    <cellStyle name="Normal 40 2" xfId="52876" xr:uid="{00000000-0005-0000-0000-000085CE0000}"/>
    <cellStyle name="Normal 41" xfId="52877" xr:uid="{00000000-0005-0000-0000-000086CE0000}"/>
    <cellStyle name="Normal 41 2" xfId="52878" xr:uid="{00000000-0005-0000-0000-000087CE0000}"/>
    <cellStyle name="Normal 42" xfId="52879" xr:uid="{00000000-0005-0000-0000-000088CE0000}"/>
    <cellStyle name="Normal 42 2" xfId="52880" xr:uid="{00000000-0005-0000-0000-000089CE0000}"/>
    <cellStyle name="Normal 42 3" xfId="52881" xr:uid="{00000000-0005-0000-0000-00008ACE0000}"/>
    <cellStyle name="Normal 42_update comparison " xfId="52882" xr:uid="{00000000-0005-0000-0000-00008BCE0000}"/>
    <cellStyle name="Normal 43" xfId="52883" xr:uid="{00000000-0005-0000-0000-00008CCE0000}"/>
    <cellStyle name="Normal 43 2" xfId="52884" xr:uid="{00000000-0005-0000-0000-00008DCE0000}"/>
    <cellStyle name="Normal 43 3" xfId="52885" xr:uid="{00000000-0005-0000-0000-00008ECE0000}"/>
    <cellStyle name="Normal 43_update comparison " xfId="52886" xr:uid="{00000000-0005-0000-0000-00008FCE0000}"/>
    <cellStyle name="Normal 44" xfId="52887" xr:uid="{00000000-0005-0000-0000-000090CE0000}"/>
    <cellStyle name="Normal 44 2" xfId="52888" xr:uid="{00000000-0005-0000-0000-000091CE0000}"/>
    <cellStyle name="Normal 44 3" xfId="52889" xr:uid="{00000000-0005-0000-0000-000092CE0000}"/>
    <cellStyle name="Normal 44_update comparison " xfId="52890" xr:uid="{00000000-0005-0000-0000-000093CE0000}"/>
    <cellStyle name="Normal 45" xfId="52891" xr:uid="{00000000-0005-0000-0000-000094CE0000}"/>
    <cellStyle name="Normal 45 2" xfId="52892" xr:uid="{00000000-0005-0000-0000-000095CE0000}"/>
    <cellStyle name="Normal 45 3" xfId="52893" xr:uid="{00000000-0005-0000-0000-000096CE0000}"/>
    <cellStyle name="Normal 45_update comparison " xfId="52894" xr:uid="{00000000-0005-0000-0000-000097CE0000}"/>
    <cellStyle name="Normal 46" xfId="52895" xr:uid="{00000000-0005-0000-0000-000098CE0000}"/>
    <cellStyle name="Normal 46 2" xfId="52896" xr:uid="{00000000-0005-0000-0000-000099CE0000}"/>
    <cellStyle name="Normal 47" xfId="52897" xr:uid="{00000000-0005-0000-0000-00009ACE0000}"/>
    <cellStyle name="Normal 47 2" xfId="52898" xr:uid="{00000000-0005-0000-0000-00009BCE0000}"/>
    <cellStyle name="Normal 47_update comparison " xfId="52899" xr:uid="{00000000-0005-0000-0000-00009CCE0000}"/>
    <cellStyle name="Normal 477" xfId="2" xr:uid="{00000000-0005-0000-0000-00009DCE0000}"/>
    <cellStyle name="Normal 477 2" xfId="3" xr:uid="{00000000-0005-0000-0000-00009ECE0000}"/>
    <cellStyle name="Normal 48" xfId="52900" xr:uid="{00000000-0005-0000-0000-00009FCE0000}"/>
    <cellStyle name="Normal 48 2" xfId="52901" xr:uid="{00000000-0005-0000-0000-0000A0CE0000}"/>
    <cellStyle name="Normal 48_update comparison " xfId="52902" xr:uid="{00000000-0005-0000-0000-0000A1CE0000}"/>
    <cellStyle name="Normal 49" xfId="52903" xr:uid="{00000000-0005-0000-0000-0000A2CE0000}"/>
    <cellStyle name="Normal 49 2" xfId="52904" xr:uid="{00000000-0005-0000-0000-0000A3CE0000}"/>
    <cellStyle name="Normal 49 2 2" xfId="52905" xr:uid="{00000000-0005-0000-0000-0000A4CE0000}"/>
    <cellStyle name="Normal 49 3" xfId="52906" xr:uid="{00000000-0005-0000-0000-0000A5CE0000}"/>
    <cellStyle name="Normal 49_update comparison " xfId="52907" xr:uid="{00000000-0005-0000-0000-0000A6CE0000}"/>
    <cellStyle name="Normal 5" xfId="52908" xr:uid="{00000000-0005-0000-0000-0000A7CE0000}"/>
    <cellStyle name="Normal 5 10" xfId="52909" xr:uid="{00000000-0005-0000-0000-0000A8CE0000}"/>
    <cellStyle name="Normal 5 11" xfId="52910" xr:uid="{00000000-0005-0000-0000-0000A9CE0000}"/>
    <cellStyle name="Normal 5 12" xfId="52911" xr:uid="{00000000-0005-0000-0000-0000AACE0000}"/>
    <cellStyle name="Normal 5 2" xfId="52912" xr:uid="{00000000-0005-0000-0000-0000ABCE0000}"/>
    <cellStyle name="Normal 5 2 2" xfId="52913" xr:uid="{00000000-0005-0000-0000-0000ACCE0000}"/>
    <cellStyle name="Normal 5 2 3" xfId="52914" xr:uid="{00000000-0005-0000-0000-0000ADCE0000}"/>
    <cellStyle name="Normal 5 2 4" xfId="52915" xr:uid="{00000000-0005-0000-0000-0000AECE0000}"/>
    <cellStyle name="Normal 5 2 5" xfId="52916" xr:uid="{00000000-0005-0000-0000-0000AFCE0000}"/>
    <cellStyle name="Normal 5 2_update comparison " xfId="52917" xr:uid="{00000000-0005-0000-0000-0000B0CE0000}"/>
    <cellStyle name="Normal 5 3" xfId="52918" xr:uid="{00000000-0005-0000-0000-0000B1CE0000}"/>
    <cellStyle name="Normal 5 3 2" xfId="52919" xr:uid="{00000000-0005-0000-0000-0000B2CE0000}"/>
    <cellStyle name="Normal 5 3 3" xfId="52920" xr:uid="{00000000-0005-0000-0000-0000B3CE0000}"/>
    <cellStyle name="Normal 5 3 4" xfId="52921" xr:uid="{00000000-0005-0000-0000-0000B4CE0000}"/>
    <cellStyle name="Normal 5 3 5" xfId="52922" xr:uid="{00000000-0005-0000-0000-0000B5CE0000}"/>
    <cellStyle name="Normal 5 3_update comparison " xfId="52923" xr:uid="{00000000-0005-0000-0000-0000B6CE0000}"/>
    <cellStyle name="Normal 5 4" xfId="52924" xr:uid="{00000000-0005-0000-0000-0000B7CE0000}"/>
    <cellStyle name="Normal 5 4 2" xfId="52925" xr:uid="{00000000-0005-0000-0000-0000B8CE0000}"/>
    <cellStyle name="Normal 5 4_update comparison " xfId="52926" xr:uid="{00000000-0005-0000-0000-0000B9CE0000}"/>
    <cellStyle name="Normal 5 5" xfId="52927" xr:uid="{00000000-0005-0000-0000-0000BACE0000}"/>
    <cellStyle name="Normal 5 6" xfId="52928" xr:uid="{00000000-0005-0000-0000-0000BBCE0000}"/>
    <cellStyle name="Normal 5 6 2" xfId="52929" xr:uid="{00000000-0005-0000-0000-0000BCCE0000}"/>
    <cellStyle name="Normal 5 6 3" xfId="52930" xr:uid="{00000000-0005-0000-0000-0000BDCE0000}"/>
    <cellStyle name="Normal 5 6 4" xfId="52931" xr:uid="{00000000-0005-0000-0000-0000BECE0000}"/>
    <cellStyle name="Normal 5 6_contents" xfId="52932" xr:uid="{00000000-0005-0000-0000-0000BFCE0000}"/>
    <cellStyle name="Normal 5 7" xfId="52933" xr:uid="{00000000-0005-0000-0000-0000C0CE0000}"/>
    <cellStyle name="Normal 5 8" xfId="52934" xr:uid="{00000000-0005-0000-0000-0000C1CE0000}"/>
    <cellStyle name="Normal 5 9" xfId="52935" xr:uid="{00000000-0005-0000-0000-0000C2CE0000}"/>
    <cellStyle name="Normal 5_Table 1" xfId="52936" xr:uid="{00000000-0005-0000-0000-0000C3CE0000}"/>
    <cellStyle name="Normal 50" xfId="52937" xr:uid="{00000000-0005-0000-0000-0000C4CE0000}"/>
    <cellStyle name="Normal 50 2" xfId="52938" xr:uid="{00000000-0005-0000-0000-0000C5CE0000}"/>
    <cellStyle name="Normal 50 2 2" xfId="52939" xr:uid="{00000000-0005-0000-0000-0000C6CE0000}"/>
    <cellStyle name="Normal 50 3" xfId="52940" xr:uid="{00000000-0005-0000-0000-0000C7CE0000}"/>
    <cellStyle name="Normal 50_update comparison " xfId="52941" xr:uid="{00000000-0005-0000-0000-0000C8CE0000}"/>
    <cellStyle name="Normal 51" xfId="52942" xr:uid="{00000000-0005-0000-0000-0000C9CE0000}"/>
    <cellStyle name="Normal 51 2" xfId="52943" xr:uid="{00000000-0005-0000-0000-0000CACE0000}"/>
    <cellStyle name="Normal 51_update comparison " xfId="52944" xr:uid="{00000000-0005-0000-0000-0000CBCE0000}"/>
    <cellStyle name="Normal 52" xfId="52945" xr:uid="{00000000-0005-0000-0000-0000CCCE0000}"/>
    <cellStyle name="Normal 52 2" xfId="52946" xr:uid="{00000000-0005-0000-0000-0000CDCE0000}"/>
    <cellStyle name="Normal 52_update comparison " xfId="52947" xr:uid="{00000000-0005-0000-0000-0000CECE0000}"/>
    <cellStyle name="Normal 53" xfId="52948" xr:uid="{00000000-0005-0000-0000-0000CFCE0000}"/>
    <cellStyle name="Normal 53 2" xfId="52949" xr:uid="{00000000-0005-0000-0000-0000D0CE0000}"/>
    <cellStyle name="Normal 53_update comparison " xfId="52950" xr:uid="{00000000-0005-0000-0000-0000D1CE0000}"/>
    <cellStyle name="Normal 54" xfId="52951" xr:uid="{00000000-0005-0000-0000-0000D2CE0000}"/>
    <cellStyle name="Normal 54 2" xfId="52952" xr:uid="{00000000-0005-0000-0000-0000D3CE0000}"/>
    <cellStyle name="Normal 54_update comparison " xfId="52953" xr:uid="{00000000-0005-0000-0000-0000D4CE0000}"/>
    <cellStyle name="Normal 55" xfId="52954" xr:uid="{00000000-0005-0000-0000-0000D5CE0000}"/>
    <cellStyle name="Normal 55 2" xfId="52955" xr:uid="{00000000-0005-0000-0000-0000D6CE0000}"/>
    <cellStyle name="Normal 55_update comparison " xfId="52956" xr:uid="{00000000-0005-0000-0000-0000D7CE0000}"/>
    <cellStyle name="Normal 56" xfId="52957" xr:uid="{00000000-0005-0000-0000-0000D8CE0000}"/>
    <cellStyle name="Normal 56 2" xfId="52958" xr:uid="{00000000-0005-0000-0000-0000D9CE0000}"/>
    <cellStyle name="Normal 56_update comparison " xfId="52959" xr:uid="{00000000-0005-0000-0000-0000DACE0000}"/>
    <cellStyle name="Normal 57" xfId="4" xr:uid="{00000000-0005-0000-0000-0000DBCE0000}"/>
    <cellStyle name="Normal 57 2" xfId="52960" xr:uid="{00000000-0005-0000-0000-0000DCCE0000}"/>
    <cellStyle name="Normal 57 3" xfId="52961" xr:uid="{00000000-0005-0000-0000-0000DDCE0000}"/>
    <cellStyle name="Normal 57_update comparison " xfId="52962" xr:uid="{00000000-0005-0000-0000-0000DECE0000}"/>
    <cellStyle name="Normal 58" xfId="52963" xr:uid="{00000000-0005-0000-0000-0000DFCE0000}"/>
    <cellStyle name="Normal 58 2" xfId="52964" xr:uid="{00000000-0005-0000-0000-0000E0CE0000}"/>
    <cellStyle name="Normal 58_update comparison " xfId="52965" xr:uid="{00000000-0005-0000-0000-0000E1CE0000}"/>
    <cellStyle name="Normal 59" xfId="52966" xr:uid="{00000000-0005-0000-0000-0000E2CE0000}"/>
    <cellStyle name="Normal 59 2" xfId="52967" xr:uid="{00000000-0005-0000-0000-0000E3CE0000}"/>
    <cellStyle name="Normal 59_update comparison " xfId="52968" xr:uid="{00000000-0005-0000-0000-0000E4CE0000}"/>
    <cellStyle name="Normal 6" xfId="5" xr:uid="{00000000-0005-0000-0000-0000E5CE0000}"/>
    <cellStyle name="Normal 6 10" xfId="52969" xr:uid="{00000000-0005-0000-0000-0000E6CE0000}"/>
    <cellStyle name="Normal 6 11" xfId="52970" xr:uid="{00000000-0005-0000-0000-0000E7CE0000}"/>
    <cellStyle name="Normal 6 12" xfId="52971" xr:uid="{00000000-0005-0000-0000-0000E8CE0000}"/>
    <cellStyle name="Normal 6 13" xfId="52972" xr:uid="{00000000-0005-0000-0000-0000E9CE0000}"/>
    <cellStyle name="Normal 6 14" xfId="52973" xr:uid="{00000000-0005-0000-0000-0000EACE0000}"/>
    <cellStyle name="Normal 6 2" xfId="52974" xr:uid="{00000000-0005-0000-0000-0000EBCE0000}"/>
    <cellStyle name="Normal 6 2 10" xfId="52975" xr:uid="{00000000-0005-0000-0000-0000ECCE0000}"/>
    <cellStyle name="Normal 6 2 11" xfId="52976" xr:uid="{00000000-0005-0000-0000-0000EDCE0000}"/>
    <cellStyle name="Normal 6 2 12" xfId="52977" xr:uid="{00000000-0005-0000-0000-0000EECE0000}"/>
    <cellStyle name="Normal 6 2 2" xfId="52978" xr:uid="{00000000-0005-0000-0000-0000EFCE0000}"/>
    <cellStyle name="Normal 6 2 2 2" xfId="52979" xr:uid="{00000000-0005-0000-0000-0000F0CE0000}"/>
    <cellStyle name="Normal 6 2 2_update comparison " xfId="52980" xr:uid="{00000000-0005-0000-0000-0000F1CE0000}"/>
    <cellStyle name="Normal 6 2 3" xfId="52981" xr:uid="{00000000-0005-0000-0000-0000F2CE0000}"/>
    <cellStyle name="Normal 6 2 4" xfId="52982" xr:uid="{00000000-0005-0000-0000-0000F3CE0000}"/>
    <cellStyle name="Normal 6 2 5" xfId="52983" xr:uid="{00000000-0005-0000-0000-0000F4CE0000}"/>
    <cellStyle name="Normal 6 2 6" xfId="52984" xr:uid="{00000000-0005-0000-0000-0000F5CE0000}"/>
    <cellStyle name="Normal 6 2 7" xfId="52985" xr:uid="{00000000-0005-0000-0000-0000F6CE0000}"/>
    <cellStyle name="Normal 6 2 8" xfId="52986" xr:uid="{00000000-0005-0000-0000-0000F7CE0000}"/>
    <cellStyle name="Normal 6 2 9" xfId="52987" xr:uid="{00000000-0005-0000-0000-0000F8CE0000}"/>
    <cellStyle name="Normal 6 2_update comparison " xfId="52988" xr:uid="{00000000-0005-0000-0000-0000F9CE0000}"/>
    <cellStyle name="Normal 6 3" xfId="52989" xr:uid="{00000000-0005-0000-0000-0000FACE0000}"/>
    <cellStyle name="Normal 6 3 10" xfId="52990" xr:uid="{00000000-0005-0000-0000-0000FBCE0000}"/>
    <cellStyle name="Normal 6 3 2" xfId="52991" xr:uid="{00000000-0005-0000-0000-0000FCCE0000}"/>
    <cellStyle name="Normal 6 3 2 2" xfId="52992" xr:uid="{00000000-0005-0000-0000-0000FDCE0000}"/>
    <cellStyle name="Normal 6 3 2_update comparison " xfId="52993" xr:uid="{00000000-0005-0000-0000-0000FECE0000}"/>
    <cellStyle name="Normal 6 3 3" xfId="52994" xr:uid="{00000000-0005-0000-0000-0000FFCE0000}"/>
    <cellStyle name="Normal 6 3 4" xfId="52995" xr:uid="{00000000-0005-0000-0000-000000CF0000}"/>
    <cellStyle name="Normal 6 3 5" xfId="52996" xr:uid="{00000000-0005-0000-0000-000001CF0000}"/>
    <cellStyle name="Normal 6 3 6" xfId="52997" xr:uid="{00000000-0005-0000-0000-000002CF0000}"/>
    <cellStyle name="Normal 6 3 7" xfId="52998" xr:uid="{00000000-0005-0000-0000-000003CF0000}"/>
    <cellStyle name="Normal 6 3 8" xfId="52999" xr:uid="{00000000-0005-0000-0000-000004CF0000}"/>
    <cellStyle name="Normal 6 3 9" xfId="53000" xr:uid="{00000000-0005-0000-0000-000005CF0000}"/>
    <cellStyle name="Normal 6 3_update comparison " xfId="53001" xr:uid="{00000000-0005-0000-0000-000006CF0000}"/>
    <cellStyle name="Normal 6 4" xfId="53002" xr:uid="{00000000-0005-0000-0000-000007CF0000}"/>
    <cellStyle name="Normal 6 4 2" xfId="53003" xr:uid="{00000000-0005-0000-0000-000008CF0000}"/>
    <cellStyle name="Normal 6 4_update comparison " xfId="53004" xr:uid="{00000000-0005-0000-0000-000009CF0000}"/>
    <cellStyle name="Normal 6 5" xfId="53005" xr:uid="{00000000-0005-0000-0000-00000ACF0000}"/>
    <cellStyle name="Normal 6 6" xfId="53006" xr:uid="{00000000-0005-0000-0000-00000BCF0000}"/>
    <cellStyle name="Normal 6 7" xfId="53007" xr:uid="{00000000-0005-0000-0000-00000CCF0000}"/>
    <cellStyle name="Normal 6 8" xfId="53008" xr:uid="{00000000-0005-0000-0000-00000DCF0000}"/>
    <cellStyle name="Normal 6 9" xfId="53009" xr:uid="{00000000-0005-0000-0000-00000ECF0000}"/>
    <cellStyle name="Normal 6 9 2" xfId="53010" xr:uid="{00000000-0005-0000-0000-00000FCF0000}"/>
    <cellStyle name="Normal 6 9 3" xfId="53011" xr:uid="{00000000-0005-0000-0000-000010CF0000}"/>
    <cellStyle name="Normal 6 9 4" xfId="53012" xr:uid="{00000000-0005-0000-0000-000011CF0000}"/>
    <cellStyle name="Normal 6 9_contents" xfId="53013" xr:uid="{00000000-0005-0000-0000-000012CF0000}"/>
    <cellStyle name="Normal 6_Table 1" xfId="53014" xr:uid="{00000000-0005-0000-0000-000013CF0000}"/>
    <cellStyle name="Normal 60" xfId="53015" xr:uid="{00000000-0005-0000-0000-000014CF0000}"/>
    <cellStyle name="Normal 60 2" xfId="53016" xr:uid="{00000000-0005-0000-0000-000015CF0000}"/>
    <cellStyle name="Normal 60_update comparison " xfId="53017" xr:uid="{00000000-0005-0000-0000-000016CF0000}"/>
    <cellStyle name="Normal 61" xfId="53018" xr:uid="{00000000-0005-0000-0000-000017CF0000}"/>
    <cellStyle name="Normal 61 2" xfId="53019" xr:uid="{00000000-0005-0000-0000-000018CF0000}"/>
    <cellStyle name="Normal 61_update comparison " xfId="53020" xr:uid="{00000000-0005-0000-0000-000019CF0000}"/>
    <cellStyle name="Normal 62" xfId="53021" xr:uid="{00000000-0005-0000-0000-00001ACF0000}"/>
    <cellStyle name="Normal 62 2" xfId="53022" xr:uid="{00000000-0005-0000-0000-00001BCF0000}"/>
    <cellStyle name="Normal 62_update comparison " xfId="53023" xr:uid="{00000000-0005-0000-0000-00001CCF0000}"/>
    <cellStyle name="Normal 63" xfId="53024" xr:uid="{00000000-0005-0000-0000-00001DCF0000}"/>
    <cellStyle name="Normal 64" xfId="53025" xr:uid="{00000000-0005-0000-0000-00001ECF0000}"/>
    <cellStyle name="Normal 65" xfId="53026" xr:uid="{00000000-0005-0000-0000-00001FCF0000}"/>
    <cellStyle name="Normal 66" xfId="53027" xr:uid="{00000000-0005-0000-0000-000020CF0000}"/>
    <cellStyle name="Normal 66 2" xfId="53028" xr:uid="{00000000-0005-0000-0000-000021CF0000}"/>
    <cellStyle name="Normal 66_update comparison " xfId="53029" xr:uid="{00000000-0005-0000-0000-000022CF0000}"/>
    <cellStyle name="Normal 67" xfId="53030" xr:uid="{00000000-0005-0000-0000-000023CF0000}"/>
    <cellStyle name="Normal 68" xfId="53031" xr:uid="{00000000-0005-0000-0000-000024CF0000}"/>
    <cellStyle name="Normal 69" xfId="53032" xr:uid="{00000000-0005-0000-0000-000025CF0000}"/>
    <cellStyle name="Normal 7" xfId="53033" xr:uid="{00000000-0005-0000-0000-000026CF0000}"/>
    <cellStyle name="Normal 7 10" xfId="53034" xr:uid="{00000000-0005-0000-0000-000027CF0000}"/>
    <cellStyle name="Normal 7 11" xfId="53035" xr:uid="{00000000-0005-0000-0000-000028CF0000}"/>
    <cellStyle name="Normal 7 12" xfId="53036" xr:uid="{00000000-0005-0000-0000-000029CF0000}"/>
    <cellStyle name="Normal 7 2" xfId="53037" xr:uid="{00000000-0005-0000-0000-00002ACF0000}"/>
    <cellStyle name="Normal 7 2 2" xfId="53038" xr:uid="{00000000-0005-0000-0000-00002BCF0000}"/>
    <cellStyle name="Normal 7 2 3" xfId="53039" xr:uid="{00000000-0005-0000-0000-00002CCF0000}"/>
    <cellStyle name="Normal 7 3" xfId="53040" xr:uid="{00000000-0005-0000-0000-00002DCF0000}"/>
    <cellStyle name="Normal 7 3 2" xfId="53041" xr:uid="{00000000-0005-0000-0000-00002ECF0000}"/>
    <cellStyle name="Normal 7 3_update comparison " xfId="53042" xr:uid="{00000000-0005-0000-0000-00002FCF0000}"/>
    <cellStyle name="Normal 7 4" xfId="53043" xr:uid="{00000000-0005-0000-0000-000030CF0000}"/>
    <cellStyle name="Normal 7 4 2" xfId="53044" xr:uid="{00000000-0005-0000-0000-000031CF0000}"/>
    <cellStyle name="Normal 7 4_update comparison " xfId="53045" xr:uid="{00000000-0005-0000-0000-000032CF0000}"/>
    <cellStyle name="Normal 7 5" xfId="53046" xr:uid="{00000000-0005-0000-0000-000033CF0000}"/>
    <cellStyle name="Normal 7 6" xfId="53047" xr:uid="{00000000-0005-0000-0000-000034CF0000}"/>
    <cellStyle name="Normal 7 7" xfId="53048" xr:uid="{00000000-0005-0000-0000-000035CF0000}"/>
    <cellStyle name="Normal 7 8" xfId="53049" xr:uid="{00000000-0005-0000-0000-000036CF0000}"/>
    <cellStyle name="Normal 7 9" xfId="53050" xr:uid="{00000000-0005-0000-0000-000037CF0000}"/>
    <cellStyle name="Normal 7_Content" xfId="53051" xr:uid="{00000000-0005-0000-0000-000038CF0000}"/>
    <cellStyle name="Normal 70" xfId="53052" xr:uid="{00000000-0005-0000-0000-000039CF0000}"/>
    <cellStyle name="Normal 71" xfId="53053" xr:uid="{00000000-0005-0000-0000-00003ACF0000}"/>
    <cellStyle name="Normal 72" xfId="53054" xr:uid="{00000000-0005-0000-0000-00003BCF0000}"/>
    <cellStyle name="Normal 73" xfId="53055" xr:uid="{00000000-0005-0000-0000-00003CCF0000}"/>
    <cellStyle name="Normal 74" xfId="53056" xr:uid="{00000000-0005-0000-0000-00003DCF0000}"/>
    <cellStyle name="Normal 75" xfId="53057" xr:uid="{00000000-0005-0000-0000-00003ECF0000}"/>
    <cellStyle name="Normal 76" xfId="53058" xr:uid="{00000000-0005-0000-0000-00003FCF0000}"/>
    <cellStyle name="Normal 77" xfId="53059" xr:uid="{00000000-0005-0000-0000-000040CF0000}"/>
    <cellStyle name="Normal 78" xfId="53060" xr:uid="{00000000-0005-0000-0000-000041CF0000}"/>
    <cellStyle name="Normal 79" xfId="53061" xr:uid="{00000000-0005-0000-0000-000042CF0000}"/>
    <cellStyle name="Normal 8" xfId="53062" xr:uid="{00000000-0005-0000-0000-000043CF0000}"/>
    <cellStyle name="Normal 8 2" xfId="53063" xr:uid="{00000000-0005-0000-0000-000044CF0000}"/>
    <cellStyle name="Normal 8 2 2" xfId="53064" xr:uid="{00000000-0005-0000-0000-000045CF0000}"/>
    <cellStyle name="Normal 8 2 3" xfId="53065" xr:uid="{00000000-0005-0000-0000-000046CF0000}"/>
    <cellStyle name="Normal 8 3" xfId="53066" xr:uid="{00000000-0005-0000-0000-000047CF0000}"/>
    <cellStyle name="Normal 8 4" xfId="53067" xr:uid="{00000000-0005-0000-0000-000048CF0000}"/>
    <cellStyle name="Normal 8 5" xfId="53068" xr:uid="{00000000-0005-0000-0000-000049CF0000}"/>
    <cellStyle name="Normal 8 6" xfId="53069" xr:uid="{00000000-0005-0000-0000-00004ACF0000}"/>
    <cellStyle name="Normal 8 7" xfId="53070" xr:uid="{00000000-0005-0000-0000-00004BCF0000}"/>
    <cellStyle name="Normal 8 8" xfId="53071" xr:uid="{00000000-0005-0000-0000-00004CCF0000}"/>
    <cellStyle name="Normal 8_update comparison " xfId="53072" xr:uid="{00000000-0005-0000-0000-00004DCF0000}"/>
    <cellStyle name="Normal 80" xfId="53073" xr:uid="{00000000-0005-0000-0000-00004ECF0000}"/>
    <cellStyle name="Normal 81" xfId="53074" xr:uid="{00000000-0005-0000-0000-00004FCF0000}"/>
    <cellStyle name="Normal 82" xfId="53075" xr:uid="{00000000-0005-0000-0000-000050CF0000}"/>
    <cellStyle name="Normal 82 2" xfId="53076" xr:uid="{00000000-0005-0000-0000-000051CF0000}"/>
    <cellStyle name="Normal 83" xfId="53077" xr:uid="{00000000-0005-0000-0000-000052CF0000}"/>
    <cellStyle name="Normal 84" xfId="53078" xr:uid="{00000000-0005-0000-0000-000053CF0000}"/>
    <cellStyle name="Normal 85" xfId="53079" xr:uid="{00000000-0005-0000-0000-000054CF0000}"/>
    <cellStyle name="Normal 86" xfId="53080" xr:uid="{00000000-0005-0000-0000-000055CF0000}"/>
    <cellStyle name="Normal 87" xfId="53081" xr:uid="{00000000-0005-0000-0000-000056CF0000}"/>
    <cellStyle name="Normal 88" xfId="53082" xr:uid="{00000000-0005-0000-0000-000057CF0000}"/>
    <cellStyle name="Normal 89" xfId="53083" xr:uid="{00000000-0005-0000-0000-000058CF0000}"/>
    <cellStyle name="Normal 9" xfId="53084" xr:uid="{00000000-0005-0000-0000-000059CF0000}"/>
    <cellStyle name="Normal 9 2" xfId="53085" xr:uid="{00000000-0005-0000-0000-00005ACF0000}"/>
    <cellStyle name="Normal 9 3" xfId="53086" xr:uid="{00000000-0005-0000-0000-00005BCF0000}"/>
    <cellStyle name="Normal 9 4" xfId="53087" xr:uid="{00000000-0005-0000-0000-00005CCF0000}"/>
    <cellStyle name="Normal 9 5" xfId="53088" xr:uid="{00000000-0005-0000-0000-00005DCF0000}"/>
    <cellStyle name="Normal 9 6" xfId="53089" xr:uid="{00000000-0005-0000-0000-00005ECF0000}"/>
    <cellStyle name="Normal 9_update comparison " xfId="53090" xr:uid="{00000000-0005-0000-0000-00005FCF0000}"/>
    <cellStyle name="Normal 90" xfId="53091" xr:uid="{00000000-0005-0000-0000-000060CF0000}"/>
    <cellStyle name="Normal 91" xfId="53092" xr:uid="{00000000-0005-0000-0000-000061CF0000}"/>
    <cellStyle name="Normal 92" xfId="53093" xr:uid="{00000000-0005-0000-0000-000062CF0000}"/>
    <cellStyle name="Normal 93" xfId="53094" xr:uid="{00000000-0005-0000-0000-000063CF0000}"/>
    <cellStyle name="Normal 94" xfId="53095" xr:uid="{00000000-0005-0000-0000-000064CF0000}"/>
    <cellStyle name="Normal 95" xfId="53096" xr:uid="{00000000-0005-0000-0000-000065CF0000}"/>
    <cellStyle name="Normal 96" xfId="53097" xr:uid="{00000000-0005-0000-0000-000066CF0000}"/>
    <cellStyle name="Normal 97" xfId="53098" xr:uid="{00000000-0005-0000-0000-000067CF0000}"/>
    <cellStyle name="Normal 98" xfId="53099" xr:uid="{00000000-0005-0000-0000-000068CF0000}"/>
    <cellStyle name="Normal 99" xfId="53100" xr:uid="{00000000-0005-0000-0000-000069CF0000}"/>
    <cellStyle name="Normal Table" xfId="53101" xr:uid="{00000000-0005-0000-0000-00006ACF0000}"/>
    <cellStyle name="Normal Table 2" xfId="53102" xr:uid="{00000000-0005-0000-0000-00006BCF0000}"/>
    <cellStyle name="Normal Table 3" xfId="53103" xr:uid="{00000000-0005-0000-0000-00006CCF0000}"/>
    <cellStyle name="Normal Table 4" xfId="53104" xr:uid="{00000000-0005-0000-0000-00006DCF0000}"/>
    <cellStyle name="Normal Table_contents" xfId="53105" xr:uid="{00000000-0005-0000-0000-00006ECF0000}"/>
    <cellStyle name="Note 10" xfId="53106" xr:uid="{00000000-0005-0000-0000-00006FCF0000}"/>
    <cellStyle name="Note 10 10" xfId="53107" xr:uid="{00000000-0005-0000-0000-000070CF0000}"/>
    <cellStyle name="Note 10 2" xfId="53108" xr:uid="{00000000-0005-0000-0000-000071CF0000}"/>
    <cellStyle name="Note 10 2 2" xfId="53109" xr:uid="{00000000-0005-0000-0000-000072CF0000}"/>
    <cellStyle name="Note 10 2 3" xfId="53110" xr:uid="{00000000-0005-0000-0000-000073CF0000}"/>
    <cellStyle name="Note 10 2 4" xfId="53111" xr:uid="{00000000-0005-0000-0000-000074CF0000}"/>
    <cellStyle name="Note 10 2 5" xfId="53112" xr:uid="{00000000-0005-0000-0000-000075CF0000}"/>
    <cellStyle name="Note 10 2 6" xfId="53113" xr:uid="{00000000-0005-0000-0000-000076CF0000}"/>
    <cellStyle name="Note 10 3" xfId="53114" xr:uid="{00000000-0005-0000-0000-000077CF0000}"/>
    <cellStyle name="Note 10 3 2" xfId="53115" xr:uid="{00000000-0005-0000-0000-000078CF0000}"/>
    <cellStyle name="Note 10 3 3" xfId="53116" xr:uid="{00000000-0005-0000-0000-000079CF0000}"/>
    <cellStyle name="Note 10 3 4" xfId="53117" xr:uid="{00000000-0005-0000-0000-00007ACF0000}"/>
    <cellStyle name="Note 10 3 5" xfId="53118" xr:uid="{00000000-0005-0000-0000-00007BCF0000}"/>
    <cellStyle name="Note 10 3 6" xfId="53119" xr:uid="{00000000-0005-0000-0000-00007CCF0000}"/>
    <cellStyle name="Note 10 4" xfId="53120" xr:uid="{00000000-0005-0000-0000-00007DCF0000}"/>
    <cellStyle name="Note 10 4 2" xfId="53121" xr:uid="{00000000-0005-0000-0000-00007ECF0000}"/>
    <cellStyle name="Note 10 4 3" xfId="53122" xr:uid="{00000000-0005-0000-0000-00007FCF0000}"/>
    <cellStyle name="Note 10 4 4" xfId="53123" xr:uid="{00000000-0005-0000-0000-000080CF0000}"/>
    <cellStyle name="Note 10 4 5" xfId="53124" xr:uid="{00000000-0005-0000-0000-000081CF0000}"/>
    <cellStyle name="Note 10 4 6" xfId="53125" xr:uid="{00000000-0005-0000-0000-000082CF0000}"/>
    <cellStyle name="Note 10 5" xfId="53126" xr:uid="{00000000-0005-0000-0000-000083CF0000}"/>
    <cellStyle name="Note 10 5 2" xfId="53127" xr:uid="{00000000-0005-0000-0000-000084CF0000}"/>
    <cellStyle name="Note 10 5 3" xfId="53128" xr:uid="{00000000-0005-0000-0000-000085CF0000}"/>
    <cellStyle name="Note 10 5 4" xfId="53129" xr:uid="{00000000-0005-0000-0000-000086CF0000}"/>
    <cellStyle name="Note 10 5 5" xfId="53130" xr:uid="{00000000-0005-0000-0000-000087CF0000}"/>
    <cellStyle name="Note 10 5 6" xfId="53131" xr:uid="{00000000-0005-0000-0000-000088CF0000}"/>
    <cellStyle name="Note 10 6" xfId="53132" xr:uid="{00000000-0005-0000-0000-000089CF0000}"/>
    <cellStyle name="Note 10 6 2" xfId="53133" xr:uid="{00000000-0005-0000-0000-00008ACF0000}"/>
    <cellStyle name="Note 10 6 3" xfId="53134" xr:uid="{00000000-0005-0000-0000-00008BCF0000}"/>
    <cellStyle name="Note 10 6 4" xfId="53135" xr:uid="{00000000-0005-0000-0000-00008CCF0000}"/>
    <cellStyle name="Note 10 6 5" xfId="53136" xr:uid="{00000000-0005-0000-0000-00008DCF0000}"/>
    <cellStyle name="Note 10 6 6" xfId="53137" xr:uid="{00000000-0005-0000-0000-00008ECF0000}"/>
    <cellStyle name="Note 10 7" xfId="53138" xr:uid="{00000000-0005-0000-0000-00008FCF0000}"/>
    <cellStyle name="Note 10 7 2" xfId="53139" xr:uid="{00000000-0005-0000-0000-000090CF0000}"/>
    <cellStyle name="Note 10 7 3" xfId="53140" xr:uid="{00000000-0005-0000-0000-000091CF0000}"/>
    <cellStyle name="Note 10 7 4" xfId="53141" xr:uid="{00000000-0005-0000-0000-000092CF0000}"/>
    <cellStyle name="Note 10 7 5" xfId="53142" xr:uid="{00000000-0005-0000-0000-000093CF0000}"/>
    <cellStyle name="Note 10 7 6" xfId="53143" xr:uid="{00000000-0005-0000-0000-000094CF0000}"/>
    <cellStyle name="Note 10 8" xfId="53144" xr:uid="{00000000-0005-0000-0000-000095CF0000}"/>
    <cellStyle name="Note 10 9" xfId="53145" xr:uid="{00000000-0005-0000-0000-000096CF0000}"/>
    <cellStyle name="Note 2" xfId="53146" xr:uid="{00000000-0005-0000-0000-000097CF0000}"/>
    <cellStyle name="Note 2 10" xfId="53147" xr:uid="{00000000-0005-0000-0000-000098CF0000}"/>
    <cellStyle name="Note 2 11" xfId="53148" xr:uid="{00000000-0005-0000-0000-000099CF0000}"/>
    <cellStyle name="Note 2 12" xfId="53149" xr:uid="{00000000-0005-0000-0000-00009ACF0000}"/>
    <cellStyle name="Note 2 2" xfId="53150" xr:uid="{00000000-0005-0000-0000-00009BCF0000}"/>
    <cellStyle name="Note 2 2 10" xfId="53151" xr:uid="{00000000-0005-0000-0000-00009CCF0000}"/>
    <cellStyle name="Note 2 2 2" xfId="53152" xr:uid="{00000000-0005-0000-0000-00009DCF0000}"/>
    <cellStyle name="Note 2 2 2 2" xfId="53153" xr:uid="{00000000-0005-0000-0000-00009ECF0000}"/>
    <cellStyle name="Note 2 2 2 3" xfId="53154" xr:uid="{00000000-0005-0000-0000-00009FCF0000}"/>
    <cellStyle name="Note 2 2 2 4" xfId="53155" xr:uid="{00000000-0005-0000-0000-0000A0CF0000}"/>
    <cellStyle name="Note 2 2 2 5" xfId="53156" xr:uid="{00000000-0005-0000-0000-0000A1CF0000}"/>
    <cellStyle name="Note 2 2 2 6" xfId="53157" xr:uid="{00000000-0005-0000-0000-0000A2CF0000}"/>
    <cellStyle name="Note 2 2 3" xfId="53158" xr:uid="{00000000-0005-0000-0000-0000A3CF0000}"/>
    <cellStyle name="Note 2 2 3 2" xfId="53159" xr:uid="{00000000-0005-0000-0000-0000A4CF0000}"/>
    <cellStyle name="Note 2 2 3 3" xfId="53160" xr:uid="{00000000-0005-0000-0000-0000A5CF0000}"/>
    <cellStyle name="Note 2 2 3 4" xfId="53161" xr:uid="{00000000-0005-0000-0000-0000A6CF0000}"/>
    <cellStyle name="Note 2 2 3 5" xfId="53162" xr:uid="{00000000-0005-0000-0000-0000A7CF0000}"/>
    <cellStyle name="Note 2 2 3 6" xfId="53163" xr:uid="{00000000-0005-0000-0000-0000A8CF0000}"/>
    <cellStyle name="Note 2 2 4" xfId="53164" xr:uid="{00000000-0005-0000-0000-0000A9CF0000}"/>
    <cellStyle name="Note 2 2 4 2" xfId="53165" xr:uid="{00000000-0005-0000-0000-0000AACF0000}"/>
    <cellStyle name="Note 2 2 4 3" xfId="53166" xr:uid="{00000000-0005-0000-0000-0000ABCF0000}"/>
    <cellStyle name="Note 2 2 4 4" xfId="53167" xr:uid="{00000000-0005-0000-0000-0000ACCF0000}"/>
    <cellStyle name="Note 2 2 4 5" xfId="53168" xr:uid="{00000000-0005-0000-0000-0000ADCF0000}"/>
    <cellStyle name="Note 2 2 4 6" xfId="53169" xr:uid="{00000000-0005-0000-0000-0000AECF0000}"/>
    <cellStyle name="Note 2 2 5" xfId="53170" xr:uid="{00000000-0005-0000-0000-0000AFCF0000}"/>
    <cellStyle name="Note 2 2 5 2" xfId="53171" xr:uid="{00000000-0005-0000-0000-0000B0CF0000}"/>
    <cellStyle name="Note 2 2 5 3" xfId="53172" xr:uid="{00000000-0005-0000-0000-0000B1CF0000}"/>
    <cellStyle name="Note 2 2 5 4" xfId="53173" xr:uid="{00000000-0005-0000-0000-0000B2CF0000}"/>
    <cellStyle name="Note 2 2 5 5" xfId="53174" xr:uid="{00000000-0005-0000-0000-0000B3CF0000}"/>
    <cellStyle name="Note 2 2 5 6" xfId="53175" xr:uid="{00000000-0005-0000-0000-0000B4CF0000}"/>
    <cellStyle name="Note 2 2 6" xfId="53176" xr:uid="{00000000-0005-0000-0000-0000B5CF0000}"/>
    <cellStyle name="Note 2 2 6 2" xfId="53177" xr:uid="{00000000-0005-0000-0000-0000B6CF0000}"/>
    <cellStyle name="Note 2 2 6 3" xfId="53178" xr:uid="{00000000-0005-0000-0000-0000B7CF0000}"/>
    <cellStyle name="Note 2 2 6 4" xfId="53179" xr:uid="{00000000-0005-0000-0000-0000B8CF0000}"/>
    <cellStyle name="Note 2 2 6 5" xfId="53180" xr:uid="{00000000-0005-0000-0000-0000B9CF0000}"/>
    <cellStyle name="Note 2 2 6 6" xfId="53181" xr:uid="{00000000-0005-0000-0000-0000BACF0000}"/>
    <cellStyle name="Note 2 2 7" xfId="53182" xr:uid="{00000000-0005-0000-0000-0000BBCF0000}"/>
    <cellStyle name="Note 2 2 7 2" xfId="53183" xr:uid="{00000000-0005-0000-0000-0000BCCF0000}"/>
    <cellStyle name="Note 2 2 7 3" xfId="53184" xr:uid="{00000000-0005-0000-0000-0000BDCF0000}"/>
    <cellStyle name="Note 2 2 7 4" xfId="53185" xr:uid="{00000000-0005-0000-0000-0000BECF0000}"/>
    <cellStyle name="Note 2 2 7 5" xfId="53186" xr:uid="{00000000-0005-0000-0000-0000BFCF0000}"/>
    <cellStyle name="Note 2 2 7 6" xfId="53187" xr:uid="{00000000-0005-0000-0000-0000C0CF0000}"/>
    <cellStyle name="Note 2 2 8" xfId="53188" xr:uid="{00000000-0005-0000-0000-0000C1CF0000}"/>
    <cellStyle name="Note 2 2 9" xfId="53189" xr:uid="{00000000-0005-0000-0000-0000C2CF0000}"/>
    <cellStyle name="Note 2 3" xfId="53190" xr:uid="{00000000-0005-0000-0000-0000C3CF0000}"/>
    <cellStyle name="Note 2 3 10" xfId="53191" xr:uid="{00000000-0005-0000-0000-0000C4CF0000}"/>
    <cellStyle name="Note 2 3 2" xfId="53192" xr:uid="{00000000-0005-0000-0000-0000C5CF0000}"/>
    <cellStyle name="Note 2 3 2 2" xfId="53193" xr:uid="{00000000-0005-0000-0000-0000C6CF0000}"/>
    <cellStyle name="Note 2 3 2 3" xfId="53194" xr:uid="{00000000-0005-0000-0000-0000C7CF0000}"/>
    <cellStyle name="Note 2 3 2 4" xfId="53195" xr:uid="{00000000-0005-0000-0000-0000C8CF0000}"/>
    <cellStyle name="Note 2 3 2 5" xfId="53196" xr:uid="{00000000-0005-0000-0000-0000C9CF0000}"/>
    <cellStyle name="Note 2 3 2 6" xfId="53197" xr:uid="{00000000-0005-0000-0000-0000CACF0000}"/>
    <cellStyle name="Note 2 3 3" xfId="53198" xr:uid="{00000000-0005-0000-0000-0000CBCF0000}"/>
    <cellStyle name="Note 2 3 3 2" xfId="53199" xr:uid="{00000000-0005-0000-0000-0000CCCF0000}"/>
    <cellStyle name="Note 2 3 3 3" xfId="53200" xr:uid="{00000000-0005-0000-0000-0000CDCF0000}"/>
    <cellStyle name="Note 2 3 3 4" xfId="53201" xr:uid="{00000000-0005-0000-0000-0000CECF0000}"/>
    <cellStyle name="Note 2 3 3 5" xfId="53202" xr:uid="{00000000-0005-0000-0000-0000CFCF0000}"/>
    <cellStyle name="Note 2 3 3 6" xfId="53203" xr:uid="{00000000-0005-0000-0000-0000D0CF0000}"/>
    <cellStyle name="Note 2 3 4" xfId="53204" xr:uid="{00000000-0005-0000-0000-0000D1CF0000}"/>
    <cellStyle name="Note 2 3 4 2" xfId="53205" xr:uid="{00000000-0005-0000-0000-0000D2CF0000}"/>
    <cellStyle name="Note 2 3 4 3" xfId="53206" xr:uid="{00000000-0005-0000-0000-0000D3CF0000}"/>
    <cellStyle name="Note 2 3 4 4" xfId="53207" xr:uid="{00000000-0005-0000-0000-0000D4CF0000}"/>
    <cellStyle name="Note 2 3 4 5" xfId="53208" xr:uid="{00000000-0005-0000-0000-0000D5CF0000}"/>
    <cellStyle name="Note 2 3 4 6" xfId="53209" xr:uid="{00000000-0005-0000-0000-0000D6CF0000}"/>
    <cellStyle name="Note 2 3 5" xfId="53210" xr:uid="{00000000-0005-0000-0000-0000D7CF0000}"/>
    <cellStyle name="Note 2 3 5 2" xfId="53211" xr:uid="{00000000-0005-0000-0000-0000D8CF0000}"/>
    <cellStyle name="Note 2 3 5 3" xfId="53212" xr:uid="{00000000-0005-0000-0000-0000D9CF0000}"/>
    <cellStyle name="Note 2 3 5 4" xfId="53213" xr:uid="{00000000-0005-0000-0000-0000DACF0000}"/>
    <cellStyle name="Note 2 3 5 5" xfId="53214" xr:uid="{00000000-0005-0000-0000-0000DBCF0000}"/>
    <cellStyle name="Note 2 3 5 6" xfId="53215" xr:uid="{00000000-0005-0000-0000-0000DCCF0000}"/>
    <cellStyle name="Note 2 3 6" xfId="53216" xr:uid="{00000000-0005-0000-0000-0000DDCF0000}"/>
    <cellStyle name="Note 2 3 6 2" xfId="53217" xr:uid="{00000000-0005-0000-0000-0000DECF0000}"/>
    <cellStyle name="Note 2 3 6 3" xfId="53218" xr:uid="{00000000-0005-0000-0000-0000DFCF0000}"/>
    <cellStyle name="Note 2 3 6 4" xfId="53219" xr:uid="{00000000-0005-0000-0000-0000E0CF0000}"/>
    <cellStyle name="Note 2 3 6 5" xfId="53220" xr:uid="{00000000-0005-0000-0000-0000E1CF0000}"/>
    <cellStyle name="Note 2 3 6 6" xfId="53221" xr:uid="{00000000-0005-0000-0000-0000E2CF0000}"/>
    <cellStyle name="Note 2 3 7" xfId="53222" xr:uid="{00000000-0005-0000-0000-0000E3CF0000}"/>
    <cellStyle name="Note 2 3 7 2" xfId="53223" xr:uid="{00000000-0005-0000-0000-0000E4CF0000}"/>
    <cellStyle name="Note 2 3 7 3" xfId="53224" xr:uid="{00000000-0005-0000-0000-0000E5CF0000}"/>
    <cellStyle name="Note 2 3 7 4" xfId="53225" xr:uid="{00000000-0005-0000-0000-0000E6CF0000}"/>
    <cellStyle name="Note 2 3 7 5" xfId="53226" xr:uid="{00000000-0005-0000-0000-0000E7CF0000}"/>
    <cellStyle name="Note 2 3 7 6" xfId="53227" xr:uid="{00000000-0005-0000-0000-0000E8CF0000}"/>
    <cellStyle name="Note 2 3 8" xfId="53228" xr:uid="{00000000-0005-0000-0000-0000E9CF0000}"/>
    <cellStyle name="Note 2 3 9" xfId="53229" xr:uid="{00000000-0005-0000-0000-0000EACF0000}"/>
    <cellStyle name="Note 2 4" xfId="53230" xr:uid="{00000000-0005-0000-0000-0000EBCF0000}"/>
    <cellStyle name="Note 2 4 2" xfId="53231" xr:uid="{00000000-0005-0000-0000-0000ECCF0000}"/>
    <cellStyle name="Note 2 4 3" xfId="53232" xr:uid="{00000000-0005-0000-0000-0000EDCF0000}"/>
    <cellStyle name="Note 2 4 4" xfId="53233" xr:uid="{00000000-0005-0000-0000-0000EECF0000}"/>
    <cellStyle name="Note 2 4 5" xfId="53234" xr:uid="{00000000-0005-0000-0000-0000EFCF0000}"/>
    <cellStyle name="Note 2 4 6" xfId="53235" xr:uid="{00000000-0005-0000-0000-0000F0CF0000}"/>
    <cellStyle name="Note 2 5" xfId="53236" xr:uid="{00000000-0005-0000-0000-0000F1CF0000}"/>
    <cellStyle name="Note 2 5 2" xfId="53237" xr:uid="{00000000-0005-0000-0000-0000F2CF0000}"/>
    <cellStyle name="Note 2 5 3" xfId="53238" xr:uid="{00000000-0005-0000-0000-0000F3CF0000}"/>
    <cellStyle name="Note 2 5 4" xfId="53239" xr:uid="{00000000-0005-0000-0000-0000F4CF0000}"/>
    <cellStyle name="Note 2 5 5" xfId="53240" xr:uid="{00000000-0005-0000-0000-0000F5CF0000}"/>
    <cellStyle name="Note 2 5 6" xfId="53241" xr:uid="{00000000-0005-0000-0000-0000F6CF0000}"/>
    <cellStyle name="Note 2 6" xfId="53242" xr:uid="{00000000-0005-0000-0000-0000F7CF0000}"/>
    <cellStyle name="Note 2 6 2" xfId="53243" xr:uid="{00000000-0005-0000-0000-0000F8CF0000}"/>
    <cellStyle name="Note 2 6 3" xfId="53244" xr:uid="{00000000-0005-0000-0000-0000F9CF0000}"/>
    <cellStyle name="Note 2 6 4" xfId="53245" xr:uid="{00000000-0005-0000-0000-0000FACF0000}"/>
    <cellStyle name="Note 2 6 5" xfId="53246" xr:uid="{00000000-0005-0000-0000-0000FBCF0000}"/>
    <cellStyle name="Note 2 6 6" xfId="53247" xr:uid="{00000000-0005-0000-0000-0000FCCF0000}"/>
    <cellStyle name="Note 2 7" xfId="53248" xr:uid="{00000000-0005-0000-0000-0000FDCF0000}"/>
    <cellStyle name="Note 2 7 2" xfId="53249" xr:uid="{00000000-0005-0000-0000-0000FECF0000}"/>
    <cellStyle name="Note 2 7 3" xfId="53250" xr:uid="{00000000-0005-0000-0000-0000FFCF0000}"/>
    <cellStyle name="Note 2 7 4" xfId="53251" xr:uid="{00000000-0005-0000-0000-000000D00000}"/>
    <cellStyle name="Note 2 7 5" xfId="53252" xr:uid="{00000000-0005-0000-0000-000001D00000}"/>
    <cellStyle name="Note 2 7 6" xfId="53253" xr:uid="{00000000-0005-0000-0000-000002D00000}"/>
    <cellStyle name="Note 2 8" xfId="53254" xr:uid="{00000000-0005-0000-0000-000003D00000}"/>
    <cellStyle name="Note 2 8 2" xfId="53255" xr:uid="{00000000-0005-0000-0000-000004D00000}"/>
    <cellStyle name="Note 2 8 3" xfId="53256" xr:uid="{00000000-0005-0000-0000-000005D00000}"/>
    <cellStyle name="Note 2 8 4" xfId="53257" xr:uid="{00000000-0005-0000-0000-000006D00000}"/>
    <cellStyle name="Note 2 8 5" xfId="53258" xr:uid="{00000000-0005-0000-0000-000007D00000}"/>
    <cellStyle name="Note 2 8 6" xfId="53259" xr:uid="{00000000-0005-0000-0000-000008D00000}"/>
    <cellStyle name="Note 2 9" xfId="53260" xr:uid="{00000000-0005-0000-0000-000009D00000}"/>
    <cellStyle name="Note 2 9 2" xfId="53261" xr:uid="{00000000-0005-0000-0000-00000AD00000}"/>
    <cellStyle name="Note 2 9 3" xfId="53262" xr:uid="{00000000-0005-0000-0000-00000BD00000}"/>
    <cellStyle name="Note 2 9 4" xfId="53263" xr:uid="{00000000-0005-0000-0000-00000CD00000}"/>
    <cellStyle name="Note 2 9 5" xfId="53264" xr:uid="{00000000-0005-0000-0000-00000DD00000}"/>
    <cellStyle name="Note 2 9 6" xfId="53265" xr:uid="{00000000-0005-0000-0000-00000ED00000}"/>
    <cellStyle name="Note 3" xfId="53266" xr:uid="{00000000-0005-0000-0000-00000FD00000}"/>
    <cellStyle name="Note 3 10" xfId="53267" xr:uid="{00000000-0005-0000-0000-000010D00000}"/>
    <cellStyle name="Note 3 11" xfId="53268" xr:uid="{00000000-0005-0000-0000-000011D00000}"/>
    <cellStyle name="Note 3 12" xfId="53269" xr:uid="{00000000-0005-0000-0000-000012D00000}"/>
    <cellStyle name="Note 3 2" xfId="53270" xr:uid="{00000000-0005-0000-0000-000013D00000}"/>
    <cellStyle name="Note 3 2 10" xfId="53271" xr:uid="{00000000-0005-0000-0000-000014D00000}"/>
    <cellStyle name="Note 3 2 2" xfId="53272" xr:uid="{00000000-0005-0000-0000-000015D00000}"/>
    <cellStyle name="Note 3 2 2 2" xfId="53273" xr:uid="{00000000-0005-0000-0000-000016D00000}"/>
    <cellStyle name="Note 3 2 2 3" xfId="53274" xr:uid="{00000000-0005-0000-0000-000017D00000}"/>
    <cellStyle name="Note 3 2 2 4" xfId="53275" xr:uid="{00000000-0005-0000-0000-000018D00000}"/>
    <cellStyle name="Note 3 2 2 5" xfId="53276" xr:uid="{00000000-0005-0000-0000-000019D00000}"/>
    <cellStyle name="Note 3 2 2 6" xfId="53277" xr:uid="{00000000-0005-0000-0000-00001AD00000}"/>
    <cellStyle name="Note 3 2 3" xfId="53278" xr:uid="{00000000-0005-0000-0000-00001BD00000}"/>
    <cellStyle name="Note 3 2 3 2" xfId="53279" xr:uid="{00000000-0005-0000-0000-00001CD00000}"/>
    <cellStyle name="Note 3 2 3 3" xfId="53280" xr:uid="{00000000-0005-0000-0000-00001DD00000}"/>
    <cellStyle name="Note 3 2 3 4" xfId="53281" xr:uid="{00000000-0005-0000-0000-00001ED00000}"/>
    <cellStyle name="Note 3 2 3 5" xfId="53282" xr:uid="{00000000-0005-0000-0000-00001FD00000}"/>
    <cellStyle name="Note 3 2 3 6" xfId="53283" xr:uid="{00000000-0005-0000-0000-000020D00000}"/>
    <cellStyle name="Note 3 2 4" xfId="53284" xr:uid="{00000000-0005-0000-0000-000021D00000}"/>
    <cellStyle name="Note 3 2 4 2" xfId="53285" xr:uid="{00000000-0005-0000-0000-000022D00000}"/>
    <cellStyle name="Note 3 2 4 3" xfId="53286" xr:uid="{00000000-0005-0000-0000-000023D00000}"/>
    <cellStyle name="Note 3 2 4 4" xfId="53287" xr:uid="{00000000-0005-0000-0000-000024D00000}"/>
    <cellStyle name="Note 3 2 4 5" xfId="53288" xr:uid="{00000000-0005-0000-0000-000025D00000}"/>
    <cellStyle name="Note 3 2 4 6" xfId="53289" xr:uid="{00000000-0005-0000-0000-000026D00000}"/>
    <cellStyle name="Note 3 2 5" xfId="53290" xr:uid="{00000000-0005-0000-0000-000027D00000}"/>
    <cellStyle name="Note 3 2 5 2" xfId="53291" xr:uid="{00000000-0005-0000-0000-000028D00000}"/>
    <cellStyle name="Note 3 2 5 3" xfId="53292" xr:uid="{00000000-0005-0000-0000-000029D00000}"/>
    <cellStyle name="Note 3 2 5 4" xfId="53293" xr:uid="{00000000-0005-0000-0000-00002AD00000}"/>
    <cellStyle name="Note 3 2 5 5" xfId="53294" xr:uid="{00000000-0005-0000-0000-00002BD00000}"/>
    <cellStyle name="Note 3 2 5 6" xfId="53295" xr:uid="{00000000-0005-0000-0000-00002CD00000}"/>
    <cellStyle name="Note 3 2 6" xfId="53296" xr:uid="{00000000-0005-0000-0000-00002DD00000}"/>
    <cellStyle name="Note 3 2 6 2" xfId="53297" xr:uid="{00000000-0005-0000-0000-00002ED00000}"/>
    <cellStyle name="Note 3 2 6 3" xfId="53298" xr:uid="{00000000-0005-0000-0000-00002FD00000}"/>
    <cellStyle name="Note 3 2 6 4" xfId="53299" xr:uid="{00000000-0005-0000-0000-000030D00000}"/>
    <cellStyle name="Note 3 2 6 5" xfId="53300" xr:uid="{00000000-0005-0000-0000-000031D00000}"/>
    <cellStyle name="Note 3 2 6 6" xfId="53301" xr:uid="{00000000-0005-0000-0000-000032D00000}"/>
    <cellStyle name="Note 3 2 7" xfId="53302" xr:uid="{00000000-0005-0000-0000-000033D00000}"/>
    <cellStyle name="Note 3 2 7 2" xfId="53303" xr:uid="{00000000-0005-0000-0000-000034D00000}"/>
    <cellStyle name="Note 3 2 7 3" xfId="53304" xr:uid="{00000000-0005-0000-0000-000035D00000}"/>
    <cellStyle name="Note 3 2 7 4" xfId="53305" xr:uid="{00000000-0005-0000-0000-000036D00000}"/>
    <cellStyle name="Note 3 2 7 5" xfId="53306" xr:uid="{00000000-0005-0000-0000-000037D00000}"/>
    <cellStyle name="Note 3 2 7 6" xfId="53307" xr:uid="{00000000-0005-0000-0000-000038D00000}"/>
    <cellStyle name="Note 3 2 8" xfId="53308" xr:uid="{00000000-0005-0000-0000-000039D00000}"/>
    <cellStyle name="Note 3 2 9" xfId="53309" xr:uid="{00000000-0005-0000-0000-00003AD00000}"/>
    <cellStyle name="Note 3 3" xfId="53310" xr:uid="{00000000-0005-0000-0000-00003BD00000}"/>
    <cellStyle name="Note 3 3 2" xfId="53311" xr:uid="{00000000-0005-0000-0000-00003CD00000}"/>
    <cellStyle name="Note 3 3 3" xfId="53312" xr:uid="{00000000-0005-0000-0000-00003DD00000}"/>
    <cellStyle name="Note 3 3 4" xfId="53313" xr:uid="{00000000-0005-0000-0000-00003ED00000}"/>
    <cellStyle name="Note 3 3 5" xfId="53314" xr:uid="{00000000-0005-0000-0000-00003FD00000}"/>
    <cellStyle name="Note 3 3 6" xfId="53315" xr:uid="{00000000-0005-0000-0000-000040D00000}"/>
    <cellStyle name="Note 3 4" xfId="53316" xr:uid="{00000000-0005-0000-0000-000041D00000}"/>
    <cellStyle name="Note 3 4 2" xfId="53317" xr:uid="{00000000-0005-0000-0000-000042D00000}"/>
    <cellStyle name="Note 3 4 3" xfId="53318" xr:uid="{00000000-0005-0000-0000-000043D00000}"/>
    <cellStyle name="Note 3 4 4" xfId="53319" xr:uid="{00000000-0005-0000-0000-000044D00000}"/>
    <cellStyle name="Note 3 4 5" xfId="53320" xr:uid="{00000000-0005-0000-0000-000045D00000}"/>
    <cellStyle name="Note 3 4 6" xfId="53321" xr:uid="{00000000-0005-0000-0000-000046D00000}"/>
    <cellStyle name="Note 3 5" xfId="53322" xr:uid="{00000000-0005-0000-0000-000047D00000}"/>
    <cellStyle name="Note 3 5 2" xfId="53323" xr:uid="{00000000-0005-0000-0000-000048D00000}"/>
    <cellStyle name="Note 3 5 3" xfId="53324" xr:uid="{00000000-0005-0000-0000-000049D00000}"/>
    <cellStyle name="Note 3 5 4" xfId="53325" xr:uid="{00000000-0005-0000-0000-00004AD00000}"/>
    <cellStyle name="Note 3 5 5" xfId="53326" xr:uid="{00000000-0005-0000-0000-00004BD00000}"/>
    <cellStyle name="Note 3 5 6" xfId="53327" xr:uid="{00000000-0005-0000-0000-00004CD00000}"/>
    <cellStyle name="Note 3 6" xfId="53328" xr:uid="{00000000-0005-0000-0000-00004DD00000}"/>
    <cellStyle name="Note 3 6 2" xfId="53329" xr:uid="{00000000-0005-0000-0000-00004ED00000}"/>
    <cellStyle name="Note 3 6 3" xfId="53330" xr:uid="{00000000-0005-0000-0000-00004FD00000}"/>
    <cellStyle name="Note 3 6 4" xfId="53331" xr:uid="{00000000-0005-0000-0000-000050D00000}"/>
    <cellStyle name="Note 3 6 5" xfId="53332" xr:uid="{00000000-0005-0000-0000-000051D00000}"/>
    <cellStyle name="Note 3 6 6" xfId="53333" xr:uid="{00000000-0005-0000-0000-000052D00000}"/>
    <cellStyle name="Note 3 7" xfId="53334" xr:uid="{00000000-0005-0000-0000-000053D00000}"/>
    <cellStyle name="Note 3 7 2" xfId="53335" xr:uid="{00000000-0005-0000-0000-000054D00000}"/>
    <cellStyle name="Note 3 7 3" xfId="53336" xr:uid="{00000000-0005-0000-0000-000055D00000}"/>
    <cellStyle name="Note 3 7 4" xfId="53337" xr:uid="{00000000-0005-0000-0000-000056D00000}"/>
    <cellStyle name="Note 3 7 5" xfId="53338" xr:uid="{00000000-0005-0000-0000-000057D00000}"/>
    <cellStyle name="Note 3 7 6" xfId="53339" xr:uid="{00000000-0005-0000-0000-000058D00000}"/>
    <cellStyle name="Note 3 8" xfId="53340" xr:uid="{00000000-0005-0000-0000-000059D00000}"/>
    <cellStyle name="Note 3 8 2" xfId="53341" xr:uid="{00000000-0005-0000-0000-00005AD00000}"/>
    <cellStyle name="Note 3 8 3" xfId="53342" xr:uid="{00000000-0005-0000-0000-00005BD00000}"/>
    <cellStyle name="Note 3 8 4" xfId="53343" xr:uid="{00000000-0005-0000-0000-00005CD00000}"/>
    <cellStyle name="Note 3 8 5" xfId="53344" xr:uid="{00000000-0005-0000-0000-00005DD00000}"/>
    <cellStyle name="Note 3 8 6" xfId="53345" xr:uid="{00000000-0005-0000-0000-00005ED00000}"/>
    <cellStyle name="Note 3 9" xfId="53346" xr:uid="{00000000-0005-0000-0000-00005FD00000}"/>
    <cellStyle name="Note 4" xfId="53347" xr:uid="{00000000-0005-0000-0000-000060D00000}"/>
    <cellStyle name="Note 4 10" xfId="53348" xr:uid="{00000000-0005-0000-0000-000061D00000}"/>
    <cellStyle name="Note 4 2" xfId="53349" xr:uid="{00000000-0005-0000-0000-000062D00000}"/>
    <cellStyle name="Note 4 2 2" xfId="53350" xr:uid="{00000000-0005-0000-0000-000063D00000}"/>
    <cellStyle name="Note 4 2 3" xfId="53351" xr:uid="{00000000-0005-0000-0000-000064D00000}"/>
    <cellStyle name="Note 4 2 4" xfId="53352" xr:uid="{00000000-0005-0000-0000-000065D00000}"/>
    <cellStyle name="Note 4 2 5" xfId="53353" xr:uid="{00000000-0005-0000-0000-000066D00000}"/>
    <cellStyle name="Note 4 2 6" xfId="53354" xr:uid="{00000000-0005-0000-0000-000067D00000}"/>
    <cellStyle name="Note 4 3" xfId="53355" xr:uid="{00000000-0005-0000-0000-000068D00000}"/>
    <cellStyle name="Note 4 3 2" xfId="53356" xr:uid="{00000000-0005-0000-0000-000069D00000}"/>
    <cellStyle name="Note 4 3 3" xfId="53357" xr:uid="{00000000-0005-0000-0000-00006AD00000}"/>
    <cellStyle name="Note 4 3 4" xfId="53358" xr:uid="{00000000-0005-0000-0000-00006BD00000}"/>
    <cellStyle name="Note 4 3 5" xfId="53359" xr:uid="{00000000-0005-0000-0000-00006CD00000}"/>
    <cellStyle name="Note 4 3 6" xfId="53360" xr:uid="{00000000-0005-0000-0000-00006DD00000}"/>
    <cellStyle name="Note 4 4" xfId="53361" xr:uid="{00000000-0005-0000-0000-00006ED00000}"/>
    <cellStyle name="Note 4 4 2" xfId="53362" xr:uid="{00000000-0005-0000-0000-00006FD00000}"/>
    <cellStyle name="Note 4 4 3" xfId="53363" xr:uid="{00000000-0005-0000-0000-000070D00000}"/>
    <cellStyle name="Note 4 4 4" xfId="53364" xr:uid="{00000000-0005-0000-0000-000071D00000}"/>
    <cellStyle name="Note 4 4 5" xfId="53365" xr:uid="{00000000-0005-0000-0000-000072D00000}"/>
    <cellStyle name="Note 4 4 6" xfId="53366" xr:uid="{00000000-0005-0000-0000-000073D00000}"/>
    <cellStyle name="Note 4 5" xfId="53367" xr:uid="{00000000-0005-0000-0000-000074D00000}"/>
    <cellStyle name="Note 4 5 2" xfId="53368" xr:uid="{00000000-0005-0000-0000-000075D00000}"/>
    <cellStyle name="Note 4 5 3" xfId="53369" xr:uid="{00000000-0005-0000-0000-000076D00000}"/>
    <cellStyle name="Note 4 5 4" xfId="53370" xr:uid="{00000000-0005-0000-0000-000077D00000}"/>
    <cellStyle name="Note 4 5 5" xfId="53371" xr:uid="{00000000-0005-0000-0000-000078D00000}"/>
    <cellStyle name="Note 4 5 6" xfId="53372" xr:uid="{00000000-0005-0000-0000-000079D00000}"/>
    <cellStyle name="Note 4 6" xfId="53373" xr:uid="{00000000-0005-0000-0000-00007AD00000}"/>
    <cellStyle name="Note 4 6 2" xfId="53374" xr:uid="{00000000-0005-0000-0000-00007BD00000}"/>
    <cellStyle name="Note 4 6 3" xfId="53375" xr:uid="{00000000-0005-0000-0000-00007CD00000}"/>
    <cellStyle name="Note 4 6 4" xfId="53376" xr:uid="{00000000-0005-0000-0000-00007DD00000}"/>
    <cellStyle name="Note 4 6 5" xfId="53377" xr:uid="{00000000-0005-0000-0000-00007ED00000}"/>
    <cellStyle name="Note 4 6 6" xfId="53378" xr:uid="{00000000-0005-0000-0000-00007FD00000}"/>
    <cellStyle name="Note 4 7" xfId="53379" xr:uid="{00000000-0005-0000-0000-000080D00000}"/>
    <cellStyle name="Note 4 7 2" xfId="53380" xr:uid="{00000000-0005-0000-0000-000081D00000}"/>
    <cellStyle name="Note 4 7 3" xfId="53381" xr:uid="{00000000-0005-0000-0000-000082D00000}"/>
    <cellStyle name="Note 4 7 4" xfId="53382" xr:uid="{00000000-0005-0000-0000-000083D00000}"/>
    <cellStyle name="Note 4 7 5" xfId="53383" xr:uid="{00000000-0005-0000-0000-000084D00000}"/>
    <cellStyle name="Note 4 7 6" xfId="53384" xr:uid="{00000000-0005-0000-0000-000085D00000}"/>
    <cellStyle name="Note 4 8" xfId="53385" xr:uid="{00000000-0005-0000-0000-000086D00000}"/>
    <cellStyle name="Note 4 9" xfId="53386" xr:uid="{00000000-0005-0000-0000-000087D00000}"/>
    <cellStyle name="Note 5" xfId="53387" xr:uid="{00000000-0005-0000-0000-000088D00000}"/>
    <cellStyle name="Note 5 10" xfId="53388" xr:uid="{00000000-0005-0000-0000-000089D00000}"/>
    <cellStyle name="Note 5 2" xfId="53389" xr:uid="{00000000-0005-0000-0000-00008AD00000}"/>
    <cellStyle name="Note 5 2 2" xfId="53390" xr:uid="{00000000-0005-0000-0000-00008BD00000}"/>
    <cellStyle name="Note 5 2 3" xfId="53391" xr:uid="{00000000-0005-0000-0000-00008CD00000}"/>
    <cellStyle name="Note 5 2 4" xfId="53392" xr:uid="{00000000-0005-0000-0000-00008DD00000}"/>
    <cellStyle name="Note 5 2 5" xfId="53393" xr:uid="{00000000-0005-0000-0000-00008ED00000}"/>
    <cellStyle name="Note 5 2 6" xfId="53394" xr:uid="{00000000-0005-0000-0000-00008FD00000}"/>
    <cellStyle name="Note 5 3" xfId="53395" xr:uid="{00000000-0005-0000-0000-000090D00000}"/>
    <cellStyle name="Note 5 3 2" xfId="53396" xr:uid="{00000000-0005-0000-0000-000091D00000}"/>
    <cellStyle name="Note 5 3 3" xfId="53397" xr:uid="{00000000-0005-0000-0000-000092D00000}"/>
    <cellStyle name="Note 5 3 4" xfId="53398" xr:uid="{00000000-0005-0000-0000-000093D00000}"/>
    <cellStyle name="Note 5 3 5" xfId="53399" xr:uid="{00000000-0005-0000-0000-000094D00000}"/>
    <cellStyle name="Note 5 3 6" xfId="53400" xr:uid="{00000000-0005-0000-0000-000095D00000}"/>
    <cellStyle name="Note 5 4" xfId="53401" xr:uid="{00000000-0005-0000-0000-000096D00000}"/>
    <cellStyle name="Note 5 4 2" xfId="53402" xr:uid="{00000000-0005-0000-0000-000097D00000}"/>
    <cellStyle name="Note 5 4 3" xfId="53403" xr:uid="{00000000-0005-0000-0000-000098D00000}"/>
    <cellStyle name="Note 5 4 4" xfId="53404" xr:uid="{00000000-0005-0000-0000-000099D00000}"/>
    <cellStyle name="Note 5 4 5" xfId="53405" xr:uid="{00000000-0005-0000-0000-00009AD00000}"/>
    <cellStyle name="Note 5 4 6" xfId="53406" xr:uid="{00000000-0005-0000-0000-00009BD00000}"/>
    <cellStyle name="Note 5 5" xfId="53407" xr:uid="{00000000-0005-0000-0000-00009CD00000}"/>
    <cellStyle name="Note 5 5 2" xfId="53408" xr:uid="{00000000-0005-0000-0000-00009DD00000}"/>
    <cellStyle name="Note 5 5 3" xfId="53409" xr:uid="{00000000-0005-0000-0000-00009ED00000}"/>
    <cellStyle name="Note 5 5 4" xfId="53410" xr:uid="{00000000-0005-0000-0000-00009FD00000}"/>
    <cellStyle name="Note 5 5 5" xfId="53411" xr:uid="{00000000-0005-0000-0000-0000A0D00000}"/>
    <cellStyle name="Note 5 5 6" xfId="53412" xr:uid="{00000000-0005-0000-0000-0000A1D00000}"/>
    <cellStyle name="Note 5 6" xfId="53413" xr:uid="{00000000-0005-0000-0000-0000A2D00000}"/>
    <cellStyle name="Note 5 6 2" xfId="53414" xr:uid="{00000000-0005-0000-0000-0000A3D00000}"/>
    <cellStyle name="Note 5 6 3" xfId="53415" xr:uid="{00000000-0005-0000-0000-0000A4D00000}"/>
    <cellStyle name="Note 5 6 4" xfId="53416" xr:uid="{00000000-0005-0000-0000-0000A5D00000}"/>
    <cellStyle name="Note 5 6 5" xfId="53417" xr:uid="{00000000-0005-0000-0000-0000A6D00000}"/>
    <cellStyle name="Note 5 6 6" xfId="53418" xr:uid="{00000000-0005-0000-0000-0000A7D00000}"/>
    <cellStyle name="Note 5 7" xfId="53419" xr:uid="{00000000-0005-0000-0000-0000A8D00000}"/>
    <cellStyle name="Note 5 7 2" xfId="53420" xr:uid="{00000000-0005-0000-0000-0000A9D00000}"/>
    <cellStyle name="Note 5 7 3" xfId="53421" xr:uid="{00000000-0005-0000-0000-0000AAD00000}"/>
    <cellStyle name="Note 5 7 4" xfId="53422" xr:uid="{00000000-0005-0000-0000-0000ABD00000}"/>
    <cellStyle name="Note 5 7 5" xfId="53423" xr:uid="{00000000-0005-0000-0000-0000ACD00000}"/>
    <cellStyle name="Note 5 7 6" xfId="53424" xr:uid="{00000000-0005-0000-0000-0000ADD00000}"/>
    <cellStyle name="Note 5 8" xfId="53425" xr:uid="{00000000-0005-0000-0000-0000AED00000}"/>
    <cellStyle name="Note 5 9" xfId="53426" xr:uid="{00000000-0005-0000-0000-0000AFD00000}"/>
    <cellStyle name="Note 6" xfId="53427" xr:uid="{00000000-0005-0000-0000-0000B0D00000}"/>
    <cellStyle name="Note 6 10" xfId="53428" xr:uid="{00000000-0005-0000-0000-0000B1D00000}"/>
    <cellStyle name="Note 6 2" xfId="53429" xr:uid="{00000000-0005-0000-0000-0000B2D00000}"/>
    <cellStyle name="Note 6 2 2" xfId="53430" xr:uid="{00000000-0005-0000-0000-0000B3D00000}"/>
    <cellStyle name="Note 6 2 3" xfId="53431" xr:uid="{00000000-0005-0000-0000-0000B4D00000}"/>
    <cellStyle name="Note 6 2 4" xfId="53432" xr:uid="{00000000-0005-0000-0000-0000B5D00000}"/>
    <cellStyle name="Note 6 2 5" xfId="53433" xr:uid="{00000000-0005-0000-0000-0000B6D00000}"/>
    <cellStyle name="Note 6 2 6" xfId="53434" xr:uid="{00000000-0005-0000-0000-0000B7D00000}"/>
    <cellStyle name="Note 6 3" xfId="53435" xr:uid="{00000000-0005-0000-0000-0000B8D00000}"/>
    <cellStyle name="Note 6 3 2" xfId="53436" xr:uid="{00000000-0005-0000-0000-0000B9D00000}"/>
    <cellStyle name="Note 6 3 3" xfId="53437" xr:uid="{00000000-0005-0000-0000-0000BAD00000}"/>
    <cellStyle name="Note 6 3 4" xfId="53438" xr:uid="{00000000-0005-0000-0000-0000BBD00000}"/>
    <cellStyle name="Note 6 3 5" xfId="53439" xr:uid="{00000000-0005-0000-0000-0000BCD00000}"/>
    <cellStyle name="Note 6 3 6" xfId="53440" xr:uid="{00000000-0005-0000-0000-0000BDD00000}"/>
    <cellStyle name="Note 6 4" xfId="53441" xr:uid="{00000000-0005-0000-0000-0000BED00000}"/>
    <cellStyle name="Note 6 4 2" xfId="53442" xr:uid="{00000000-0005-0000-0000-0000BFD00000}"/>
    <cellStyle name="Note 6 4 3" xfId="53443" xr:uid="{00000000-0005-0000-0000-0000C0D00000}"/>
    <cellStyle name="Note 6 4 4" xfId="53444" xr:uid="{00000000-0005-0000-0000-0000C1D00000}"/>
    <cellStyle name="Note 6 4 5" xfId="53445" xr:uid="{00000000-0005-0000-0000-0000C2D00000}"/>
    <cellStyle name="Note 6 4 6" xfId="53446" xr:uid="{00000000-0005-0000-0000-0000C3D00000}"/>
    <cellStyle name="Note 6 5" xfId="53447" xr:uid="{00000000-0005-0000-0000-0000C4D00000}"/>
    <cellStyle name="Note 6 5 2" xfId="53448" xr:uid="{00000000-0005-0000-0000-0000C5D00000}"/>
    <cellStyle name="Note 6 5 3" xfId="53449" xr:uid="{00000000-0005-0000-0000-0000C6D00000}"/>
    <cellStyle name="Note 6 5 4" xfId="53450" xr:uid="{00000000-0005-0000-0000-0000C7D00000}"/>
    <cellStyle name="Note 6 5 5" xfId="53451" xr:uid="{00000000-0005-0000-0000-0000C8D00000}"/>
    <cellStyle name="Note 6 5 6" xfId="53452" xr:uid="{00000000-0005-0000-0000-0000C9D00000}"/>
    <cellStyle name="Note 6 6" xfId="53453" xr:uid="{00000000-0005-0000-0000-0000CAD00000}"/>
    <cellStyle name="Note 6 6 2" xfId="53454" xr:uid="{00000000-0005-0000-0000-0000CBD00000}"/>
    <cellStyle name="Note 6 6 3" xfId="53455" xr:uid="{00000000-0005-0000-0000-0000CCD00000}"/>
    <cellStyle name="Note 6 6 4" xfId="53456" xr:uid="{00000000-0005-0000-0000-0000CDD00000}"/>
    <cellStyle name="Note 6 6 5" xfId="53457" xr:uid="{00000000-0005-0000-0000-0000CED00000}"/>
    <cellStyle name="Note 6 6 6" xfId="53458" xr:uid="{00000000-0005-0000-0000-0000CFD00000}"/>
    <cellStyle name="Note 6 7" xfId="53459" xr:uid="{00000000-0005-0000-0000-0000D0D00000}"/>
    <cellStyle name="Note 6 7 2" xfId="53460" xr:uid="{00000000-0005-0000-0000-0000D1D00000}"/>
    <cellStyle name="Note 6 7 3" xfId="53461" xr:uid="{00000000-0005-0000-0000-0000D2D00000}"/>
    <cellStyle name="Note 6 7 4" xfId="53462" xr:uid="{00000000-0005-0000-0000-0000D3D00000}"/>
    <cellStyle name="Note 6 7 5" xfId="53463" xr:uid="{00000000-0005-0000-0000-0000D4D00000}"/>
    <cellStyle name="Note 6 7 6" xfId="53464" xr:uid="{00000000-0005-0000-0000-0000D5D00000}"/>
    <cellStyle name="Note 6 8" xfId="53465" xr:uid="{00000000-0005-0000-0000-0000D6D00000}"/>
    <cellStyle name="Note 6 9" xfId="53466" xr:uid="{00000000-0005-0000-0000-0000D7D00000}"/>
    <cellStyle name="Note 7" xfId="53467" xr:uid="{00000000-0005-0000-0000-0000D8D00000}"/>
    <cellStyle name="Note 7 10" xfId="53468" xr:uid="{00000000-0005-0000-0000-0000D9D00000}"/>
    <cellStyle name="Note 7 2" xfId="53469" xr:uid="{00000000-0005-0000-0000-0000DAD00000}"/>
    <cellStyle name="Note 7 2 2" xfId="53470" xr:uid="{00000000-0005-0000-0000-0000DBD00000}"/>
    <cellStyle name="Note 7 2 3" xfId="53471" xr:uid="{00000000-0005-0000-0000-0000DCD00000}"/>
    <cellStyle name="Note 7 2 4" xfId="53472" xr:uid="{00000000-0005-0000-0000-0000DDD00000}"/>
    <cellStyle name="Note 7 2 5" xfId="53473" xr:uid="{00000000-0005-0000-0000-0000DED00000}"/>
    <cellStyle name="Note 7 2 6" xfId="53474" xr:uid="{00000000-0005-0000-0000-0000DFD00000}"/>
    <cellStyle name="Note 7 3" xfId="53475" xr:uid="{00000000-0005-0000-0000-0000E0D00000}"/>
    <cellStyle name="Note 7 3 2" xfId="53476" xr:uid="{00000000-0005-0000-0000-0000E1D00000}"/>
    <cellStyle name="Note 7 3 3" xfId="53477" xr:uid="{00000000-0005-0000-0000-0000E2D00000}"/>
    <cellStyle name="Note 7 3 4" xfId="53478" xr:uid="{00000000-0005-0000-0000-0000E3D00000}"/>
    <cellStyle name="Note 7 3 5" xfId="53479" xr:uid="{00000000-0005-0000-0000-0000E4D00000}"/>
    <cellStyle name="Note 7 3 6" xfId="53480" xr:uid="{00000000-0005-0000-0000-0000E5D00000}"/>
    <cellStyle name="Note 7 4" xfId="53481" xr:uid="{00000000-0005-0000-0000-0000E6D00000}"/>
    <cellStyle name="Note 7 4 2" xfId="53482" xr:uid="{00000000-0005-0000-0000-0000E7D00000}"/>
    <cellStyle name="Note 7 4 3" xfId="53483" xr:uid="{00000000-0005-0000-0000-0000E8D00000}"/>
    <cellStyle name="Note 7 4 4" xfId="53484" xr:uid="{00000000-0005-0000-0000-0000E9D00000}"/>
    <cellStyle name="Note 7 4 5" xfId="53485" xr:uid="{00000000-0005-0000-0000-0000EAD00000}"/>
    <cellStyle name="Note 7 4 6" xfId="53486" xr:uid="{00000000-0005-0000-0000-0000EBD00000}"/>
    <cellStyle name="Note 7 5" xfId="53487" xr:uid="{00000000-0005-0000-0000-0000ECD00000}"/>
    <cellStyle name="Note 7 5 2" xfId="53488" xr:uid="{00000000-0005-0000-0000-0000EDD00000}"/>
    <cellStyle name="Note 7 5 3" xfId="53489" xr:uid="{00000000-0005-0000-0000-0000EED00000}"/>
    <cellStyle name="Note 7 5 4" xfId="53490" xr:uid="{00000000-0005-0000-0000-0000EFD00000}"/>
    <cellStyle name="Note 7 5 5" xfId="53491" xr:uid="{00000000-0005-0000-0000-0000F0D00000}"/>
    <cellStyle name="Note 7 5 6" xfId="53492" xr:uid="{00000000-0005-0000-0000-0000F1D00000}"/>
    <cellStyle name="Note 7 6" xfId="53493" xr:uid="{00000000-0005-0000-0000-0000F2D00000}"/>
    <cellStyle name="Note 7 6 2" xfId="53494" xr:uid="{00000000-0005-0000-0000-0000F3D00000}"/>
    <cellStyle name="Note 7 6 3" xfId="53495" xr:uid="{00000000-0005-0000-0000-0000F4D00000}"/>
    <cellStyle name="Note 7 6 4" xfId="53496" xr:uid="{00000000-0005-0000-0000-0000F5D00000}"/>
    <cellStyle name="Note 7 6 5" xfId="53497" xr:uid="{00000000-0005-0000-0000-0000F6D00000}"/>
    <cellStyle name="Note 7 6 6" xfId="53498" xr:uid="{00000000-0005-0000-0000-0000F7D00000}"/>
    <cellStyle name="Note 7 7" xfId="53499" xr:uid="{00000000-0005-0000-0000-0000F8D00000}"/>
    <cellStyle name="Note 7 7 2" xfId="53500" xr:uid="{00000000-0005-0000-0000-0000F9D00000}"/>
    <cellStyle name="Note 7 7 3" xfId="53501" xr:uid="{00000000-0005-0000-0000-0000FAD00000}"/>
    <cellStyle name="Note 7 7 4" xfId="53502" xr:uid="{00000000-0005-0000-0000-0000FBD00000}"/>
    <cellStyle name="Note 7 7 5" xfId="53503" xr:uid="{00000000-0005-0000-0000-0000FCD00000}"/>
    <cellStyle name="Note 7 7 6" xfId="53504" xr:uid="{00000000-0005-0000-0000-0000FDD00000}"/>
    <cellStyle name="Note 7 8" xfId="53505" xr:uid="{00000000-0005-0000-0000-0000FED00000}"/>
    <cellStyle name="Note 7 9" xfId="53506" xr:uid="{00000000-0005-0000-0000-0000FFD00000}"/>
    <cellStyle name="Note 8" xfId="53507" xr:uid="{00000000-0005-0000-0000-000000D10000}"/>
    <cellStyle name="Note 8 10" xfId="53508" xr:uid="{00000000-0005-0000-0000-000001D10000}"/>
    <cellStyle name="Note 8 2" xfId="53509" xr:uid="{00000000-0005-0000-0000-000002D10000}"/>
    <cellStyle name="Note 8 2 2" xfId="53510" xr:uid="{00000000-0005-0000-0000-000003D10000}"/>
    <cellStyle name="Note 8 2 3" xfId="53511" xr:uid="{00000000-0005-0000-0000-000004D10000}"/>
    <cellStyle name="Note 8 2 4" xfId="53512" xr:uid="{00000000-0005-0000-0000-000005D10000}"/>
    <cellStyle name="Note 8 2 5" xfId="53513" xr:uid="{00000000-0005-0000-0000-000006D10000}"/>
    <cellStyle name="Note 8 2 6" xfId="53514" xr:uid="{00000000-0005-0000-0000-000007D10000}"/>
    <cellStyle name="Note 8 3" xfId="53515" xr:uid="{00000000-0005-0000-0000-000008D10000}"/>
    <cellStyle name="Note 8 3 2" xfId="53516" xr:uid="{00000000-0005-0000-0000-000009D10000}"/>
    <cellStyle name="Note 8 3 3" xfId="53517" xr:uid="{00000000-0005-0000-0000-00000AD10000}"/>
    <cellStyle name="Note 8 3 4" xfId="53518" xr:uid="{00000000-0005-0000-0000-00000BD10000}"/>
    <cellStyle name="Note 8 3 5" xfId="53519" xr:uid="{00000000-0005-0000-0000-00000CD10000}"/>
    <cellStyle name="Note 8 3 6" xfId="53520" xr:uid="{00000000-0005-0000-0000-00000DD10000}"/>
    <cellStyle name="Note 8 4" xfId="53521" xr:uid="{00000000-0005-0000-0000-00000ED10000}"/>
    <cellStyle name="Note 8 4 2" xfId="53522" xr:uid="{00000000-0005-0000-0000-00000FD10000}"/>
    <cellStyle name="Note 8 4 3" xfId="53523" xr:uid="{00000000-0005-0000-0000-000010D10000}"/>
    <cellStyle name="Note 8 4 4" xfId="53524" xr:uid="{00000000-0005-0000-0000-000011D10000}"/>
    <cellStyle name="Note 8 4 5" xfId="53525" xr:uid="{00000000-0005-0000-0000-000012D10000}"/>
    <cellStyle name="Note 8 4 6" xfId="53526" xr:uid="{00000000-0005-0000-0000-000013D10000}"/>
    <cellStyle name="Note 8 5" xfId="53527" xr:uid="{00000000-0005-0000-0000-000014D10000}"/>
    <cellStyle name="Note 8 5 2" xfId="53528" xr:uid="{00000000-0005-0000-0000-000015D10000}"/>
    <cellStyle name="Note 8 5 3" xfId="53529" xr:uid="{00000000-0005-0000-0000-000016D10000}"/>
    <cellStyle name="Note 8 5 4" xfId="53530" xr:uid="{00000000-0005-0000-0000-000017D10000}"/>
    <cellStyle name="Note 8 5 5" xfId="53531" xr:uid="{00000000-0005-0000-0000-000018D10000}"/>
    <cellStyle name="Note 8 5 6" xfId="53532" xr:uid="{00000000-0005-0000-0000-000019D10000}"/>
    <cellStyle name="Note 8 6" xfId="53533" xr:uid="{00000000-0005-0000-0000-00001AD10000}"/>
    <cellStyle name="Note 8 6 2" xfId="53534" xr:uid="{00000000-0005-0000-0000-00001BD10000}"/>
    <cellStyle name="Note 8 6 3" xfId="53535" xr:uid="{00000000-0005-0000-0000-00001CD10000}"/>
    <cellStyle name="Note 8 6 4" xfId="53536" xr:uid="{00000000-0005-0000-0000-00001DD10000}"/>
    <cellStyle name="Note 8 6 5" xfId="53537" xr:uid="{00000000-0005-0000-0000-00001ED10000}"/>
    <cellStyle name="Note 8 6 6" xfId="53538" xr:uid="{00000000-0005-0000-0000-00001FD10000}"/>
    <cellStyle name="Note 8 7" xfId="53539" xr:uid="{00000000-0005-0000-0000-000020D10000}"/>
    <cellStyle name="Note 8 7 2" xfId="53540" xr:uid="{00000000-0005-0000-0000-000021D10000}"/>
    <cellStyle name="Note 8 7 3" xfId="53541" xr:uid="{00000000-0005-0000-0000-000022D10000}"/>
    <cellStyle name="Note 8 7 4" xfId="53542" xr:uid="{00000000-0005-0000-0000-000023D10000}"/>
    <cellStyle name="Note 8 7 5" xfId="53543" xr:uid="{00000000-0005-0000-0000-000024D10000}"/>
    <cellStyle name="Note 8 7 6" xfId="53544" xr:uid="{00000000-0005-0000-0000-000025D10000}"/>
    <cellStyle name="Note 8 8" xfId="53545" xr:uid="{00000000-0005-0000-0000-000026D10000}"/>
    <cellStyle name="Note 8 9" xfId="53546" xr:uid="{00000000-0005-0000-0000-000027D10000}"/>
    <cellStyle name="Note 9" xfId="53547" xr:uid="{00000000-0005-0000-0000-000028D10000}"/>
    <cellStyle name="Note 9 10" xfId="53548" xr:uid="{00000000-0005-0000-0000-000029D10000}"/>
    <cellStyle name="Note 9 2" xfId="53549" xr:uid="{00000000-0005-0000-0000-00002AD10000}"/>
    <cellStyle name="Note 9 2 2" xfId="53550" xr:uid="{00000000-0005-0000-0000-00002BD10000}"/>
    <cellStyle name="Note 9 2 3" xfId="53551" xr:uid="{00000000-0005-0000-0000-00002CD10000}"/>
    <cellStyle name="Note 9 2 4" xfId="53552" xr:uid="{00000000-0005-0000-0000-00002DD10000}"/>
    <cellStyle name="Note 9 2 5" xfId="53553" xr:uid="{00000000-0005-0000-0000-00002ED10000}"/>
    <cellStyle name="Note 9 2 6" xfId="53554" xr:uid="{00000000-0005-0000-0000-00002FD10000}"/>
    <cellStyle name="Note 9 3" xfId="53555" xr:uid="{00000000-0005-0000-0000-000030D10000}"/>
    <cellStyle name="Note 9 3 2" xfId="53556" xr:uid="{00000000-0005-0000-0000-000031D10000}"/>
    <cellStyle name="Note 9 3 3" xfId="53557" xr:uid="{00000000-0005-0000-0000-000032D10000}"/>
    <cellStyle name="Note 9 3 4" xfId="53558" xr:uid="{00000000-0005-0000-0000-000033D10000}"/>
    <cellStyle name="Note 9 3 5" xfId="53559" xr:uid="{00000000-0005-0000-0000-000034D10000}"/>
    <cellStyle name="Note 9 3 6" xfId="53560" xr:uid="{00000000-0005-0000-0000-000035D10000}"/>
    <cellStyle name="Note 9 4" xfId="53561" xr:uid="{00000000-0005-0000-0000-000036D10000}"/>
    <cellStyle name="Note 9 4 2" xfId="53562" xr:uid="{00000000-0005-0000-0000-000037D10000}"/>
    <cellStyle name="Note 9 4 3" xfId="53563" xr:uid="{00000000-0005-0000-0000-000038D10000}"/>
    <cellStyle name="Note 9 4 4" xfId="53564" xr:uid="{00000000-0005-0000-0000-000039D10000}"/>
    <cellStyle name="Note 9 4 5" xfId="53565" xr:uid="{00000000-0005-0000-0000-00003AD10000}"/>
    <cellStyle name="Note 9 4 6" xfId="53566" xr:uid="{00000000-0005-0000-0000-00003BD10000}"/>
    <cellStyle name="Note 9 5" xfId="53567" xr:uid="{00000000-0005-0000-0000-00003CD10000}"/>
    <cellStyle name="Note 9 5 2" xfId="53568" xr:uid="{00000000-0005-0000-0000-00003DD10000}"/>
    <cellStyle name="Note 9 5 3" xfId="53569" xr:uid="{00000000-0005-0000-0000-00003ED10000}"/>
    <cellStyle name="Note 9 5 4" xfId="53570" xr:uid="{00000000-0005-0000-0000-00003FD10000}"/>
    <cellStyle name="Note 9 5 5" xfId="53571" xr:uid="{00000000-0005-0000-0000-000040D10000}"/>
    <cellStyle name="Note 9 5 6" xfId="53572" xr:uid="{00000000-0005-0000-0000-000041D10000}"/>
    <cellStyle name="Note 9 6" xfId="53573" xr:uid="{00000000-0005-0000-0000-000042D10000}"/>
    <cellStyle name="Note 9 6 2" xfId="53574" xr:uid="{00000000-0005-0000-0000-000043D10000}"/>
    <cellStyle name="Note 9 6 3" xfId="53575" xr:uid="{00000000-0005-0000-0000-000044D10000}"/>
    <cellStyle name="Note 9 6 4" xfId="53576" xr:uid="{00000000-0005-0000-0000-000045D10000}"/>
    <cellStyle name="Note 9 6 5" xfId="53577" xr:uid="{00000000-0005-0000-0000-000046D10000}"/>
    <cellStyle name="Note 9 6 6" xfId="53578" xr:uid="{00000000-0005-0000-0000-000047D10000}"/>
    <cellStyle name="Note 9 7" xfId="53579" xr:uid="{00000000-0005-0000-0000-000048D10000}"/>
    <cellStyle name="Note 9 7 2" xfId="53580" xr:uid="{00000000-0005-0000-0000-000049D10000}"/>
    <cellStyle name="Note 9 7 3" xfId="53581" xr:uid="{00000000-0005-0000-0000-00004AD10000}"/>
    <cellStyle name="Note 9 7 4" xfId="53582" xr:uid="{00000000-0005-0000-0000-00004BD10000}"/>
    <cellStyle name="Note 9 7 5" xfId="53583" xr:uid="{00000000-0005-0000-0000-00004CD10000}"/>
    <cellStyle name="Note 9 7 6" xfId="53584" xr:uid="{00000000-0005-0000-0000-00004DD10000}"/>
    <cellStyle name="Note 9 8" xfId="53585" xr:uid="{00000000-0005-0000-0000-00004ED10000}"/>
    <cellStyle name="Note 9 9" xfId="53586" xr:uid="{00000000-0005-0000-0000-00004FD10000}"/>
    <cellStyle name="Notes" xfId="53587" xr:uid="{00000000-0005-0000-0000-000050D10000}"/>
    <cellStyle name="Notes 2" xfId="53588" xr:uid="{00000000-0005-0000-0000-000051D10000}"/>
    <cellStyle name="Notes 2 2" xfId="53589" xr:uid="{00000000-0005-0000-0000-000052D10000}"/>
    <cellStyle name="Notes 3" xfId="53590" xr:uid="{00000000-0005-0000-0000-000053D10000}"/>
    <cellStyle name="Notes 3 2" xfId="53591" xr:uid="{00000000-0005-0000-0000-000054D10000}"/>
    <cellStyle name="Notes 4" xfId="53592" xr:uid="{00000000-0005-0000-0000-000055D10000}"/>
    <cellStyle name="numbers" xfId="53593" xr:uid="{00000000-0005-0000-0000-000056D10000}"/>
    <cellStyle name="Numbers(2)" xfId="53594" xr:uid="{00000000-0005-0000-0000-000057D10000}"/>
    <cellStyle name="Of which" xfId="53595" xr:uid="{00000000-0005-0000-0000-000058D10000}"/>
    <cellStyle name="outline" xfId="53596" xr:uid="{00000000-0005-0000-0000-000059D10000}"/>
    <cellStyle name="outline 2" xfId="53597" xr:uid="{00000000-0005-0000-0000-00005AD10000}"/>
    <cellStyle name="Output 10" xfId="53598" xr:uid="{00000000-0005-0000-0000-00005BD10000}"/>
    <cellStyle name="Output 10 10" xfId="53599" xr:uid="{00000000-0005-0000-0000-00005CD10000}"/>
    <cellStyle name="Output 10 2" xfId="53600" xr:uid="{00000000-0005-0000-0000-00005DD10000}"/>
    <cellStyle name="Output 10 2 2" xfId="53601" xr:uid="{00000000-0005-0000-0000-00005ED10000}"/>
    <cellStyle name="Output 10 2 3" xfId="53602" xr:uid="{00000000-0005-0000-0000-00005FD10000}"/>
    <cellStyle name="Output 10 2 4" xfId="53603" xr:uid="{00000000-0005-0000-0000-000060D10000}"/>
    <cellStyle name="Output 10 2 5" xfId="53604" xr:uid="{00000000-0005-0000-0000-000061D10000}"/>
    <cellStyle name="Output 10 2 6" xfId="53605" xr:uid="{00000000-0005-0000-0000-000062D10000}"/>
    <cellStyle name="Output 10 3" xfId="53606" xr:uid="{00000000-0005-0000-0000-000063D10000}"/>
    <cellStyle name="Output 10 3 2" xfId="53607" xr:uid="{00000000-0005-0000-0000-000064D10000}"/>
    <cellStyle name="Output 10 3 3" xfId="53608" xr:uid="{00000000-0005-0000-0000-000065D10000}"/>
    <cellStyle name="Output 10 3 4" xfId="53609" xr:uid="{00000000-0005-0000-0000-000066D10000}"/>
    <cellStyle name="Output 10 3 5" xfId="53610" xr:uid="{00000000-0005-0000-0000-000067D10000}"/>
    <cellStyle name="Output 10 3 6" xfId="53611" xr:uid="{00000000-0005-0000-0000-000068D10000}"/>
    <cellStyle name="Output 10 4" xfId="53612" xr:uid="{00000000-0005-0000-0000-000069D10000}"/>
    <cellStyle name="Output 10 4 2" xfId="53613" xr:uid="{00000000-0005-0000-0000-00006AD10000}"/>
    <cellStyle name="Output 10 4 3" xfId="53614" xr:uid="{00000000-0005-0000-0000-00006BD10000}"/>
    <cellStyle name="Output 10 4 4" xfId="53615" xr:uid="{00000000-0005-0000-0000-00006CD10000}"/>
    <cellStyle name="Output 10 4 5" xfId="53616" xr:uid="{00000000-0005-0000-0000-00006DD10000}"/>
    <cellStyle name="Output 10 4 6" xfId="53617" xr:uid="{00000000-0005-0000-0000-00006ED10000}"/>
    <cellStyle name="Output 10 5" xfId="53618" xr:uid="{00000000-0005-0000-0000-00006FD10000}"/>
    <cellStyle name="Output 10 5 2" xfId="53619" xr:uid="{00000000-0005-0000-0000-000070D10000}"/>
    <cellStyle name="Output 10 5 3" xfId="53620" xr:uid="{00000000-0005-0000-0000-000071D10000}"/>
    <cellStyle name="Output 10 5 4" xfId="53621" xr:uid="{00000000-0005-0000-0000-000072D10000}"/>
    <cellStyle name="Output 10 5 5" xfId="53622" xr:uid="{00000000-0005-0000-0000-000073D10000}"/>
    <cellStyle name="Output 10 5 6" xfId="53623" xr:uid="{00000000-0005-0000-0000-000074D10000}"/>
    <cellStyle name="Output 10 6" xfId="53624" xr:uid="{00000000-0005-0000-0000-000075D10000}"/>
    <cellStyle name="Output 10 6 2" xfId="53625" xr:uid="{00000000-0005-0000-0000-000076D10000}"/>
    <cellStyle name="Output 10 6 3" xfId="53626" xr:uid="{00000000-0005-0000-0000-000077D10000}"/>
    <cellStyle name="Output 10 6 4" xfId="53627" xr:uid="{00000000-0005-0000-0000-000078D10000}"/>
    <cellStyle name="Output 10 6 5" xfId="53628" xr:uid="{00000000-0005-0000-0000-000079D10000}"/>
    <cellStyle name="Output 10 6 6" xfId="53629" xr:uid="{00000000-0005-0000-0000-00007AD10000}"/>
    <cellStyle name="Output 10 7" xfId="53630" xr:uid="{00000000-0005-0000-0000-00007BD10000}"/>
    <cellStyle name="Output 10 7 2" xfId="53631" xr:uid="{00000000-0005-0000-0000-00007CD10000}"/>
    <cellStyle name="Output 10 7 3" xfId="53632" xr:uid="{00000000-0005-0000-0000-00007DD10000}"/>
    <cellStyle name="Output 10 7 4" xfId="53633" xr:uid="{00000000-0005-0000-0000-00007ED10000}"/>
    <cellStyle name="Output 10 7 5" xfId="53634" xr:uid="{00000000-0005-0000-0000-00007FD10000}"/>
    <cellStyle name="Output 10 7 6" xfId="53635" xr:uid="{00000000-0005-0000-0000-000080D10000}"/>
    <cellStyle name="Output 10 8" xfId="53636" xr:uid="{00000000-0005-0000-0000-000081D10000}"/>
    <cellStyle name="Output 10 9" xfId="53637" xr:uid="{00000000-0005-0000-0000-000082D10000}"/>
    <cellStyle name="Output 2" xfId="53638" xr:uid="{00000000-0005-0000-0000-000083D10000}"/>
    <cellStyle name="Output 2 10" xfId="53639" xr:uid="{00000000-0005-0000-0000-000084D10000}"/>
    <cellStyle name="Output 2 11" xfId="53640" xr:uid="{00000000-0005-0000-0000-000085D10000}"/>
    <cellStyle name="Output 2 12" xfId="53641" xr:uid="{00000000-0005-0000-0000-000086D10000}"/>
    <cellStyle name="Output 2 2" xfId="53642" xr:uid="{00000000-0005-0000-0000-000087D10000}"/>
    <cellStyle name="Output 2 2 10" xfId="53643" xr:uid="{00000000-0005-0000-0000-000088D10000}"/>
    <cellStyle name="Output 2 2 2" xfId="53644" xr:uid="{00000000-0005-0000-0000-000089D10000}"/>
    <cellStyle name="Output 2 2 2 2" xfId="53645" xr:uid="{00000000-0005-0000-0000-00008AD10000}"/>
    <cellStyle name="Output 2 2 2 3" xfId="53646" xr:uid="{00000000-0005-0000-0000-00008BD10000}"/>
    <cellStyle name="Output 2 2 2 4" xfId="53647" xr:uid="{00000000-0005-0000-0000-00008CD10000}"/>
    <cellStyle name="Output 2 2 2 5" xfId="53648" xr:uid="{00000000-0005-0000-0000-00008DD10000}"/>
    <cellStyle name="Output 2 2 2 6" xfId="53649" xr:uid="{00000000-0005-0000-0000-00008ED10000}"/>
    <cellStyle name="Output 2 2 3" xfId="53650" xr:uid="{00000000-0005-0000-0000-00008FD10000}"/>
    <cellStyle name="Output 2 2 3 2" xfId="53651" xr:uid="{00000000-0005-0000-0000-000090D10000}"/>
    <cellStyle name="Output 2 2 3 3" xfId="53652" xr:uid="{00000000-0005-0000-0000-000091D10000}"/>
    <cellStyle name="Output 2 2 3 4" xfId="53653" xr:uid="{00000000-0005-0000-0000-000092D10000}"/>
    <cellStyle name="Output 2 2 3 5" xfId="53654" xr:uid="{00000000-0005-0000-0000-000093D10000}"/>
    <cellStyle name="Output 2 2 3 6" xfId="53655" xr:uid="{00000000-0005-0000-0000-000094D10000}"/>
    <cellStyle name="Output 2 2 4" xfId="53656" xr:uid="{00000000-0005-0000-0000-000095D10000}"/>
    <cellStyle name="Output 2 2 4 2" xfId="53657" xr:uid="{00000000-0005-0000-0000-000096D10000}"/>
    <cellStyle name="Output 2 2 4 3" xfId="53658" xr:uid="{00000000-0005-0000-0000-000097D10000}"/>
    <cellStyle name="Output 2 2 4 4" xfId="53659" xr:uid="{00000000-0005-0000-0000-000098D10000}"/>
    <cellStyle name="Output 2 2 4 5" xfId="53660" xr:uid="{00000000-0005-0000-0000-000099D10000}"/>
    <cellStyle name="Output 2 2 4 6" xfId="53661" xr:uid="{00000000-0005-0000-0000-00009AD10000}"/>
    <cellStyle name="Output 2 2 5" xfId="53662" xr:uid="{00000000-0005-0000-0000-00009BD10000}"/>
    <cellStyle name="Output 2 2 5 2" xfId="53663" xr:uid="{00000000-0005-0000-0000-00009CD10000}"/>
    <cellStyle name="Output 2 2 5 3" xfId="53664" xr:uid="{00000000-0005-0000-0000-00009DD10000}"/>
    <cellStyle name="Output 2 2 5 4" xfId="53665" xr:uid="{00000000-0005-0000-0000-00009ED10000}"/>
    <cellStyle name="Output 2 2 5 5" xfId="53666" xr:uid="{00000000-0005-0000-0000-00009FD10000}"/>
    <cellStyle name="Output 2 2 5 6" xfId="53667" xr:uid="{00000000-0005-0000-0000-0000A0D10000}"/>
    <cellStyle name="Output 2 2 6" xfId="53668" xr:uid="{00000000-0005-0000-0000-0000A1D10000}"/>
    <cellStyle name="Output 2 2 6 2" xfId="53669" xr:uid="{00000000-0005-0000-0000-0000A2D10000}"/>
    <cellStyle name="Output 2 2 6 3" xfId="53670" xr:uid="{00000000-0005-0000-0000-0000A3D10000}"/>
    <cellStyle name="Output 2 2 6 4" xfId="53671" xr:uid="{00000000-0005-0000-0000-0000A4D10000}"/>
    <cellStyle name="Output 2 2 6 5" xfId="53672" xr:uid="{00000000-0005-0000-0000-0000A5D10000}"/>
    <cellStyle name="Output 2 2 6 6" xfId="53673" xr:uid="{00000000-0005-0000-0000-0000A6D10000}"/>
    <cellStyle name="Output 2 2 7" xfId="53674" xr:uid="{00000000-0005-0000-0000-0000A7D10000}"/>
    <cellStyle name="Output 2 2 7 2" xfId="53675" xr:uid="{00000000-0005-0000-0000-0000A8D10000}"/>
    <cellStyle name="Output 2 2 7 3" xfId="53676" xr:uid="{00000000-0005-0000-0000-0000A9D10000}"/>
    <cellStyle name="Output 2 2 7 4" xfId="53677" xr:uid="{00000000-0005-0000-0000-0000AAD10000}"/>
    <cellStyle name="Output 2 2 7 5" xfId="53678" xr:uid="{00000000-0005-0000-0000-0000ABD10000}"/>
    <cellStyle name="Output 2 2 7 6" xfId="53679" xr:uid="{00000000-0005-0000-0000-0000ACD10000}"/>
    <cellStyle name="Output 2 2 8" xfId="53680" xr:uid="{00000000-0005-0000-0000-0000ADD10000}"/>
    <cellStyle name="Output 2 2 9" xfId="53681" xr:uid="{00000000-0005-0000-0000-0000AED10000}"/>
    <cellStyle name="Output 2 3" xfId="53682" xr:uid="{00000000-0005-0000-0000-0000AFD10000}"/>
    <cellStyle name="Output 2 3 10" xfId="53683" xr:uid="{00000000-0005-0000-0000-0000B0D10000}"/>
    <cellStyle name="Output 2 3 2" xfId="53684" xr:uid="{00000000-0005-0000-0000-0000B1D10000}"/>
    <cellStyle name="Output 2 3 2 2" xfId="53685" xr:uid="{00000000-0005-0000-0000-0000B2D10000}"/>
    <cellStyle name="Output 2 3 2 3" xfId="53686" xr:uid="{00000000-0005-0000-0000-0000B3D10000}"/>
    <cellStyle name="Output 2 3 2 4" xfId="53687" xr:uid="{00000000-0005-0000-0000-0000B4D10000}"/>
    <cellStyle name="Output 2 3 2 5" xfId="53688" xr:uid="{00000000-0005-0000-0000-0000B5D10000}"/>
    <cellStyle name="Output 2 3 2 6" xfId="53689" xr:uid="{00000000-0005-0000-0000-0000B6D10000}"/>
    <cellStyle name="Output 2 3 3" xfId="53690" xr:uid="{00000000-0005-0000-0000-0000B7D10000}"/>
    <cellStyle name="Output 2 3 3 2" xfId="53691" xr:uid="{00000000-0005-0000-0000-0000B8D10000}"/>
    <cellStyle name="Output 2 3 3 3" xfId="53692" xr:uid="{00000000-0005-0000-0000-0000B9D10000}"/>
    <cellStyle name="Output 2 3 3 4" xfId="53693" xr:uid="{00000000-0005-0000-0000-0000BAD10000}"/>
    <cellStyle name="Output 2 3 3 5" xfId="53694" xr:uid="{00000000-0005-0000-0000-0000BBD10000}"/>
    <cellStyle name="Output 2 3 3 6" xfId="53695" xr:uid="{00000000-0005-0000-0000-0000BCD10000}"/>
    <cellStyle name="Output 2 3 4" xfId="53696" xr:uid="{00000000-0005-0000-0000-0000BDD10000}"/>
    <cellStyle name="Output 2 3 4 2" xfId="53697" xr:uid="{00000000-0005-0000-0000-0000BED10000}"/>
    <cellStyle name="Output 2 3 4 3" xfId="53698" xr:uid="{00000000-0005-0000-0000-0000BFD10000}"/>
    <cellStyle name="Output 2 3 4 4" xfId="53699" xr:uid="{00000000-0005-0000-0000-0000C0D10000}"/>
    <cellStyle name="Output 2 3 4 5" xfId="53700" xr:uid="{00000000-0005-0000-0000-0000C1D10000}"/>
    <cellStyle name="Output 2 3 4 6" xfId="53701" xr:uid="{00000000-0005-0000-0000-0000C2D10000}"/>
    <cellStyle name="Output 2 3 5" xfId="53702" xr:uid="{00000000-0005-0000-0000-0000C3D10000}"/>
    <cellStyle name="Output 2 3 5 2" xfId="53703" xr:uid="{00000000-0005-0000-0000-0000C4D10000}"/>
    <cellStyle name="Output 2 3 5 3" xfId="53704" xr:uid="{00000000-0005-0000-0000-0000C5D10000}"/>
    <cellStyle name="Output 2 3 5 4" xfId="53705" xr:uid="{00000000-0005-0000-0000-0000C6D10000}"/>
    <cellStyle name="Output 2 3 5 5" xfId="53706" xr:uid="{00000000-0005-0000-0000-0000C7D10000}"/>
    <cellStyle name="Output 2 3 5 6" xfId="53707" xr:uid="{00000000-0005-0000-0000-0000C8D10000}"/>
    <cellStyle name="Output 2 3 6" xfId="53708" xr:uid="{00000000-0005-0000-0000-0000C9D10000}"/>
    <cellStyle name="Output 2 3 6 2" xfId="53709" xr:uid="{00000000-0005-0000-0000-0000CAD10000}"/>
    <cellStyle name="Output 2 3 6 3" xfId="53710" xr:uid="{00000000-0005-0000-0000-0000CBD10000}"/>
    <cellStyle name="Output 2 3 6 4" xfId="53711" xr:uid="{00000000-0005-0000-0000-0000CCD10000}"/>
    <cellStyle name="Output 2 3 6 5" xfId="53712" xr:uid="{00000000-0005-0000-0000-0000CDD10000}"/>
    <cellStyle name="Output 2 3 6 6" xfId="53713" xr:uid="{00000000-0005-0000-0000-0000CED10000}"/>
    <cellStyle name="Output 2 3 7" xfId="53714" xr:uid="{00000000-0005-0000-0000-0000CFD10000}"/>
    <cellStyle name="Output 2 3 7 2" xfId="53715" xr:uid="{00000000-0005-0000-0000-0000D0D10000}"/>
    <cellStyle name="Output 2 3 7 3" xfId="53716" xr:uid="{00000000-0005-0000-0000-0000D1D10000}"/>
    <cellStyle name="Output 2 3 7 4" xfId="53717" xr:uid="{00000000-0005-0000-0000-0000D2D10000}"/>
    <cellStyle name="Output 2 3 7 5" xfId="53718" xr:uid="{00000000-0005-0000-0000-0000D3D10000}"/>
    <cellStyle name="Output 2 3 7 6" xfId="53719" xr:uid="{00000000-0005-0000-0000-0000D4D10000}"/>
    <cellStyle name="Output 2 3 8" xfId="53720" xr:uid="{00000000-0005-0000-0000-0000D5D10000}"/>
    <cellStyle name="Output 2 3 9" xfId="53721" xr:uid="{00000000-0005-0000-0000-0000D6D10000}"/>
    <cellStyle name="Output 2 4" xfId="53722" xr:uid="{00000000-0005-0000-0000-0000D7D10000}"/>
    <cellStyle name="Output 2 4 2" xfId="53723" xr:uid="{00000000-0005-0000-0000-0000D8D10000}"/>
    <cellStyle name="Output 2 4 3" xfId="53724" xr:uid="{00000000-0005-0000-0000-0000D9D10000}"/>
    <cellStyle name="Output 2 4 4" xfId="53725" xr:uid="{00000000-0005-0000-0000-0000DAD10000}"/>
    <cellStyle name="Output 2 4 5" xfId="53726" xr:uid="{00000000-0005-0000-0000-0000DBD10000}"/>
    <cellStyle name="Output 2 4 6" xfId="53727" xr:uid="{00000000-0005-0000-0000-0000DCD10000}"/>
    <cellStyle name="Output 2 5" xfId="53728" xr:uid="{00000000-0005-0000-0000-0000DDD10000}"/>
    <cellStyle name="Output 2 5 2" xfId="53729" xr:uid="{00000000-0005-0000-0000-0000DED10000}"/>
    <cellStyle name="Output 2 5 3" xfId="53730" xr:uid="{00000000-0005-0000-0000-0000DFD10000}"/>
    <cellStyle name="Output 2 5 4" xfId="53731" xr:uid="{00000000-0005-0000-0000-0000E0D10000}"/>
    <cellStyle name="Output 2 5 5" xfId="53732" xr:uid="{00000000-0005-0000-0000-0000E1D10000}"/>
    <cellStyle name="Output 2 5 6" xfId="53733" xr:uid="{00000000-0005-0000-0000-0000E2D10000}"/>
    <cellStyle name="Output 2 6" xfId="53734" xr:uid="{00000000-0005-0000-0000-0000E3D10000}"/>
    <cellStyle name="Output 2 6 2" xfId="53735" xr:uid="{00000000-0005-0000-0000-0000E4D10000}"/>
    <cellStyle name="Output 2 6 3" xfId="53736" xr:uid="{00000000-0005-0000-0000-0000E5D10000}"/>
    <cellStyle name="Output 2 6 4" xfId="53737" xr:uid="{00000000-0005-0000-0000-0000E6D10000}"/>
    <cellStyle name="Output 2 6 5" xfId="53738" xr:uid="{00000000-0005-0000-0000-0000E7D10000}"/>
    <cellStyle name="Output 2 6 6" xfId="53739" xr:uid="{00000000-0005-0000-0000-0000E8D10000}"/>
    <cellStyle name="Output 2 7" xfId="53740" xr:uid="{00000000-0005-0000-0000-0000E9D10000}"/>
    <cellStyle name="Output 2 7 2" xfId="53741" xr:uid="{00000000-0005-0000-0000-0000EAD10000}"/>
    <cellStyle name="Output 2 7 3" xfId="53742" xr:uid="{00000000-0005-0000-0000-0000EBD10000}"/>
    <cellStyle name="Output 2 7 4" xfId="53743" xr:uid="{00000000-0005-0000-0000-0000ECD10000}"/>
    <cellStyle name="Output 2 7 5" xfId="53744" xr:uid="{00000000-0005-0000-0000-0000EDD10000}"/>
    <cellStyle name="Output 2 7 6" xfId="53745" xr:uid="{00000000-0005-0000-0000-0000EED10000}"/>
    <cellStyle name="Output 2 8" xfId="53746" xr:uid="{00000000-0005-0000-0000-0000EFD10000}"/>
    <cellStyle name="Output 2 8 2" xfId="53747" xr:uid="{00000000-0005-0000-0000-0000F0D10000}"/>
    <cellStyle name="Output 2 8 3" xfId="53748" xr:uid="{00000000-0005-0000-0000-0000F1D10000}"/>
    <cellStyle name="Output 2 8 4" xfId="53749" xr:uid="{00000000-0005-0000-0000-0000F2D10000}"/>
    <cellStyle name="Output 2 8 5" xfId="53750" xr:uid="{00000000-0005-0000-0000-0000F3D10000}"/>
    <cellStyle name="Output 2 8 6" xfId="53751" xr:uid="{00000000-0005-0000-0000-0000F4D10000}"/>
    <cellStyle name="Output 2 9" xfId="53752" xr:uid="{00000000-0005-0000-0000-0000F5D10000}"/>
    <cellStyle name="Output 2 9 2" xfId="53753" xr:uid="{00000000-0005-0000-0000-0000F6D10000}"/>
    <cellStyle name="Output 2 9 3" xfId="53754" xr:uid="{00000000-0005-0000-0000-0000F7D10000}"/>
    <cellStyle name="Output 2 9 4" xfId="53755" xr:uid="{00000000-0005-0000-0000-0000F8D10000}"/>
    <cellStyle name="Output 2 9 5" xfId="53756" xr:uid="{00000000-0005-0000-0000-0000F9D10000}"/>
    <cellStyle name="Output 2 9 6" xfId="53757" xr:uid="{00000000-0005-0000-0000-0000FAD10000}"/>
    <cellStyle name="Output 2_update comparison " xfId="53758" xr:uid="{00000000-0005-0000-0000-0000FBD10000}"/>
    <cellStyle name="Output 3" xfId="53759" xr:uid="{00000000-0005-0000-0000-0000FCD10000}"/>
    <cellStyle name="Output 3 10" xfId="53760" xr:uid="{00000000-0005-0000-0000-0000FDD10000}"/>
    <cellStyle name="Output 3 11" xfId="53761" xr:uid="{00000000-0005-0000-0000-0000FED10000}"/>
    <cellStyle name="Output 3 2" xfId="53762" xr:uid="{00000000-0005-0000-0000-0000FFD10000}"/>
    <cellStyle name="Output 3 2 2" xfId="53763" xr:uid="{00000000-0005-0000-0000-000000D20000}"/>
    <cellStyle name="Output 3 2 3" xfId="53764" xr:uid="{00000000-0005-0000-0000-000001D20000}"/>
    <cellStyle name="Output 3 2 4" xfId="53765" xr:uid="{00000000-0005-0000-0000-000002D20000}"/>
    <cellStyle name="Output 3 2 5" xfId="53766" xr:uid="{00000000-0005-0000-0000-000003D20000}"/>
    <cellStyle name="Output 3 2 6" xfId="53767" xr:uid="{00000000-0005-0000-0000-000004D20000}"/>
    <cellStyle name="Output 3 3" xfId="53768" xr:uid="{00000000-0005-0000-0000-000005D20000}"/>
    <cellStyle name="Output 3 3 2" xfId="53769" xr:uid="{00000000-0005-0000-0000-000006D20000}"/>
    <cellStyle name="Output 3 3 3" xfId="53770" xr:uid="{00000000-0005-0000-0000-000007D20000}"/>
    <cellStyle name="Output 3 3 4" xfId="53771" xr:uid="{00000000-0005-0000-0000-000008D20000}"/>
    <cellStyle name="Output 3 3 5" xfId="53772" xr:uid="{00000000-0005-0000-0000-000009D20000}"/>
    <cellStyle name="Output 3 3 6" xfId="53773" xr:uid="{00000000-0005-0000-0000-00000AD20000}"/>
    <cellStyle name="Output 3 4" xfId="53774" xr:uid="{00000000-0005-0000-0000-00000BD20000}"/>
    <cellStyle name="Output 3 4 2" xfId="53775" xr:uid="{00000000-0005-0000-0000-00000CD20000}"/>
    <cellStyle name="Output 3 4 3" xfId="53776" xr:uid="{00000000-0005-0000-0000-00000DD20000}"/>
    <cellStyle name="Output 3 4 4" xfId="53777" xr:uid="{00000000-0005-0000-0000-00000ED20000}"/>
    <cellStyle name="Output 3 4 5" xfId="53778" xr:uid="{00000000-0005-0000-0000-00000FD20000}"/>
    <cellStyle name="Output 3 4 6" xfId="53779" xr:uid="{00000000-0005-0000-0000-000010D20000}"/>
    <cellStyle name="Output 3 5" xfId="53780" xr:uid="{00000000-0005-0000-0000-000011D20000}"/>
    <cellStyle name="Output 3 5 2" xfId="53781" xr:uid="{00000000-0005-0000-0000-000012D20000}"/>
    <cellStyle name="Output 3 5 3" xfId="53782" xr:uid="{00000000-0005-0000-0000-000013D20000}"/>
    <cellStyle name="Output 3 5 4" xfId="53783" xr:uid="{00000000-0005-0000-0000-000014D20000}"/>
    <cellStyle name="Output 3 5 5" xfId="53784" xr:uid="{00000000-0005-0000-0000-000015D20000}"/>
    <cellStyle name="Output 3 5 6" xfId="53785" xr:uid="{00000000-0005-0000-0000-000016D20000}"/>
    <cellStyle name="Output 3 6" xfId="53786" xr:uid="{00000000-0005-0000-0000-000017D20000}"/>
    <cellStyle name="Output 3 6 2" xfId="53787" xr:uid="{00000000-0005-0000-0000-000018D20000}"/>
    <cellStyle name="Output 3 6 3" xfId="53788" xr:uid="{00000000-0005-0000-0000-000019D20000}"/>
    <cellStyle name="Output 3 6 4" xfId="53789" xr:uid="{00000000-0005-0000-0000-00001AD20000}"/>
    <cellStyle name="Output 3 6 5" xfId="53790" xr:uid="{00000000-0005-0000-0000-00001BD20000}"/>
    <cellStyle name="Output 3 6 6" xfId="53791" xr:uid="{00000000-0005-0000-0000-00001CD20000}"/>
    <cellStyle name="Output 3 7" xfId="53792" xr:uid="{00000000-0005-0000-0000-00001DD20000}"/>
    <cellStyle name="Output 3 7 2" xfId="53793" xr:uid="{00000000-0005-0000-0000-00001ED20000}"/>
    <cellStyle name="Output 3 7 3" xfId="53794" xr:uid="{00000000-0005-0000-0000-00001FD20000}"/>
    <cellStyle name="Output 3 7 4" xfId="53795" xr:uid="{00000000-0005-0000-0000-000020D20000}"/>
    <cellStyle name="Output 3 7 5" xfId="53796" xr:uid="{00000000-0005-0000-0000-000021D20000}"/>
    <cellStyle name="Output 3 7 6" xfId="53797" xr:uid="{00000000-0005-0000-0000-000022D20000}"/>
    <cellStyle name="Output 3 8" xfId="53798" xr:uid="{00000000-0005-0000-0000-000023D20000}"/>
    <cellStyle name="Output 3 9" xfId="53799" xr:uid="{00000000-0005-0000-0000-000024D20000}"/>
    <cellStyle name="Output 4" xfId="53800" xr:uid="{00000000-0005-0000-0000-000025D20000}"/>
    <cellStyle name="Output 4 10" xfId="53801" xr:uid="{00000000-0005-0000-0000-000026D20000}"/>
    <cellStyle name="Output 4 2" xfId="53802" xr:uid="{00000000-0005-0000-0000-000027D20000}"/>
    <cellStyle name="Output 4 2 2" xfId="53803" xr:uid="{00000000-0005-0000-0000-000028D20000}"/>
    <cellStyle name="Output 4 2 3" xfId="53804" xr:uid="{00000000-0005-0000-0000-000029D20000}"/>
    <cellStyle name="Output 4 2 4" xfId="53805" xr:uid="{00000000-0005-0000-0000-00002AD20000}"/>
    <cellStyle name="Output 4 2 5" xfId="53806" xr:uid="{00000000-0005-0000-0000-00002BD20000}"/>
    <cellStyle name="Output 4 2 6" xfId="53807" xr:uid="{00000000-0005-0000-0000-00002CD20000}"/>
    <cellStyle name="Output 4 3" xfId="53808" xr:uid="{00000000-0005-0000-0000-00002DD20000}"/>
    <cellStyle name="Output 4 3 2" xfId="53809" xr:uid="{00000000-0005-0000-0000-00002ED20000}"/>
    <cellStyle name="Output 4 3 3" xfId="53810" xr:uid="{00000000-0005-0000-0000-00002FD20000}"/>
    <cellStyle name="Output 4 3 4" xfId="53811" xr:uid="{00000000-0005-0000-0000-000030D20000}"/>
    <cellStyle name="Output 4 3 5" xfId="53812" xr:uid="{00000000-0005-0000-0000-000031D20000}"/>
    <cellStyle name="Output 4 3 6" xfId="53813" xr:uid="{00000000-0005-0000-0000-000032D20000}"/>
    <cellStyle name="Output 4 4" xfId="53814" xr:uid="{00000000-0005-0000-0000-000033D20000}"/>
    <cellStyle name="Output 4 4 2" xfId="53815" xr:uid="{00000000-0005-0000-0000-000034D20000}"/>
    <cellStyle name="Output 4 4 3" xfId="53816" xr:uid="{00000000-0005-0000-0000-000035D20000}"/>
    <cellStyle name="Output 4 4 4" xfId="53817" xr:uid="{00000000-0005-0000-0000-000036D20000}"/>
    <cellStyle name="Output 4 4 5" xfId="53818" xr:uid="{00000000-0005-0000-0000-000037D20000}"/>
    <cellStyle name="Output 4 4 6" xfId="53819" xr:uid="{00000000-0005-0000-0000-000038D20000}"/>
    <cellStyle name="Output 4 5" xfId="53820" xr:uid="{00000000-0005-0000-0000-000039D20000}"/>
    <cellStyle name="Output 4 5 2" xfId="53821" xr:uid="{00000000-0005-0000-0000-00003AD20000}"/>
    <cellStyle name="Output 4 5 3" xfId="53822" xr:uid="{00000000-0005-0000-0000-00003BD20000}"/>
    <cellStyle name="Output 4 5 4" xfId="53823" xr:uid="{00000000-0005-0000-0000-00003CD20000}"/>
    <cellStyle name="Output 4 5 5" xfId="53824" xr:uid="{00000000-0005-0000-0000-00003DD20000}"/>
    <cellStyle name="Output 4 5 6" xfId="53825" xr:uid="{00000000-0005-0000-0000-00003ED20000}"/>
    <cellStyle name="Output 4 6" xfId="53826" xr:uid="{00000000-0005-0000-0000-00003FD20000}"/>
    <cellStyle name="Output 4 6 2" xfId="53827" xr:uid="{00000000-0005-0000-0000-000040D20000}"/>
    <cellStyle name="Output 4 6 3" xfId="53828" xr:uid="{00000000-0005-0000-0000-000041D20000}"/>
    <cellStyle name="Output 4 6 4" xfId="53829" xr:uid="{00000000-0005-0000-0000-000042D20000}"/>
    <cellStyle name="Output 4 6 5" xfId="53830" xr:uid="{00000000-0005-0000-0000-000043D20000}"/>
    <cellStyle name="Output 4 6 6" xfId="53831" xr:uid="{00000000-0005-0000-0000-000044D20000}"/>
    <cellStyle name="Output 4 7" xfId="53832" xr:uid="{00000000-0005-0000-0000-000045D20000}"/>
    <cellStyle name="Output 4 7 2" xfId="53833" xr:uid="{00000000-0005-0000-0000-000046D20000}"/>
    <cellStyle name="Output 4 7 3" xfId="53834" xr:uid="{00000000-0005-0000-0000-000047D20000}"/>
    <cellStyle name="Output 4 7 4" xfId="53835" xr:uid="{00000000-0005-0000-0000-000048D20000}"/>
    <cellStyle name="Output 4 7 5" xfId="53836" xr:uid="{00000000-0005-0000-0000-000049D20000}"/>
    <cellStyle name="Output 4 7 6" xfId="53837" xr:uid="{00000000-0005-0000-0000-00004AD20000}"/>
    <cellStyle name="Output 4 8" xfId="53838" xr:uid="{00000000-0005-0000-0000-00004BD20000}"/>
    <cellStyle name="Output 4 9" xfId="53839" xr:uid="{00000000-0005-0000-0000-00004CD20000}"/>
    <cellStyle name="Output 5" xfId="53840" xr:uid="{00000000-0005-0000-0000-00004DD20000}"/>
    <cellStyle name="Output 5 10" xfId="53841" xr:uid="{00000000-0005-0000-0000-00004ED20000}"/>
    <cellStyle name="Output 5 2" xfId="53842" xr:uid="{00000000-0005-0000-0000-00004FD20000}"/>
    <cellStyle name="Output 5 2 2" xfId="53843" xr:uid="{00000000-0005-0000-0000-000050D20000}"/>
    <cellStyle name="Output 5 2 3" xfId="53844" xr:uid="{00000000-0005-0000-0000-000051D20000}"/>
    <cellStyle name="Output 5 2 4" xfId="53845" xr:uid="{00000000-0005-0000-0000-000052D20000}"/>
    <cellStyle name="Output 5 2 5" xfId="53846" xr:uid="{00000000-0005-0000-0000-000053D20000}"/>
    <cellStyle name="Output 5 2 6" xfId="53847" xr:uid="{00000000-0005-0000-0000-000054D20000}"/>
    <cellStyle name="Output 5 3" xfId="53848" xr:uid="{00000000-0005-0000-0000-000055D20000}"/>
    <cellStyle name="Output 5 3 2" xfId="53849" xr:uid="{00000000-0005-0000-0000-000056D20000}"/>
    <cellStyle name="Output 5 3 3" xfId="53850" xr:uid="{00000000-0005-0000-0000-000057D20000}"/>
    <cellStyle name="Output 5 3 4" xfId="53851" xr:uid="{00000000-0005-0000-0000-000058D20000}"/>
    <cellStyle name="Output 5 3 5" xfId="53852" xr:uid="{00000000-0005-0000-0000-000059D20000}"/>
    <cellStyle name="Output 5 3 6" xfId="53853" xr:uid="{00000000-0005-0000-0000-00005AD20000}"/>
    <cellStyle name="Output 5 4" xfId="53854" xr:uid="{00000000-0005-0000-0000-00005BD20000}"/>
    <cellStyle name="Output 5 4 2" xfId="53855" xr:uid="{00000000-0005-0000-0000-00005CD20000}"/>
    <cellStyle name="Output 5 4 3" xfId="53856" xr:uid="{00000000-0005-0000-0000-00005DD20000}"/>
    <cellStyle name="Output 5 4 4" xfId="53857" xr:uid="{00000000-0005-0000-0000-00005ED20000}"/>
    <cellStyle name="Output 5 4 5" xfId="53858" xr:uid="{00000000-0005-0000-0000-00005FD20000}"/>
    <cellStyle name="Output 5 4 6" xfId="53859" xr:uid="{00000000-0005-0000-0000-000060D20000}"/>
    <cellStyle name="Output 5 5" xfId="53860" xr:uid="{00000000-0005-0000-0000-000061D20000}"/>
    <cellStyle name="Output 5 5 2" xfId="53861" xr:uid="{00000000-0005-0000-0000-000062D20000}"/>
    <cellStyle name="Output 5 5 3" xfId="53862" xr:uid="{00000000-0005-0000-0000-000063D20000}"/>
    <cellStyle name="Output 5 5 4" xfId="53863" xr:uid="{00000000-0005-0000-0000-000064D20000}"/>
    <cellStyle name="Output 5 5 5" xfId="53864" xr:uid="{00000000-0005-0000-0000-000065D20000}"/>
    <cellStyle name="Output 5 5 6" xfId="53865" xr:uid="{00000000-0005-0000-0000-000066D20000}"/>
    <cellStyle name="Output 5 6" xfId="53866" xr:uid="{00000000-0005-0000-0000-000067D20000}"/>
    <cellStyle name="Output 5 6 2" xfId="53867" xr:uid="{00000000-0005-0000-0000-000068D20000}"/>
    <cellStyle name="Output 5 6 3" xfId="53868" xr:uid="{00000000-0005-0000-0000-000069D20000}"/>
    <cellStyle name="Output 5 6 4" xfId="53869" xr:uid="{00000000-0005-0000-0000-00006AD20000}"/>
    <cellStyle name="Output 5 6 5" xfId="53870" xr:uid="{00000000-0005-0000-0000-00006BD20000}"/>
    <cellStyle name="Output 5 6 6" xfId="53871" xr:uid="{00000000-0005-0000-0000-00006CD20000}"/>
    <cellStyle name="Output 5 7" xfId="53872" xr:uid="{00000000-0005-0000-0000-00006DD20000}"/>
    <cellStyle name="Output 5 7 2" xfId="53873" xr:uid="{00000000-0005-0000-0000-00006ED20000}"/>
    <cellStyle name="Output 5 7 3" xfId="53874" xr:uid="{00000000-0005-0000-0000-00006FD20000}"/>
    <cellStyle name="Output 5 7 4" xfId="53875" xr:uid="{00000000-0005-0000-0000-000070D20000}"/>
    <cellStyle name="Output 5 7 5" xfId="53876" xr:uid="{00000000-0005-0000-0000-000071D20000}"/>
    <cellStyle name="Output 5 7 6" xfId="53877" xr:uid="{00000000-0005-0000-0000-000072D20000}"/>
    <cellStyle name="Output 5 8" xfId="53878" xr:uid="{00000000-0005-0000-0000-000073D20000}"/>
    <cellStyle name="Output 5 9" xfId="53879" xr:uid="{00000000-0005-0000-0000-000074D20000}"/>
    <cellStyle name="Output 6" xfId="53880" xr:uid="{00000000-0005-0000-0000-000075D20000}"/>
    <cellStyle name="Output 6 10" xfId="53881" xr:uid="{00000000-0005-0000-0000-000076D20000}"/>
    <cellStyle name="Output 6 2" xfId="53882" xr:uid="{00000000-0005-0000-0000-000077D20000}"/>
    <cellStyle name="Output 6 2 2" xfId="53883" xr:uid="{00000000-0005-0000-0000-000078D20000}"/>
    <cellStyle name="Output 6 2 3" xfId="53884" xr:uid="{00000000-0005-0000-0000-000079D20000}"/>
    <cellStyle name="Output 6 2 4" xfId="53885" xr:uid="{00000000-0005-0000-0000-00007AD20000}"/>
    <cellStyle name="Output 6 2 5" xfId="53886" xr:uid="{00000000-0005-0000-0000-00007BD20000}"/>
    <cellStyle name="Output 6 2 6" xfId="53887" xr:uid="{00000000-0005-0000-0000-00007CD20000}"/>
    <cellStyle name="Output 6 3" xfId="53888" xr:uid="{00000000-0005-0000-0000-00007DD20000}"/>
    <cellStyle name="Output 6 3 2" xfId="53889" xr:uid="{00000000-0005-0000-0000-00007ED20000}"/>
    <cellStyle name="Output 6 3 3" xfId="53890" xr:uid="{00000000-0005-0000-0000-00007FD20000}"/>
    <cellStyle name="Output 6 3 4" xfId="53891" xr:uid="{00000000-0005-0000-0000-000080D20000}"/>
    <cellStyle name="Output 6 3 5" xfId="53892" xr:uid="{00000000-0005-0000-0000-000081D20000}"/>
    <cellStyle name="Output 6 3 6" xfId="53893" xr:uid="{00000000-0005-0000-0000-000082D20000}"/>
    <cellStyle name="Output 6 4" xfId="53894" xr:uid="{00000000-0005-0000-0000-000083D20000}"/>
    <cellStyle name="Output 6 4 2" xfId="53895" xr:uid="{00000000-0005-0000-0000-000084D20000}"/>
    <cellStyle name="Output 6 4 3" xfId="53896" xr:uid="{00000000-0005-0000-0000-000085D20000}"/>
    <cellStyle name="Output 6 4 4" xfId="53897" xr:uid="{00000000-0005-0000-0000-000086D20000}"/>
    <cellStyle name="Output 6 4 5" xfId="53898" xr:uid="{00000000-0005-0000-0000-000087D20000}"/>
    <cellStyle name="Output 6 4 6" xfId="53899" xr:uid="{00000000-0005-0000-0000-000088D20000}"/>
    <cellStyle name="Output 6 5" xfId="53900" xr:uid="{00000000-0005-0000-0000-000089D20000}"/>
    <cellStyle name="Output 6 5 2" xfId="53901" xr:uid="{00000000-0005-0000-0000-00008AD20000}"/>
    <cellStyle name="Output 6 5 3" xfId="53902" xr:uid="{00000000-0005-0000-0000-00008BD20000}"/>
    <cellStyle name="Output 6 5 4" xfId="53903" xr:uid="{00000000-0005-0000-0000-00008CD20000}"/>
    <cellStyle name="Output 6 5 5" xfId="53904" xr:uid="{00000000-0005-0000-0000-00008DD20000}"/>
    <cellStyle name="Output 6 5 6" xfId="53905" xr:uid="{00000000-0005-0000-0000-00008ED20000}"/>
    <cellStyle name="Output 6 6" xfId="53906" xr:uid="{00000000-0005-0000-0000-00008FD20000}"/>
    <cellStyle name="Output 6 6 2" xfId="53907" xr:uid="{00000000-0005-0000-0000-000090D20000}"/>
    <cellStyle name="Output 6 6 3" xfId="53908" xr:uid="{00000000-0005-0000-0000-000091D20000}"/>
    <cellStyle name="Output 6 6 4" xfId="53909" xr:uid="{00000000-0005-0000-0000-000092D20000}"/>
    <cellStyle name="Output 6 6 5" xfId="53910" xr:uid="{00000000-0005-0000-0000-000093D20000}"/>
    <cellStyle name="Output 6 6 6" xfId="53911" xr:uid="{00000000-0005-0000-0000-000094D20000}"/>
    <cellStyle name="Output 6 7" xfId="53912" xr:uid="{00000000-0005-0000-0000-000095D20000}"/>
    <cellStyle name="Output 6 7 2" xfId="53913" xr:uid="{00000000-0005-0000-0000-000096D20000}"/>
    <cellStyle name="Output 6 7 3" xfId="53914" xr:uid="{00000000-0005-0000-0000-000097D20000}"/>
    <cellStyle name="Output 6 7 4" xfId="53915" xr:uid="{00000000-0005-0000-0000-000098D20000}"/>
    <cellStyle name="Output 6 7 5" xfId="53916" xr:uid="{00000000-0005-0000-0000-000099D20000}"/>
    <cellStyle name="Output 6 7 6" xfId="53917" xr:uid="{00000000-0005-0000-0000-00009AD20000}"/>
    <cellStyle name="Output 6 8" xfId="53918" xr:uid="{00000000-0005-0000-0000-00009BD20000}"/>
    <cellStyle name="Output 6 9" xfId="53919" xr:uid="{00000000-0005-0000-0000-00009CD20000}"/>
    <cellStyle name="Output 7" xfId="53920" xr:uid="{00000000-0005-0000-0000-00009DD20000}"/>
    <cellStyle name="Output 7 10" xfId="53921" xr:uid="{00000000-0005-0000-0000-00009ED20000}"/>
    <cellStyle name="Output 7 2" xfId="53922" xr:uid="{00000000-0005-0000-0000-00009FD20000}"/>
    <cellStyle name="Output 7 2 2" xfId="53923" xr:uid="{00000000-0005-0000-0000-0000A0D20000}"/>
    <cellStyle name="Output 7 2 3" xfId="53924" xr:uid="{00000000-0005-0000-0000-0000A1D20000}"/>
    <cellStyle name="Output 7 2 4" xfId="53925" xr:uid="{00000000-0005-0000-0000-0000A2D20000}"/>
    <cellStyle name="Output 7 2 5" xfId="53926" xr:uid="{00000000-0005-0000-0000-0000A3D20000}"/>
    <cellStyle name="Output 7 2 6" xfId="53927" xr:uid="{00000000-0005-0000-0000-0000A4D20000}"/>
    <cellStyle name="Output 7 3" xfId="53928" xr:uid="{00000000-0005-0000-0000-0000A5D20000}"/>
    <cellStyle name="Output 7 3 2" xfId="53929" xr:uid="{00000000-0005-0000-0000-0000A6D20000}"/>
    <cellStyle name="Output 7 3 3" xfId="53930" xr:uid="{00000000-0005-0000-0000-0000A7D20000}"/>
    <cellStyle name="Output 7 3 4" xfId="53931" xr:uid="{00000000-0005-0000-0000-0000A8D20000}"/>
    <cellStyle name="Output 7 3 5" xfId="53932" xr:uid="{00000000-0005-0000-0000-0000A9D20000}"/>
    <cellStyle name="Output 7 3 6" xfId="53933" xr:uid="{00000000-0005-0000-0000-0000AAD20000}"/>
    <cellStyle name="Output 7 4" xfId="53934" xr:uid="{00000000-0005-0000-0000-0000ABD20000}"/>
    <cellStyle name="Output 7 4 2" xfId="53935" xr:uid="{00000000-0005-0000-0000-0000ACD20000}"/>
    <cellStyle name="Output 7 4 3" xfId="53936" xr:uid="{00000000-0005-0000-0000-0000ADD20000}"/>
    <cellStyle name="Output 7 4 4" xfId="53937" xr:uid="{00000000-0005-0000-0000-0000AED20000}"/>
    <cellStyle name="Output 7 4 5" xfId="53938" xr:uid="{00000000-0005-0000-0000-0000AFD20000}"/>
    <cellStyle name="Output 7 4 6" xfId="53939" xr:uid="{00000000-0005-0000-0000-0000B0D20000}"/>
    <cellStyle name="Output 7 5" xfId="53940" xr:uid="{00000000-0005-0000-0000-0000B1D20000}"/>
    <cellStyle name="Output 7 5 2" xfId="53941" xr:uid="{00000000-0005-0000-0000-0000B2D20000}"/>
    <cellStyle name="Output 7 5 3" xfId="53942" xr:uid="{00000000-0005-0000-0000-0000B3D20000}"/>
    <cellStyle name="Output 7 5 4" xfId="53943" xr:uid="{00000000-0005-0000-0000-0000B4D20000}"/>
    <cellStyle name="Output 7 5 5" xfId="53944" xr:uid="{00000000-0005-0000-0000-0000B5D20000}"/>
    <cellStyle name="Output 7 5 6" xfId="53945" xr:uid="{00000000-0005-0000-0000-0000B6D20000}"/>
    <cellStyle name="Output 7 6" xfId="53946" xr:uid="{00000000-0005-0000-0000-0000B7D20000}"/>
    <cellStyle name="Output 7 6 2" xfId="53947" xr:uid="{00000000-0005-0000-0000-0000B8D20000}"/>
    <cellStyle name="Output 7 6 3" xfId="53948" xr:uid="{00000000-0005-0000-0000-0000B9D20000}"/>
    <cellStyle name="Output 7 6 4" xfId="53949" xr:uid="{00000000-0005-0000-0000-0000BAD20000}"/>
    <cellStyle name="Output 7 6 5" xfId="53950" xr:uid="{00000000-0005-0000-0000-0000BBD20000}"/>
    <cellStyle name="Output 7 6 6" xfId="53951" xr:uid="{00000000-0005-0000-0000-0000BCD20000}"/>
    <cellStyle name="Output 7 7" xfId="53952" xr:uid="{00000000-0005-0000-0000-0000BDD20000}"/>
    <cellStyle name="Output 7 7 2" xfId="53953" xr:uid="{00000000-0005-0000-0000-0000BED20000}"/>
    <cellStyle name="Output 7 7 3" xfId="53954" xr:uid="{00000000-0005-0000-0000-0000BFD20000}"/>
    <cellStyle name="Output 7 7 4" xfId="53955" xr:uid="{00000000-0005-0000-0000-0000C0D20000}"/>
    <cellStyle name="Output 7 7 5" xfId="53956" xr:uid="{00000000-0005-0000-0000-0000C1D20000}"/>
    <cellStyle name="Output 7 7 6" xfId="53957" xr:uid="{00000000-0005-0000-0000-0000C2D20000}"/>
    <cellStyle name="Output 7 8" xfId="53958" xr:uid="{00000000-0005-0000-0000-0000C3D20000}"/>
    <cellStyle name="Output 7 9" xfId="53959" xr:uid="{00000000-0005-0000-0000-0000C4D20000}"/>
    <cellStyle name="Output 8" xfId="53960" xr:uid="{00000000-0005-0000-0000-0000C5D20000}"/>
    <cellStyle name="Output 8 10" xfId="53961" xr:uid="{00000000-0005-0000-0000-0000C6D20000}"/>
    <cellStyle name="Output 8 2" xfId="53962" xr:uid="{00000000-0005-0000-0000-0000C7D20000}"/>
    <cellStyle name="Output 8 2 2" xfId="53963" xr:uid="{00000000-0005-0000-0000-0000C8D20000}"/>
    <cellStyle name="Output 8 2 3" xfId="53964" xr:uid="{00000000-0005-0000-0000-0000C9D20000}"/>
    <cellStyle name="Output 8 2 4" xfId="53965" xr:uid="{00000000-0005-0000-0000-0000CAD20000}"/>
    <cellStyle name="Output 8 2 5" xfId="53966" xr:uid="{00000000-0005-0000-0000-0000CBD20000}"/>
    <cellStyle name="Output 8 2 6" xfId="53967" xr:uid="{00000000-0005-0000-0000-0000CCD20000}"/>
    <cellStyle name="Output 8 3" xfId="53968" xr:uid="{00000000-0005-0000-0000-0000CDD20000}"/>
    <cellStyle name="Output 8 3 2" xfId="53969" xr:uid="{00000000-0005-0000-0000-0000CED20000}"/>
    <cellStyle name="Output 8 3 3" xfId="53970" xr:uid="{00000000-0005-0000-0000-0000CFD20000}"/>
    <cellStyle name="Output 8 3 4" xfId="53971" xr:uid="{00000000-0005-0000-0000-0000D0D20000}"/>
    <cellStyle name="Output 8 3 5" xfId="53972" xr:uid="{00000000-0005-0000-0000-0000D1D20000}"/>
    <cellStyle name="Output 8 3 6" xfId="53973" xr:uid="{00000000-0005-0000-0000-0000D2D20000}"/>
    <cellStyle name="Output 8 4" xfId="53974" xr:uid="{00000000-0005-0000-0000-0000D3D20000}"/>
    <cellStyle name="Output 8 4 2" xfId="53975" xr:uid="{00000000-0005-0000-0000-0000D4D20000}"/>
    <cellStyle name="Output 8 4 3" xfId="53976" xr:uid="{00000000-0005-0000-0000-0000D5D20000}"/>
    <cellStyle name="Output 8 4 4" xfId="53977" xr:uid="{00000000-0005-0000-0000-0000D6D20000}"/>
    <cellStyle name="Output 8 4 5" xfId="53978" xr:uid="{00000000-0005-0000-0000-0000D7D20000}"/>
    <cellStyle name="Output 8 4 6" xfId="53979" xr:uid="{00000000-0005-0000-0000-0000D8D20000}"/>
    <cellStyle name="Output 8 5" xfId="53980" xr:uid="{00000000-0005-0000-0000-0000D9D20000}"/>
    <cellStyle name="Output 8 5 2" xfId="53981" xr:uid="{00000000-0005-0000-0000-0000DAD20000}"/>
    <cellStyle name="Output 8 5 3" xfId="53982" xr:uid="{00000000-0005-0000-0000-0000DBD20000}"/>
    <cellStyle name="Output 8 5 4" xfId="53983" xr:uid="{00000000-0005-0000-0000-0000DCD20000}"/>
    <cellStyle name="Output 8 5 5" xfId="53984" xr:uid="{00000000-0005-0000-0000-0000DDD20000}"/>
    <cellStyle name="Output 8 5 6" xfId="53985" xr:uid="{00000000-0005-0000-0000-0000DED20000}"/>
    <cellStyle name="Output 8 6" xfId="53986" xr:uid="{00000000-0005-0000-0000-0000DFD20000}"/>
    <cellStyle name="Output 8 6 2" xfId="53987" xr:uid="{00000000-0005-0000-0000-0000E0D20000}"/>
    <cellStyle name="Output 8 6 3" xfId="53988" xr:uid="{00000000-0005-0000-0000-0000E1D20000}"/>
    <cellStyle name="Output 8 6 4" xfId="53989" xr:uid="{00000000-0005-0000-0000-0000E2D20000}"/>
    <cellStyle name="Output 8 6 5" xfId="53990" xr:uid="{00000000-0005-0000-0000-0000E3D20000}"/>
    <cellStyle name="Output 8 6 6" xfId="53991" xr:uid="{00000000-0005-0000-0000-0000E4D20000}"/>
    <cellStyle name="Output 8 7" xfId="53992" xr:uid="{00000000-0005-0000-0000-0000E5D20000}"/>
    <cellStyle name="Output 8 7 2" xfId="53993" xr:uid="{00000000-0005-0000-0000-0000E6D20000}"/>
    <cellStyle name="Output 8 7 3" xfId="53994" xr:uid="{00000000-0005-0000-0000-0000E7D20000}"/>
    <cellStyle name="Output 8 7 4" xfId="53995" xr:uid="{00000000-0005-0000-0000-0000E8D20000}"/>
    <cellStyle name="Output 8 7 5" xfId="53996" xr:uid="{00000000-0005-0000-0000-0000E9D20000}"/>
    <cellStyle name="Output 8 7 6" xfId="53997" xr:uid="{00000000-0005-0000-0000-0000EAD20000}"/>
    <cellStyle name="Output 8 8" xfId="53998" xr:uid="{00000000-0005-0000-0000-0000EBD20000}"/>
    <cellStyle name="Output 8 9" xfId="53999" xr:uid="{00000000-0005-0000-0000-0000ECD20000}"/>
    <cellStyle name="Output 9" xfId="54000" xr:uid="{00000000-0005-0000-0000-0000EDD20000}"/>
    <cellStyle name="Output 9 10" xfId="54001" xr:uid="{00000000-0005-0000-0000-0000EED20000}"/>
    <cellStyle name="Output 9 2" xfId="54002" xr:uid="{00000000-0005-0000-0000-0000EFD20000}"/>
    <cellStyle name="Output 9 2 2" xfId="54003" xr:uid="{00000000-0005-0000-0000-0000F0D20000}"/>
    <cellStyle name="Output 9 2 3" xfId="54004" xr:uid="{00000000-0005-0000-0000-0000F1D20000}"/>
    <cellStyle name="Output 9 2 4" xfId="54005" xr:uid="{00000000-0005-0000-0000-0000F2D20000}"/>
    <cellStyle name="Output 9 2 5" xfId="54006" xr:uid="{00000000-0005-0000-0000-0000F3D20000}"/>
    <cellStyle name="Output 9 2 6" xfId="54007" xr:uid="{00000000-0005-0000-0000-0000F4D20000}"/>
    <cellStyle name="Output 9 3" xfId="54008" xr:uid="{00000000-0005-0000-0000-0000F5D20000}"/>
    <cellStyle name="Output 9 3 2" xfId="54009" xr:uid="{00000000-0005-0000-0000-0000F6D20000}"/>
    <cellStyle name="Output 9 3 3" xfId="54010" xr:uid="{00000000-0005-0000-0000-0000F7D20000}"/>
    <cellStyle name="Output 9 3 4" xfId="54011" xr:uid="{00000000-0005-0000-0000-0000F8D20000}"/>
    <cellStyle name="Output 9 3 5" xfId="54012" xr:uid="{00000000-0005-0000-0000-0000F9D20000}"/>
    <cellStyle name="Output 9 3 6" xfId="54013" xr:uid="{00000000-0005-0000-0000-0000FAD20000}"/>
    <cellStyle name="Output 9 4" xfId="54014" xr:uid="{00000000-0005-0000-0000-0000FBD20000}"/>
    <cellStyle name="Output 9 4 2" xfId="54015" xr:uid="{00000000-0005-0000-0000-0000FCD20000}"/>
    <cellStyle name="Output 9 4 3" xfId="54016" xr:uid="{00000000-0005-0000-0000-0000FDD20000}"/>
    <cellStyle name="Output 9 4 4" xfId="54017" xr:uid="{00000000-0005-0000-0000-0000FED20000}"/>
    <cellStyle name="Output 9 4 5" xfId="54018" xr:uid="{00000000-0005-0000-0000-0000FFD20000}"/>
    <cellStyle name="Output 9 4 6" xfId="54019" xr:uid="{00000000-0005-0000-0000-000000D30000}"/>
    <cellStyle name="Output 9 5" xfId="54020" xr:uid="{00000000-0005-0000-0000-000001D30000}"/>
    <cellStyle name="Output 9 5 2" xfId="54021" xr:uid="{00000000-0005-0000-0000-000002D30000}"/>
    <cellStyle name="Output 9 5 3" xfId="54022" xr:uid="{00000000-0005-0000-0000-000003D30000}"/>
    <cellStyle name="Output 9 5 4" xfId="54023" xr:uid="{00000000-0005-0000-0000-000004D30000}"/>
    <cellStyle name="Output 9 5 5" xfId="54024" xr:uid="{00000000-0005-0000-0000-000005D30000}"/>
    <cellStyle name="Output 9 5 6" xfId="54025" xr:uid="{00000000-0005-0000-0000-000006D30000}"/>
    <cellStyle name="Output 9 6" xfId="54026" xr:uid="{00000000-0005-0000-0000-000007D30000}"/>
    <cellStyle name="Output 9 6 2" xfId="54027" xr:uid="{00000000-0005-0000-0000-000008D30000}"/>
    <cellStyle name="Output 9 6 3" xfId="54028" xr:uid="{00000000-0005-0000-0000-000009D30000}"/>
    <cellStyle name="Output 9 6 4" xfId="54029" xr:uid="{00000000-0005-0000-0000-00000AD30000}"/>
    <cellStyle name="Output 9 6 5" xfId="54030" xr:uid="{00000000-0005-0000-0000-00000BD30000}"/>
    <cellStyle name="Output 9 6 6" xfId="54031" xr:uid="{00000000-0005-0000-0000-00000CD30000}"/>
    <cellStyle name="Output 9 7" xfId="54032" xr:uid="{00000000-0005-0000-0000-00000DD30000}"/>
    <cellStyle name="Output 9 7 2" xfId="54033" xr:uid="{00000000-0005-0000-0000-00000ED30000}"/>
    <cellStyle name="Output 9 7 3" xfId="54034" xr:uid="{00000000-0005-0000-0000-00000FD30000}"/>
    <cellStyle name="Output 9 7 4" xfId="54035" xr:uid="{00000000-0005-0000-0000-000010D30000}"/>
    <cellStyle name="Output 9 7 5" xfId="54036" xr:uid="{00000000-0005-0000-0000-000011D30000}"/>
    <cellStyle name="Output 9 7 6" xfId="54037" xr:uid="{00000000-0005-0000-0000-000012D30000}"/>
    <cellStyle name="Output 9 8" xfId="54038" xr:uid="{00000000-0005-0000-0000-000013D30000}"/>
    <cellStyle name="Output 9 9" xfId="54039" xr:uid="{00000000-0005-0000-0000-000014D30000}"/>
    <cellStyle name="ParaBirimi [0]_2004_iller" xfId="54040" xr:uid="{00000000-0005-0000-0000-000015D30000}"/>
    <cellStyle name="ParaBirimi_2004_iller" xfId="54041" xr:uid="{00000000-0005-0000-0000-000016D30000}"/>
    <cellStyle name="Pattern" xfId="54042" xr:uid="{00000000-0005-0000-0000-000017D30000}"/>
    <cellStyle name="Per cent" xfId="6" builtinId="5"/>
    <cellStyle name="Percen - Style1" xfId="54043" xr:uid="{00000000-0005-0000-0000-000018D30000}"/>
    <cellStyle name="Percen - Style1 2" xfId="54044" xr:uid="{00000000-0005-0000-0000-000019D30000}"/>
    <cellStyle name="Percen - Style1 3" xfId="54045" xr:uid="{00000000-0005-0000-0000-00001AD30000}"/>
    <cellStyle name="Percent [0]" xfId="54046" xr:uid="{00000000-0005-0000-0000-00001CD30000}"/>
    <cellStyle name="Percent [00]" xfId="54047" xr:uid="{00000000-0005-0000-0000-00001DD30000}"/>
    <cellStyle name="Percent [2]" xfId="54048" xr:uid="{00000000-0005-0000-0000-00001ED30000}"/>
    <cellStyle name="Percent [2] 2" xfId="54049" xr:uid="{00000000-0005-0000-0000-00001FD30000}"/>
    <cellStyle name="Percent [2] 2 2" xfId="54050" xr:uid="{00000000-0005-0000-0000-000020D30000}"/>
    <cellStyle name="Percent [2] 3" xfId="54051" xr:uid="{00000000-0005-0000-0000-000021D30000}"/>
    <cellStyle name="Percent [2] 4" xfId="54052" xr:uid="{00000000-0005-0000-0000-000022D30000}"/>
    <cellStyle name="Percent [2] 5" xfId="54053" xr:uid="{00000000-0005-0000-0000-000023D30000}"/>
    <cellStyle name="Percent 10" xfId="54054" xr:uid="{00000000-0005-0000-0000-000024D30000}"/>
    <cellStyle name="Percent 11" xfId="54055" xr:uid="{00000000-0005-0000-0000-000025D30000}"/>
    <cellStyle name="Percent 12" xfId="54056" xr:uid="{00000000-0005-0000-0000-000026D30000}"/>
    <cellStyle name="Percent 12 2" xfId="54057" xr:uid="{00000000-0005-0000-0000-000027D30000}"/>
    <cellStyle name="Percent 12 3" xfId="54058" xr:uid="{00000000-0005-0000-0000-000028D30000}"/>
    <cellStyle name="Percent 13" xfId="54059" xr:uid="{00000000-0005-0000-0000-000029D30000}"/>
    <cellStyle name="Percent 13 2" xfId="54060" xr:uid="{00000000-0005-0000-0000-00002AD30000}"/>
    <cellStyle name="Percent 13 3" xfId="54061" xr:uid="{00000000-0005-0000-0000-00002BD30000}"/>
    <cellStyle name="Percent 14" xfId="54062" xr:uid="{00000000-0005-0000-0000-00002CD30000}"/>
    <cellStyle name="Percent 14 2" xfId="54063" xr:uid="{00000000-0005-0000-0000-00002DD30000}"/>
    <cellStyle name="Percent 14 3" xfId="54064" xr:uid="{00000000-0005-0000-0000-00002ED30000}"/>
    <cellStyle name="Percent 15" xfId="54065" xr:uid="{00000000-0005-0000-0000-00002FD30000}"/>
    <cellStyle name="Percent 15 2" xfId="54066" xr:uid="{00000000-0005-0000-0000-000030D30000}"/>
    <cellStyle name="Percent 15 3" xfId="54067" xr:uid="{00000000-0005-0000-0000-000031D30000}"/>
    <cellStyle name="Percent 16" xfId="54068" xr:uid="{00000000-0005-0000-0000-000032D30000}"/>
    <cellStyle name="Percent 16 2" xfId="54069" xr:uid="{00000000-0005-0000-0000-000033D30000}"/>
    <cellStyle name="Percent 17" xfId="54070" xr:uid="{00000000-0005-0000-0000-000034D30000}"/>
    <cellStyle name="Percent 17 2" xfId="54071" xr:uid="{00000000-0005-0000-0000-000035D30000}"/>
    <cellStyle name="Percent 18" xfId="54072" xr:uid="{00000000-0005-0000-0000-000036D30000}"/>
    <cellStyle name="Percent 18 2" xfId="54073" xr:uid="{00000000-0005-0000-0000-000037D30000}"/>
    <cellStyle name="Percent 19" xfId="54074" xr:uid="{00000000-0005-0000-0000-000038D30000}"/>
    <cellStyle name="Percent 19 2" xfId="54075" xr:uid="{00000000-0005-0000-0000-000039D30000}"/>
    <cellStyle name="Percent 2" xfId="29" xr:uid="{00000000-0005-0000-0000-00003AD30000}"/>
    <cellStyle name="Percent 2 10" xfId="54076" xr:uid="{00000000-0005-0000-0000-00003BD30000}"/>
    <cellStyle name="Percent 2 2" xfId="54077" xr:uid="{00000000-0005-0000-0000-00003CD30000}"/>
    <cellStyle name="Percent 2 2 10" xfId="54078" xr:uid="{00000000-0005-0000-0000-00003DD30000}"/>
    <cellStyle name="Percent 2 2 2" xfId="54079" xr:uid="{00000000-0005-0000-0000-00003ED30000}"/>
    <cellStyle name="Percent 2 2 2 2" xfId="54080" xr:uid="{00000000-0005-0000-0000-00003FD30000}"/>
    <cellStyle name="Percent 2 2 3" xfId="54081" xr:uid="{00000000-0005-0000-0000-000040D30000}"/>
    <cellStyle name="Percent 2 2 4" xfId="54082" xr:uid="{00000000-0005-0000-0000-000041D30000}"/>
    <cellStyle name="Percent 2 2 5" xfId="54083" xr:uid="{00000000-0005-0000-0000-000042D30000}"/>
    <cellStyle name="Percent 2 2 5 2" xfId="54084" xr:uid="{00000000-0005-0000-0000-000043D30000}"/>
    <cellStyle name="Percent 2 2 6" xfId="54085" xr:uid="{00000000-0005-0000-0000-000044D30000}"/>
    <cellStyle name="Percent 2 2 7" xfId="54086" xr:uid="{00000000-0005-0000-0000-000045D30000}"/>
    <cellStyle name="Percent 2 2 8" xfId="54087" xr:uid="{00000000-0005-0000-0000-000046D30000}"/>
    <cellStyle name="Percent 2 2 9" xfId="54088" xr:uid="{00000000-0005-0000-0000-000047D30000}"/>
    <cellStyle name="Percent 2 3" xfId="54089" xr:uid="{00000000-0005-0000-0000-000048D30000}"/>
    <cellStyle name="Percent 2 3 2" xfId="54090" xr:uid="{00000000-0005-0000-0000-000049D30000}"/>
    <cellStyle name="Percent 2 3 3" xfId="54091" xr:uid="{00000000-0005-0000-0000-00004AD30000}"/>
    <cellStyle name="Percent 2 3 4" xfId="54092" xr:uid="{00000000-0005-0000-0000-00004BD30000}"/>
    <cellStyle name="Percent 2 3 5" xfId="54093" xr:uid="{00000000-0005-0000-0000-00004CD30000}"/>
    <cellStyle name="Percent 2 3 6" xfId="54094" xr:uid="{00000000-0005-0000-0000-00004DD30000}"/>
    <cellStyle name="Percent 2 3 7" xfId="54095" xr:uid="{00000000-0005-0000-0000-00004ED30000}"/>
    <cellStyle name="Percent 2 4" xfId="54096" xr:uid="{00000000-0005-0000-0000-00004FD30000}"/>
    <cellStyle name="Percent 2 4 2" xfId="54097" xr:uid="{00000000-0005-0000-0000-000050D30000}"/>
    <cellStyle name="Percent 2 5" xfId="54098" xr:uid="{00000000-0005-0000-0000-000051D30000}"/>
    <cellStyle name="Percent 2 6" xfId="54099" xr:uid="{00000000-0005-0000-0000-000052D30000}"/>
    <cellStyle name="Percent 2 7" xfId="54100" xr:uid="{00000000-0005-0000-0000-000053D30000}"/>
    <cellStyle name="Percent 2 8" xfId="54101" xr:uid="{00000000-0005-0000-0000-000054D30000}"/>
    <cellStyle name="Percent 2 9" xfId="54102" xr:uid="{00000000-0005-0000-0000-000055D30000}"/>
    <cellStyle name="Percent 20" xfId="54103" xr:uid="{00000000-0005-0000-0000-000056D30000}"/>
    <cellStyle name="Percent 20 2" xfId="54104" xr:uid="{00000000-0005-0000-0000-000057D30000}"/>
    <cellStyle name="Percent 21" xfId="54105" xr:uid="{00000000-0005-0000-0000-000058D30000}"/>
    <cellStyle name="Percent 21 2" xfId="54106" xr:uid="{00000000-0005-0000-0000-000059D30000}"/>
    <cellStyle name="Percent 22" xfId="54107" xr:uid="{00000000-0005-0000-0000-00005AD30000}"/>
    <cellStyle name="Percent 22 2" xfId="54108" xr:uid="{00000000-0005-0000-0000-00005BD30000}"/>
    <cellStyle name="Percent 23" xfId="54109" xr:uid="{00000000-0005-0000-0000-00005CD30000}"/>
    <cellStyle name="Percent 23 2" xfId="54110" xr:uid="{00000000-0005-0000-0000-00005DD30000}"/>
    <cellStyle name="Percent 24" xfId="54111" xr:uid="{00000000-0005-0000-0000-00005ED30000}"/>
    <cellStyle name="Percent 24 2" xfId="54112" xr:uid="{00000000-0005-0000-0000-00005FD30000}"/>
    <cellStyle name="Percent 25" xfId="54113" xr:uid="{00000000-0005-0000-0000-000060D30000}"/>
    <cellStyle name="Percent 25 2" xfId="54114" xr:uid="{00000000-0005-0000-0000-000061D30000}"/>
    <cellStyle name="Percent 26" xfId="54115" xr:uid="{00000000-0005-0000-0000-000062D30000}"/>
    <cellStyle name="Percent 26 2" xfId="54116" xr:uid="{00000000-0005-0000-0000-000063D30000}"/>
    <cellStyle name="Percent 27" xfId="54117" xr:uid="{00000000-0005-0000-0000-000064D30000}"/>
    <cellStyle name="Percent 27 2" xfId="54118" xr:uid="{00000000-0005-0000-0000-000065D30000}"/>
    <cellStyle name="Percent 28" xfId="54119" xr:uid="{00000000-0005-0000-0000-000066D30000}"/>
    <cellStyle name="Percent 28 2" xfId="54120" xr:uid="{00000000-0005-0000-0000-000067D30000}"/>
    <cellStyle name="Percent 29" xfId="54121" xr:uid="{00000000-0005-0000-0000-000068D30000}"/>
    <cellStyle name="Percent 29 2" xfId="54122" xr:uid="{00000000-0005-0000-0000-000069D30000}"/>
    <cellStyle name="Percent 3" xfId="30" xr:uid="{00000000-0005-0000-0000-00006AD30000}"/>
    <cellStyle name="Percent 3 2" xfId="54123" xr:uid="{00000000-0005-0000-0000-00006BD30000}"/>
    <cellStyle name="Percent 3 3" xfId="54124" xr:uid="{00000000-0005-0000-0000-00006CD30000}"/>
    <cellStyle name="Percent 3 4" xfId="54125" xr:uid="{00000000-0005-0000-0000-00006DD30000}"/>
    <cellStyle name="Percent 3 5" xfId="54126" xr:uid="{00000000-0005-0000-0000-00006ED30000}"/>
    <cellStyle name="Percent 30" xfId="54127" xr:uid="{00000000-0005-0000-0000-00006FD30000}"/>
    <cellStyle name="Percent 30 2" xfId="54128" xr:uid="{00000000-0005-0000-0000-000070D30000}"/>
    <cellStyle name="Percent 31" xfId="54129" xr:uid="{00000000-0005-0000-0000-000071D30000}"/>
    <cellStyle name="Percent 32" xfId="54130" xr:uid="{00000000-0005-0000-0000-000072D30000}"/>
    <cellStyle name="Percent 33" xfId="54131" xr:uid="{00000000-0005-0000-0000-000073D30000}"/>
    <cellStyle name="Percent 34" xfId="54132" xr:uid="{00000000-0005-0000-0000-000074D30000}"/>
    <cellStyle name="Percent 35" xfId="54133" xr:uid="{00000000-0005-0000-0000-000075D30000}"/>
    <cellStyle name="Percent 35 2" xfId="54134" xr:uid="{00000000-0005-0000-0000-000076D30000}"/>
    <cellStyle name="Percent 36" xfId="54135" xr:uid="{00000000-0005-0000-0000-000077D30000}"/>
    <cellStyle name="Percent 37" xfId="54136" xr:uid="{00000000-0005-0000-0000-000078D30000}"/>
    <cellStyle name="Percent 38" xfId="54137" xr:uid="{00000000-0005-0000-0000-000079D30000}"/>
    <cellStyle name="Percent 39" xfId="54138" xr:uid="{00000000-0005-0000-0000-00007AD30000}"/>
    <cellStyle name="Percent 4" xfId="54139" xr:uid="{00000000-0005-0000-0000-00007BD30000}"/>
    <cellStyle name="Percent 4 2" xfId="54140" xr:uid="{00000000-0005-0000-0000-00007CD30000}"/>
    <cellStyle name="Percent 4 3" xfId="54141" xr:uid="{00000000-0005-0000-0000-00007DD30000}"/>
    <cellStyle name="Percent 4 4" xfId="54142" xr:uid="{00000000-0005-0000-0000-00007ED30000}"/>
    <cellStyle name="Percent 40" xfId="54143" xr:uid="{00000000-0005-0000-0000-00007FD30000}"/>
    <cellStyle name="Percent 41" xfId="54144" xr:uid="{00000000-0005-0000-0000-000080D30000}"/>
    <cellStyle name="Percent 42" xfId="54145" xr:uid="{00000000-0005-0000-0000-000081D30000}"/>
    <cellStyle name="Percent 5" xfId="54146" xr:uid="{00000000-0005-0000-0000-000082D30000}"/>
    <cellStyle name="Percent 5 2" xfId="54147" xr:uid="{00000000-0005-0000-0000-000083D30000}"/>
    <cellStyle name="Percent 5 3" xfId="54148" xr:uid="{00000000-0005-0000-0000-000084D30000}"/>
    <cellStyle name="Percent 5 4" xfId="54149" xr:uid="{00000000-0005-0000-0000-000085D30000}"/>
    <cellStyle name="Percent 6" xfId="54150" xr:uid="{00000000-0005-0000-0000-000086D30000}"/>
    <cellStyle name="Percent 6 2" xfId="54151" xr:uid="{00000000-0005-0000-0000-000087D30000}"/>
    <cellStyle name="Percent 6 3" xfId="54152" xr:uid="{00000000-0005-0000-0000-000088D30000}"/>
    <cellStyle name="Percent 6 4" xfId="54153" xr:uid="{00000000-0005-0000-0000-000089D30000}"/>
    <cellStyle name="Percent 7" xfId="54154" xr:uid="{00000000-0005-0000-0000-00008AD30000}"/>
    <cellStyle name="Percent 7 2" xfId="54155" xr:uid="{00000000-0005-0000-0000-00008BD30000}"/>
    <cellStyle name="Percent 7 3" xfId="54156" xr:uid="{00000000-0005-0000-0000-00008CD30000}"/>
    <cellStyle name="Percent 7 4" xfId="54157" xr:uid="{00000000-0005-0000-0000-00008DD30000}"/>
    <cellStyle name="Percent 8" xfId="54158" xr:uid="{00000000-0005-0000-0000-00008ED30000}"/>
    <cellStyle name="Percent 9" xfId="54159" xr:uid="{00000000-0005-0000-0000-00008FD30000}"/>
    <cellStyle name="percentage difference" xfId="54160" xr:uid="{00000000-0005-0000-0000-000090D30000}"/>
    <cellStyle name="percentage difference 2" xfId="54161" xr:uid="{00000000-0005-0000-0000-000091D30000}"/>
    <cellStyle name="percentage difference 3" xfId="54162" xr:uid="{00000000-0005-0000-0000-000092D30000}"/>
    <cellStyle name="percentage difference 4" xfId="54163" xr:uid="{00000000-0005-0000-0000-000093D30000}"/>
    <cellStyle name="percentage difference 5" xfId="54164" xr:uid="{00000000-0005-0000-0000-000094D30000}"/>
    <cellStyle name="percentage difference 6" xfId="54165" xr:uid="{00000000-0005-0000-0000-000095D30000}"/>
    <cellStyle name="percentage difference one decimal" xfId="54166" xr:uid="{00000000-0005-0000-0000-000096D30000}"/>
    <cellStyle name="percentage difference zero decimal" xfId="54167" xr:uid="{00000000-0005-0000-0000-000097D30000}"/>
    <cellStyle name="Percentual" xfId="54168" xr:uid="{00000000-0005-0000-0000-000098D30000}"/>
    <cellStyle name="person" xfId="54169" xr:uid="{00000000-0005-0000-0000-000099D30000}"/>
    <cellStyle name="person 2" xfId="54170" xr:uid="{00000000-0005-0000-0000-00009AD30000}"/>
    <cellStyle name="Pevný" xfId="54171" xr:uid="{00000000-0005-0000-0000-00009BD30000}"/>
    <cellStyle name="Ponto" xfId="54172" xr:uid="{00000000-0005-0000-0000-00009CD30000}"/>
    <cellStyle name="Porcentagem_SEP1196" xfId="54173" xr:uid="{00000000-0005-0000-0000-00009DD30000}"/>
    <cellStyle name="Porcentaje" xfId="54174" xr:uid="{00000000-0005-0000-0000-00009ED30000}"/>
    <cellStyle name="PrePop Currency (0)" xfId="54175" xr:uid="{00000000-0005-0000-0000-00009FD30000}"/>
    <cellStyle name="PrePop Currency (2)" xfId="54176" xr:uid="{00000000-0005-0000-0000-0000A0D30000}"/>
    <cellStyle name="PrePop Units (0)" xfId="54177" xr:uid="{00000000-0005-0000-0000-0000A1D30000}"/>
    <cellStyle name="PrePop Units (1)" xfId="54178" xr:uid="{00000000-0005-0000-0000-0000A2D30000}"/>
    <cellStyle name="PrePop Units (2)" xfId="54179" xr:uid="{00000000-0005-0000-0000-0000A3D30000}"/>
    <cellStyle name="Presentation" xfId="54180" xr:uid="{00000000-0005-0000-0000-0000A4D30000}"/>
    <cellStyle name="Presentation 2" xfId="54181" xr:uid="{00000000-0005-0000-0000-0000A5D30000}"/>
    <cellStyle name="Presentation 2 2" xfId="54182" xr:uid="{00000000-0005-0000-0000-0000A6D30000}"/>
    <cellStyle name="Presentation 2 3" xfId="54183" xr:uid="{00000000-0005-0000-0000-0000A7D30000}"/>
    <cellStyle name="Presentation 2 4" xfId="54184" xr:uid="{00000000-0005-0000-0000-0000A8D30000}"/>
    <cellStyle name="Presentation 2_update comparison " xfId="54185" xr:uid="{00000000-0005-0000-0000-0000A9D30000}"/>
    <cellStyle name="Presentation 3" xfId="54186" xr:uid="{00000000-0005-0000-0000-0000AAD30000}"/>
    <cellStyle name="Presentation 3 2" xfId="54187" xr:uid="{00000000-0005-0000-0000-0000ABD30000}"/>
    <cellStyle name="Presentation 4" xfId="54188" xr:uid="{00000000-0005-0000-0000-0000ACD30000}"/>
    <cellStyle name="Presentation 5" xfId="54189" xr:uid="{00000000-0005-0000-0000-0000ADD30000}"/>
    <cellStyle name="Presentation 6" xfId="54190" xr:uid="{00000000-0005-0000-0000-0000AED30000}"/>
    <cellStyle name="Presentation_contents" xfId="54191" xr:uid="{00000000-0005-0000-0000-0000AFD30000}"/>
    <cellStyle name="prev" xfId="54192" xr:uid="{00000000-0005-0000-0000-0000B0D30000}"/>
    <cellStyle name="PSChar" xfId="54193" xr:uid="{00000000-0005-0000-0000-0000B1D30000}"/>
    <cellStyle name="PSDate" xfId="54194" xr:uid="{00000000-0005-0000-0000-0000B2D30000}"/>
    <cellStyle name="PSDec" xfId="54195" xr:uid="{00000000-0005-0000-0000-0000B3D30000}"/>
    <cellStyle name="PSE_NAC" xfId="54196" xr:uid="{00000000-0005-0000-0000-0000B4D30000}"/>
    <cellStyle name="PSE1stCol" xfId="54197" xr:uid="{00000000-0005-0000-0000-0000B5D30000}"/>
    <cellStyle name="PSE1stColHead" xfId="54198" xr:uid="{00000000-0005-0000-0000-0000B6D30000}"/>
    <cellStyle name="PSE1stColHead2" xfId="54199" xr:uid="{00000000-0005-0000-0000-0000B7D30000}"/>
    <cellStyle name="PSE1stColHead3" xfId="54200" xr:uid="{00000000-0005-0000-0000-0000B8D30000}"/>
    <cellStyle name="PSE1stColYear" xfId="54201" xr:uid="{00000000-0005-0000-0000-0000B9D30000}"/>
    <cellStyle name="PSEHead1" xfId="54202" xr:uid="{00000000-0005-0000-0000-0000BAD30000}"/>
    <cellStyle name="PSEHeadYear" xfId="54203" xr:uid="{00000000-0005-0000-0000-0000BBD30000}"/>
    <cellStyle name="PSELastRow" xfId="54204" xr:uid="{00000000-0005-0000-0000-0000BCD30000}"/>
    <cellStyle name="PSEMediumRow" xfId="54205" xr:uid="{00000000-0005-0000-0000-0000BDD30000}"/>
    <cellStyle name="PSENotes" xfId="54206" xr:uid="{00000000-0005-0000-0000-0000BED30000}"/>
    <cellStyle name="PSENumber" xfId="54207" xr:uid="{00000000-0005-0000-0000-0000BFD30000}"/>
    <cellStyle name="PSENumberTwoDigit" xfId="54208" xr:uid="{00000000-0005-0000-0000-0000C0D30000}"/>
    <cellStyle name="PSEPercent" xfId="54209" xr:uid="{00000000-0005-0000-0000-0000C1D30000}"/>
    <cellStyle name="PSEPercentOneDigit" xfId="54210" xr:uid="{00000000-0005-0000-0000-0000C2D30000}"/>
    <cellStyle name="PSEPercentTwoDigit" xfId="54211" xr:uid="{00000000-0005-0000-0000-0000C3D30000}"/>
    <cellStyle name="PSEPerUnit" xfId="54212" xr:uid="{00000000-0005-0000-0000-0000C4D30000}"/>
    <cellStyle name="PSETableHeadline" xfId="54213" xr:uid="{00000000-0005-0000-0000-0000C5D30000}"/>
    <cellStyle name="PSETreeParantheses" xfId="54214" xr:uid="{00000000-0005-0000-0000-0000C6D30000}"/>
    <cellStyle name="PSETreeText" xfId="54215" xr:uid="{00000000-0005-0000-0000-0000C7D30000}"/>
    <cellStyle name="PSEunit" xfId="54216" xr:uid="{00000000-0005-0000-0000-0000C8D30000}"/>
    <cellStyle name="PSEunitYear" xfId="54217" xr:uid="{00000000-0005-0000-0000-0000C9D30000}"/>
    <cellStyle name="PSHeading" xfId="54218" xr:uid="{00000000-0005-0000-0000-0000CAD30000}"/>
    <cellStyle name="PSInt" xfId="54219" xr:uid="{00000000-0005-0000-0000-0000CBD30000}"/>
    <cellStyle name="PSSpacer" xfId="54220" xr:uid="{00000000-0005-0000-0000-0000CCD30000}"/>
    <cellStyle name="Publication" xfId="54221" xr:uid="{00000000-0005-0000-0000-0000CDD30000}"/>
    <cellStyle name="Publication 2" xfId="54222" xr:uid="{00000000-0005-0000-0000-0000CED30000}"/>
    <cellStyle name="Publication 3" xfId="54223" xr:uid="{00000000-0005-0000-0000-0000CFD30000}"/>
    <cellStyle name="Punto" xfId="54224" xr:uid="{00000000-0005-0000-0000-0000D0D30000}"/>
    <cellStyle name="Punto0" xfId="54225" xr:uid="{00000000-0005-0000-0000-0000D1D30000}"/>
    <cellStyle name="Red Text" xfId="54226" xr:uid="{00000000-0005-0000-0000-0000D2D30000}"/>
    <cellStyle name="Red Text 2" xfId="54227" xr:uid="{00000000-0005-0000-0000-0000D3D30000}"/>
    <cellStyle name="Red Text 2 2" xfId="54228" xr:uid="{00000000-0005-0000-0000-0000D4D30000}"/>
    <cellStyle name="Red Text 3" xfId="54229" xr:uid="{00000000-0005-0000-0000-0000D5D30000}"/>
    <cellStyle name="Red Text 3 2" xfId="54230" xr:uid="{00000000-0005-0000-0000-0000D6D30000}"/>
    <cellStyle name="Red Text 4" xfId="54231" xr:uid="{00000000-0005-0000-0000-0000D7D30000}"/>
    <cellStyle name="Red Text 4 2" xfId="54232" xr:uid="{00000000-0005-0000-0000-0000D8D30000}"/>
    <cellStyle name="Red Text 5" xfId="54233" xr:uid="{00000000-0005-0000-0000-0000D9D30000}"/>
    <cellStyle name="Richard" xfId="54234" xr:uid="{00000000-0005-0000-0000-0000DAD30000}"/>
    <cellStyle name="Richard 2" xfId="54235" xr:uid="{00000000-0005-0000-0000-0000DBD30000}"/>
    <cellStyle name="Richard 3" xfId="54236" xr:uid="{00000000-0005-0000-0000-0000DCD30000}"/>
    <cellStyle name="Richard 4" xfId="54237" xr:uid="{00000000-0005-0000-0000-0000DDD30000}"/>
    <cellStyle name="sample" xfId="54238" xr:uid="{00000000-0005-0000-0000-0000DED30000}"/>
    <cellStyle name="sample 2" xfId="54239" xr:uid="{00000000-0005-0000-0000-0000DFD30000}"/>
    <cellStyle name="SAPBEXaggData" xfId="54240" xr:uid="{00000000-0005-0000-0000-0000E0D30000}"/>
    <cellStyle name="SAPBEXaggDataEmph" xfId="54241" xr:uid="{00000000-0005-0000-0000-0000E1D30000}"/>
    <cellStyle name="SAPBEXaggItem" xfId="54242" xr:uid="{00000000-0005-0000-0000-0000E2D30000}"/>
    <cellStyle name="SAPBEXchaText" xfId="54243" xr:uid="{00000000-0005-0000-0000-0000E3D30000}"/>
    <cellStyle name="SAPBEXexcBad" xfId="54244" xr:uid="{00000000-0005-0000-0000-0000E4D30000}"/>
    <cellStyle name="SAPBEXexcCritical" xfId="54245" xr:uid="{00000000-0005-0000-0000-0000E5D30000}"/>
    <cellStyle name="SAPBEXexcGood" xfId="54246" xr:uid="{00000000-0005-0000-0000-0000E6D30000}"/>
    <cellStyle name="SAPBEXexcVeryBad" xfId="54247" xr:uid="{00000000-0005-0000-0000-0000E7D30000}"/>
    <cellStyle name="SAPBEXfilterDrill" xfId="54248" xr:uid="{00000000-0005-0000-0000-0000E8D30000}"/>
    <cellStyle name="SAPBEXfilterItem" xfId="54249" xr:uid="{00000000-0005-0000-0000-0000E9D30000}"/>
    <cellStyle name="SAPBEXfilterText" xfId="54250" xr:uid="{00000000-0005-0000-0000-0000EAD30000}"/>
    <cellStyle name="SAPBEXformats" xfId="54251" xr:uid="{00000000-0005-0000-0000-0000EBD30000}"/>
    <cellStyle name="SAPBEXheaderData" xfId="54252" xr:uid="{00000000-0005-0000-0000-0000ECD30000}"/>
    <cellStyle name="SAPBEXheaderItem" xfId="54253" xr:uid="{00000000-0005-0000-0000-0000EDD30000}"/>
    <cellStyle name="SAPBEXheaderText" xfId="54254" xr:uid="{00000000-0005-0000-0000-0000EED30000}"/>
    <cellStyle name="SAPBEXresData" xfId="54255" xr:uid="{00000000-0005-0000-0000-0000EFD30000}"/>
    <cellStyle name="SAPBEXresDataEmph" xfId="54256" xr:uid="{00000000-0005-0000-0000-0000F0D30000}"/>
    <cellStyle name="SAPBEXresItem" xfId="54257" xr:uid="{00000000-0005-0000-0000-0000F1D30000}"/>
    <cellStyle name="SAPBEXstdData" xfId="54258" xr:uid="{00000000-0005-0000-0000-0000F2D30000}"/>
    <cellStyle name="SAPBEXstdDataEmph" xfId="54259" xr:uid="{00000000-0005-0000-0000-0000F3D30000}"/>
    <cellStyle name="SAPBEXstdItem" xfId="54260" xr:uid="{00000000-0005-0000-0000-0000F4D30000}"/>
    <cellStyle name="SAPBEXsubData" xfId="54261" xr:uid="{00000000-0005-0000-0000-0000F5D30000}"/>
    <cellStyle name="SAPBEXsubDataEmph" xfId="54262" xr:uid="{00000000-0005-0000-0000-0000F6D30000}"/>
    <cellStyle name="SAPBEXsubItem" xfId="54263" xr:uid="{00000000-0005-0000-0000-0000F7D30000}"/>
    <cellStyle name="SAPBEXtitle" xfId="54264" xr:uid="{00000000-0005-0000-0000-0000F8D30000}"/>
    <cellStyle name="SAPBEXundefined" xfId="54265" xr:uid="{00000000-0005-0000-0000-0000F9D30000}"/>
    <cellStyle name="Sep. milhar [2]" xfId="54266" xr:uid="{00000000-0005-0000-0000-0000FAD30000}"/>
    <cellStyle name="Separador de m" xfId="54267" xr:uid="{00000000-0005-0000-0000-0000FBD30000}"/>
    <cellStyle name="Separador de m 2" xfId="54268" xr:uid="{00000000-0005-0000-0000-0000FCD30000}"/>
    <cellStyle name="Separador de m 3" xfId="54269" xr:uid="{00000000-0005-0000-0000-0000FDD30000}"/>
    <cellStyle name="Separador de m 4" xfId="54270" xr:uid="{00000000-0005-0000-0000-0000FED30000}"/>
    <cellStyle name="Separador de milhares [0]_A" xfId="54271" xr:uid="{00000000-0005-0000-0000-0000FFD30000}"/>
    <cellStyle name="Separador de milhares_A" xfId="54272" xr:uid="{00000000-0005-0000-0000-000000D40000}"/>
    <cellStyle name="Sheet Title" xfId="54273" xr:uid="{00000000-0005-0000-0000-000001D40000}"/>
    <cellStyle name="Standaard_Kadaster prijzen per provincie" xfId="54274" xr:uid="{00000000-0005-0000-0000-000002D40000}"/>
    <cellStyle name="Standard_Bold" xfId="54275" xr:uid="{00000000-0005-0000-0000-000003D40000}"/>
    <cellStyle name="STYL1 - Style1" xfId="54276" xr:uid="{00000000-0005-0000-0000-000004D40000}"/>
    <cellStyle name="STYL1 - Style1 2" xfId="54277" xr:uid="{00000000-0005-0000-0000-000005D40000}"/>
    <cellStyle name="STYL1 - Style1 3" xfId="54278" xr:uid="{00000000-0005-0000-0000-000006D40000}"/>
    <cellStyle name="STYL2 - Style2" xfId="54279" xr:uid="{00000000-0005-0000-0000-000007D40000}"/>
    <cellStyle name="STYL3 - Style3" xfId="54280" xr:uid="{00000000-0005-0000-0000-000008D40000}"/>
    <cellStyle name="STYL4 - Style4" xfId="54281" xr:uid="{00000000-0005-0000-0000-000009D40000}"/>
    <cellStyle name="STYL5 - Style5" xfId="54282" xr:uid="{00000000-0005-0000-0000-00000AD40000}"/>
    <cellStyle name="Style 1" xfId="54283" xr:uid="{00000000-0005-0000-0000-00000BD40000}"/>
    <cellStyle name="Style 1 2" xfId="54284" xr:uid="{00000000-0005-0000-0000-00000CD40000}"/>
    <cellStyle name="Style 1 2 2" xfId="54285" xr:uid="{00000000-0005-0000-0000-00000DD40000}"/>
    <cellStyle name="Style 1 2 2 2" xfId="54286" xr:uid="{00000000-0005-0000-0000-00000ED40000}"/>
    <cellStyle name="Style 1 2 3" xfId="54287" xr:uid="{00000000-0005-0000-0000-00000FD40000}"/>
    <cellStyle name="Style 1 2 4" xfId="54288" xr:uid="{00000000-0005-0000-0000-000010D40000}"/>
    <cellStyle name="Style 1 2 5" xfId="54289" xr:uid="{00000000-0005-0000-0000-000011D40000}"/>
    <cellStyle name="Style 1 2_Content" xfId="54290" xr:uid="{00000000-0005-0000-0000-000012D40000}"/>
    <cellStyle name="Style 1 3" xfId="54291" xr:uid="{00000000-0005-0000-0000-000013D40000}"/>
    <cellStyle name="Style 1 3 2" xfId="54292" xr:uid="{00000000-0005-0000-0000-000014D40000}"/>
    <cellStyle name="Style 1 4" xfId="54293" xr:uid="{00000000-0005-0000-0000-000015D40000}"/>
    <cellStyle name="Style 1 5" xfId="54294" xr:uid="{00000000-0005-0000-0000-000016D40000}"/>
    <cellStyle name="Style 1 6" xfId="54295" xr:uid="{00000000-0005-0000-0000-000017D40000}"/>
    <cellStyle name="Style 1 7" xfId="54296" xr:uid="{00000000-0005-0000-0000-000018D40000}"/>
    <cellStyle name="Style 1 8" xfId="54297" xr:uid="{00000000-0005-0000-0000-000019D40000}"/>
    <cellStyle name="Style 1 9" xfId="54298" xr:uid="{00000000-0005-0000-0000-00001AD40000}"/>
    <cellStyle name="Style 1_Content" xfId="54299" xr:uid="{00000000-0005-0000-0000-00001BD40000}"/>
    <cellStyle name="Style 10" xfId="54300" xr:uid="{00000000-0005-0000-0000-00001CD40000}"/>
    <cellStyle name="Style 2" xfId="54301" xr:uid="{00000000-0005-0000-0000-00001DD40000}"/>
    <cellStyle name="Style 3" xfId="54302" xr:uid="{00000000-0005-0000-0000-00001ED40000}"/>
    <cellStyle name="Style 3 2" xfId="54303" xr:uid="{00000000-0005-0000-0000-00001FD40000}"/>
    <cellStyle name="Style 3_Content" xfId="54304" xr:uid="{00000000-0005-0000-0000-000020D40000}"/>
    <cellStyle name="Style 4" xfId="54305" xr:uid="{00000000-0005-0000-0000-000021D40000}"/>
    <cellStyle name="Style 5" xfId="54306" xr:uid="{00000000-0005-0000-0000-000022D40000}"/>
    <cellStyle name="Style 5 2" xfId="54307" xr:uid="{00000000-0005-0000-0000-000023D40000}"/>
    <cellStyle name="Style 5 3" xfId="54308" xr:uid="{00000000-0005-0000-0000-000024D40000}"/>
    <cellStyle name="Style 5 4" xfId="54309" xr:uid="{00000000-0005-0000-0000-000025D40000}"/>
    <cellStyle name="Style 5 5" xfId="54310" xr:uid="{00000000-0005-0000-0000-000026D40000}"/>
    <cellStyle name="Style 5 6" xfId="54311" xr:uid="{00000000-0005-0000-0000-000027D40000}"/>
    <cellStyle name="Style 5 7" xfId="54312" xr:uid="{00000000-0005-0000-0000-000028D40000}"/>
    <cellStyle name="Style 5 8" xfId="54313" xr:uid="{00000000-0005-0000-0000-000029D40000}"/>
    <cellStyle name="Style 6" xfId="54314" xr:uid="{00000000-0005-0000-0000-00002AD40000}"/>
    <cellStyle name="Style 7" xfId="54315" xr:uid="{00000000-0005-0000-0000-00002BD40000}"/>
    <cellStyle name="Style 8" xfId="54316" xr:uid="{00000000-0005-0000-0000-00002CD40000}"/>
    <cellStyle name="Style 9" xfId="54317" xr:uid="{00000000-0005-0000-0000-00002DD40000}"/>
    <cellStyle name="Style1" xfId="54318" xr:uid="{00000000-0005-0000-0000-00002ED40000}"/>
    <cellStyle name="Style1 2" xfId="54319" xr:uid="{00000000-0005-0000-0000-00002FD40000}"/>
    <cellStyle name="Style1 3" xfId="54320" xr:uid="{00000000-0005-0000-0000-000030D40000}"/>
    <cellStyle name="Style1 4" xfId="54321" xr:uid="{00000000-0005-0000-0000-000031D40000}"/>
    <cellStyle name="Style2" xfId="54322" xr:uid="{00000000-0005-0000-0000-000032D40000}"/>
    <cellStyle name="Style3" xfId="54323" xr:uid="{00000000-0005-0000-0000-000033D40000}"/>
    <cellStyle name="Style3 2" xfId="54324" xr:uid="{00000000-0005-0000-0000-000034D40000}"/>
    <cellStyle name="Style4" xfId="54325" xr:uid="{00000000-0005-0000-0000-000035D40000}"/>
    <cellStyle name="Style4 2" xfId="54326" xr:uid="{00000000-0005-0000-0000-000036D40000}"/>
    <cellStyle name="Style4 3" xfId="54327" xr:uid="{00000000-0005-0000-0000-000037D40000}"/>
    <cellStyle name="Style4 4" xfId="54328" xr:uid="{00000000-0005-0000-0000-000038D40000}"/>
    <cellStyle name="Style4 5" xfId="54329" xr:uid="{00000000-0005-0000-0000-000039D40000}"/>
    <cellStyle name="Style4 6" xfId="54330" xr:uid="{00000000-0005-0000-0000-00003AD40000}"/>
    <cellStyle name="Style4 7" xfId="54331" xr:uid="{00000000-0005-0000-0000-00003BD40000}"/>
    <cellStyle name="Style5" xfId="54332" xr:uid="{00000000-0005-0000-0000-00003CD40000}"/>
    <cellStyle name="Style5 2" xfId="54333" xr:uid="{00000000-0005-0000-0000-00003DD40000}"/>
    <cellStyle name="Style5 3" xfId="54334" xr:uid="{00000000-0005-0000-0000-00003ED40000}"/>
    <cellStyle name="Style5 4" xfId="54335" xr:uid="{00000000-0005-0000-0000-00003FD40000}"/>
    <cellStyle name="Style5 5" xfId="54336" xr:uid="{00000000-0005-0000-0000-000040D40000}"/>
    <cellStyle name="Style5 6" xfId="54337" xr:uid="{00000000-0005-0000-0000-000041D40000}"/>
    <cellStyle name="Style5 7" xfId="54338" xr:uid="{00000000-0005-0000-0000-000042D40000}"/>
    <cellStyle name="Style6" xfId="54339" xr:uid="{00000000-0005-0000-0000-000043D40000}"/>
    <cellStyle name="Style7" xfId="54340" xr:uid="{00000000-0005-0000-0000-000044D40000}"/>
    <cellStyle name="Style7 2" xfId="54341" xr:uid="{00000000-0005-0000-0000-000045D40000}"/>
    <cellStyle name="Style7 2 2" xfId="54342" xr:uid="{00000000-0005-0000-0000-000046D40000}"/>
    <cellStyle name="Style7 3" xfId="54343" xr:uid="{00000000-0005-0000-0000-000047D40000}"/>
    <cellStyle name="subhead" xfId="54344" xr:uid="{00000000-0005-0000-0000-000048D40000}"/>
    <cellStyle name="sum" xfId="54345" xr:uid="{00000000-0005-0000-0000-000049D40000}"/>
    <cellStyle name="summary" xfId="54346" xr:uid="{00000000-0005-0000-0000-00004AD40000}"/>
    <cellStyle name="tête chapitre" xfId="54347" xr:uid="{00000000-0005-0000-0000-00004BD40000}"/>
    <cellStyle name="Text" xfId="54348" xr:uid="{00000000-0005-0000-0000-00004CD40000}"/>
    <cellStyle name="Text 2" xfId="54349" xr:uid="{00000000-0005-0000-0000-00004DD40000}"/>
    <cellStyle name="Text 2 2" xfId="54350" xr:uid="{00000000-0005-0000-0000-00004ED40000}"/>
    <cellStyle name="Text 2 2 2" xfId="54351" xr:uid="{00000000-0005-0000-0000-00004FD40000}"/>
    <cellStyle name="Text 2 3" xfId="54352" xr:uid="{00000000-0005-0000-0000-000050D40000}"/>
    <cellStyle name="Text 2 4" xfId="54353" xr:uid="{00000000-0005-0000-0000-000051D40000}"/>
    <cellStyle name="Text 2_Content" xfId="54354" xr:uid="{00000000-0005-0000-0000-000052D40000}"/>
    <cellStyle name="Text 3" xfId="54355" xr:uid="{00000000-0005-0000-0000-000053D40000}"/>
    <cellStyle name="Text 3 2" xfId="54356" xr:uid="{00000000-0005-0000-0000-000054D40000}"/>
    <cellStyle name="Text 4" xfId="54357" xr:uid="{00000000-0005-0000-0000-000055D40000}"/>
    <cellStyle name="Text 5" xfId="54358" xr:uid="{00000000-0005-0000-0000-000056D40000}"/>
    <cellStyle name="Text Indent A" xfId="54359" xr:uid="{00000000-0005-0000-0000-000057D40000}"/>
    <cellStyle name="Text Indent B" xfId="54360" xr:uid="{00000000-0005-0000-0000-000058D40000}"/>
    <cellStyle name="Text Indent C" xfId="54361" xr:uid="{00000000-0005-0000-0000-000059D40000}"/>
    <cellStyle name="Text_Content" xfId="54362" xr:uid="{00000000-0005-0000-0000-00005AD40000}"/>
    <cellStyle name="thvt" xfId="54367" xr:uid="{00000000-0005-0000-0000-000063D40000}"/>
    <cellStyle name="Time" xfId="54368" xr:uid="{00000000-0005-0000-0000-000064D40000}"/>
    <cellStyle name="Title 10" xfId="54369" xr:uid="{00000000-0005-0000-0000-000065D40000}"/>
    <cellStyle name="Title 2" xfId="54370" xr:uid="{00000000-0005-0000-0000-000066D40000}"/>
    <cellStyle name="Title 2 2" xfId="54371" xr:uid="{00000000-0005-0000-0000-000067D40000}"/>
    <cellStyle name="Title 2 3" xfId="54372" xr:uid="{00000000-0005-0000-0000-000068D40000}"/>
    <cellStyle name="Title 3" xfId="54373" xr:uid="{00000000-0005-0000-0000-000069D40000}"/>
    <cellStyle name="Title 4" xfId="54374" xr:uid="{00000000-0005-0000-0000-00006AD40000}"/>
    <cellStyle name="Title 5" xfId="54375" xr:uid="{00000000-0005-0000-0000-00006BD40000}"/>
    <cellStyle name="Title 6" xfId="54376" xr:uid="{00000000-0005-0000-0000-00006CD40000}"/>
    <cellStyle name="Title 7" xfId="54377" xr:uid="{00000000-0005-0000-0000-00006DD40000}"/>
    <cellStyle name="Title 8" xfId="54378" xr:uid="{00000000-0005-0000-0000-00006ED40000}"/>
    <cellStyle name="Title 9" xfId="54379" xr:uid="{00000000-0005-0000-0000-00006FD40000}"/>
    <cellStyle name="Titulo1" xfId="54380" xr:uid="{00000000-0005-0000-0000-000070D40000}"/>
    <cellStyle name="Titulo2" xfId="54381" xr:uid="{00000000-0005-0000-0000-000071D40000}"/>
    <cellStyle name="TopGrey" xfId="54382" xr:uid="{00000000-0005-0000-0000-000072D40000}"/>
    <cellStyle name="TopGrey 2" xfId="54383" xr:uid="{00000000-0005-0000-0000-000073D40000}"/>
    <cellStyle name="Total 10" xfId="54384" xr:uid="{00000000-0005-0000-0000-000074D40000}"/>
    <cellStyle name="Total 10 10" xfId="54385" xr:uid="{00000000-0005-0000-0000-000075D40000}"/>
    <cellStyle name="Total 10 2" xfId="54386" xr:uid="{00000000-0005-0000-0000-000076D40000}"/>
    <cellStyle name="Total 10 2 2" xfId="54387" xr:uid="{00000000-0005-0000-0000-000077D40000}"/>
    <cellStyle name="Total 10 2 3" xfId="54388" xr:uid="{00000000-0005-0000-0000-000078D40000}"/>
    <cellStyle name="Total 10 2 4" xfId="54389" xr:uid="{00000000-0005-0000-0000-000079D40000}"/>
    <cellStyle name="Total 10 2 5" xfId="54390" xr:uid="{00000000-0005-0000-0000-00007AD40000}"/>
    <cellStyle name="Total 10 2 6" xfId="54391" xr:uid="{00000000-0005-0000-0000-00007BD40000}"/>
    <cellStyle name="Total 10 3" xfId="54392" xr:uid="{00000000-0005-0000-0000-00007CD40000}"/>
    <cellStyle name="Total 10 3 2" xfId="54393" xr:uid="{00000000-0005-0000-0000-00007DD40000}"/>
    <cellStyle name="Total 10 3 3" xfId="54394" xr:uid="{00000000-0005-0000-0000-00007ED40000}"/>
    <cellStyle name="Total 10 3 4" xfId="54395" xr:uid="{00000000-0005-0000-0000-00007FD40000}"/>
    <cellStyle name="Total 10 3 5" xfId="54396" xr:uid="{00000000-0005-0000-0000-000080D40000}"/>
    <cellStyle name="Total 10 3 6" xfId="54397" xr:uid="{00000000-0005-0000-0000-000081D40000}"/>
    <cellStyle name="Total 10 4" xfId="54398" xr:uid="{00000000-0005-0000-0000-000082D40000}"/>
    <cellStyle name="Total 10 4 2" xfId="54399" xr:uid="{00000000-0005-0000-0000-000083D40000}"/>
    <cellStyle name="Total 10 4 3" xfId="54400" xr:uid="{00000000-0005-0000-0000-000084D40000}"/>
    <cellStyle name="Total 10 4 4" xfId="54401" xr:uid="{00000000-0005-0000-0000-000085D40000}"/>
    <cellStyle name="Total 10 4 5" xfId="54402" xr:uid="{00000000-0005-0000-0000-000086D40000}"/>
    <cellStyle name="Total 10 4 6" xfId="54403" xr:uid="{00000000-0005-0000-0000-000087D40000}"/>
    <cellStyle name="Total 10 5" xfId="54404" xr:uid="{00000000-0005-0000-0000-000088D40000}"/>
    <cellStyle name="Total 10 5 2" xfId="54405" xr:uid="{00000000-0005-0000-0000-000089D40000}"/>
    <cellStyle name="Total 10 5 3" xfId="54406" xr:uid="{00000000-0005-0000-0000-00008AD40000}"/>
    <cellStyle name="Total 10 5 4" xfId="54407" xr:uid="{00000000-0005-0000-0000-00008BD40000}"/>
    <cellStyle name="Total 10 5 5" xfId="54408" xr:uid="{00000000-0005-0000-0000-00008CD40000}"/>
    <cellStyle name="Total 10 5 6" xfId="54409" xr:uid="{00000000-0005-0000-0000-00008DD40000}"/>
    <cellStyle name="Total 10 6" xfId="54410" xr:uid="{00000000-0005-0000-0000-00008ED40000}"/>
    <cellStyle name="Total 10 6 2" xfId="54411" xr:uid="{00000000-0005-0000-0000-00008FD40000}"/>
    <cellStyle name="Total 10 6 3" xfId="54412" xr:uid="{00000000-0005-0000-0000-000090D40000}"/>
    <cellStyle name="Total 10 6 4" xfId="54413" xr:uid="{00000000-0005-0000-0000-000091D40000}"/>
    <cellStyle name="Total 10 6 5" xfId="54414" xr:uid="{00000000-0005-0000-0000-000092D40000}"/>
    <cellStyle name="Total 10 6 6" xfId="54415" xr:uid="{00000000-0005-0000-0000-000093D40000}"/>
    <cellStyle name="Total 10 7" xfId="54416" xr:uid="{00000000-0005-0000-0000-000094D40000}"/>
    <cellStyle name="Total 10 7 2" xfId="54417" xr:uid="{00000000-0005-0000-0000-000095D40000}"/>
    <cellStyle name="Total 10 7 3" xfId="54418" xr:uid="{00000000-0005-0000-0000-000096D40000}"/>
    <cellStyle name="Total 10 7 4" xfId="54419" xr:uid="{00000000-0005-0000-0000-000097D40000}"/>
    <cellStyle name="Total 10 7 5" xfId="54420" xr:uid="{00000000-0005-0000-0000-000098D40000}"/>
    <cellStyle name="Total 10 7 6" xfId="54421" xr:uid="{00000000-0005-0000-0000-000099D40000}"/>
    <cellStyle name="Total 10 8" xfId="54422" xr:uid="{00000000-0005-0000-0000-00009AD40000}"/>
    <cellStyle name="Total 10 9" xfId="54423" xr:uid="{00000000-0005-0000-0000-00009BD40000}"/>
    <cellStyle name="Total 11" xfId="54424" xr:uid="{00000000-0005-0000-0000-00009CD40000}"/>
    <cellStyle name="Total 2" xfId="54425" xr:uid="{00000000-0005-0000-0000-00009DD40000}"/>
    <cellStyle name="Total 2 2" xfId="54426" xr:uid="{00000000-0005-0000-0000-00009ED40000}"/>
    <cellStyle name="Total 2 2 2" xfId="54427" xr:uid="{00000000-0005-0000-0000-00009FD40000}"/>
    <cellStyle name="Total 2 3" xfId="54428" xr:uid="{00000000-0005-0000-0000-0000A0D40000}"/>
    <cellStyle name="Total 2 4" xfId="54429" xr:uid="{00000000-0005-0000-0000-0000A1D40000}"/>
    <cellStyle name="Total 2 5" xfId="54430" xr:uid="{00000000-0005-0000-0000-0000A2D40000}"/>
    <cellStyle name="Total 3" xfId="54431" xr:uid="{00000000-0005-0000-0000-0000A3D40000}"/>
    <cellStyle name="Total 3 2" xfId="54432" xr:uid="{00000000-0005-0000-0000-0000A4D40000}"/>
    <cellStyle name="Total 3 2 10" xfId="54433" xr:uid="{00000000-0005-0000-0000-0000A5D40000}"/>
    <cellStyle name="Total 3 2 11" xfId="54434" xr:uid="{00000000-0005-0000-0000-0000A6D40000}"/>
    <cellStyle name="Total 3 2 2" xfId="54435" xr:uid="{00000000-0005-0000-0000-0000A7D40000}"/>
    <cellStyle name="Total 3 2 3" xfId="54436" xr:uid="{00000000-0005-0000-0000-0000A8D40000}"/>
    <cellStyle name="Total 3 2 3 2" xfId="54437" xr:uid="{00000000-0005-0000-0000-0000A9D40000}"/>
    <cellStyle name="Total 3 2 3 3" xfId="54438" xr:uid="{00000000-0005-0000-0000-0000AAD40000}"/>
    <cellStyle name="Total 3 2 3 4" xfId="54439" xr:uid="{00000000-0005-0000-0000-0000ABD40000}"/>
    <cellStyle name="Total 3 2 3 5" xfId="54440" xr:uid="{00000000-0005-0000-0000-0000ACD40000}"/>
    <cellStyle name="Total 3 2 3 6" xfId="54441" xr:uid="{00000000-0005-0000-0000-0000ADD40000}"/>
    <cellStyle name="Total 3 2 4" xfId="54442" xr:uid="{00000000-0005-0000-0000-0000AED40000}"/>
    <cellStyle name="Total 3 2 4 2" xfId="54443" xr:uid="{00000000-0005-0000-0000-0000AFD40000}"/>
    <cellStyle name="Total 3 2 4 3" xfId="54444" xr:uid="{00000000-0005-0000-0000-0000B0D40000}"/>
    <cellStyle name="Total 3 2 4 4" xfId="54445" xr:uid="{00000000-0005-0000-0000-0000B1D40000}"/>
    <cellStyle name="Total 3 2 4 5" xfId="54446" xr:uid="{00000000-0005-0000-0000-0000B2D40000}"/>
    <cellStyle name="Total 3 2 4 6" xfId="54447" xr:uid="{00000000-0005-0000-0000-0000B3D40000}"/>
    <cellStyle name="Total 3 2 5" xfId="54448" xr:uid="{00000000-0005-0000-0000-0000B4D40000}"/>
    <cellStyle name="Total 3 2 5 2" xfId="54449" xr:uid="{00000000-0005-0000-0000-0000B5D40000}"/>
    <cellStyle name="Total 3 2 5 3" xfId="54450" xr:uid="{00000000-0005-0000-0000-0000B6D40000}"/>
    <cellStyle name="Total 3 2 5 4" xfId="54451" xr:uid="{00000000-0005-0000-0000-0000B7D40000}"/>
    <cellStyle name="Total 3 2 5 5" xfId="54452" xr:uid="{00000000-0005-0000-0000-0000B8D40000}"/>
    <cellStyle name="Total 3 2 5 6" xfId="54453" xr:uid="{00000000-0005-0000-0000-0000B9D40000}"/>
    <cellStyle name="Total 3 2 6" xfId="54454" xr:uid="{00000000-0005-0000-0000-0000BAD40000}"/>
    <cellStyle name="Total 3 2 6 2" xfId="54455" xr:uid="{00000000-0005-0000-0000-0000BBD40000}"/>
    <cellStyle name="Total 3 2 6 3" xfId="54456" xr:uid="{00000000-0005-0000-0000-0000BCD40000}"/>
    <cellStyle name="Total 3 2 6 4" xfId="54457" xr:uid="{00000000-0005-0000-0000-0000BDD40000}"/>
    <cellStyle name="Total 3 2 6 5" xfId="54458" xr:uid="{00000000-0005-0000-0000-0000BED40000}"/>
    <cellStyle name="Total 3 2 6 6" xfId="54459" xr:uid="{00000000-0005-0000-0000-0000BFD40000}"/>
    <cellStyle name="Total 3 2 7" xfId="54460" xr:uid="{00000000-0005-0000-0000-0000C0D40000}"/>
    <cellStyle name="Total 3 2 7 2" xfId="54461" xr:uid="{00000000-0005-0000-0000-0000C1D40000}"/>
    <cellStyle name="Total 3 2 7 3" xfId="54462" xr:uid="{00000000-0005-0000-0000-0000C2D40000}"/>
    <cellStyle name="Total 3 2 7 4" xfId="54463" xr:uid="{00000000-0005-0000-0000-0000C3D40000}"/>
    <cellStyle name="Total 3 2 7 5" xfId="54464" xr:uid="{00000000-0005-0000-0000-0000C4D40000}"/>
    <cellStyle name="Total 3 2 7 6" xfId="54465" xr:uid="{00000000-0005-0000-0000-0000C5D40000}"/>
    <cellStyle name="Total 3 2 8" xfId="54466" xr:uid="{00000000-0005-0000-0000-0000C6D40000}"/>
    <cellStyle name="Total 3 2 8 2" xfId="54467" xr:uid="{00000000-0005-0000-0000-0000C7D40000}"/>
    <cellStyle name="Total 3 2 8 3" xfId="54468" xr:uid="{00000000-0005-0000-0000-0000C8D40000}"/>
    <cellStyle name="Total 3 2 8 4" xfId="54469" xr:uid="{00000000-0005-0000-0000-0000C9D40000}"/>
    <cellStyle name="Total 3 2 8 5" xfId="54470" xr:uid="{00000000-0005-0000-0000-0000CAD40000}"/>
    <cellStyle name="Total 3 2 8 6" xfId="54471" xr:uid="{00000000-0005-0000-0000-0000CBD40000}"/>
    <cellStyle name="Total 3 2 9" xfId="54472" xr:uid="{00000000-0005-0000-0000-0000CCD40000}"/>
    <cellStyle name="Total 3 3" xfId="54473" xr:uid="{00000000-0005-0000-0000-0000CDD40000}"/>
    <cellStyle name="Total 3 4" xfId="54474" xr:uid="{00000000-0005-0000-0000-0000CED40000}"/>
    <cellStyle name="Total 3 5" xfId="54475" xr:uid="{00000000-0005-0000-0000-0000CFD40000}"/>
    <cellStyle name="Total 4" xfId="54476" xr:uid="{00000000-0005-0000-0000-0000D0D40000}"/>
    <cellStyle name="Total 4 2" xfId="54477" xr:uid="{00000000-0005-0000-0000-0000D1D40000}"/>
    <cellStyle name="Total 4 2 10" xfId="54478" xr:uid="{00000000-0005-0000-0000-0000D2D40000}"/>
    <cellStyle name="Total 4 2 11" xfId="54479" xr:uid="{00000000-0005-0000-0000-0000D3D40000}"/>
    <cellStyle name="Total 4 2 2" xfId="54480" xr:uid="{00000000-0005-0000-0000-0000D4D40000}"/>
    <cellStyle name="Total 4 2 3" xfId="54481" xr:uid="{00000000-0005-0000-0000-0000D5D40000}"/>
    <cellStyle name="Total 4 2 3 2" xfId="54482" xr:uid="{00000000-0005-0000-0000-0000D6D40000}"/>
    <cellStyle name="Total 4 2 3 3" xfId="54483" xr:uid="{00000000-0005-0000-0000-0000D7D40000}"/>
    <cellStyle name="Total 4 2 3 4" xfId="54484" xr:uid="{00000000-0005-0000-0000-0000D8D40000}"/>
    <cellStyle name="Total 4 2 3 5" xfId="54485" xr:uid="{00000000-0005-0000-0000-0000D9D40000}"/>
    <cellStyle name="Total 4 2 3 6" xfId="54486" xr:uid="{00000000-0005-0000-0000-0000DAD40000}"/>
    <cellStyle name="Total 4 2 4" xfId="54487" xr:uid="{00000000-0005-0000-0000-0000DBD40000}"/>
    <cellStyle name="Total 4 2 4 2" xfId="54488" xr:uid="{00000000-0005-0000-0000-0000DCD40000}"/>
    <cellStyle name="Total 4 2 4 3" xfId="54489" xr:uid="{00000000-0005-0000-0000-0000DDD40000}"/>
    <cellStyle name="Total 4 2 4 4" xfId="54490" xr:uid="{00000000-0005-0000-0000-0000DED40000}"/>
    <cellStyle name="Total 4 2 4 5" xfId="54491" xr:uid="{00000000-0005-0000-0000-0000DFD40000}"/>
    <cellStyle name="Total 4 2 4 6" xfId="54492" xr:uid="{00000000-0005-0000-0000-0000E0D40000}"/>
    <cellStyle name="Total 4 2 5" xfId="54493" xr:uid="{00000000-0005-0000-0000-0000E1D40000}"/>
    <cellStyle name="Total 4 2 5 2" xfId="54494" xr:uid="{00000000-0005-0000-0000-0000E2D40000}"/>
    <cellStyle name="Total 4 2 5 3" xfId="54495" xr:uid="{00000000-0005-0000-0000-0000E3D40000}"/>
    <cellStyle name="Total 4 2 5 4" xfId="54496" xr:uid="{00000000-0005-0000-0000-0000E4D40000}"/>
    <cellStyle name="Total 4 2 5 5" xfId="54497" xr:uid="{00000000-0005-0000-0000-0000E5D40000}"/>
    <cellStyle name="Total 4 2 5 6" xfId="54498" xr:uid="{00000000-0005-0000-0000-0000E6D40000}"/>
    <cellStyle name="Total 4 2 6" xfId="54499" xr:uid="{00000000-0005-0000-0000-0000E7D40000}"/>
    <cellStyle name="Total 4 2 6 2" xfId="54500" xr:uid="{00000000-0005-0000-0000-0000E8D40000}"/>
    <cellStyle name="Total 4 2 6 3" xfId="54501" xr:uid="{00000000-0005-0000-0000-0000E9D40000}"/>
    <cellStyle name="Total 4 2 6 4" xfId="54502" xr:uid="{00000000-0005-0000-0000-0000EAD40000}"/>
    <cellStyle name="Total 4 2 6 5" xfId="54503" xr:uid="{00000000-0005-0000-0000-0000EBD40000}"/>
    <cellStyle name="Total 4 2 6 6" xfId="54504" xr:uid="{00000000-0005-0000-0000-0000ECD40000}"/>
    <cellStyle name="Total 4 2 7" xfId="54505" xr:uid="{00000000-0005-0000-0000-0000EDD40000}"/>
    <cellStyle name="Total 4 2 7 2" xfId="54506" xr:uid="{00000000-0005-0000-0000-0000EED40000}"/>
    <cellStyle name="Total 4 2 7 3" xfId="54507" xr:uid="{00000000-0005-0000-0000-0000EFD40000}"/>
    <cellStyle name="Total 4 2 7 4" xfId="54508" xr:uid="{00000000-0005-0000-0000-0000F0D40000}"/>
    <cellStyle name="Total 4 2 7 5" xfId="54509" xr:uid="{00000000-0005-0000-0000-0000F1D40000}"/>
    <cellStyle name="Total 4 2 7 6" xfId="54510" xr:uid="{00000000-0005-0000-0000-0000F2D40000}"/>
    <cellStyle name="Total 4 2 8" xfId="54511" xr:uid="{00000000-0005-0000-0000-0000F3D40000}"/>
    <cellStyle name="Total 4 2 8 2" xfId="54512" xr:uid="{00000000-0005-0000-0000-0000F4D40000}"/>
    <cellStyle name="Total 4 2 8 3" xfId="54513" xr:uid="{00000000-0005-0000-0000-0000F5D40000}"/>
    <cellStyle name="Total 4 2 8 4" xfId="54514" xr:uid="{00000000-0005-0000-0000-0000F6D40000}"/>
    <cellStyle name="Total 4 2 8 5" xfId="54515" xr:uid="{00000000-0005-0000-0000-0000F7D40000}"/>
    <cellStyle name="Total 4 2 8 6" xfId="54516" xr:uid="{00000000-0005-0000-0000-0000F8D40000}"/>
    <cellStyle name="Total 4 2 9" xfId="54517" xr:uid="{00000000-0005-0000-0000-0000F9D40000}"/>
    <cellStyle name="Total 5" xfId="54518" xr:uid="{00000000-0005-0000-0000-0000FAD40000}"/>
    <cellStyle name="Total 5 10" xfId="54519" xr:uid="{00000000-0005-0000-0000-0000FBD40000}"/>
    <cellStyle name="Total 5 2" xfId="54520" xr:uid="{00000000-0005-0000-0000-0000FCD40000}"/>
    <cellStyle name="Total 5 2 2" xfId="54521" xr:uid="{00000000-0005-0000-0000-0000FDD40000}"/>
    <cellStyle name="Total 5 2 3" xfId="54522" xr:uid="{00000000-0005-0000-0000-0000FED40000}"/>
    <cellStyle name="Total 5 2 4" xfId="54523" xr:uid="{00000000-0005-0000-0000-0000FFD40000}"/>
    <cellStyle name="Total 5 2 5" xfId="54524" xr:uid="{00000000-0005-0000-0000-000000D50000}"/>
    <cellStyle name="Total 5 2 6" xfId="54525" xr:uid="{00000000-0005-0000-0000-000001D50000}"/>
    <cellStyle name="Total 5 3" xfId="54526" xr:uid="{00000000-0005-0000-0000-000002D50000}"/>
    <cellStyle name="Total 5 3 2" xfId="54527" xr:uid="{00000000-0005-0000-0000-000003D50000}"/>
    <cellStyle name="Total 5 3 3" xfId="54528" xr:uid="{00000000-0005-0000-0000-000004D50000}"/>
    <cellStyle name="Total 5 3 4" xfId="54529" xr:uid="{00000000-0005-0000-0000-000005D50000}"/>
    <cellStyle name="Total 5 3 5" xfId="54530" xr:uid="{00000000-0005-0000-0000-000006D50000}"/>
    <cellStyle name="Total 5 3 6" xfId="54531" xr:uid="{00000000-0005-0000-0000-000007D50000}"/>
    <cellStyle name="Total 5 4" xfId="54532" xr:uid="{00000000-0005-0000-0000-000008D50000}"/>
    <cellStyle name="Total 5 4 2" xfId="54533" xr:uid="{00000000-0005-0000-0000-000009D50000}"/>
    <cellStyle name="Total 5 4 3" xfId="54534" xr:uid="{00000000-0005-0000-0000-00000AD50000}"/>
    <cellStyle name="Total 5 4 4" xfId="54535" xr:uid="{00000000-0005-0000-0000-00000BD50000}"/>
    <cellStyle name="Total 5 4 5" xfId="54536" xr:uid="{00000000-0005-0000-0000-00000CD50000}"/>
    <cellStyle name="Total 5 4 6" xfId="54537" xr:uid="{00000000-0005-0000-0000-00000DD50000}"/>
    <cellStyle name="Total 5 5" xfId="54538" xr:uid="{00000000-0005-0000-0000-00000ED50000}"/>
    <cellStyle name="Total 5 5 2" xfId="54539" xr:uid="{00000000-0005-0000-0000-00000FD50000}"/>
    <cellStyle name="Total 5 5 3" xfId="54540" xr:uid="{00000000-0005-0000-0000-000010D50000}"/>
    <cellStyle name="Total 5 5 4" xfId="54541" xr:uid="{00000000-0005-0000-0000-000011D50000}"/>
    <cellStyle name="Total 5 5 5" xfId="54542" xr:uid="{00000000-0005-0000-0000-000012D50000}"/>
    <cellStyle name="Total 5 5 6" xfId="54543" xr:uid="{00000000-0005-0000-0000-000013D50000}"/>
    <cellStyle name="Total 5 6" xfId="54544" xr:uid="{00000000-0005-0000-0000-000014D50000}"/>
    <cellStyle name="Total 5 6 2" xfId="54545" xr:uid="{00000000-0005-0000-0000-000015D50000}"/>
    <cellStyle name="Total 5 6 3" xfId="54546" xr:uid="{00000000-0005-0000-0000-000016D50000}"/>
    <cellStyle name="Total 5 6 4" xfId="54547" xr:uid="{00000000-0005-0000-0000-000017D50000}"/>
    <cellStyle name="Total 5 6 5" xfId="54548" xr:uid="{00000000-0005-0000-0000-000018D50000}"/>
    <cellStyle name="Total 5 6 6" xfId="54549" xr:uid="{00000000-0005-0000-0000-000019D50000}"/>
    <cellStyle name="Total 5 7" xfId="54550" xr:uid="{00000000-0005-0000-0000-00001AD50000}"/>
    <cellStyle name="Total 5 7 2" xfId="54551" xr:uid="{00000000-0005-0000-0000-00001BD50000}"/>
    <cellStyle name="Total 5 7 3" xfId="54552" xr:uid="{00000000-0005-0000-0000-00001CD50000}"/>
    <cellStyle name="Total 5 7 4" xfId="54553" xr:uid="{00000000-0005-0000-0000-00001DD50000}"/>
    <cellStyle name="Total 5 7 5" xfId="54554" xr:uid="{00000000-0005-0000-0000-00001ED50000}"/>
    <cellStyle name="Total 5 7 6" xfId="54555" xr:uid="{00000000-0005-0000-0000-00001FD50000}"/>
    <cellStyle name="Total 5 8" xfId="54556" xr:uid="{00000000-0005-0000-0000-000020D50000}"/>
    <cellStyle name="Total 5 9" xfId="54557" xr:uid="{00000000-0005-0000-0000-000021D50000}"/>
    <cellStyle name="Total 6" xfId="54558" xr:uid="{00000000-0005-0000-0000-000022D50000}"/>
    <cellStyle name="Total 6 10" xfId="54559" xr:uid="{00000000-0005-0000-0000-000023D50000}"/>
    <cellStyle name="Total 6 2" xfId="54560" xr:uid="{00000000-0005-0000-0000-000024D50000}"/>
    <cellStyle name="Total 6 2 2" xfId="54561" xr:uid="{00000000-0005-0000-0000-000025D50000}"/>
    <cellStyle name="Total 6 2 3" xfId="54562" xr:uid="{00000000-0005-0000-0000-000026D50000}"/>
    <cellStyle name="Total 6 2 4" xfId="54563" xr:uid="{00000000-0005-0000-0000-000027D50000}"/>
    <cellStyle name="Total 6 2 5" xfId="54564" xr:uid="{00000000-0005-0000-0000-000028D50000}"/>
    <cellStyle name="Total 6 2 6" xfId="54565" xr:uid="{00000000-0005-0000-0000-000029D50000}"/>
    <cellStyle name="Total 6 3" xfId="54566" xr:uid="{00000000-0005-0000-0000-00002AD50000}"/>
    <cellStyle name="Total 6 3 2" xfId="54567" xr:uid="{00000000-0005-0000-0000-00002BD50000}"/>
    <cellStyle name="Total 6 3 3" xfId="54568" xr:uid="{00000000-0005-0000-0000-00002CD50000}"/>
    <cellStyle name="Total 6 3 4" xfId="54569" xr:uid="{00000000-0005-0000-0000-00002DD50000}"/>
    <cellStyle name="Total 6 3 5" xfId="54570" xr:uid="{00000000-0005-0000-0000-00002ED50000}"/>
    <cellStyle name="Total 6 3 6" xfId="54571" xr:uid="{00000000-0005-0000-0000-00002FD50000}"/>
    <cellStyle name="Total 6 4" xfId="54572" xr:uid="{00000000-0005-0000-0000-000030D50000}"/>
    <cellStyle name="Total 6 4 2" xfId="54573" xr:uid="{00000000-0005-0000-0000-000031D50000}"/>
    <cellStyle name="Total 6 4 3" xfId="54574" xr:uid="{00000000-0005-0000-0000-000032D50000}"/>
    <cellStyle name="Total 6 4 4" xfId="54575" xr:uid="{00000000-0005-0000-0000-000033D50000}"/>
    <cellStyle name="Total 6 4 5" xfId="54576" xr:uid="{00000000-0005-0000-0000-000034D50000}"/>
    <cellStyle name="Total 6 4 6" xfId="54577" xr:uid="{00000000-0005-0000-0000-000035D50000}"/>
    <cellStyle name="Total 6 5" xfId="54578" xr:uid="{00000000-0005-0000-0000-000036D50000}"/>
    <cellStyle name="Total 6 5 2" xfId="54579" xr:uid="{00000000-0005-0000-0000-000037D50000}"/>
    <cellStyle name="Total 6 5 3" xfId="54580" xr:uid="{00000000-0005-0000-0000-000038D50000}"/>
    <cellStyle name="Total 6 5 4" xfId="54581" xr:uid="{00000000-0005-0000-0000-000039D50000}"/>
    <cellStyle name="Total 6 5 5" xfId="54582" xr:uid="{00000000-0005-0000-0000-00003AD50000}"/>
    <cellStyle name="Total 6 5 6" xfId="54583" xr:uid="{00000000-0005-0000-0000-00003BD50000}"/>
    <cellStyle name="Total 6 6" xfId="54584" xr:uid="{00000000-0005-0000-0000-00003CD50000}"/>
    <cellStyle name="Total 6 6 2" xfId="54585" xr:uid="{00000000-0005-0000-0000-00003DD50000}"/>
    <cellStyle name="Total 6 6 3" xfId="54586" xr:uid="{00000000-0005-0000-0000-00003ED50000}"/>
    <cellStyle name="Total 6 6 4" xfId="54587" xr:uid="{00000000-0005-0000-0000-00003FD50000}"/>
    <cellStyle name="Total 6 6 5" xfId="54588" xr:uid="{00000000-0005-0000-0000-000040D50000}"/>
    <cellStyle name="Total 6 6 6" xfId="54589" xr:uid="{00000000-0005-0000-0000-000041D50000}"/>
    <cellStyle name="Total 6 7" xfId="54590" xr:uid="{00000000-0005-0000-0000-000042D50000}"/>
    <cellStyle name="Total 6 7 2" xfId="54591" xr:uid="{00000000-0005-0000-0000-000043D50000}"/>
    <cellStyle name="Total 6 7 3" xfId="54592" xr:uid="{00000000-0005-0000-0000-000044D50000}"/>
    <cellStyle name="Total 6 7 4" xfId="54593" xr:uid="{00000000-0005-0000-0000-000045D50000}"/>
    <cellStyle name="Total 6 7 5" xfId="54594" xr:uid="{00000000-0005-0000-0000-000046D50000}"/>
    <cellStyle name="Total 6 7 6" xfId="54595" xr:uid="{00000000-0005-0000-0000-000047D50000}"/>
    <cellStyle name="Total 6 8" xfId="54596" xr:uid="{00000000-0005-0000-0000-000048D50000}"/>
    <cellStyle name="Total 6 9" xfId="54597" xr:uid="{00000000-0005-0000-0000-000049D50000}"/>
    <cellStyle name="Total 7" xfId="54598" xr:uid="{00000000-0005-0000-0000-00004AD50000}"/>
    <cellStyle name="Total 7 10" xfId="54599" xr:uid="{00000000-0005-0000-0000-00004BD50000}"/>
    <cellStyle name="Total 7 2" xfId="54600" xr:uid="{00000000-0005-0000-0000-00004CD50000}"/>
    <cellStyle name="Total 7 2 2" xfId="54601" xr:uid="{00000000-0005-0000-0000-00004DD50000}"/>
    <cellStyle name="Total 7 2 3" xfId="54602" xr:uid="{00000000-0005-0000-0000-00004ED50000}"/>
    <cellStyle name="Total 7 2 4" xfId="54603" xr:uid="{00000000-0005-0000-0000-00004FD50000}"/>
    <cellStyle name="Total 7 2 5" xfId="54604" xr:uid="{00000000-0005-0000-0000-000050D50000}"/>
    <cellStyle name="Total 7 2 6" xfId="54605" xr:uid="{00000000-0005-0000-0000-000051D50000}"/>
    <cellStyle name="Total 7 3" xfId="54606" xr:uid="{00000000-0005-0000-0000-000052D50000}"/>
    <cellStyle name="Total 7 3 2" xfId="54607" xr:uid="{00000000-0005-0000-0000-000053D50000}"/>
    <cellStyle name="Total 7 3 3" xfId="54608" xr:uid="{00000000-0005-0000-0000-000054D50000}"/>
    <cellStyle name="Total 7 3 4" xfId="54609" xr:uid="{00000000-0005-0000-0000-000055D50000}"/>
    <cellStyle name="Total 7 3 5" xfId="54610" xr:uid="{00000000-0005-0000-0000-000056D50000}"/>
    <cellStyle name="Total 7 3 6" xfId="54611" xr:uid="{00000000-0005-0000-0000-000057D50000}"/>
    <cellStyle name="Total 7 4" xfId="54612" xr:uid="{00000000-0005-0000-0000-000058D50000}"/>
    <cellStyle name="Total 7 4 2" xfId="54613" xr:uid="{00000000-0005-0000-0000-000059D50000}"/>
    <cellStyle name="Total 7 4 3" xfId="54614" xr:uid="{00000000-0005-0000-0000-00005AD50000}"/>
    <cellStyle name="Total 7 4 4" xfId="54615" xr:uid="{00000000-0005-0000-0000-00005BD50000}"/>
    <cellStyle name="Total 7 4 5" xfId="54616" xr:uid="{00000000-0005-0000-0000-00005CD50000}"/>
    <cellStyle name="Total 7 4 6" xfId="54617" xr:uid="{00000000-0005-0000-0000-00005DD50000}"/>
    <cellStyle name="Total 7 5" xfId="54618" xr:uid="{00000000-0005-0000-0000-00005ED50000}"/>
    <cellStyle name="Total 7 5 2" xfId="54619" xr:uid="{00000000-0005-0000-0000-00005FD50000}"/>
    <cellStyle name="Total 7 5 3" xfId="54620" xr:uid="{00000000-0005-0000-0000-000060D50000}"/>
    <cellStyle name="Total 7 5 4" xfId="54621" xr:uid="{00000000-0005-0000-0000-000061D50000}"/>
    <cellStyle name="Total 7 5 5" xfId="54622" xr:uid="{00000000-0005-0000-0000-000062D50000}"/>
    <cellStyle name="Total 7 5 6" xfId="54623" xr:uid="{00000000-0005-0000-0000-000063D50000}"/>
    <cellStyle name="Total 7 6" xfId="54624" xr:uid="{00000000-0005-0000-0000-000064D50000}"/>
    <cellStyle name="Total 7 6 2" xfId="54625" xr:uid="{00000000-0005-0000-0000-000065D50000}"/>
    <cellStyle name="Total 7 6 3" xfId="54626" xr:uid="{00000000-0005-0000-0000-000066D50000}"/>
    <cellStyle name="Total 7 6 4" xfId="54627" xr:uid="{00000000-0005-0000-0000-000067D50000}"/>
    <cellStyle name="Total 7 6 5" xfId="54628" xr:uid="{00000000-0005-0000-0000-000068D50000}"/>
    <cellStyle name="Total 7 6 6" xfId="54629" xr:uid="{00000000-0005-0000-0000-000069D50000}"/>
    <cellStyle name="Total 7 7" xfId="54630" xr:uid="{00000000-0005-0000-0000-00006AD50000}"/>
    <cellStyle name="Total 7 7 2" xfId="54631" xr:uid="{00000000-0005-0000-0000-00006BD50000}"/>
    <cellStyle name="Total 7 7 3" xfId="54632" xr:uid="{00000000-0005-0000-0000-00006CD50000}"/>
    <cellStyle name="Total 7 7 4" xfId="54633" xr:uid="{00000000-0005-0000-0000-00006DD50000}"/>
    <cellStyle name="Total 7 7 5" xfId="54634" xr:uid="{00000000-0005-0000-0000-00006ED50000}"/>
    <cellStyle name="Total 7 7 6" xfId="54635" xr:uid="{00000000-0005-0000-0000-00006FD50000}"/>
    <cellStyle name="Total 7 8" xfId="54636" xr:uid="{00000000-0005-0000-0000-000070D50000}"/>
    <cellStyle name="Total 7 9" xfId="54637" xr:uid="{00000000-0005-0000-0000-000071D50000}"/>
    <cellStyle name="Total 8" xfId="54638" xr:uid="{00000000-0005-0000-0000-000072D50000}"/>
    <cellStyle name="Total 8 10" xfId="54639" xr:uid="{00000000-0005-0000-0000-000073D50000}"/>
    <cellStyle name="Total 8 2" xfId="54640" xr:uid="{00000000-0005-0000-0000-000074D50000}"/>
    <cellStyle name="Total 8 2 2" xfId="54641" xr:uid="{00000000-0005-0000-0000-000075D50000}"/>
    <cellStyle name="Total 8 2 3" xfId="54642" xr:uid="{00000000-0005-0000-0000-000076D50000}"/>
    <cellStyle name="Total 8 2 4" xfId="54643" xr:uid="{00000000-0005-0000-0000-000077D50000}"/>
    <cellStyle name="Total 8 2 5" xfId="54644" xr:uid="{00000000-0005-0000-0000-000078D50000}"/>
    <cellStyle name="Total 8 2 6" xfId="54645" xr:uid="{00000000-0005-0000-0000-000079D50000}"/>
    <cellStyle name="Total 8 3" xfId="54646" xr:uid="{00000000-0005-0000-0000-00007AD50000}"/>
    <cellStyle name="Total 8 3 2" xfId="54647" xr:uid="{00000000-0005-0000-0000-00007BD50000}"/>
    <cellStyle name="Total 8 3 3" xfId="54648" xr:uid="{00000000-0005-0000-0000-00007CD50000}"/>
    <cellStyle name="Total 8 3 4" xfId="54649" xr:uid="{00000000-0005-0000-0000-00007DD50000}"/>
    <cellStyle name="Total 8 3 5" xfId="54650" xr:uid="{00000000-0005-0000-0000-00007ED50000}"/>
    <cellStyle name="Total 8 3 6" xfId="54651" xr:uid="{00000000-0005-0000-0000-00007FD50000}"/>
    <cellStyle name="Total 8 4" xfId="54652" xr:uid="{00000000-0005-0000-0000-000080D50000}"/>
    <cellStyle name="Total 8 4 2" xfId="54653" xr:uid="{00000000-0005-0000-0000-000081D50000}"/>
    <cellStyle name="Total 8 4 3" xfId="54654" xr:uid="{00000000-0005-0000-0000-000082D50000}"/>
    <cellStyle name="Total 8 4 4" xfId="54655" xr:uid="{00000000-0005-0000-0000-000083D50000}"/>
    <cellStyle name="Total 8 4 5" xfId="54656" xr:uid="{00000000-0005-0000-0000-000084D50000}"/>
    <cellStyle name="Total 8 4 6" xfId="54657" xr:uid="{00000000-0005-0000-0000-000085D50000}"/>
    <cellStyle name="Total 8 5" xfId="54658" xr:uid="{00000000-0005-0000-0000-000086D50000}"/>
    <cellStyle name="Total 8 5 2" xfId="54659" xr:uid="{00000000-0005-0000-0000-000087D50000}"/>
    <cellStyle name="Total 8 5 3" xfId="54660" xr:uid="{00000000-0005-0000-0000-000088D50000}"/>
    <cellStyle name="Total 8 5 4" xfId="54661" xr:uid="{00000000-0005-0000-0000-000089D50000}"/>
    <cellStyle name="Total 8 5 5" xfId="54662" xr:uid="{00000000-0005-0000-0000-00008AD50000}"/>
    <cellStyle name="Total 8 5 6" xfId="54663" xr:uid="{00000000-0005-0000-0000-00008BD50000}"/>
    <cellStyle name="Total 8 6" xfId="54664" xr:uid="{00000000-0005-0000-0000-00008CD50000}"/>
    <cellStyle name="Total 8 6 2" xfId="54665" xr:uid="{00000000-0005-0000-0000-00008DD50000}"/>
    <cellStyle name="Total 8 6 3" xfId="54666" xr:uid="{00000000-0005-0000-0000-00008ED50000}"/>
    <cellStyle name="Total 8 6 4" xfId="54667" xr:uid="{00000000-0005-0000-0000-00008FD50000}"/>
    <cellStyle name="Total 8 6 5" xfId="54668" xr:uid="{00000000-0005-0000-0000-000090D50000}"/>
    <cellStyle name="Total 8 6 6" xfId="54669" xr:uid="{00000000-0005-0000-0000-000091D50000}"/>
    <cellStyle name="Total 8 7" xfId="54670" xr:uid="{00000000-0005-0000-0000-000092D50000}"/>
    <cellStyle name="Total 8 7 2" xfId="54671" xr:uid="{00000000-0005-0000-0000-000093D50000}"/>
    <cellStyle name="Total 8 7 3" xfId="54672" xr:uid="{00000000-0005-0000-0000-000094D50000}"/>
    <cellStyle name="Total 8 7 4" xfId="54673" xr:uid="{00000000-0005-0000-0000-000095D50000}"/>
    <cellStyle name="Total 8 7 5" xfId="54674" xr:uid="{00000000-0005-0000-0000-000096D50000}"/>
    <cellStyle name="Total 8 7 6" xfId="54675" xr:uid="{00000000-0005-0000-0000-000097D50000}"/>
    <cellStyle name="Total 8 8" xfId="54676" xr:uid="{00000000-0005-0000-0000-000098D50000}"/>
    <cellStyle name="Total 8 9" xfId="54677" xr:uid="{00000000-0005-0000-0000-000099D50000}"/>
    <cellStyle name="Total 9" xfId="54678" xr:uid="{00000000-0005-0000-0000-00009AD50000}"/>
    <cellStyle name="Total 9 10" xfId="54679" xr:uid="{00000000-0005-0000-0000-00009BD50000}"/>
    <cellStyle name="Total 9 2" xfId="54680" xr:uid="{00000000-0005-0000-0000-00009CD50000}"/>
    <cellStyle name="Total 9 2 2" xfId="54681" xr:uid="{00000000-0005-0000-0000-00009DD50000}"/>
    <cellStyle name="Total 9 2 3" xfId="54682" xr:uid="{00000000-0005-0000-0000-00009ED50000}"/>
    <cellStyle name="Total 9 2 4" xfId="54683" xr:uid="{00000000-0005-0000-0000-00009FD50000}"/>
    <cellStyle name="Total 9 2 5" xfId="54684" xr:uid="{00000000-0005-0000-0000-0000A0D50000}"/>
    <cellStyle name="Total 9 2 6" xfId="54685" xr:uid="{00000000-0005-0000-0000-0000A1D50000}"/>
    <cellStyle name="Total 9 3" xfId="54686" xr:uid="{00000000-0005-0000-0000-0000A2D50000}"/>
    <cellStyle name="Total 9 3 2" xfId="54687" xr:uid="{00000000-0005-0000-0000-0000A3D50000}"/>
    <cellStyle name="Total 9 3 3" xfId="54688" xr:uid="{00000000-0005-0000-0000-0000A4D50000}"/>
    <cellStyle name="Total 9 3 4" xfId="54689" xr:uid="{00000000-0005-0000-0000-0000A5D50000}"/>
    <cellStyle name="Total 9 3 5" xfId="54690" xr:uid="{00000000-0005-0000-0000-0000A6D50000}"/>
    <cellStyle name="Total 9 3 6" xfId="54691" xr:uid="{00000000-0005-0000-0000-0000A7D50000}"/>
    <cellStyle name="Total 9 4" xfId="54692" xr:uid="{00000000-0005-0000-0000-0000A8D50000}"/>
    <cellStyle name="Total 9 4 2" xfId="54693" xr:uid="{00000000-0005-0000-0000-0000A9D50000}"/>
    <cellStyle name="Total 9 4 3" xfId="54694" xr:uid="{00000000-0005-0000-0000-0000AAD50000}"/>
    <cellStyle name="Total 9 4 4" xfId="54695" xr:uid="{00000000-0005-0000-0000-0000ABD50000}"/>
    <cellStyle name="Total 9 4 5" xfId="54696" xr:uid="{00000000-0005-0000-0000-0000ACD50000}"/>
    <cellStyle name="Total 9 4 6" xfId="54697" xr:uid="{00000000-0005-0000-0000-0000ADD50000}"/>
    <cellStyle name="Total 9 5" xfId="54698" xr:uid="{00000000-0005-0000-0000-0000AED50000}"/>
    <cellStyle name="Total 9 5 2" xfId="54699" xr:uid="{00000000-0005-0000-0000-0000AFD50000}"/>
    <cellStyle name="Total 9 5 3" xfId="54700" xr:uid="{00000000-0005-0000-0000-0000B0D50000}"/>
    <cellStyle name="Total 9 5 4" xfId="54701" xr:uid="{00000000-0005-0000-0000-0000B1D50000}"/>
    <cellStyle name="Total 9 5 5" xfId="54702" xr:uid="{00000000-0005-0000-0000-0000B2D50000}"/>
    <cellStyle name="Total 9 5 6" xfId="54703" xr:uid="{00000000-0005-0000-0000-0000B3D50000}"/>
    <cellStyle name="Total 9 6" xfId="54704" xr:uid="{00000000-0005-0000-0000-0000B4D50000}"/>
    <cellStyle name="Total 9 6 2" xfId="54705" xr:uid="{00000000-0005-0000-0000-0000B5D50000}"/>
    <cellStyle name="Total 9 6 3" xfId="54706" xr:uid="{00000000-0005-0000-0000-0000B6D50000}"/>
    <cellStyle name="Total 9 6 4" xfId="54707" xr:uid="{00000000-0005-0000-0000-0000B7D50000}"/>
    <cellStyle name="Total 9 6 5" xfId="54708" xr:uid="{00000000-0005-0000-0000-0000B8D50000}"/>
    <cellStyle name="Total 9 6 6" xfId="54709" xr:uid="{00000000-0005-0000-0000-0000B9D50000}"/>
    <cellStyle name="Total 9 7" xfId="54710" xr:uid="{00000000-0005-0000-0000-0000BAD50000}"/>
    <cellStyle name="Total 9 7 2" xfId="54711" xr:uid="{00000000-0005-0000-0000-0000BBD50000}"/>
    <cellStyle name="Total 9 7 3" xfId="54712" xr:uid="{00000000-0005-0000-0000-0000BCD50000}"/>
    <cellStyle name="Total 9 7 4" xfId="54713" xr:uid="{00000000-0005-0000-0000-0000BDD50000}"/>
    <cellStyle name="Total 9 7 5" xfId="54714" xr:uid="{00000000-0005-0000-0000-0000BED50000}"/>
    <cellStyle name="Total 9 7 6" xfId="54715" xr:uid="{00000000-0005-0000-0000-0000BFD50000}"/>
    <cellStyle name="Total 9 8" xfId="54716" xr:uid="{00000000-0005-0000-0000-0000C0D50000}"/>
    <cellStyle name="Total 9 9" xfId="54717" xr:uid="{00000000-0005-0000-0000-0000C1D50000}"/>
    <cellStyle name="Tusental (0)_Bank D" xfId="54718" xr:uid="{00000000-0005-0000-0000-0000C2D50000}"/>
    <cellStyle name="Undefiniert" xfId="54719" xr:uid="{00000000-0005-0000-0000-0000C3D50000}"/>
    <cellStyle name="Undefiniert 2" xfId="54720" xr:uid="{00000000-0005-0000-0000-0000C4D50000}"/>
    <cellStyle name="Undefiniert 3" xfId="54721" xr:uid="{00000000-0005-0000-0000-0000C5D50000}"/>
    <cellStyle name="Undefiniert 4" xfId="54722" xr:uid="{00000000-0005-0000-0000-0000C6D50000}"/>
    <cellStyle name="Update" xfId="54723" xr:uid="{00000000-0005-0000-0000-0000C7D50000}"/>
    <cellStyle name="USD" xfId="54724" xr:uid="{00000000-0005-0000-0000-0000C8D50000}"/>
    <cellStyle name="USD 2" xfId="54725" xr:uid="{00000000-0005-0000-0000-0000C9D50000}"/>
    <cellStyle name="USD Paren" xfId="54726" xr:uid="{00000000-0005-0000-0000-0000CAD50000}"/>
    <cellStyle name="USD_Black Box 10 UNLOCKED" xfId="54727" xr:uid="{00000000-0005-0000-0000-0000CBD50000}"/>
    <cellStyle name="V¡rgula" xfId="54728" xr:uid="{00000000-0005-0000-0000-0000CCD50000}"/>
    <cellStyle name="V¡rgula0" xfId="54729" xr:uid="{00000000-0005-0000-0000-0000CDD50000}"/>
    <cellStyle name="vaca" xfId="54730" xr:uid="{00000000-0005-0000-0000-0000CED50000}"/>
    <cellStyle name="Valuta (0)_Bank D" xfId="54731" xr:uid="{00000000-0005-0000-0000-0000CFD50000}"/>
    <cellStyle name="Valuta [0]_Betaalbaarheid_a" xfId="54732" xr:uid="{00000000-0005-0000-0000-0000D0D50000}"/>
    <cellStyle name="Valuta_Betaalbaarheid_a" xfId="54733" xr:uid="{00000000-0005-0000-0000-0000D1D50000}"/>
    <cellStyle name="Virgül [0]_08-01" xfId="54734" xr:uid="{00000000-0005-0000-0000-0000D2D50000}"/>
    <cellStyle name="Virgül_08-01" xfId="54735" xr:uid="{00000000-0005-0000-0000-0000D3D50000}"/>
    <cellStyle name="Vírgula" xfId="54736" xr:uid="{00000000-0005-0000-0000-0000D4D50000}"/>
    <cellStyle name="Vírgula 2" xfId="54737" xr:uid="{00000000-0005-0000-0000-0000D5D50000}"/>
    <cellStyle name="Vírgula 3" xfId="54738" xr:uid="{00000000-0005-0000-0000-0000D6D50000}"/>
    <cellStyle name="Vírgula 4" xfId="54739" xr:uid="{00000000-0005-0000-0000-0000D7D50000}"/>
    <cellStyle name="Währung [0]_CoAsDCol" xfId="54740" xr:uid="{00000000-0005-0000-0000-0000D8D50000}"/>
    <cellStyle name="Währung_CoAsDCol" xfId="54741" xr:uid="{00000000-0005-0000-0000-0000D9D50000}"/>
    <cellStyle name="Warning Text 10" xfId="54742" xr:uid="{00000000-0005-0000-0000-0000DAD50000}"/>
    <cellStyle name="Warning Text 2" xfId="54743" xr:uid="{00000000-0005-0000-0000-0000DBD50000}"/>
    <cellStyle name="Warning Text 3" xfId="54744" xr:uid="{00000000-0005-0000-0000-0000DCD50000}"/>
    <cellStyle name="Warning Text 3 2" xfId="54745" xr:uid="{00000000-0005-0000-0000-0000DDD50000}"/>
    <cellStyle name="Warning Text 4" xfId="54746" xr:uid="{00000000-0005-0000-0000-0000DED50000}"/>
    <cellStyle name="Warning Text 5" xfId="54747" xr:uid="{00000000-0005-0000-0000-0000DFD50000}"/>
    <cellStyle name="Warning Text 6" xfId="54748" xr:uid="{00000000-0005-0000-0000-0000E0D50000}"/>
    <cellStyle name="Warning Text 7" xfId="54749" xr:uid="{00000000-0005-0000-0000-0000E1D50000}"/>
    <cellStyle name="Warning Text 8" xfId="54750" xr:uid="{00000000-0005-0000-0000-0000E2D50000}"/>
    <cellStyle name="Warning Text 9" xfId="54751" xr:uid="{00000000-0005-0000-0000-0000E3D50000}"/>
    <cellStyle name="WebAnchor1" xfId="54752" xr:uid="{00000000-0005-0000-0000-0000E4D50000}"/>
    <cellStyle name="WebAnchor2" xfId="54753" xr:uid="{00000000-0005-0000-0000-0000E5D50000}"/>
    <cellStyle name="WebAnchor3" xfId="54754" xr:uid="{00000000-0005-0000-0000-0000E6D50000}"/>
    <cellStyle name="WebAnchor4" xfId="54755" xr:uid="{00000000-0005-0000-0000-0000E7D50000}"/>
    <cellStyle name="WebAnchor5" xfId="54756" xr:uid="{00000000-0005-0000-0000-0000E8D50000}"/>
    <cellStyle name="WebAnchor6" xfId="54757" xr:uid="{00000000-0005-0000-0000-0000E9D50000}"/>
    <cellStyle name="WebAnchor7" xfId="54758" xr:uid="{00000000-0005-0000-0000-0000EAD50000}"/>
    <cellStyle name="WebBold" xfId="54759" xr:uid="{00000000-0005-0000-0000-0000EBD50000}"/>
    <cellStyle name="WebDate" xfId="54760" xr:uid="{00000000-0005-0000-0000-0000ECD50000}"/>
    <cellStyle name="WebExclude" xfId="54761" xr:uid="{00000000-0005-0000-0000-0000EDD50000}"/>
    <cellStyle name="WebFN" xfId="54762" xr:uid="{00000000-0005-0000-0000-0000EED50000}"/>
    <cellStyle name="WebFN1" xfId="54763" xr:uid="{00000000-0005-0000-0000-0000EFD50000}"/>
    <cellStyle name="WebFN2" xfId="54764" xr:uid="{00000000-0005-0000-0000-0000F0D50000}"/>
    <cellStyle name="WebFN3" xfId="54765" xr:uid="{00000000-0005-0000-0000-0000F1D50000}"/>
    <cellStyle name="WebFN4" xfId="54766" xr:uid="{00000000-0005-0000-0000-0000F2D50000}"/>
    <cellStyle name="WebHR" xfId="54767" xr:uid="{00000000-0005-0000-0000-0000F3D50000}"/>
    <cellStyle name="WebIndent1" xfId="54768" xr:uid="{00000000-0005-0000-0000-0000F4D50000}"/>
    <cellStyle name="WebIndent1 2" xfId="54769" xr:uid="{00000000-0005-0000-0000-0000F5D50000}"/>
    <cellStyle name="WebIndent1wFN3" xfId="54770" xr:uid="{00000000-0005-0000-0000-0000F6D50000}"/>
    <cellStyle name="WebIndent2" xfId="54771" xr:uid="{00000000-0005-0000-0000-0000F7D50000}"/>
    <cellStyle name="WebIndent2 2" xfId="54772" xr:uid="{00000000-0005-0000-0000-0000F8D50000}"/>
    <cellStyle name="WebNoBR" xfId="54773" xr:uid="{00000000-0005-0000-0000-0000F9D50000}"/>
    <cellStyle name="WebNoBR 2" xfId="54774" xr:uid="{00000000-0005-0000-0000-0000FAD50000}"/>
    <cellStyle name="year" xfId="54775" xr:uid="{00000000-0005-0000-0000-0000FBD50000}"/>
    <cellStyle name="Záhlaví 1" xfId="54776" xr:uid="{00000000-0005-0000-0000-0000FCD50000}"/>
    <cellStyle name="Záhlaví 1 2" xfId="54777" xr:uid="{00000000-0005-0000-0000-0000FDD50000}"/>
    <cellStyle name="Záhlaví 1 3" xfId="54778" xr:uid="{00000000-0005-0000-0000-0000FED50000}"/>
    <cellStyle name="Záhlaví 1 4" xfId="54779" xr:uid="{00000000-0005-0000-0000-0000FFD50000}"/>
    <cellStyle name="Záhlaví 2" xfId="54780" xr:uid="{00000000-0005-0000-0000-000000D60000}"/>
    <cellStyle name="Záhlaví 2 2" xfId="54781" xr:uid="{00000000-0005-0000-0000-000001D60000}"/>
    <cellStyle name="Záhlaví 2 3" xfId="54782" xr:uid="{00000000-0005-0000-0000-000002D60000}"/>
    <cellStyle name="Záhlaví 2 4" xfId="54783" xr:uid="{00000000-0005-0000-0000-000003D60000}"/>
    <cellStyle name="zero" xfId="54784" xr:uid="{00000000-0005-0000-0000-000004D60000}"/>
    <cellStyle name="þ_x001d_ð‡_x000c_éþ÷_x000c_âþU_x0001__x001f__x000f_&quot;_x0007__x0001__x0001_" xfId="54363" xr:uid="{00000000-0005-0000-0000-00005BD40000}"/>
    <cellStyle name="þ_x001d_ð‡_x000c_éþ÷_x000c_âþU_x0001__x001f__x000f_&quot;_x0007__x0001__x0001_ 2" xfId="54364" xr:uid="{00000000-0005-0000-0000-00005DD40000}"/>
    <cellStyle name="þ_x001d_ð‡_x000c_éþ÷_x000c_âþU_x0001__x001f__x000f_&quot;_x0007__x0001__x0001_ 3" xfId="54365" xr:uid="{00000000-0005-0000-0000-00005FD40000}"/>
    <cellStyle name="þ_x001d_ð‡_x000c_éþ÷_x000c_âþU_x0001__x001f__x000f_&quot;_x0007__x0001__x0001_ 4" xfId="54366" xr:uid="{00000000-0005-0000-0000-000061D40000}"/>
    <cellStyle name="Гиперссылка" xfId="54785" xr:uid="{00000000-0005-0000-0000-000005D60000}"/>
    <cellStyle name="ДАТА" xfId="54786" xr:uid="{00000000-0005-0000-0000-000006D60000}"/>
    <cellStyle name="ДАТА 2" xfId="54787" xr:uid="{00000000-0005-0000-0000-000007D60000}"/>
    <cellStyle name="ДАТА 2 2" xfId="54788" xr:uid="{00000000-0005-0000-0000-000008D60000}"/>
    <cellStyle name="ДАТА 3" xfId="54789" xr:uid="{00000000-0005-0000-0000-000009D60000}"/>
    <cellStyle name="Денежный [0]_453" xfId="54790" xr:uid="{00000000-0005-0000-0000-00000AD60000}"/>
    <cellStyle name="Денежный_453" xfId="54791" xr:uid="{00000000-0005-0000-0000-00000BD60000}"/>
    <cellStyle name="ЗАГОЛОВОК1" xfId="54792" xr:uid="{00000000-0005-0000-0000-00000CD60000}"/>
    <cellStyle name="ЗАГОЛОВОК1 2" xfId="54793" xr:uid="{00000000-0005-0000-0000-00000DD60000}"/>
    <cellStyle name="ЗАГОЛОВОК1 2 2" xfId="54794" xr:uid="{00000000-0005-0000-0000-00000ED60000}"/>
    <cellStyle name="ЗАГОЛОВОК1 3" xfId="54795" xr:uid="{00000000-0005-0000-0000-00000FD60000}"/>
    <cellStyle name="ЗАГОЛОВОК2" xfId="54796" xr:uid="{00000000-0005-0000-0000-000010D60000}"/>
    <cellStyle name="ЗАГОЛОВОК2 2" xfId="54797" xr:uid="{00000000-0005-0000-0000-000011D60000}"/>
    <cellStyle name="ЗАГОЛОВОК2 2 2" xfId="54798" xr:uid="{00000000-0005-0000-0000-000012D60000}"/>
    <cellStyle name="ЗАГОЛОВОК2 3" xfId="54799" xr:uid="{00000000-0005-0000-0000-000013D60000}"/>
    <cellStyle name="ИТОГОВЫЙ" xfId="54800" xr:uid="{00000000-0005-0000-0000-000014D60000}"/>
    <cellStyle name="ИТОГОВЫЙ 2" xfId="54801" xr:uid="{00000000-0005-0000-0000-000015D60000}"/>
    <cellStyle name="ИТОГОВЫЙ 2 2" xfId="54802" xr:uid="{00000000-0005-0000-0000-000016D60000}"/>
    <cellStyle name="ИТОГОВЫЙ 3" xfId="54803" xr:uid="{00000000-0005-0000-0000-000017D60000}"/>
    <cellStyle name="Обычный_03_23 оценка по методике фонда" xfId="54804" xr:uid="{00000000-0005-0000-0000-000018D60000}"/>
    <cellStyle name="Открывавшаяся гиперссылка" xfId="54805" xr:uid="{00000000-0005-0000-0000-000019D60000}"/>
    <cellStyle name="ПРОЦЕНТНЫЙ_BOPENGC" xfId="54806" xr:uid="{00000000-0005-0000-0000-00001AD60000}"/>
    <cellStyle name="ТЕКСТ" xfId="54807" xr:uid="{00000000-0005-0000-0000-00001BD60000}"/>
    <cellStyle name="ТЕКСТ 2" xfId="54808" xr:uid="{00000000-0005-0000-0000-00001CD60000}"/>
    <cellStyle name="ТЕКСТ 2 2" xfId="54809" xr:uid="{00000000-0005-0000-0000-00001DD60000}"/>
    <cellStyle name="ТЕКСТ 3" xfId="54810" xr:uid="{00000000-0005-0000-0000-00001ED60000}"/>
    <cellStyle name="Тысячи [0]_Розподіл (2)" xfId="54811" xr:uid="{00000000-0005-0000-0000-00001FD60000}"/>
    <cellStyle name="Тысячи_Розподіл (2)" xfId="54812" xr:uid="{00000000-0005-0000-0000-000020D60000}"/>
    <cellStyle name="ФИКСИРОВАННЫЙ" xfId="54813" xr:uid="{00000000-0005-0000-0000-000021D60000}"/>
    <cellStyle name="ФИКСИРОВАННЫЙ 2" xfId="54814" xr:uid="{00000000-0005-0000-0000-000022D60000}"/>
    <cellStyle name="ФИКСИРОВАННЫЙ 3" xfId="54815" xr:uid="{00000000-0005-0000-0000-000023D60000}"/>
    <cellStyle name="Финансовый [0]_453" xfId="54816" xr:uid="{00000000-0005-0000-0000-000024D60000}"/>
    <cellStyle name="Финансовый_453" xfId="54817" xr:uid="{00000000-0005-0000-0000-000025D60000}"/>
    <cellStyle name="ปกติ_Tab53" xfId="54818" xr:uid="{00000000-0005-0000-0000-000026D60000}"/>
    <cellStyle name="강조색1" xfId="54822" xr:uid="{00000000-0005-0000-0000-00002AD60000}"/>
    <cellStyle name="강조색2" xfId="54823" xr:uid="{00000000-0005-0000-0000-00002BD60000}"/>
    <cellStyle name="강조색3" xfId="54824" xr:uid="{00000000-0005-0000-0000-00002CD60000}"/>
    <cellStyle name="강조색4" xfId="54825" xr:uid="{00000000-0005-0000-0000-00002DD60000}"/>
    <cellStyle name="강조색5" xfId="54826" xr:uid="{00000000-0005-0000-0000-00002ED60000}"/>
    <cellStyle name="강조색6" xfId="54827" xr:uid="{00000000-0005-0000-0000-00002FD60000}"/>
    <cellStyle name="경고문" xfId="54828" xr:uid="{00000000-0005-0000-0000-000030D60000}"/>
    <cellStyle name="계산" xfId="54829" xr:uid="{00000000-0005-0000-0000-000031D60000}"/>
    <cellStyle name="계산 10" xfId="54830" xr:uid="{00000000-0005-0000-0000-000032D60000}"/>
    <cellStyle name="계산 2" xfId="54831" xr:uid="{00000000-0005-0000-0000-000033D60000}"/>
    <cellStyle name="계산 2 2" xfId="54832" xr:uid="{00000000-0005-0000-0000-000034D60000}"/>
    <cellStyle name="계산 2 3" xfId="54833" xr:uid="{00000000-0005-0000-0000-000035D60000}"/>
    <cellStyle name="계산 2 4" xfId="54834" xr:uid="{00000000-0005-0000-0000-000036D60000}"/>
    <cellStyle name="계산 2 5" xfId="54835" xr:uid="{00000000-0005-0000-0000-000037D60000}"/>
    <cellStyle name="계산 2 6" xfId="54836" xr:uid="{00000000-0005-0000-0000-000038D60000}"/>
    <cellStyle name="계산 3" xfId="54837" xr:uid="{00000000-0005-0000-0000-000039D60000}"/>
    <cellStyle name="계산 3 2" xfId="54838" xr:uid="{00000000-0005-0000-0000-00003AD60000}"/>
    <cellStyle name="계산 3 3" xfId="54839" xr:uid="{00000000-0005-0000-0000-00003BD60000}"/>
    <cellStyle name="계산 3 4" xfId="54840" xr:uid="{00000000-0005-0000-0000-00003CD60000}"/>
    <cellStyle name="계산 3 5" xfId="54841" xr:uid="{00000000-0005-0000-0000-00003DD60000}"/>
    <cellStyle name="계산 3 6" xfId="54842" xr:uid="{00000000-0005-0000-0000-00003ED60000}"/>
    <cellStyle name="계산 4" xfId="54843" xr:uid="{00000000-0005-0000-0000-00003FD60000}"/>
    <cellStyle name="계산 4 2" xfId="54844" xr:uid="{00000000-0005-0000-0000-000040D60000}"/>
    <cellStyle name="계산 4 3" xfId="54845" xr:uid="{00000000-0005-0000-0000-000041D60000}"/>
    <cellStyle name="계산 4 4" xfId="54846" xr:uid="{00000000-0005-0000-0000-000042D60000}"/>
    <cellStyle name="계산 4 5" xfId="54847" xr:uid="{00000000-0005-0000-0000-000043D60000}"/>
    <cellStyle name="계산 4 6" xfId="54848" xr:uid="{00000000-0005-0000-0000-000044D60000}"/>
    <cellStyle name="계산 5" xfId="54849" xr:uid="{00000000-0005-0000-0000-000045D60000}"/>
    <cellStyle name="계산 5 2" xfId="54850" xr:uid="{00000000-0005-0000-0000-000046D60000}"/>
    <cellStyle name="계산 5 3" xfId="54851" xr:uid="{00000000-0005-0000-0000-000047D60000}"/>
    <cellStyle name="계산 5 4" xfId="54852" xr:uid="{00000000-0005-0000-0000-000048D60000}"/>
    <cellStyle name="계산 5 5" xfId="54853" xr:uid="{00000000-0005-0000-0000-000049D60000}"/>
    <cellStyle name="계산 5 6" xfId="54854" xr:uid="{00000000-0005-0000-0000-00004AD60000}"/>
    <cellStyle name="계산 6" xfId="54855" xr:uid="{00000000-0005-0000-0000-00004BD60000}"/>
    <cellStyle name="계산 6 2" xfId="54856" xr:uid="{00000000-0005-0000-0000-00004CD60000}"/>
    <cellStyle name="계산 6 3" xfId="54857" xr:uid="{00000000-0005-0000-0000-00004DD60000}"/>
    <cellStyle name="계산 6 4" xfId="54858" xr:uid="{00000000-0005-0000-0000-00004ED60000}"/>
    <cellStyle name="계산 6 5" xfId="54859" xr:uid="{00000000-0005-0000-0000-00004FD60000}"/>
    <cellStyle name="계산 6 6" xfId="54860" xr:uid="{00000000-0005-0000-0000-000050D60000}"/>
    <cellStyle name="계산 7" xfId="54861" xr:uid="{00000000-0005-0000-0000-000051D60000}"/>
    <cellStyle name="계산 7 2" xfId="54862" xr:uid="{00000000-0005-0000-0000-000052D60000}"/>
    <cellStyle name="계산 7 3" xfId="54863" xr:uid="{00000000-0005-0000-0000-000053D60000}"/>
    <cellStyle name="계산 7 4" xfId="54864" xr:uid="{00000000-0005-0000-0000-000054D60000}"/>
    <cellStyle name="계산 7 5" xfId="54865" xr:uid="{00000000-0005-0000-0000-000055D60000}"/>
    <cellStyle name="계산 7 6" xfId="54866" xr:uid="{00000000-0005-0000-0000-000056D60000}"/>
    <cellStyle name="계산 8" xfId="54867" xr:uid="{00000000-0005-0000-0000-000057D60000}"/>
    <cellStyle name="계산 9" xfId="54868" xr:uid="{00000000-0005-0000-0000-000058D60000}"/>
    <cellStyle name="나쁨" xfId="54869" xr:uid="{00000000-0005-0000-0000-000059D60000}"/>
    <cellStyle name="똿뗦먛귟 [0.00]_PRODUCT DETAIL Q1" xfId="54870" xr:uid="{00000000-0005-0000-0000-00005AD60000}"/>
    <cellStyle name="똿뗦먛귟_PRODUCT DETAIL Q1" xfId="54871" xr:uid="{00000000-0005-0000-0000-00005BD60000}"/>
    <cellStyle name="메모" xfId="54872" xr:uid="{00000000-0005-0000-0000-00005CD60000}"/>
    <cellStyle name="메모 10" xfId="54873" xr:uid="{00000000-0005-0000-0000-00005DD60000}"/>
    <cellStyle name="메모 2" xfId="54874" xr:uid="{00000000-0005-0000-0000-00005ED60000}"/>
    <cellStyle name="메모 2 2" xfId="54875" xr:uid="{00000000-0005-0000-0000-00005FD60000}"/>
    <cellStyle name="메모 2 3" xfId="54876" xr:uid="{00000000-0005-0000-0000-000060D60000}"/>
    <cellStyle name="메모 2 4" xfId="54877" xr:uid="{00000000-0005-0000-0000-000061D60000}"/>
    <cellStyle name="메모 2 5" xfId="54878" xr:uid="{00000000-0005-0000-0000-000062D60000}"/>
    <cellStyle name="메모 2 6" xfId="54879" xr:uid="{00000000-0005-0000-0000-000063D60000}"/>
    <cellStyle name="메모 3" xfId="54880" xr:uid="{00000000-0005-0000-0000-000064D60000}"/>
    <cellStyle name="메모 3 2" xfId="54881" xr:uid="{00000000-0005-0000-0000-000065D60000}"/>
    <cellStyle name="메모 3 3" xfId="54882" xr:uid="{00000000-0005-0000-0000-000066D60000}"/>
    <cellStyle name="메모 3 4" xfId="54883" xr:uid="{00000000-0005-0000-0000-000067D60000}"/>
    <cellStyle name="메모 3 5" xfId="54884" xr:uid="{00000000-0005-0000-0000-000068D60000}"/>
    <cellStyle name="메모 3 6" xfId="54885" xr:uid="{00000000-0005-0000-0000-000069D60000}"/>
    <cellStyle name="메모 4" xfId="54886" xr:uid="{00000000-0005-0000-0000-00006AD60000}"/>
    <cellStyle name="메모 4 2" xfId="54887" xr:uid="{00000000-0005-0000-0000-00006BD60000}"/>
    <cellStyle name="메모 4 3" xfId="54888" xr:uid="{00000000-0005-0000-0000-00006CD60000}"/>
    <cellStyle name="메모 4 4" xfId="54889" xr:uid="{00000000-0005-0000-0000-00006DD60000}"/>
    <cellStyle name="메모 4 5" xfId="54890" xr:uid="{00000000-0005-0000-0000-00006ED60000}"/>
    <cellStyle name="메모 4 6" xfId="54891" xr:uid="{00000000-0005-0000-0000-00006FD60000}"/>
    <cellStyle name="메모 5" xfId="54892" xr:uid="{00000000-0005-0000-0000-000070D60000}"/>
    <cellStyle name="메모 5 2" xfId="54893" xr:uid="{00000000-0005-0000-0000-000071D60000}"/>
    <cellStyle name="메모 5 3" xfId="54894" xr:uid="{00000000-0005-0000-0000-000072D60000}"/>
    <cellStyle name="메모 5 4" xfId="54895" xr:uid="{00000000-0005-0000-0000-000073D60000}"/>
    <cellStyle name="메모 5 5" xfId="54896" xr:uid="{00000000-0005-0000-0000-000074D60000}"/>
    <cellStyle name="메모 5 6" xfId="54897" xr:uid="{00000000-0005-0000-0000-000075D60000}"/>
    <cellStyle name="메모 6" xfId="54898" xr:uid="{00000000-0005-0000-0000-000076D60000}"/>
    <cellStyle name="메모 6 2" xfId="54899" xr:uid="{00000000-0005-0000-0000-000077D60000}"/>
    <cellStyle name="메모 6 3" xfId="54900" xr:uid="{00000000-0005-0000-0000-000078D60000}"/>
    <cellStyle name="메모 6 4" xfId="54901" xr:uid="{00000000-0005-0000-0000-000079D60000}"/>
    <cellStyle name="메모 6 5" xfId="54902" xr:uid="{00000000-0005-0000-0000-00007AD60000}"/>
    <cellStyle name="메모 6 6" xfId="54903" xr:uid="{00000000-0005-0000-0000-00007BD60000}"/>
    <cellStyle name="메모 7" xfId="54904" xr:uid="{00000000-0005-0000-0000-00007CD60000}"/>
    <cellStyle name="메모 7 2" xfId="54905" xr:uid="{00000000-0005-0000-0000-00007DD60000}"/>
    <cellStyle name="메모 7 3" xfId="54906" xr:uid="{00000000-0005-0000-0000-00007ED60000}"/>
    <cellStyle name="메모 7 4" xfId="54907" xr:uid="{00000000-0005-0000-0000-00007FD60000}"/>
    <cellStyle name="메모 7 5" xfId="54908" xr:uid="{00000000-0005-0000-0000-000080D60000}"/>
    <cellStyle name="메모 7 6" xfId="54909" xr:uid="{00000000-0005-0000-0000-000081D60000}"/>
    <cellStyle name="메모 8" xfId="54910" xr:uid="{00000000-0005-0000-0000-000082D60000}"/>
    <cellStyle name="메모 9" xfId="54911" xr:uid="{00000000-0005-0000-0000-000083D60000}"/>
    <cellStyle name="믅됞 [0.00]_PRODUCT DETAIL Q1" xfId="54912" xr:uid="{00000000-0005-0000-0000-000084D60000}"/>
    <cellStyle name="믅됞_PRODUCT DETAIL Q1" xfId="54913" xr:uid="{00000000-0005-0000-0000-000085D60000}"/>
    <cellStyle name="백분율_95" xfId="54914" xr:uid="{00000000-0005-0000-0000-000086D60000}"/>
    <cellStyle name="보통" xfId="54915" xr:uid="{00000000-0005-0000-0000-000087D60000}"/>
    <cellStyle name="뷭?_BOOKSHIP" xfId="54916" xr:uid="{00000000-0005-0000-0000-000088D60000}"/>
    <cellStyle name="설명 텍스트" xfId="54917" xr:uid="{00000000-0005-0000-0000-000089D60000}"/>
    <cellStyle name="셀 확인" xfId="54918" xr:uid="{00000000-0005-0000-0000-00008AD60000}"/>
    <cellStyle name="연결된 셀" xfId="54919" xr:uid="{00000000-0005-0000-0000-00008BD60000}"/>
    <cellStyle name="요약" xfId="54920" xr:uid="{00000000-0005-0000-0000-00008CD60000}"/>
    <cellStyle name="요약 10" xfId="54921" xr:uid="{00000000-0005-0000-0000-00008DD60000}"/>
    <cellStyle name="요약 2" xfId="54922" xr:uid="{00000000-0005-0000-0000-00008ED60000}"/>
    <cellStyle name="요약 2 2" xfId="54923" xr:uid="{00000000-0005-0000-0000-00008FD60000}"/>
    <cellStyle name="요약 2 3" xfId="54924" xr:uid="{00000000-0005-0000-0000-000090D60000}"/>
    <cellStyle name="요약 2 4" xfId="54925" xr:uid="{00000000-0005-0000-0000-000091D60000}"/>
    <cellStyle name="요약 2 5" xfId="54926" xr:uid="{00000000-0005-0000-0000-000092D60000}"/>
    <cellStyle name="요약 2 6" xfId="54927" xr:uid="{00000000-0005-0000-0000-000093D60000}"/>
    <cellStyle name="요약 3" xfId="54928" xr:uid="{00000000-0005-0000-0000-000094D60000}"/>
    <cellStyle name="요약 3 2" xfId="54929" xr:uid="{00000000-0005-0000-0000-000095D60000}"/>
    <cellStyle name="요약 3 3" xfId="54930" xr:uid="{00000000-0005-0000-0000-000096D60000}"/>
    <cellStyle name="요약 3 4" xfId="54931" xr:uid="{00000000-0005-0000-0000-000097D60000}"/>
    <cellStyle name="요약 3 5" xfId="54932" xr:uid="{00000000-0005-0000-0000-000098D60000}"/>
    <cellStyle name="요약 3 6" xfId="54933" xr:uid="{00000000-0005-0000-0000-000099D60000}"/>
    <cellStyle name="요약 4" xfId="54934" xr:uid="{00000000-0005-0000-0000-00009AD60000}"/>
    <cellStyle name="요약 4 2" xfId="54935" xr:uid="{00000000-0005-0000-0000-00009BD60000}"/>
    <cellStyle name="요약 4 3" xfId="54936" xr:uid="{00000000-0005-0000-0000-00009CD60000}"/>
    <cellStyle name="요약 4 4" xfId="54937" xr:uid="{00000000-0005-0000-0000-00009DD60000}"/>
    <cellStyle name="요약 4 5" xfId="54938" xr:uid="{00000000-0005-0000-0000-00009ED60000}"/>
    <cellStyle name="요약 4 6" xfId="54939" xr:uid="{00000000-0005-0000-0000-00009FD60000}"/>
    <cellStyle name="요약 5" xfId="54940" xr:uid="{00000000-0005-0000-0000-0000A0D60000}"/>
    <cellStyle name="요약 5 2" xfId="54941" xr:uid="{00000000-0005-0000-0000-0000A1D60000}"/>
    <cellStyle name="요약 5 3" xfId="54942" xr:uid="{00000000-0005-0000-0000-0000A2D60000}"/>
    <cellStyle name="요약 5 4" xfId="54943" xr:uid="{00000000-0005-0000-0000-0000A3D60000}"/>
    <cellStyle name="요약 5 5" xfId="54944" xr:uid="{00000000-0005-0000-0000-0000A4D60000}"/>
    <cellStyle name="요약 5 6" xfId="54945" xr:uid="{00000000-0005-0000-0000-0000A5D60000}"/>
    <cellStyle name="요약 6" xfId="54946" xr:uid="{00000000-0005-0000-0000-0000A6D60000}"/>
    <cellStyle name="요약 6 2" xfId="54947" xr:uid="{00000000-0005-0000-0000-0000A7D60000}"/>
    <cellStyle name="요약 6 3" xfId="54948" xr:uid="{00000000-0005-0000-0000-0000A8D60000}"/>
    <cellStyle name="요약 6 4" xfId="54949" xr:uid="{00000000-0005-0000-0000-0000A9D60000}"/>
    <cellStyle name="요약 6 5" xfId="54950" xr:uid="{00000000-0005-0000-0000-0000AAD60000}"/>
    <cellStyle name="요약 6 6" xfId="54951" xr:uid="{00000000-0005-0000-0000-0000ABD60000}"/>
    <cellStyle name="요약 7" xfId="54952" xr:uid="{00000000-0005-0000-0000-0000ACD60000}"/>
    <cellStyle name="요약 7 2" xfId="54953" xr:uid="{00000000-0005-0000-0000-0000ADD60000}"/>
    <cellStyle name="요약 7 3" xfId="54954" xr:uid="{00000000-0005-0000-0000-0000AED60000}"/>
    <cellStyle name="요약 7 4" xfId="54955" xr:uid="{00000000-0005-0000-0000-0000AFD60000}"/>
    <cellStyle name="요약 7 5" xfId="54956" xr:uid="{00000000-0005-0000-0000-0000B0D60000}"/>
    <cellStyle name="요약 7 6" xfId="54957" xr:uid="{00000000-0005-0000-0000-0000B1D60000}"/>
    <cellStyle name="요약 8" xfId="54958" xr:uid="{00000000-0005-0000-0000-0000B2D60000}"/>
    <cellStyle name="요약 9" xfId="54959" xr:uid="{00000000-0005-0000-0000-0000B3D60000}"/>
    <cellStyle name="입력" xfId="54960" xr:uid="{00000000-0005-0000-0000-0000B4D60000}"/>
    <cellStyle name="입력 10" xfId="54961" xr:uid="{00000000-0005-0000-0000-0000B5D60000}"/>
    <cellStyle name="입력 2" xfId="54962" xr:uid="{00000000-0005-0000-0000-0000B6D60000}"/>
    <cellStyle name="입력 2 2" xfId="54963" xr:uid="{00000000-0005-0000-0000-0000B7D60000}"/>
    <cellStyle name="입력 2 3" xfId="54964" xr:uid="{00000000-0005-0000-0000-0000B8D60000}"/>
    <cellStyle name="입력 2 4" xfId="54965" xr:uid="{00000000-0005-0000-0000-0000B9D60000}"/>
    <cellStyle name="입력 2 5" xfId="54966" xr:uid="{00000000-0005-0000-0000-0000BAD60000}"/>
    <cellStyle name="입력 2 6" xfId="54967" xr:uid="{00000000-0005-0000-0000-0000BBD60000}"/>
    <cellStyle name="입력 3" xfId="54968" xr:uid="{00000000-0005-0000-0000-0000BCD60000}"/>
    <cellStyle name="입력 3 2" xfId="54969" xr:uid="{00000000-0005-0000-0000-0000BDD60000}"/>
    <cellStyle name="입력 3 3" xfId="54970" xr:uid="{00000000-0005-0000-0000-0000BED60000}"/>
    <cellStyle name="입력 3 4" xfId="54971" xr:uid="{00000000-0005-0000-0000-0000BFD60000}"/>
    <cellStyle name="입력 3 5" xfId="54972" xr:uid="{00000000-0005-0000-0000-0000C0D60000}"/>
    <cellStyle name="입력 3 6" xfId="54973" xr:uid="{00000000-0005-0000-0000-0000C1D60000}"/>
    <cellStyle name="입력 4" xfId="54974" xr:uid="{00000000-0005-0000-0000-0000C2D60000}"/>
    <cellStyle name="입력 4 2" xfId="54975" xr:uid="{00000000-0005-0000-0000-0000C3D60000}"/>
    <cellStyle name="입력 4 3" xfId="54976" xr:uid="{00000000-0005-0000-0000-0000C4D60000}"/>
    <cellStyle name="입력 4 4" xfId="54977" xr:uid="{00000000-0005-0000-0000-0000C5D60000}"/>
    <cellStyle name="입력 4 5" xfId="54978" xr:uid="{00000000-0005-0000-0000-0000C6D60000}"/>
    <cellStyle name="입력 4 6" xfId="54979" xr:uid="{00000000-0005-0000-0000-0000C7D60000}"/>
    <cellStyle name="입력 5" xfId="54980" xr:uid="{00000000-0005-0000-0000-0000C8D60000}"/>
    <cellStyle name="입력 5 2" xfId="54981" xr:uid="{00000000-0005-0000-0000-0000C9D60000}"/>
    <cellStyle name="입력 5 3" xfId="54982" xr:uid="{00000000-0005-0000-0000-0000CAD60000}"/>
    <cellStyle name="입력 5 4" xfId="54983" xr:uid="{00000000-0005-0000-0000-0000CBD60000}"/>
    <cellStyle name="입력 5 5" xfId="54984" xr:uid="{00000000-0005-0000-0000-0000CCD60000}"/>
    <cellStyle name="입력 5 6" xfId="54985" xr:uid="{00000000-0005-0000-0000-0000CDD60000}"/>
    <cellStyle name="입력 6" xfId="54986" xr:uid="{00000000-0005-0000-0000-0000CED60000}"/>
    <cellStyle name="입력 6 2" xfId="54987" xr:uid="{00000000-0005-0000-0000-0000CFD60000}"/>
    <cellStyle name="입력 6 3" xfId="54988" xr:uid="{00000000-0005-0000-0000-0000D0D60000}"/>
    <cellStyle name="입력 6 4" xfId="54989" xr:uid="{00000000-0005-0000-0000-0000D1D60000}"/>
    <cellStyle name="입력 6 5" xfId="54990" xr:uid="{00000000-0005-0000-0000-0000D2D60000}"/>
    <cellStyle name="입력 6 6" xfId="54991" xr:uid="{00000000-0005-0000-0000-0000D3D60000}"/>
    <cellStyle name="입력 7" xfId="54992" xr:uid="{00000000-0005-0000-0000-0000D4D60000}"/>
    <cellStyle name="입력 7 2" xfId="54993" xr:uid="{00000000-0005-0000-0000-0000D5D60000}"/>
    <cellStyle name="입력 7 3" xfId="54994" xr:uid="{00000000-0005-0000-0000-0000D6D60000}"/>
    <cellStyle name="입력 7 4" xfId="54995" xr:uid="{00000000-0005-0000-0000-0000D7D60000}"/>
    <cellStyle name="입력 7 5" xfId="54996" xr:uid="{00000000-0005-0000-0000-0000D8D60000}"/>
    <cellStyle name="입력 7 6" xfId="54997" xr:uid="{00000000-0005-0000-0000-0000D9D60000}"/>
    <cellStyle name="입력 8" xfId="54998" xr:uid="{00000000-0005-0000-0000-0000DAD60000}"/>
    <cellStyle name="입력 9" xfId="54999" xr:uid="{00000000-0005-0000-0000-0000DBD60000}"/>
    <cellStyle name="제목" xfId="55000" xr:uid="{00000000-0005-0000-0000-0000DCD60000}"/>
    <cellStyle name="제목 1" xfId="55001" xr:uid="{00000000-0005-0000-0000-0000DDD60000}"/>
    <cellStyle name="제목 2" xfId="55002" xr:uid="{00000000-0005-0000-0000-0000DED60000}"/>
    <cellStyle name="제목 3" xfId="55003" xr:uid="{00000000-0005-0000-0000-0000DFD60000}"/>
    <cellStyle name="제목 4" xfId="55004" xr:uid="{00000000-0005-0000-0000-0000E0D60000}"/>
    <cellStyle name="좋음" xfId="55005" xr:uid="{00000000-0005-0000-0000-0000E1D60000}"/>
    <cellStyle name="출력" xfId="55006" xr:uid="{00000000-0005-0000-0000-0000E2D60000}"/>
    <cellStyle name="출력 10" xfId="55007" xr:uid="{00000000-0005-0000-0000-0000E3D60000}"/>
    <cellStyle name="출력 2" xfId="55008" xr:uid="{00000000-0005-0000-0000-0000E4D60000}"/>
    <cellStyle name="출력 2 2" xfId="55009" xr:uid="{00000000-0005-0000-0000-0000E5D60000}"/>
    <cellStyle name="출력 2 3" xfId="55010" xr:uid="{00000000-0005-0000-0000-0000E6D60000}"/>
    <cellStyle name="출력 2 4" xfId="55011" xr:uid="{00000000-0005-0000-0000-0000E7D60000}"/>
    <cellStyle name="출력 2 5" xfId="55012" xr:uid="{00000000-0005-0000-0000-0000E8D60000}"/>
    <cellStyle name="출력 2 6" xfId="55013" xr:uid="{00000000-0005-0000-0000-0000E9D60000}"/>
    <cellStyle name="출력 3" xfId="55014" xr:uid="{00000000-0005-0000-0000-0000EAD60000}"/>
    <cellStyle name="출력 3 2" xfId="55015" xr:uid="{00000000-0005-0000-0000-0000EBD60000}"/>
    <cellStyle name="출력 3 3" xfId="55016" xr:uid="{00000000-0005-0000-0000-0000ECD60000}"/>
    <cellStyle name="출력 3 4" xfId="55017" xr:uid="{00000000-0005-0000-0000-0000EDD60000}"/>
    <cellStyle name="출력 3 5" xfId="55018" xr:uid="{00000000-0005-0000-0000-0000EED60000}"/>
    <cellStyle name="출력 3 6" xfId="55019" xr:uid="{00000000-0005-0000-0000-0000EFD60000}"/>
    <cellStyle name="출력 4" xfId="55020" xr:uid="{00000000-0005-0000-0000-0000F0D60000}"/>
    <cellStyle name="출력 4 2" xfId="55021" xr:uid="{00000000-0005-0000-0000-0000F1D60000}"/>
    <cellStyle name="출력 4 3" xfId="55022" xr:uid="{00000000-0005-0000-0000-0000F2D60000}"/>
    <cellStyle name="출력 4 4" xfId="55023" xr:uid="{00000000-0005-0000-0000-0000F3D60000}"/>
    <cellStyle name="출력 4 5" xfId="55024" xr:uid="{00000000-0005-0000-0000-0000F4D60000}"/>
    <cellStyle name="출력 4 6" xfId="55025" xr:uid="{00000000-0005-0000-0000-0000F5D60000}"/>
    <cellStyle name="출력 5" xfId="55026" xr:uid="{00000000-0005-0000-0000-0000F6D60000}"/>
    <cellStyle name="출력 5 2" xfId="55027" xr:uid="{00000000-0005-0000-0000-0000F7D60000}"/>
    <cellStyle name="출력 5 3" xfId="55028" xr:uid="{00000000-0005-0000-0000-0000F8D60000}"/>
    <cellStyle name="출력 5 4" xfId="55029" xr:uid="{00000000-0005-0000-0000-0000F9D60000}"/>
    <cellStyle name="출력 5 5" xfId="55030" xr:uid="{00000000-0005-0000-0000-0000FAD60000}"/>
    <cellStyle name="출력 5 6" xfId="55031" xr:uid="{00000000-0005-0000-0000-0000FBD60000}"/>
    <cellStyle name="출력 6" xfId="55032" xr:uid="{00000000-0005-0000-0000-0000FCD60000}"/>
    <cellStyle name="출력 6 2" xfId="55033" xr:uid="{00000000-0005-0000-0000-0000FDD60000}"/>
    <cellStyle name="출력 6 3" xfId="55034" xr:uid="{00000000-0005-0000-0000-0000FED60000}"/>
    <cellStyle name="출력 6 4" xfId="55035" xr:uid="{00000000-0005-0000-0000-0000FFD60000}"/>
    <cellStyle name="출력 6 5" xfId="55036" xr:uid="{00000000-0005-0000-0000-000000D70000}"/>
    <cellStyle name="출력 6 6" xfId="55037" xr:uid="{00000000-0005-0000-0000-000001D70000}"/>
    <cellStyle name="출력 7" xfId="55038" xr:uid="{00000000-0005-0000-0000-000002D70000}"/>
    <cellStyle name="출력 7 2" xfId="55039" xr:uid="{00000000-0005-0000-0000-000003D70000}"/>
    <cellStyle name="출력 7 3" xfId="55040" xr:uid="{00000000-0005-0000-0000-000004D70000}"/>
    <cellStyle name="출력 7 4" xfId="55041" xr:uid="{00000000-0005-0000-0000-000005D70000}"/>
    <cellStyle name="출력 7 5" xfId="55042" xr:uid="{00000000-0005-0000-0000-000006D70000}"/>
    <cellStyle name="출력 7 6" xfId="55043" xr:uid="{00000000-0005-0000-0000-000007D70000}"/>
    <cellStyle name="출력 8" xfId="55044" xr:uid="{00000000-0005-0000-0000-000008D70000}"/>
    <cellStyle name="출력 9" xfId="55045" xr:uid="{00000000-0005-0000-0000-000009D70000}"/>
    <cellStyle name="콤마 [0]_1202" xfId="55046" xr:uid="{00000000-0005-0000-0000-00000AD70000}"/>
    <cellStyle name="콤마_1202" xfId="55047" xr:uid="{00000000-0005-0000-0000-00000BD70000}"/>
    <cellStyle name="통화 [0]_1202" xfId="55048" xr:uid="{00000000-0005-0000-0000-00000CD70000}"/>
    <cellStyle name="통화_1202" xfId="55049" xr:uid="{00000000-0005-0000-0000-00000DD70000}"/>
    <cellStyle name="표준_(정보부문)월별인원계획" xfId="55050" xr:uid="{00000000-0005-0000-0000-00000ED70000}"/>
    <cellStyle name="一般_99Q3647-ALL-CAS2" xfId="55051" xr:uid="{00000000-0005-0000-0000-00000FD70000}"/>
    <cellStyle name="列換靠上置中" xfId="55052" xr:uid="{00000000-0005-0000-0000-000010D70000}"/>
    <cellStyle name="列換靠上置中 2" xfId="55053" xr:uid="{00000000-0005-0000-0000-000011D70000}"/>
    <cellStyle name="列換靠下置中" xfId="55054" xr:uid="{00000000-0005-0000-0000-000012D70000}"/>
    <cellStyle name="列換靠下置中 2" xfId="55055" xr:uid="{00000000-0005-0000-0000-000013D70000}"/>
    <cellStyle name="列換靠右置中" xfId="55056" xr:uid="{00000000-0005-0000-0000-000014D70000}"/>
    <cellStyle name="列換靠右置中 2" xfId="55057" xr:uid="{00000000-0005-0000-0000-000015D70000}"/>
    <cellStyle name="列換靠左置中" xfId="55058" xr:uid="{00000000-0005-0000-0000-000016D70000}"/>
    <cellStyle name="列換靠左置中 2" xfId="55059" xr:uid="{00000000-0005-0000-0000-000017D70000}"/>
    <cellStyle name="千位_C01-1" xfId="55061" xr:uid="{00000000-0005-0000-0000-000019D70000}"/>
    <cellStyle name="千位[0]_C01-1" xfId="55060" xr:uid="{00000000-0005-0000-0000-000018D70000}"/>
    <cellStyle name="千分位_97-917" xfId="55063" xr:uid="{00000000-0005-0000-0000-00001BD70000}"/>
    <cellStyle name="千分位[0]" xfId="55062" xr:uid="{00000000-0005-0000-0000-00001AD70000}"/>
    <cellStyle name="常规_2001和2002年全国和地方支出表(含社保预留使用)" xfId="55064" xr:uid="{00000000-0005-0000-0000-00001CD70000}"/>
    <cellStyle name="年資料" xfId="55065" xr:uid="{00000000-0005-0000-0000-00001DD70000}"/>
    <cellStyle name="普通_97-917" xfId="55066" xr:uid="{00000000-0005-0000-0000-00001ED70000}"/>
    <cellStyle name="桁区切り [0.00]_RDC data call - maturities 2007" xfId="55067" xr:uid="{00000000-0005-0000-0000-00001FD70000}"/>
    <cellStyle name="標準_2005 APBN-P (July 9)" xfId="55068" xr:uid="{00000000-0005-0000-0000-000020D70000}"/>
    <cellStyle name="貨幣 [0]" xfId="55069" xr:uid="{00000000-0005-0000-0000-000021D70000}"/>
    <cellStyle name="貨幣_Book1" xfId="55071" xr:uid="{00000000-0005-0000-0000-000023D70000}"/>
    <cellStyle name="貨幣[0]_BRE" xfId="55070" xr:uid="{00000000-0005-0000-0000-000022D70000}"/>
    <cellStyle name=" [0.00]_ Att. 1- Cover" xfId="54819" xr:uid="{00000000-0005-0000-0000-000027D60000}"/>
    <cellStyle name="_ Att. 1- Cover" xfId="54820" xr:uid="{00000000-0005-0000-0000-000028D60000}"/>
    <cellStyle name="?_ Att. 1- Cover" xfId="54821" xr:uid="{00000000-0005-0000-0000-000029D60000}"/>
  </cellStyles>
  <dxfs count="0"/>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38091901882912"/>
          <c:y val="8.0013998250218724E-2"/>
          <c:w val="0.87255954378575884"/>
          <c:h val="0.74766495416478018"/>
        </c:manualLayout>
      </c:layout>
      <c:lineChart>
        <c:grouping val="standard"/>
        <c:varyColors val="0"/>
        <c:ser>
          <c:idx val="0"/>
          <c:order val="0"/>
          <c:tx>
            <c:strRef>
              <c:f>Realism!$H$2</c:f>
              <c:strCache>
                <c:ptCount val="1"/>
                <c:pt idx="0">
                  <c:v> Low </c:v>
                </c:pt>
              </c:strCache>
            </c:strRef>
          </c:tx>
          <c:spPr>
            <a:ln w="38100" cap="rnd">
              <a:solidFill>
                <a:schemeClr val="accent1"/>
              </a:solidFill>
              <a:round/>
            </a:ln>
            <a:effectLst/>
          </c:spPr>
          <c:marker>
            <c:symbol val="none"/>
          </c:marker>
          <c:cat>
            <c:numRef>
              <c:f>Realism!$G$3:$G$27</c:f>
              <c:numCache>
                <c:formatCode>0.00%</c:formatCode>
                <c:ptCount val="25"/>
                <c:pt idx="0" formatCode="0.0%">
                  <c:v>0</c:v>
                </c:pt>
                <c:pt idx="1">
                  <c:v>5.0000000000000001E-3</c:v>
                </c:pt>
                <c:pt idx="2">
                  <c:v>0.01</c:v>
                </c:pt>
                <c:pt idx="3">
                  <c:v>1.4999999999999999E-2</c:v>
                </c:pt>
                <c:pt idx="4">
                  <c:v>0.02</c:v>
                </c:pt>
                <c:pt idx="5">
                  <c:v>2.5000000000000001E-2</c:v>
                </c:pt>
                <c:pt idx="6">
                  <c:v>3.0000000000000002E-2</c:v>
                </c:pt>
                <c:pt idx="7">
                  <c:v>3.5000000000000003E-2</c:v>
                </c:pt>
                <c:pt idx="8">
                  <c:v>0.04</c:v>
                </c:pt>
                <c:pt idx="9">
                  <c:v>4.4999999999999998E-2</c:v>
                </c:pt>
                <c:pt idx="10">
                  <c:v>4.9999999999999996E-2</c:v>
                </c:pt>
                <c:pt idx="11">
                  <c:v>5.4999999999999993E-2</c:v>
                </c:pt>
                <c:pt idx="12">
                  <c:v>5.9999999999999991E-2</c:v>
                </c:pt>
                <c:pt idx="13">
                  <c:v>6.4999999999999988E-2</c:v>
                </c:pt>
                <c:pt idx="14">
                  <c:v>6.9999999999999993E-2</c:v>
                </c:pt>
                <c:pt idx="15">
                  <c:v>7.4999999999999997E-2</c:v>
                </c:pt>
                <c:pt idx="16">
                  <c:v>0.08</c:v>
                </c:pt>
                <c:pt idx="17">
                  <c:v>8.5000000000000006E-2</c:v>
                </c:pt>
                <c:pt idx="18">
                  <c:v>9.0000000000000011E-2</c:v>
                </c:pt>
                <c:pt idx="19">
                  <c:v>9.5000000000000015E-2</c:v>
                </c:pt>
                <c:pt idx="20">
                  <c:v>0.10000000000000002</c:v>
                </c:pt>
                <c:pt idx="21">
                  <c:v>0.10500000000000002</c:v>
                </c:pt>
                <c:pt idx="22">
                  <c:v>0.11000000000000003</c:v>
                </c:pt>
                <c:pt idx="23">
                  <c:v>0.11500000000000003</c:v>
                </c:pt>
                <c:pt idx="24">
                  <c:v>0.12000000000000004</c:v>
                </c:pt>
              </c:numCache>
            </c:numRef>
          </c:cat>
          <c:val>
            <c:numRef>
              <c:f>Realism!$H$3:$H$27</c:f>
              <c:numCache>
                <c:formatCode>0.00%</c:formatCode>
                <c:ptCount val="25"/>
                <c:pt idx="0">
                  <c:v>0</c:v>
                </c:pt>
                <c:pt idx="1">
                  <c:v>5.8823529411764719E-2</c:v>
                </c:pt>
                <c:pt idx="2">
                  <c:v>0.11111111111111116</c:v>
                </c:pt>
                <c:pt idx="3">
                  <c:v>0.15789473684210531</c:v>
                </c:pt>
                <c:pt idx="4">
                  <c:v>0.19999999999999996</c:v>
                </c:pt>
                <c:pt idx="5">
                  <c:v>0.23809523809523814</c:v>
                </c:pt>
                <c:pt idx="6">
                  <c:v>0.27272727272727271</c:v>
                </c:pt>
                <c:pt idx="7">
                  <c:v>0.30434782608695654</c:v>
                </c:pt>
                <c:pt idx="8">
                  <c:v>0.33333333333333337</c:v>
                </c:pt>
                <c:pt idx="9">
                  <c:v>0.36</c:v>
                </c:pt>
                <c:pt idx="10">
                  <c:v>0.38461538461538458</c:v>
                </c:pt>
                <c:pt idx="11">
                  <c:v>0.40740740740740744</c:v>
                </c:pt>
                <c:pt idx="12">
                  <c:v>0.4285714285714286</c:v>
                </c:pt>
                <c:pt idx="13">
                  <c:v>0.44827586206896552</c:v>
                </c:pt>
                <c:pt idx="14">
                  <c:v>0.46666666666666667</c:v>
                </c:pt>
                <c:pt idx="15">
                  <c:v>0.4838709677419355</c:v>
                </c:pt>
                <c:pt idx="16">
                  <c:v>0.5</c:v>
                </c:pt>
                <c:pt idx="17">
                  <c:v>0.51515151515151514</c:v>
                </c:pt>
                <c:pt idx="18">
                  <c:v>0.52941176470588236</c:v>
                </c:pt>
                <c:pt idx="19">
                  <c:v>0.54285714285714293</c:v>
                </c:pt>
                <c:pt idx="20">
                  <c:v>0.55555555555555558</c:v>
                </c:pt>
                <c:pt idx="21">
                  <c:v>0.56756756756756754</c:v>
                </c:pt>
                <c:pt idx="22">
                  <c:v>0.57894736842105265</c:v>
                </c:pt>
                <c:pt idx="23">
                  <c:v>0.58974358974358987</c:v>
                </c:pt>
                <c:pt idx="24">
                  <c:v>0.60000000000000009</c:v>
                </c:pt>
              </c:numCache>
            </c:numRef>
          </c:val>
          <c:smooth val="0"/>
          <c:extLst>
            <c:ext xmlns:c16="http://schemas.microsoft.com/office/drawing/2014/chart" uri="{C3380CC4-5D6E-409C-BE32-E72D297353CC}">
              <c16:uniqueId val="{00000000-18AE-4388-A5E8-95B51478150A}"/>
            </c:ext>
          </c:extLst>
        </c:ser>
        <c:ser>
          <c:idx val="1"/>
          <c:order val="1"/>
          <c:tx>
            <c:strRef>
              <c:f>Realism!$I$2</c:f>
              <c:strCache>
                <c:ptCount val="1"/>
                <c:pt idx="0">
                  <c:v> Baseline </c:v>
                </c:pt>
              </c:strCache>
            </c:strRef>
          </c:tx>
          <c:spPr>
            <a:ln w="38100" cap="rnd">
              <a:solidFill>
                <a:schemeClr val="accent2"/>
              </a:solidFill>
              <a:round/>
            </a:ln>
            <a:effectLst/>
          </c:spPr>
          <c:marker>
            <c:symbol val="none"/>
          </c:marker>
          <c:cat>
            <c:numRef>
              <c:f>Realism!$G$3:$G$27</c:f>
              <c:numCache>
                <c:formatCode>0.00%</c:formatCode>
                <c:ptCount val="25"/>
                <c:pt idx="0" formatCode="0.0%">
                  <c:v>0</c:v>
                </c:pt>
                <c:pt idx="1">
                  <c:v>5.0000000000000001E-3</c:v>
                </c:pt>
                <c:pt idx="2">
                  <c:v>0.01</c:v>
                </c:pt>
                <c:pt idx="3">
                  <c:v>1.4999999999999999E-2</c:v>
                </c:pt>
                <c:pt idx="4">
                  <c:v>0.02</c:v>
                </c:pt>
                <c:pt idx="5">
                  <c:v>2.5000000000000001E-2</c:v>
                </c:pt>
                <c:pt idx="6">
                  <c:v>3.0000000000000002E-2</c:v>
                </c:pt>
                <c:pt idx="7">
                  <c:v>3.5000000000000003E-2</c:v>
                </c:pt>
                <c:pt idx="8">
                  <c:v>0.04</c:v>
                </c:pt>
                <c:pt idx="9">
                  <c:v>4.4999999999999998E-2</c:v>
                </c:pt>
                <c:pt idx="10">
                  <c:v>4.9999999999999996E-2</c:v>
                </c:pt>
                <c:pt idx="11">
                  <c:v>5.4999999999999993E-2</c:v>
                </c:pt>
                <c:pt idx="12">
                  <c:v>5.9999999999999991E-2</c:v>
                </c:pt>
                <c:pt idx="13">
                  <c:v>6.4999999999999988E-2</c:v>
                </c:pt>
                <c:pt idx="14">
                  <c:v>6.9999999999999993E-2</c:v>
                </c:pt>
                <c:pt idx="15">
                  <c:v>7.4999999999999997E-2</c:v>
                </c:pt>
                <c:pt idx="16">
                  <c:v>0.08</c:v>
                </c:pt>
                <c:pt idx="17">
                  <c:v>8.5000000000000006E-2</c:v>
                </c:pt>
                <c:pt idx="18">
                  <c:v>9.0000000000000011E-2</c:v>
                </c:pt>
                <c:pt idx="19">
                  <c:v>9.5000000000000015E-2</c:v>
                </c:pt>
                <c:pt idx="20">
                  <c:v>0.10000000000000002</c:v>
                </c:pt>
                <c:pt idx="21">
                  <c:v>0.10500000000000002</c:v>
                </c:pt>
                <c:pt idx="22">
                  <c:v>0.11000000000000003</c:v>
                </c:pt>
                <c:pt idx="23">
                  <c:v>0.11500000000000003</c:v>
                </c:pt>
                <c:pt idx="24">
                  <c:v>0.12000000000000004</c:v>
                </c:pt>
              </c:numCache>
            </c:numRef>
          </c:cat>
          <c:val>
            <c:numRef>
              <c:f>Realism!$I$3:$I$27</c:f>
              <c:numCache>
                <c:formatCode>0.00%</c:formatCode>
                <c:ptCount val="25"/>
                <c:pt idx="0">
                  <c:v>0</c:v>
                </c:pt>
                <c:pt idx="1">
                  <c:v>0.11111111111111116</c:v>
                </c:pt>
                <c:pt idx="2">
                  <c:v>0.19999999999999996</c:v>
                </c:pt>
                <c:pt idx="3">
                  <c:v>0.27272727272727271</c:v>
                </c:pt>
                <c:pt idx="4">
                  <c:v>0.33333333333333337</c:v>
                </c:pt>
                <c:pt idx="5">
                  <c:v>0.38461538461538458</c:v>
                </c:pt>
                <c:pt idx="6">
                  <c:v>0.4285714285714286</c:v>
                </c:pt>
                <c:pt idx="7">
                  <c:v>0.46666666666666667</c:v>
                </c:pt>
                <c:pt idx="8">
                  <c:v>0.5</c:v>
                </c:pt>
                <c:pt idx="9">
                  <c:v>0.52941176470588236</c:v>
                </c:pt>
                <c:pt idx="10">
                  <c:v>0.55555555555555558</c:v>
                </c:pt>
                <c:pt idx="11">
                  <c:v>0.57894736842105265</c:v>
                </c:pt>
                <c:pt idx="12">
                  <c:v>0.6</c:v>
                </c:pt>
                <c:pt idx="13">
                  <c:v>0.61904761904761907</c:v>
                </c:pt>
                <c:pt idx="14">
                  <c:v>0.63636363636363635</c:v>
                </c:pt>
                <c:pt idx="15">
                  <c:v>0.65217391304347827</c:v>
                </c:pt>
                <c:pt idx="16">
                  <c:v>0.66666666666666674</c:v>
                </c:pt>
                <c:pt idx="17">
                  <c:v>0.67999999999999994</c:v>
                </c:pt>
                <c:pt idx="18">
                  <c:v>0.69230769230769229</c:v>
                </c:pt>
                <c:pt idx="19">
                  <c:v>0.70370370370370372</c:v>
                </c:pt>
                <c:pt idx="20">
                  <c:v>0.7142857142857143</c:v>
                </c:pt>
                <c:pt idx="21">
                  <c:v>0.72413793103448287</c:v>
                </c:pt>
                <c:pt idx="22">
                  <c:v>0.73333333333333339</c:v>
                </c:pt>
                <c:pt idx="23">
                  <c:v>0.74193548387096775</c:v>
                </c:pt>
                <c:pt idx="24">
                  <c:v>0.75</c:v>
                </c:pt>
              </c:numCache>
            </c:numRef>
          </c:val>
          <c:smooth val="0"/>
          <c:extLst>
            <c:ext xmlns:c16="http://schemas.microsoft.com/office/drawing/2014/chart" uri="{C3380CC4-5D6E-409C-BE32-E72D297353CC}">
              <c16:uniqueId val="{00000001-18AE-4388-A5E8-95B51478150A}"/>
            </c:ext>
          </c:extLst>
        </c:ser>
        <c:ser>
          <c:idx val="2"/>
          <c:order val="2"/>
          <c:tx>
            <c:strRef>
              <c:f>Realism!$J$2</c:f>
              <c:strCache>
                <c:ptCount val="1"/>
                <c:pt idx="0">
                  <c:v> High </c:v>
                </c:pt>
              </c:strCache>
            </c:strRef>
          </c:tx>
          <c:spPr>
            <a:ln w="38100" cap="rnd">
              <a:solidFill>
                <a:schemeClr val="accent3"/>
              </a:solidFill>
              <a:round/>
            </a:ln>
            <a:effectLst/>
          </c:spPr>
          <c:marker>
            <c:symbol val="none"/>
          </c:marker>
          <c:cat>
            <c:numRef>
              <c:f>Realism!$G$3:$G$27</c:f>
              <c:numCache>
                <c:formatCode>0.00%</c:formatCode>
                <c:ptCount val="25"/>
                <c:pt idx="0" formatCode="0.0%">
                  <c:v>0</c:v>
                </c:pt>
                <c:pt idx="1">
                  <c:v>5.0000000000000001E-3</c:v>
                </c:pt>
                <c:pt idx="2">
                  <c:v>0.01</c:v>
                </c:pt>
                <c:pt idx="3">
                  <c:v>1.4999999999999999E-2</c:v>
                </c:pt>
                <c:pt idx="4">
                  <c:v>0.02</c:v>
                </c:pt>
                <c:pt idx="5">
                  <c:v>2.5000000000000001E-2</c:v>
                </c:pt>
                <c:pt idx="6">
                  <c:v>3.0000000000000002E-2</c:v>
                </c:pt>
                <c:pt idx="7">
                  <c:v>3.5000000000000003E-2</c:v>
                </c:pt>
                <c:pt idx="8">
                  <c:v>0.04</c:v>
                </c:pt>
                <c:pt idx="9">
                  <c:v>4.4999999999999998E-2</c:v>
                </c:pt>
                <c:pt idx="10">
                  <c:v>4.9999999999999996E-2</c:v>
                </c:pt>
                <c:pt idx="11">
                  <c:v>5.4999999999999993E-2</c:v>
                </c:pt>
                <c:pt idx="12">
                  <c:v>5.9999999999999991E-2</c:v>
                </c:pt>
                <c:pt idx="13">
                  <c:v>6.4999999999999988E-2</c:v>
                </c:pt>
                <c:pt idx="14">
                  <c:v>6.9999999999999993E-2</c:v>
                </c:pt>
                <c:pt idx="15">
                  <c:v>7.4999999999999997E-2</c:v>
                </c:pt>
                <c:pt idx="16">
                  <c:v>0.08</c:v>
                </c:pt>
                <c:pt idx="17">
                  <c:v>8.5000000000000006E-2</c:v>
                </c:pt>
                <c:pt idx="18">
                  <c:v>9.0000000000000011E-2</c:v>
                </c:pt>
                <c:pt idx="19">
                  <c:v>9.5000000000000015E-2</c:v>
                </c:pt>
                <c:pt idx="20">
                  <c:v>0.10000000000000002</c:v>
                </c:pt>
                <c:pt idx="21">
                  <c:v>0.10500000000000002</c:v>
                </c:pt>
                <c:pt idx="22">
                  <c:v>0.11000000000000003</c:v>
                </c:pt>
                <c:pt idx="23">
                  <c:v>0.11500000000000003</c:v>
                </c:pt>
                <c:pt idx="24">
                  <c:v>0.12000000000000004</c:v>
                </c:pt>
              </c:numCache>
            </c:numRef>
          </c:cat>
          <c:val>
            <c:numRef>
              <c:f>Realism!$J$3:$J$27</c:f>
              <c:numCache>
                <c:formatCode>0.00%</c:formatCode>
                <c:ptCount val="25"/>
                <c:pt idx="0">
                  <c:v>0</c:v>
                </c:pt>
                <c:pt idx="1">
                  <c:v>0.19999999999999996</c:v>
                </c:pt>
                <c:pt idx="2">
                  <c:v>0.33333333333333337</c:v>
                </c:pt>
                <c:pt idx="3">
                  <c:v>0.4285714285714286</c:v>
                </c:pt>
                <c:pt idx="4">
                  <c:v>0.5</c:v>
                </c:pt>
                <c:pt idx="5">
                  <c:v>0.55555555555555558</c:v>
                </c:pt>
                <c:pt idx="6">
                  <c:v>0.6</c:v>
                </c:pt>
                <c:pt idx="7">
                  <c:v>0.63636363636363635</c:v>
                </c:pt>
                <c:pt idx="8">
                  <c:v>0.66666666666666674</c:v>
                </c:pt>
                <c:pt idx="9">
                  <c:v>0.69230769230769229</c:v>
                </c:pt>
                <c:pt idx="10">
                  <c:v>0.7142857142857143</c:v>
                </c:pt>
                <c:pt idx="11">
                  <c:v>0.73333333333333328</c:v>
                </c:pt>
                <c:pt idx="12">
                  <c:v>0.75</c:v>
                </c:pt>
                <c:pt idx="13">
                  <c:v>0.76470588235294112</c:v>
                </c:pt>
                <c:pt idx="14">
                  <c:v>0.77777777777777779</c:v>
                </c:pt>
                <c:pt idx="15">
                  <c:v>0.78947368421052633</c:v>
                </c:pt>
                <c:pt idx="16">
                  <c:v>0.8</c:v>
                </c:pt>
                <c:pt idx="17">
                  <c:v>0.80952380952380953</c:v>
                </c:pt>
                <c:pt idx="18">
                  <c:v>0.81818181818181823</c:v>
                </c:pt>
                <c:pt idx="19">
                  <c:v>0.82608695652173914</c:v>
                </c:pt>
                <c:pt idx="20">
                  <c:v>0.83333333333333337</c:v>
                </c:pt>
                <c:pt idx="21">
                  <c:v>0.84000000000000008</c:v>
                </c:pt>
                <c:pt idx="22">
                  <c:v>0.84615384615384626</c:v>
                </c:pt>
                <c:pt idx="23">
                  <c:v>0.85185185185185186</c:v>
                </c:pt>
                <c:pt idx="24">
                  <c:v>0.85714285714285721</c:v>
                </c:pt>
              </c:numCache>
            </c:numRef>
          </c:val>
          <c:smooth val="0"/>
          <c:extLst>
            <c:ext xmlns:c16="http://schemas.microsoft.com/office/drawing/2014/chart" uri="{C3380CC4-5D6E-409C-BE32-E72D297353CC}">
              <c16:uniqueId val="{00000002-18AE-4388-A5E8-95B51478150A}"/>
            </c:ext>
          </c:extLst>
        </c:ser>
        <c:dLbls>
          <c:showLegendKey val="0"/>
          <c:showVal val="0"/>
          <c:showCatName val="0"/>
          <c:showSerName val="0"/>
          <c:showPercent val="0"/>
          <c:showBubbleSize val="0"/>
        </c:dLbls>
        <c:smooth val="0"/>
        <c:axId val="1247640432"/>
        <c:axId val="1247639600"/>
      </c:lineChart>
      <c:catAx>
        <c:axId val="1247640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1"/>
                  <a:t>Adaptation capital to initial year GDP</a:t>
                </a:r>
              </a:p>
            </c:rich>
          </c:tx>
          <c:layout>
            <c:manualLayout>
              <c:xMode val="edge"/>
              <c:yMode val="edge"/>
              <c:x val="0.33246961693870658"/>
              <c:y val="0.9324130281092131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1247639600"/>
        <c:crosses val="autoZero"/>
        <c:auto val="1"/>
        <c:lblAlgn val="ctr"/>
        <c:lblOffset val="100"/>
        <c:noMultiLvlLbl val="0"/>
      </c:catAx>
      <c:valAx>
        <c:axId val="124763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1"/>
                  <a:t>Disaster</a:t>
                </a:r>
                <a:r>
                  <a:rPr lang="en-US" sz="1600" b="1" baseline="0"/>
                  <a:t> damage mitigated</a:t>
                </a:r>
                <a:endParaRPr lang="en-US" sz="1600" b="1"/>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1247640432"/>
        <c:crossesAt val="1"/>
        <c:crossBetween val="between"/>
      </c:valAx>
      <c:spPr>
        <a:noFill/>
        <a:ln w="25400">
          <a:noFill/>
        </a:ln>
        <a:effectLst/>
      </c:spPr>
    </c:plotArea>
    <c:legend>
      <c:legendPos val="t"/>
      <c:layout>
        <c:manualLayout>
          <c:xMode val="edge"/>
          <c:yMode val="edge"/>
          <c:x val="0.29307166840794352"/>
          <c:y val="0"/>
          <c:w val="0.47160450639311063"/>
          <c:h val="6.6795670021293649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Option 1</c:v>
          </c:tx>
          <c:spPr>
            <a:ln w="38100" cap="rnd">
              <a:solidFill>
                <a:schemeClr val="tx1"/>
              </a:solidFill>
              <a:prstDash val="dash"/>
              <a:round/>
            </a:ln>
            <a:effectLst/>
          </c:spPr>
          <c:marker>
            <c:symbol val="none"/>
          </c:marker>
          <c:cat>
            <c:numRef>
              <c:f>Realism!$A$10:$A$39</c:f>
              <c:numCache>
                <c:formatCode>General</c:formatCode>
                <c:ptCount val="3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numCache>
            </c:numRef>
          </c:cat>
          <c:val>
            <c:numRef>
              <c:f>Realism!$B$10:$B$39</c:f>
              <c:numCache>
                <c:formatCode>0.00%</c:formatCode>
                <c:ptCount val="30"/>
                <c:pt idx="0">
                  <c:v>0</c:v>
                </c:pt>
                <c:pt idx="1">
                  <c:v>5.0000000000000001E-3</c:v>
                </c:pt>
                <c:pt idx="2">
                  <c:v>9.6250000000000016E-3</c:v>
                </c:pt>
                <c:pt idx="3">
                  <c:v>1.3903125000000002E-2</c:v>
                </c:pt>
                <c:pt idx="4">
                  <c:v>1.7860390625000003E-2</c:v>
                </c:pt>
                <c:pt idx="5">
                  <c:v>2.1520861328125005E-2</c:v>
                </c:pt>
                <c:pt idx="6">
                  <c:v>1.9906796728515631E-2</c:v>
                </c:pt>
                <c:pt idx="7">
                  <c:v>1.841378697387696E-2</c:v>
                </c:pt>
                <c:pt idx="8">
                  <c:v>1.7032752950836189E-2</c:v>
                </c:pt>
                <c:pt idx="9">
                  <c:v>1.5755296479523475E-2</c:v>
                </c:pt>
                <c:pt idx="10">
                  <c:v>1.4573649243559215E-2</c:v>
                </c:pt>
                <c:pt idx="11">
                  <c:v>1.3480625550292275E-2</c:v>
                </c:pt>
                <c:pt idx="12">
                  <c:v>1.2469578634020356E-2</c:v>
                </c:pt>
                <c:pt idx="13">
                  <c:v>1.1534360236468829E-2</c:v>
                </c:pt>
                <c:pt idx="14">
                  <c:v>1.0669283218733668E-2</c:v>
                </c:pt>
                <c:pt idx="15">
                  <c:v>9.8690869773286442E-3</c:v>
                </c:pt>
                <c:pt idx="16">
                  <c:v>9.1289054540289963E-3</c:v>
                </c:pt>
                <c:pt idx="17">
                  <c:v>8.4442375449768226E-3</c:v>
                </c:pt>
                <c:pt idx="18">
                  <c:v>7.8109197291035609E-3</c:v>
                </c:pt>
                <c:pt idx="19">
                  <c:v>7.2251007494207944E-3</c:v>
                </c:pt>
                <c:pt idx="20">
                  <c:v>6.6832181932142349E-3</c:v>
                </c:pt>
                <c:pt idx="21">
                  <c:v>6.1819768287231678E-3</c:v>
                </c:pt>
                <c:pt idx="22">
                  <c:v>5.7183285665689306E-3</c:v>
                </c:pt>
                <c:pt idx="23">
                  <c:v>5.2894539240762612E-3</c:v>
                </c:pt>
                <c:pt idx="24">
                  <c:v>4.8927448797705421E-3</c:v>
                </c:pt>
                <c:pt idx="25">
                  <c:v>4.5257890137877519E-3</c:v>
                </c:pt>
                <c:pt idx="26">
                  <c:v>4.1863548377536709E-3</c:v>
                </c:pt>
                <c:pt idx="27">
                  <c:v>3.8723782249221457E-3</c:v>
                </c:pt>
                <c:pt idx="28">
                  <c:v>3.5819498580529851E-3</c:v>
                </c:pt>
                <c:pt idx="29">
                  <c:v>3.3133036186990114E-3</c:v>
                </c:pt>
              </c:numCache>
            </c:numRef>
          </c:val>
          <c:smooth val="0"/>
          <c:extLst>
            <c:ext xmlns:c16="http://schemas.microsoft.com/office/drawing/2014/chart" uri="{C3380CC4-5D6E-409C-BE32-E72D297353CC}">
              <c16:uniqueId val="{00000000-8065-4E85-AF4D-95F85C94BE30}"/>
            </c:ext>
          </c:extLst>
        </c:ser>
        <c:ser>
          <c:idx val="1"/>
          <c:order val="1"/>
          <c:tx>
            <c:v>Option 2</c:v>
          </c:tx>
          <c:spPr>
            <a:ln w="38100" cap="rnd">
              <a:solidFill>
                <a:schemeClr val="tx1"/>
              </a:solidFill>
              <a:prstDash val="sysDot"/>
              <a:round/>
              <a:headEnd type="none"/>
            </a:ln>
            <a:effectLst/>
          </c:spPr>
          <c:marker>
            <c:symbol val="none"/>
          </c:marker>
          <c:val>
            <c:numRef>
              <c:f>Realism!$C$10:$C$39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1943-4658-92EF-0EC442AED48B}"/>
            </c:ext>
          </c:extLst>
        </c:ser>
        <c:ser>
          <c:idx val="2"/>
          <c:order val="2"/>
          <c:tx>
            <c:v>Option 3</c:v>
          </c:tx>
          <c:spPr>
            <a:ln w="38100" cap="rnd">
              <a:solidFill>
                <a:schemeClr val="tx1"/>
              </a:solidFill>
              <a:round/>
            </a:ln>
            <a:effectLst/>
          </c:spPr>
          <c:marker>
            <c:symbol val="none"/>
          </c:marker>
          <c:val>
            <c:numRef>
              <c:f>Realism!$D$10:$D$39</c:f>
              <c:numCache>
                <c:formatCode>0.00%</c:formatCode>
                <c:ptCount val="30"/>
                <c:pt idx="0">
                  <c:v>0</c:v>
                </c:pt>
                <c:pt idx="1">
                  <c:v>0.01</c:v>
                </c:pt>
                <c:pt idx="2">
                  <c:v>1.9250000000000003E-2</c:v>
                </c:pt>
                <c:pt idx="3">
                  <c:v>2.7806250000000005E-2</c:v>
                </c:pt>
                <c:pt idx="4">
                  <c:v>3.5720781250000007E-2</c:v>
                </c:pt>
                <c:pt idx="5">
                  <c:v>4.304172265625001E-2</c:v>
                </c:pt>
                <c:pt idx="6">
                  <c:v>3.9813593457031261E-2</c:v>
                </c:pt>
                <c:pt idx="7">
                  <c:v>3.6827573947753919E-2</c:v>
                </c:pt>
                <c:pt idx="8">
                  <c:v>3.4065505901672379E-2</c:v>
                </c:pt>
                <c:pt idx="9">
                  <c:v>3.151059295904695E-2</c:v>
                </c:pt>
                <c:pt idx="10">
                  <c:v>2.9147298487118431E-2</c:v>
                </c:pt>
                <c:pt idx="11">
                  <c:v>2.696125110058455E-2</c:v>
                </c:pt>
                <c:pt idx="12">
                  <c:v>2.4939157268040711E-2</c:v>
                </c:pt>
                <c:pt idx="13">
                  <c:v>2.3068720472937659E-2</c:v>
                </c:pt>
                <c:pt idx="14">
                  <c:v>2.1338566437467336E-2</c:v>
                </c:pt>
                <c:pt idx="15">
                  <c:v>1.9738173954657288E-2</c:v>
                </c:pt>
                <c:pt idx="16">
                  <c:v>1.8257810908057993E-2</c:v>
                </c:pt>
                <c:pt idx="17">
                  <c:v>1.6888475089953645E-2</c:v>
                </c:pt>
                <c:pt idx="18">
                  <c:v>1.5621839458207122E-2</c:v>
                </c:pt>
                <c:pt idx="19">
                  <c:v>1.4450201498841589E-2</c:v>
                </c:pt>
                <c:pt idx="20">
                  <c:v>1.336643638642847E-2</c:v>
                </c:pt>
                <c:pt idx="21">
                  <c:v>1.2363953657446336E-2</c:v>
                </c:pt>
                <c:pt idx="22">
                  <c:v>1.1436657133137861E-2</c:v>
                </c:pt>
                <c:pt idx="23">
                  <c:v>1.0578907848152522E-2</c:v>
                </c:pt>
                <c:pt idx="24">
                  <c:v>9.7854897595410842E-3</c:v>
                </c:pt>
                <c:pt idx="25">
                  <c:v>9.0515780275755037E-3</c:v>
                </c:pt>
                <c:pt idx="26">
                  <c:v>8.3727096755073418E-3</c:v>
                </c:pt>
                <c:pt idx="27">
                  <c:v>7.7447564498442914E-3</c:v>
                </c:pt>
                <c:pt idx="28">
                  <c:v>7.1638997161059701E-3</c:v>
                </c:pt>
                <c:pt idx="29">
                  <c:v>6.6266072373980228E-3</c:v>
                </c:pt>
              </c:numCache>
            </c:numRef>
          </c:val>
          <c:smooth val="0"/>
          <c:extLst>
            <c:ext xmlns:c16="http://schemas.microsoft.com/office/drawing/2014/chart" uri="{C3380CC4-5D6E-409C-BE32-E72D297353CC}">
              <c16:uniqueId val="{00000002-1943-4658-92EF-0EC442AED48B}"/>
            </c:ext>
          </c:extLst>
        </c:ser>
        <c:dLbls>
          <c:showLegendKey val="0"/>
          <c:showVal val="0"/>
          <c:showCatName val="0"/>
          <c:showSerName val="0"/>
          <c:showPercent val="0"/>
          <c:showBubbleSize val="0"/>
        </c:dLbls>
        <c:smooth val="0"/>
        <c:axId val="1141052320"/>
        <c:axId val="1141053568"/>
      </c:lineChart>
      <c:catAx>
        <c:axId val="1141052320"/>
        <c:scaling>
          <c:orientation val="minMax"/>
        </c:scaling>
        <c:delete val="0"/>
        <c:axPos val="b"/>
        <c:title>
          <c:tx>
            <c:rich>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1141053568"/>
        <c:crosses val="autoZero"/>
        <c:auto val="1"/>
        <c:lblAlgn val="ctr"/>
        <c:lblOffset val="100"/>
        <c:tickLblSkip val="3"/>
        <c:tickMarkSkip val="5"/>
        <c:noMultiLvlLbl val="0"/>
      </c:catAx>
      <c:valAx>
        <c:axId val="114105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r>
                  <a:rPr lang="en-US"/>
                  <a:t>Adaptation capital (% of initial GDP)</a:t>
                </a:r>
              </a:p>
            </c:rich>
          </c:tx>
          <c:overlay val="0"/>
          <c:spPr>
            <a:noFill/>
            <a:ln>
              <a:noFill/>
            </a:ln>
            <a:effectLst/>
          </c:spPr>
          <c:txPr>
            <a:bodyPr rot="-54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114105232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3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1700</xdr:colOff>
      <xdr:row>0</xdr:row>
      <xdr:rowOff>69736</xdr:rowOff>
    </xdr:from>
    <xdr:to>
      <xdr:col>24</xdr:col>
      <xdr:colOff>315346</xdr:colOff>
      <xdr:row>17</xdr:row>
      <xdr:rowOff>153080</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17688</xdr:colOff>
      <xdr:row>18</xdr:row>
      <xdr:rowOff>77559</xdr:rowOff>
    </xdr:from>
    <xdr:to>
      <xdr:col>24</xdr:col>
      <xdr:colOff>327252</xdr:colOff>
      <xdr:row>39</xdr:row>
      <xdr:rowOff>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lmonetaryfund-my.sharepoint.com/DATA/TKM/Current/TKMF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Data/VNM/Current%20macroframework/VNMGDP_curr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_Flowchart"/>
      <sheetName val="Contents"/>
      <sheetName val="DMX_IN"/>
      <sheetName val="Assumptions"/>
      <sheetName val="SB-Base"/>
      <sheetName val="EB Exp."/>
      <sheetName val="Sheet3"/>
      <sheetName val="FISC"/>
      <sheetName val="Mission notes"/>
      <sheetName val="Cells with dependents"/>
      <sheetName val="SB"/>
      <sheetName val="PSBR"/>
      <sheetName val="GFSM2001_SB_K"/>
      <sheetName val="GFSM2001_FERF_K"/>
      <sheetName val="GFSM2001_General Government"/>
      <sheetName val="GFSM2001"/>
      <sheetName val="GFSM2001_SB"/>
      <sheetName val="GFSM2001_FERF"/>
      <sheetName val="ControlSheet"/>
      <sheetName val="Russian"/>
      <sheetName val="HIGH FREQ"/>
      <sheetName val="WEOREO"/>
      <sheetName val="OUT"/>
      <sheetName val="DMX_Out"/>
    </sheetNames>
    <sheetDataSet>
      <sheetData sheetId="0"/>
      <sheetData sheetId="1">
        <row r="4">
          <cell r="B4" t="str">
            <v>Q:\DATA\TKM\Current\TKM.dmx</v>
          </cell>
        </row>
        <row r="8">
          <cell r="B8">
            <v>925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GAS"/>
      <sheetName val="GEE"/>
      <sheetName val="INS"/>
      <sheetName val="In_A"/>
      <sheetName val="In_Q"/>
      <sheetName val="In_M"/>
      <sheetName val="In_D"/>
      <sheetName val="MT_In"/>
      <sheetName val="Quarterly - current"/>
      <sheetName val="Quarterly (Prod) - real"/>
      <sheetName val="Assumptions"/>
      <sheetName val="Assumption"/>
      <sheetName val="Exp_R"/>
      <sheetName val="Exp_N"/>
      <sheetName val="Deflator"/>
      <sheetName val="Prd_R"/>
      <sheetName val="S-I"/>
      <sheetName val="Prd_N"/>
      <sheetName val="T1_SEI"/>
      <sheetName val="T1_SEI_AM"/>
      <sheetName val="T5_MT"/>
      <sheetName val="Out-MT"/>
      <sheetName val="Out-MT_Q"/>
      <sheetName val="Out-WEO"/>
      <sheetName val="Out-WEO-BPM6"/>
      <sheetName val="T4_Vulnerability"/>
      <sheetName val="T_scenarios"/>
    </sheetNames>
    <sheetDataSet>
      <sheetData sheetId="0">
        <row r="5">
          <cell r="E5" t="str">
            <v>Q:\Data\VNM\DMX\cd_vnm.dmx</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pfackler.wordpress.ncsu.edu/compecon/154-2/" TargetMode="External"/><Relationship Id="rId2" Type="http://schemas.openxmlformats.org/officeDocument/2006/relationships/hyperlink" Target="https://www.dynare.org/" TargetMode="External"/><Relationship Id="rId1" Type="http://schemas.openxmlformats.org/officeDocument/2006/relationships/hyperlink" Target="https://pfackler.wordpress.ncsu.edu/compecon/" TargetMode="External"/><Relationship Id="rId6" Type="http://schemas.openxmlformats.org/officeDocument/2006/relationships/printerSettings" Target="../printerSettings/printerSettings10.bin"/><Relationship Id="rId5" Type="http://schemas.openxmlformats.org/officeDocument/2006/relationships/hyperlink" Target="mailto:dignad@imf.org" TargetMode="External"/><Relationship Id="rId4" Type="http://schemas.openxmlformats.org/officeDocument/2006/relationships/hyperlink" Target="https://www.imf.org/external/terms.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F9D17-5771-4444-B1B4-8C4F4352241A}">
  <sheetPr codeName="Sheet1">
    <tabColor rgb="FF0070C0"/>
  </sheetPr>
  <dimension ref="A1:G66"/>
  <sheetViews>
    <sheetView topLeftCell="C13" zoomScaleNormal="100" workbookViewId="0">
      <selection activeCell="F31" sqref="F31"/>
    </sheetView>
  </sheetViews>
  <sheetFormatPr baseColWidth="10" defaultColWidth="9.5" defaultRowHeight="15"/>
  <cols>
    <col min="1" max="1" width="9.5" style="1"/>
    <col min="2" max="2" width="16.5" style="1" customWidth="1"/>
    <col min="3" max="3" width="115.5" style="1" customWidth="1"/>
    <col min="4" max="4" width="6" style="1" hidden="1" customWidth="1"/>
    <col min="5" max="5" width="15.5" style="1" customWidth="1"/>
    <col min="6" max="6" width="13.5" style="1" bestFit="1" customWidth="1"/>
    <col min="7" max="16384" width="9.5" style="1"/>
  </cols>
  <sheetData>
    <row r="1" spans="1:6" ht="12.5" customHeight="1">
      <c r="A1" s="1" t="s">
        <v>0</v>
      </c>
      <c r="B1" s="174"/>
      <c r="C1" s="215" t="s">
        <v>1</v>
      </c>
      <c r="D1" s="216"/>
      <c r="E1" s="21" t="s">
        <v>2</v>
      </c>
      <c r="F1" s="21" t="s">
        <v>3</v>
      </c>
    </row>
    <row r="2" spans="1:6" ht="15" customHeight="1">
      <c r="A2" s="217" t="s">
        <v>4</v>
      </c>
      <c r="B2" s="218" t="s">
        <v>5</v>
      </c>
      <c r="C2" s="11" t="s">
        <v>6</v>
      </c>
      <c r="D2" s="11"/>
      <c r="E2" s="152" t="s">
        <v>7</v>
      </c>
      <c r="F2" s="142">
        <v>1.2999999999999999E-2</v>
      </c>
    </row>
    <row r="3" spans="1:6" ht="15" customHeight="1">
      <c r="A3" s="217"/>
      <c r="B3" s="219"/>
      <c r="C3" s="1" t="s">
        <v>8</v>
      </c>
      <c r="E3" s="153" t="s">
        <v>9</v>
      </c>
      <c r="F3" s="143">
        <v>0</v>
      </c>
    </row>
    <row r="4" spans="1:6">
      <c r="A4" s="217"/>
      <c r="B4" s="219"/>
      <c r="C4" s="1" t="s">
        <v>10</v>
      </c>
      <c r="E4" s="153" t="s">
        <v>11</v>
      </c>
      <c r="F4" s="143">
        <v>0.125</v>
      </c>
    </row>
    <row r="5" spans="1:6">
      <c r="A5" s="217"/>
      <c r="B5" s="219"/>
      <c r="C5" s="1" t="s">
        <v>12</v>
      </c>
      <c r="E5" s="153" t="s">
        <v>13</v>
      </c>
      <c r="F5" s="143">
        <v>0.2</v>
      </c>
    </row>
    <row r="6" spans="1:6">
      <c r="A6" s="217"/>
      <c r="B6" s="219"/>
      <c r="C6" s="1" t="s">
        <v>14</v>
      </c>
      <c r="E6" s="153" t="s">
        <v>15</v>
      </c>
      <c r="F6" s="143">
        <v>7.6999999999999999E-2</v>
      </c>
    </row>
    <row r="7" spans="1:6">
      <c r="A7" s="217"/>
      <c r="B7" s="219"/>
      <c r="C7" s="1" t="s">
        <v>16</v>
      </c>
      <c r="E7" s="153" t="s">
        <v>17</v>
      </c>
      <c r="F7" s="143">
        <v>0.129</v>
      </c>
    </row>
    <row r="8" spans="1:6">
      <c r="A8" s="217"/>
      <c r="B8" s="219"/>
      <c r="C8" s="1" t="s">
        <v>18</v>
      </c>
      <c r="E8" s="153" t="s">
        <v>19</v>
      </c>
      <c r="F8" s="143">
        <v>0.05</v>
      </c>
    </row>
    <row r="9" spans="1:6" ht="15" customHeight="1">
      <c r="A9" s="217"/>
      <c r="B9" s="219"/>
      <c r="C9" s="1" t="s">
        <v>20</v>
      </c>
      <c r="E9" s="153" t="s">
        <v>21</v>
      </c>
      <c r="F9" s="143">
        <v>0</v>
      </c>
    </row>
    <row r="10" spans="1:6">
      <c r="A10" s="217"/>
      <c r="B10" s="219"/>
      <c r="C10" s="1" t="s">
        <v>22</v>
      </c>
      <c r="E10" s="153" t="s">
        <v>23</v>
      </c>
      <c r="F10" s="143">
        <v>0.05</v>
      </c>
    </row>
    <row r="11" spans="1:6">
      <c r="A11" s="217"/>
      <c r="B11" s="219"/>
      <c r="C11" s="1" t="s">
        <v>24</v>
      </c>
      <c r="E11" s="153" t="s">
        <v>25</v>
      </c>
      <c r="F11" s="143">
        <v>1.4999999999999999E-2</v>
      </c>
    </row>
    <row r="12" spans="1:6">
      <c r="A12" s="217"/>
      <c r="B12" s="219"/>
      <c r="C12" s="1" t="s">
        <v>26</v>
      </c>
      <c r="E12" s="153" t="s">
        <v>27</v>
      </c>
      <c r="F12" s="143">
        <v>0.112</v>
      </c>
    </row>
    <row r="13" spans="1:6">
      <c r="A13" s="217"/>
      <c r="B13" s="219"/>
      <c r="C13" s="1" t="s">
        <v>320</v>
      </c>
      <c r="E13" s="153" t="s">
        <v>28</v>
      </c>
      <c r="F13" s="143">
        <v>0</v>
      </c>
    </row>
    <row r="14" spans="1:6">
      <c r="A14" s="217"/>
      <c r="B14" s="219"/>
      <c r="C14" s="1" t="s">
        <v>29</v>
      </c>
      <c r="E14" s="153" t="s">
        <v>30</v>
      </c>
      <c r="F14" s="143">
        <v>3.5000000000000003E-2</v>
      </c>
    </row>
    <row r="15" spans="1:6">
      <c r="A15" s="217"/>
      <c r="B15" s="219"/>
      <c r="C15" s="131" t="s">
        <v>31</v>
      </c>
      <c r="D15" s="131"/>
      <c r="E15" s="154" t="s">
        <v>32</v>
      </c>
      <c r="F15" s="143">
        <v>0.38</v>
      </c>
    </row>
    <row r="16" spans="1:6">
      <c r="A16" s="217"/>
      <c r="B16" s="219"/>
      <c r="C16" s="1" t="s">
        <v>33</v>
      </c>
      <c r="E16" s="153" t="s">
        <v>34</v>
      </c>
      <c r="F16" s="143">
        <v>0</v>
      </c>
    </row>
    <row r="17" spans="1:6">
      <c r="A17" s="217"/>
      <c r="B17" s="219"/>
      <c r="C17" s="1" t="s">
        <v>35</v>
      </c>
      <c r="E17" s="154" t="s">
        <v>36</v>
      </c>
      <c r="F17" s="143">
        <v>0.06</v>
      </c>
    </row>
    <row r="18" spans="1:6">
      <c r="A18" s="217"/>
      <c r="B18" s="219"/>
      <c r="C18" s="131" t="s">
        <v>37</v>
      </c>
      <c r="D18" s="131"/>
      <c r="E18" s="154" t="s">
        <v>38</v>
      </c>
      <c r="F18" s="143">
        <v>0.48</v>
      </c>
    </row>
    <row r="19" spans="1:6" ht="16">
      <c r="A19" s="217"/>
      <c r="B19" s="219"/>
      <c r="C19" s="132" t="s">
        <v>39</v>
      </c>
      <c r="D19" s="132"/>
      <c r="E19" s="155" t="s">
        <v>40</v>
      </c>
      <c r="F19" s="144">
        <v>0.6</v>
      </c>
    </row>
    <row r="20" spans="1:6">
      <c r="A20" s="217"/>
      <c r="B20" s="219"/>
      <c r="C20" s="1" t="s">
        <v>41</v>
      </c>
      <c r="E20" s="156" t="s">
        <v>42</v>
      </c>
      <c r="F20" s="144">
        <v>0.5</v>
      </c>
    </row>
    <row r="21" spans="1:6">
      <c r="A21" s="217"/>
      <c r="B21" s="219"/>
      <c r="C21" s="1" t="s">
        <v>43</v>
      </c>
      <c r="E21" s="156" t="s">
        <v>44</v>
      </c>
      <c r="F21" s="144">
        <v>0.5</v>
      </c>
    </row>
    <row r="22" spans="1:6" ht="15" customHeight="1">
      <c r="A22" s="217"/>
      <c r="B22" s="219"/>
      <c r="C22" s="1" t="s">
        <v>45</v>
      </c>
      <c r="E22" s="156" t="s">
        <v>46</v>
      </c>
      <c r="F22" s="144">
        <v>0.5</v>
      </c>
    </row>
    <row r="23" spans="1:6" ht="15" customHeight="1">
      <c r="A23" s="217"/>
      <c r="B23" s="219"/>
      <c r="C23" s="131" t="s">
        <v>47</v>
      </c>
      <c r="D23" s="131"/>
      <c r="E23" s="155" t="s">
        <v>48</v>
      </c>
      <c r="F23" s="144">
        <v>0.3</v>
      </c>
    </row>
    <row r="24" spans="1:6">
      <c r="A24" s="217"/>
      <c r="B24" s="220"/>
      <c r="C24" s="133" t="s">
        <v>49</v>
      </c>
      <c r="D24" s="133"/>
      <c r="E24" s="157" t="s">
        <v>50</v>
      </c>
      <c r="F24" s="145">
        <v>0.4</v>
      </c>
    </row>
    <row r="25" spans="1:6" ht="16.5" customHeight="1">
      <c r="A25" s="217"/>
      <c r="B25" s="218" t="s">
        <v>51</v>
      </c>
      <c r="C25" s="1" t="s">
        <v>52</v>
      </c>
      <c r="E25" s="158" t="s">
        <v>53</v>
      </c>
      <c r="F25" s="212">
        <v>25</v>
      </c>
    </row>
    <row r="26" spans="1:6">
      <c r="A26" s="217"/>
      <c r="B26" s="219"/>
      <c r="C26" s="1" t="s">
        <v>54</v>
      </c>
      <c r="E26" s="158" t="s">
        <v>55</v>
      </c>
      <c r="F26" s="146">
        <v>0.25</v>
      </c>
    </row>
    <row r="27" spans="1:6">
      <c r="A27" s="217"/>
      <c r="B27" s="219"/>
      <c r="C27" s="1" t="s">
        <v>56</v>
      </c>
      <c r="E27" s="158" t="s">
        <v>57</v>
      </c>
      <c r="F27" s="146">
        <v>0.3</v>
      </c>
    </row>
    <row r="28" spans="1:6">
      <c r="A28" s="217"/>
      <c r="B28" s="219"/>
      <c r="C28" s="1" t="s">
        <v>58</v>
      </c>
      <c r="E28" s="158" t="s">
        <v>59</v>
      </c>
      <c r="F28" s="146">
        <v>0.5</v>
      </c>
    </row>
    <row r="29" spans="1:6">
      <c r="A29" s="217"/>
      <c r="B29" s="219"/>
      <c r="C29" s="1" t="s">
        <v>60</v>
      </c>
      <c r="E29" s="158" t="s">
        <v>61</v>
      </c>
      <c r="F29" s="146">
        <v>0.03</v>
      </c>
    </row>
    <row r="30" spans="1:6">
      <c r="A30" s="217"/>
      <c r="B30" s="219"/>
      <c r="C30" s="1" t="s">
        <v>62</v>
      </c>
      <c r="E30" s="158" t="s">
        <v>63</v>
      </c>
      <c r="F30" s="146">
        <v>7.4999999999999997E-2</v>
      </c>
    </row>
    <row r="31" spans="1:6">
      <c r="A31" s="217"/>
      <c r="B31" s="219"/>
      <c r="C31" s="1" t="s">
        <v>64</v>
      </c>
      <c r="E31" s="151" t="s">
        <v>65</v>
      </c>
      <c r="F31" s="147">
        <v>0.5</v>
      </c>
    </row>
    <row r="32" spans="1:6">
      <c r="A32" s="217"/>
      <c r="B32" s="219"/>
      <c r="C32" s="1" t="s">
        <v>66</v>
      </c>
      <c r="E32" s="151" t="s">
        <v>67</v>
      </c>
      <c r="F32" s="147">
        <v>0.5</v>
      </c>
    </row>
    <row r="33" spans="1:6">
      <c r="A33" s="217"/>
      <c r="B33" s="219"/>
      <c r="C33" s="1" t="s">
        <v>68</v>
      </c>
      <c r="E33" s="151" t="s">
        <v>69</v>
      </c>
      <c r="F33" s="147">
        <v>0.5</v>
      </c>
    </row>
    <row r="34" spans="1:6">
      <c r="A34" s="217"/>
      <c r="B34" s="219"/>
      <c r="C34" s="1" t="s">
        <v>70</v>
      </c>
      <c r="E34" s="151" t="s">
        <v>71</v>
      </c>
      <c r="F34" s="147">
        <v>0.5</v>
      </c>
    </row>
    <row r="35" spans="1:6">
      <c r="A35" s="217"/>
      <c r="B35" s="220"/>
      <c r="C35" s="1" t="s">
        <v>72</v>
      </c>
      <c r="E35" s="151" t="s">
        <v>73</v>
      </c>
      <c r="F35" s="148">
        <v>0.05</v>
      </c>
    </row>
    <row r="36" spans="1:6" ht="15" customHeight="1">
      <c r="A36" s="217"/>
      <c r="B36" s="218" t="s">
        <v>74</v>
      </c>
      <c r="C36" s="135" t="s">
        <v>75</v>
      </c>
      <c r="D36" s="134"/>
      <c r="E36" s="159" t="s">
        <v>76</v>
      </c>
      <c r="F36" s="149">
        <v>0.2</v>
      </c>
    </row>
    <row r="37" spans="1:6" ht="15" customHeight="1">
      <c r="A37" s="217"/>
      <c r="B37" s="219"/>
      <c r="C37" s="136" t="s">
        <v>77</v>
      </c>
      <c r="D37" s="131"/>
      <c r="E37" s="155" t="s">
        <v>78</v>
      </c>
      <c r="F37" s="144">
        <v>0.4</v>
      </c>
    </row>
    <row r="38" spans="1:6">
      <c r="A38" s="217"/>
      <c r="B38" s="219"/>
      <c r="C38" s="136" t="s">
        <v>79</v>
      </c>
      <c r="D38" s="131"/>
      <c r="E38" s="155" t="s">
        <v>80</v>
      </c>
      <c r="F38" s="144">
        <v>0.4</v>
      </c>
    </row>
    <row r="39" spans="1:6">
      <c r="A39" s="217"/>
      <c r="B39" s="219"/>
      <c r="C39" s="136" t="s">
        <v>81</v>
      </c>
      <c r="D39" s="131"/>
      <c r="E39" s="156" t="s">
        <v>82</v>
      </c>
      <c r="F39" s="144">
        <v>0.5</v>
      </c>
    </row>
    <row r="40" spans="1:6">
      <c r="A40" s="217"/>
      <c r="B40" s="219"/>
      <c r="C40" s="137" t="s">
        <v>83</v>
      </c>
      <c r="E40" s="156" t="s">
        <v>84</v>
      </c>
      <c r="F40" s="144">
        <v>0.5</v>
      </c>
    </row>
    <row r="41" spans="1:6">
      <c r="A41" s="217"/>
      <c r="B41" s="219"/>
      <c r="C41" s="137" t="s">
        <v>85</v>
      </c>
      <c r="E41" s="156" t="s">
        <v>86</v>
      </c>
      <c r="F41" s="144">
        <v>0.5</v>
      </c>
    </row>
    <row r="42" spans="1:6">
      <c r="A42" s="217"/>
      <c r="B42" s="219"/>
      <c r="C42" s="137" t="s">
        <v>87</v>
      </c>
      <c r="E42" s="156" t="s">
        <v>88</v>
      </c>
      <c r="F42" s="144">
        <v>0.5</v>
      </c>
    </row>
    <row r="43" spans="1:6">
      <c r="A43" s="217"/>
      <c r="B43" s="219"/>
      <c r="C43" s="137" t="s">
        <v>89</v>
      </c>
      <c r="E43" s="156" t="s">
        <v>90</v>
      </c>
      <c r="F43" s="144">
        <v>0.5</v>
      </c>
    </row>
    <row r="44" spans="1:6">
      <c r="A44" s="217"/>
      <c r="B44" s="219"/>
      <c r="C44" s="137" t="s">
        <v>91</v>
      </c>
      <c r="E44" s="156" t="s">
        <v>92</v>
      </c>
      <c r="F44" s="144">
        <v>0.5</v>
      </c>
    </row>
    <row r="45" spans="1:6">
      <c r="A45" s="217"/>
      <c r="B45" s="220"/>
      <c r="C45" s="137" t="s">
        <v>93</v>
      </c>
      <c r="E45" s="156" t="s">
        <v>94</v>
      </c>
      <c r="F45" s="144">
        <v>0.5</v>
      </c>
    </row>
    <row r="46" spans="1:6">
      <c r="A46" s="217"/>
      <c r="B46" s="218" t="s">
        <v>95</v>
      </c>
      <c r="C46" s="11" t="s">
        <v>96</v>
      </c>
      <c r="D46" s="11"/>
      <c r="E46" s="160" t="s">
        <v>97</v>
      </c>
      <c r="F46" s="149">
        <v>0.04</v>
      </c>
    </row>
    <row r="47" spans="1:6" ht="15" customHeight="1">
      <c r="A47" s="217"/>
      <c r="B47" s="219"/>
      <c r="C47" s="1" t="s">
        <v>98</v>
      </c>
      <c r="E47" s="156" t="s">
        <v>99</v>
      </c>
      <c r="F47" s="144">
        <v>0.05</v>
      </c>
    </row>
    <row r="48" spans="1:6">
      <c r="A48" s="217"/>
      <c r="B48" s="219"/>
      <c r="C48" s="1" t="s">
        <v>100</v>
      </c>
      <c r="E48" s="156" t="s">
        <v>101</v>
      </c>
      <c r="F48" s="144">
        <v>0.05</v>
      </c>
    </row>
    <row r="49" spans="1:7" ht="15" customHeight="1">
      <c r="A49" s="217"/>
      <c r="B49" s="219"/>
      <c r="C49" s="1" t="s">
        <v>102</v>
      </c>
      <c r="E49" s="151" t="s">
        <v>103</v>
      </c>
      <c r="F49" s="150">
        <v>0.34</v>
      </c>
    </row>
    <row r="50" spans="1:7">
      <c r="A50" s="217"/>
      <c r="B50" s="219"/>
      <c r="C50" s="1" t="s">
        <v>104</v>
      </c>
      <c r="E50" s="151" t="s">
        <v>105</v>
      </c>
      <c r="F50" s="147">
        <v>100</v>
      </c>
    </row>
    <row r="51" spans="1:7">
      <c r="A51" s="217"/>
      <c r="B51" s="219"/>
      <c r="C51" s="1" t="s">
        <v>106</v>
      </c>
      <c r="E51" s="151" t="s">
        <v>107</v>
      </c>
      <c r="F51" s="147">
        <v>0</v>
      </c>
    </row>
    <row r="52" spans="1:7">
      <c r="A52" s="217"/>
      <c r="B52" s="219"/>
      <c r="C52" s="1" t="s">
        <v>108</v>
      </c>
      <c r="E52" s="151" t="s">
        <v>109</v>
      </c>
      <c r="F52" s="148">
        <v>1</v>
      </c>
    </row>
    <row r="53" spans="1:7">
      <c r="A53" s="217"/>
      <c r="B53" s="219"/>
      <c r="C53" s="1" t="s">
        <v>110</v>
      </c>
      <c r="E53" s="151" t="s">
        <v>111</v>
      </c>
      <c r="F53" s="147">
        <v>0</v>
      </c>
    </row>
    <row r="54" spans="1:7">
      <c r="A54" s="217"/>
      <c r="B54" s="219"/>
      <c r="C54" s="1" t="s">
        <v>112</v>
      </c>
      <c r="E54" s="151" t="s">
        <v>113</v>
      </c>
      <c r="F54" s="147">
        <v>0</v>
      </c>
    </row>
    <row r="55" spans="1:7">
      <c r="A55" s="217"/>
      <c r="B55" s="219"/>
      <c r="C55" s="1" t="s">
        <v>114</v>
      </c>
      <c r="E55" s="151" t="s">
        <v>115</v>
      </c>
      <c r="F55" s="147">
        <v>0</v>
      </c>
    </row>
    <row r="56" spans="1:7">
      <c r="A56" s="217"/>
      <c r="B56" s="219"/>
      <c r="C56" s="1" t="s">
        <v>116</v>
      </c>
      <c r="E56" s="151" t="s">
        <v>117</v>
      </c>
      <c r="F56" s="147">
        <v>0</v>
      </c>
    </row>
    <row r="57" spans="1:7">
      <c r="A57" s="84"/>
      <c r="B57" s="219"/>
      <c r="C57" s="1" t="s">
        <v>118</v>
      </c>
      <c r="E57" s="151" t="s">
        <v>119</v>
      </c>
      <c r="F57" s="147">
        <v>1</v>
      </c>
    </row>
    <row r="58" spans="1:7">
      <c r="B58" s="219"/>
      <c r="C58" s="1" t="s">
        <v>120</v>
      </c>
      <c r="E58" s="151" t="s">
        <v>121</v>
      </c>
      <c r="F58" s="147">
        <v>2.41</v>
      </c>
    </row>
    <row r="59" spans="1:7">
      <c r="A59" s="32"/>
      <c r="B59" s="220"/>
      <c r="C59" s="184"/>
      <c r="D59" s="184"/>
      <c r="E59" s="185"/>
      <c r="F59" s="186"/>
      <c r="G59" s="175"/>
    </row>
    <row r="61" spans="1:7">
      <c r="A61" s="138"/>
      <c r="B61" s="85" t="s">
        <v>122</v>
      </c>
    </row>
    <row r="62" spans="1:7">
      <c r="A62" s="139"/>
      <c r="B62" s="85" t="s">
        <v>123</v>
      </c>
    </row>
    <row r="63" spans="1:7">
      <c r="A63" s="141"/>
      <c r="B63" s="85" t="s">
        <v>124</v>
      </c>
    </row>
    <row r="64" spans="1:7">
      <c r="A64" s="140"/>
      <c r="B64" s="85" t="s">
        <v>125</v>
      </c>
    </row>
    <row r="65" spans="1:2">
      <c r="A65" s="86" t="s">
        <v>126</v>
      </c>
      <c r="B65" s="86"/>
    </row>
    <row r="66" spans="1:2">
      <c r="A66" s="86"/>
      <c r="B66" s="86"/>
    </row>
  </sheetData>
  <mergeCells count="6">
    <mergeCell ref="C1:D1"/>
    <mergeCell ref="A2:A56"/>
    <mergeCell ref="B2:B24"/>
    <mergeCell ref="B25:B35"/>
    <mergeCell ref="B36:B45"/>
    <mergeCell ref="B46:B59"/>
  </mergeCell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70C0"/>
  </sheetPr>
  <dimension ref="A1:AQ53"/>
  <sheetViews>
    <sheetView zoomScale="60" zoomScaleNormal="60" workbookViewId="0">
      <pane xSplit="3" ySplit="3" topLeftCell="D4" activePane="bottomRight" state="frozen"/>
      <selection pane="topRight" activeCell="C1" sqref="C1"/>
      <selection pane="bottomLeft" activeCell="A3" sqref="A3"/>
      <selection pane="bottomRight" activeCell="P9" sqref="P9"/>
    </sheetView>
  </sheetViews>
  <sheetFormatPr baseColWidth="10" defaultColWidth="9.5" defaultRowHeight="15"/>
  <cols>
    <col min="1" max="1" width="8.5" style="2" customWidth="1"/>
    <col min="2" max="3" width="9.5" style="2"/>
    <col min="4" max="4" width="19.5" style="2" bestFit="1" customWidth="1"/>
    <col min="5" max="5" width="19.5" style="2" customWidth="1"/>
    <col min="6" max="6" width="16.5" style="2" bestFit="1" customWidth="1"/>
    <col min="7" max="7" width="18" style="2" bestFit="1" customWidth="1"/>
    <col min="8" max="8" width="18" style="2" customWidth="1"/>
    <col min="9" max="11" width="16.5" style="2" bestFit="1" customWidth="1"/>
    <col min="12" max="12" width="19.5" style="2" bestFit="1" customWidth="1"/>
    <col min="13" max="13" width="19.5" style="2" customWidth="1"/>
    <col min="14" max="14" width="16.5" style="2" bestFit="1" customWidth="1"/>
    <col min="15" max="15" width="18" style="2" bestFit="1" customWidth="1"/>
    <col min="16" max="18" width="18" style="2" customWidth="1"/>
    <col min="19" max="19" width="18" style="2" bestFit="1" customWidth="1"/>
    <col min="20" max="20" width="19.5" style="2" bestFit="1" customWidth="1"/>
    <col min="21" max="21" width="19.5" style="2" customWidth="1"/>
    <col min="22" max="22" width="16.5" style="2" bestFit="1" customWidth="1"/>
    <col min="23" max="23" width="18" style="2" bestFit="1" customWidth="1"/>
    <col min="24" max="26" width="18" style="2" customWidth="1"/>
    <col min="27" max="27" width="18" style="2" bestFit="1" customWidth="1"/>
    <col min="28" max="28" width="19.5" style="2" bestFit="1" customWidth="1"/>
    <col min="29" max="29" width="19.5" style="2" customWidth="1"/>
    <col min="30" max="30" width="16.5" style="2" bestFit="1" customWidth="1"/>
    <col min="31" max="31" width="18" style="2" bestFit="1" customWidth="1"/>
    <col min="32" max="34" width="18" style="2" customWidth="1"/>
    <col min="35" max="35" width="18" style="2" bestFit="1" customWidth="1"/>
    <col min="36" max="36" width="19.5" style="2" bestFit="1" customWidth="1"/>
    <col min="37" max="37" width="19.5" style="2" customWidth="1"/>
    <col min="38" max="38" width="16.5" style="2" bestFit="1" customWidth="1"/>
    <col min="39" max="39" width="18" style="2" bestFit="1" customWidth="1"/>
    <col min="40" max="43" width="18" style="2" customWidth="1"/>
    <col min="44" max="16384" width="9.5" style="2"/>
  </cols>
  <sheetData>
    <row r="1" spans="1:43">
      <c r="A1" s="43"/>
      <c r="B1" s="232" t="s">
        <v>127</v>
      </c>
      <c r="C1" s="235" t="s">
        <v>128</v>
      </c>
      <c r="D1" s="238" t="s">
        <v>129</v>
      </c>
      <c r="E1" s="239"/>
      <c r="F1" s="239"/>
      <c r="G1" s="239"/>
      <c r="H1" s="239"/>
      <c r="I1" s="239"/>
      <c r="J1" s="239"/>
      <c r="K1" s="240"/>
      <c r="L1" s="238" t="s">
        <v>130</v>
      </c>
      <c r="M1" s="239"/>
      <c r="N1" s="239"/>
      <c r="O1" s="239"/>
      <c r="P1" s="239"/>
      <c r="Q1" s="239"/>
      <c r="R1" s="239"/>
      <c r="S1" s="240"/>
      <c r="T1" s="238" t="s">
        <v>131</v>
      </c>
      <c r="U1" s="239"/>
      <c r="V1" s="239"/>
      <c r="W1" s="239"/>
      <c r="X1" s="239"/>
      <c r="Y1" s="239"/>
      <c r="Z1" s="239"/>
      <c r="AA1" s="243"/>
      <c r="AB1" s="242"/>
      <c r="AC1" s="242"/>
      <c r="AD1" s="242"/>
      <c r="AE1" s="242"/>
      <c r="AF1" s="242"/>
      <c r="AG1" s="242"/>
      <c r="AH1" s="242"/>
      <c r="AI1" s="242"/>
      <c r="AJ1" s="242"/>
      <c r="AK1" s="242"/>
      <c r="AL1" s="242"/>
      <c r="AM1" s="242"/>
      <c r="AN1" s="242"/>
      <c r="AO1" s="242"/>
      <c r="AP1" s="242"/>
      <c r="AQ1" s="242"/>
    </row>
    <row r="2" spans="1:43" ht="15" customHeight="1">
      <c r="A2" s="44"/>
      <c r="B2" s="233"/>
      <c r="C2" s="236"/>
      <c r="D2" s="228" t="s">
        <v>132</v>
      </c>
      <c r="E2" s="221" t="s">
        <v>133</v>
      </c>
      <c r="F2" s="221" t="s">
        <v>134</v>
      </c>
      <c r="G2" s="221" t="s">
        <v>135</v>
      </c>
      <c r="H2" s="221" t="s">
        <v>136</v>
      </c>
      <c r="I2" s="230" t="s">
        <v>137</v>
      </c>
      <c r="J2" s="230"/>
      <c r="K2" s="231"/>
      <c r="L2" s="228" t="s">
        <v>132</v>
      </c>
      <c r="M2" s="221" t="s">
        <v>133</v>
      </c>
      <c r="N2" s="221" t="s">
        <v>134</v>
      </c>
      <c r="O2" s="221" t="s">
        <v>135</v>
      </c>
      <c r="P2" s="221" t="s">
        <v>136</v>
      </c>
      <c r="Q2" s="230" t="s">
        <v>137</v>
      </c>
      <c r="R2" s="230"/>
      <c r="S2" s="231"/>
      <c r="T2" s="228" t="s">
        <v>132</v>
      </c>
      <c r="U2" s="221" t="s">
        <v>133</v>
      </c>
      <c r="V2" s="221" t="s">
        <v>134</v>
      </c>
      <c r="W2" s="221" t="s">
        <v>135</v>
      </c>
      <c r="X2" s="221" t="s">
        <v>136</v>
      </c>
      <c r="Y2" s="230" t="s">
        <v>137</v>
      </c>
      <c r="Z2" s="230"/>
      <c r="AA2" s="241"/>
      <c r="AB2" s="222"/>
      <c r="AC2" s="222"/>
      <c r="AD2" s="222"/>
      <c r="AE2" s="222"/>
      <c r="AF2" s="222"/>
      <c r="AG2" s="224"/>
      <c r="AH2" s="224"/>
      <c r="AI2" s="224"/>
      <c r="AJ2" s="222"/>
      <c r="AK2" s="222"/>
      <c r="AL2" s="222"/>
      <c r="AM2" s="222"/>
      <c r="AN2" s="222"/>
      <c r="AO2" s="224"/>
      <c r="AP2" s="224"/>
      <c r="AQ2" s="224"/>
    </row>
    <row r="3" spans="1:43" ht="87.75" customHeight="1">
      <c r="A3" s="44"/>
      <c r="B3" s="234"/>
      <c r="C3" s="237"/>
      <c r="D3" s="229"/>
      <c r="E3" s="222"/>
      <c r="F3" s="222"/>
      <c r="G3" s="222"/>
      <c r="H3" s="222"/>
      <c r="I3" s="39" t="s">
        <v>138</v>
      </c>
      <c r="J3" s="39" t="s">
        <v>139</v>
      </c>
      <c r="K3" s="39" t="s">
        <v>140</v>
      </c>
      <c r="L3" s="229"/>
      <c r="M3" s="222"/>
      <c r="N3" s="222"/>
      <c r="O3" s="222"/>
      <c r="P3" s="223"/>
      <c r="Q3" s="39" t="s">
        <v>138</v>
      </c>
      <c r="R3" s="39" t="s">
        <v>139</v>
      </c>
      <c r="S3" s="39" t="s">
        <v>140</v>
      </c>
      <c r="T3" s="229"/>
      <c r="U3" s="223"/>
      <c r="V3" s="223"/>
      <c r="W3" s="223"/>
      <c r="X3" s="223"/>
      <c r="Y3" s="39" t="s">
        <v>138</v>
      </c>
      <c r="Z3" s="39" t="s">
        <v>139</v>
      </c>
      <c r="AA3" s="45" t="s">
        <v>140</v>
      </c>
      <c r="AB3" s="222"/>
      <c r="AC3" s="222"/>
      <c r="AD3" s="222"/>
      <c r="AE3" s="222"/>
      <c r="AF3" s="222"/>
      <c r="AG3" s="40"/>
      <c r="AH3" s="40"/>
      <c r="AI3" s="40"/>
      <c r="AJ3" s="222"/>
      <c r="AK3" s="222"/>
      <c r="AL3" s="222"/>
      <c r="AM3" s="222"/>
      <c r="AN3" s="222"/>
      <c r="AO3" s="40"/>
      <c r="AP3" s="40"/>
      <c r="AQ3" s="40"/>
    </row>
    <row r="4" spans="1:43" ht="15" customHeight="1">
      <c r="A4" s="225" t="s">
        <v>141</v>
      </c>
      <c r="B4" s="2">
        <v>1</v>
      </c>
      <c r="C4" s="169">
        <f>Disasters!D4-Disasters!C4+1</f>
        <v>2022</v>
      </c>
      <c r="D4" s="14">
        <v>0</v>
      </c>
      <c r="E4" s="14">
        <v>1</v>
      </c>
      <c r="F4" s="14">
        <v>0</v>
      </c>
      <c r="G4" s="14">
        <v>1</v>
      </c>
      <c r="H4" s="14">
        <v>0</v>
      </c>
      <c r="I4" s="14">
        <v>0</v>
      </c>
      <c r="J4" s="14">
        <v>0</v>
      </c>
      <c r="K4" s="211">
        <v>0</v>
      </c>
      <c r="L4" s="14">
        <v>1</v>
      </c>
      <c r="M4" s="14">
        <v>0</v>
      </c>
      <c r="N4" s="14">
        <v>0</v>
      </c>
      <c r="O4" s="14">
        <v>1</v>
      </c>
      <c r="P4" s="14">
        <v>0</v>
      </c>
      <c r="Q4" s="14">
        <v>0</v>
      </c>
      <c r="R4" s="14">
        <v>0</v>
      </c>
      <c r="S4" s="46">
        <v>0</v>
      </c>
      <c r="T4" s="13">
        <v>0</v>
      </c>
      <c r="U4" s="14">
        <v>2</v>
      </c>
      <c r="V4" s="14">
        <v>0</v>
      </c>
      <c r="W4" s="14">
        <v>1</v>
      </c>
      <c r="X4" s="14">
        <v>1</v>
      </c>
      <c r="Y4" s="14">
        <v>0</v>
      </c>
      <c r="Z4" s="14">
        <v>0</v>
      </c>
      <c r="AA4" s="46">
        <v>0</v>
      </c>
      <c r="AB4" s="42"/>
      <c r="AC4" s="42"/>
      <c r="AD4" s="42"/>
      <c r="AE4" s="42"/>
      <c r="AF4" s="42"/>
      <c r="AG4" s="42"/>
      <c r="AH4" s="42"/>
      <c r="AI4" s="42"/>
      <c r="AJ4" s="42"/>
      <c r="AK4" s="42"/>
      <c r="AL4" s="42"/>
      <c r="AM4" s="42"/>
      <c r="AN4" s="42"/>
      <c r="AO4" s="42"/>
      <c r="AP4" s="42"/>
      <c r="AQ4" s="42"/>
    </row>
    <row r="5" spans="1:43">
      <c r="A5" s="226"/>
      <c r="B5" s="2">
        <f>+B4+1</f>
        <v>2</v>
      </c>
      <c r="C5" s="170">
        <f>C4+1</f>
        <v>2023</v>
      </c>
      <c r="D5" s="14">
        <v>0</v>
      </c>
      <c r="E5" s="14">
        <v>1</v>
      </c>
      <c r="F5" s="14">
        <v>0</v>
      </c>
      <c r="G5" s="14">
        <v>1</v>
      </c>
      <c r="H5" s="14">
        <v>0</v>
      </c>
      <c r="I5" s="14">
        <v>0</v>
      </c>
      <c r="J5" s="14">
        <v>0</v>
      </c>
      <c r="K5" s="15">
        <v>0</v>
      </c>
      <c r="L5" s="14">
        <v>1</v>
      </c>
      <c r="M5" s="14">
        <v>0</v>
      </c>
      <c r="N5" s="14">
        <v>0</v>
      </c>
      <c r="O5" s="14">
        <v>1</v>
      </c>
      <c r="P5" s="14">
        <v>0</v>
      </c>
      <c r="Q5" s="14">
        <v>0</v>
      </c>
      <c r="R5" s="14">
        <v>0</v>
      </c>
      <c r="S5" s="46">
        <v>0</v>
      </c>
      <c r="T5" s="13">
        <v>0</v>
      </c>
      <c r="U5" s="14">
        <v>2</v>
      </c>
      <c r="V5" s="14">
        <v>0</v>
      </c>
      <c r="W5" s="14">
        <v>1</v>
      </c>
      <c r="X5" s="14">
        <v>1</v>
      </c>
      <c r="Y5" s="14">
        <v>0</v>
      </c>
      <c r="Z5" s="14">
        <v>0</v>
      </c>
      <c r="AA5" s="46">
        <v>0</v>
      </c>
      <c r="AB5" s="42"/>
      <c r="AC5" s="42"/>
      <c r="AD5" s="42"/>
      <c r="AE5" s="42"/>
      <c r="AF5" s="42"/>
      <c r="AG5" s="42"/>
      <c r="AH5" s="42"/>
      <c r="AI5" s="42"/>
      <c r="AJ5" s="42"/>
      <c r="AK5" s="42"/>
      <c r="AL5" s="42"/>
      <c r="AM5" s="42"/>
      <c r="AN5" s="42"/>
      <c r="AO5" s="42"/>
      <c r="AP5" s="42"/>
      <c r="AQ5" s="42"/>
    </row>
    <row r="6" spans="1:43">
      <c r="A6" s="226"/>
      <c r="B6" s="2">
        <f t="shared" ref="B6:C21" si="0">+B5+1</f>
        <v>3</v>
      </c>
      <c r="C6" s="170">
        <f t="shared" si="0"/>
        <v>2024</v>
      </c>
      <c r="D6" s="14">
        <v>0</v>
      </c>
      <c r="E6" s="14">
        <v>1</v>
      </c>
      <c r="F6" s="14">
        <v>0</v>
      </c>
      <c r="G6" s="14">
        <v>1</v>
      </c>
      <c r="H6" s="14">
        <v>0</v>
      </c>
      <c r="I6" s="14">
        <v>0</v>
      </c>
      <c r="J6" s="14">
        <v>0</v>
      </c>
      <c r="K6" s="15">
        <v>0</v>
      </c>
      <c r="L6" s="14">
        <v>1</v>
      </c>
      <c r="M6" s="14">
        <v>0</v>
      </c>
      <c r="N6" s="14">
        <v>0</v>
      </c>
      <c r="O6" s="14">
        <v>1</v>
      </c>
      <c r="P6" s="14">
        <v>0</v>
      </c>
      <c r="Q6" s="14">
        <v>0</v>
      </c>
      <c r="R6" s="14">
        <v>0</v>
      </c>
      <c r="S6" s="46">
        <v>0</v>
      </c>
      <c r="T6" s="13">
        <v>0</v>
      </c>
      <c r="U6" s="14">
        <v>2</v>
      </c>
      <c r="V6" s="14">
        <v>0</v>
      </c>
      <c r="W6" s="14">
        <v>1</v>
      </c>
      <c r="X6" s="14">
        <v>1</v>
      </c>
      <c r="Y6" s="14">
        <v>0</v>
      </c>
      <c r="Z6" s="14">
        <v>0</v>
      </c>
      <c r="AA6" s="46">
        <v>0</v>
      </c>
      <c r="AB6" s="42"/>
      <c r="AC6" s="42"/>
      <c r="AD6" s="42"/>
      <c r="AE6" s="42"/>
      <c r="AF6" s="42"/>
      <c r="AG6" s="42"/>
      <c r="AH6" s="42"/>
      <c r="AI6" s="42"/>
      <c r="AJ6" s="42"/>
      <c r="AK6" s="42"/>
      <c r="AL6" s="42"/>
      <c r="AM6" s="42"/>
      <c r="AN6" s="42"/>
      <c r="AO6" s="42"/>
      <c r="AP6" s="42"/>
      <c r="AQ6" s="42"/>
    </row>
    <row r="7" spans="1:43">
      <c r="A7" s="226"/>
      <c r="B7" s="2">
        <f t="shared" si="0"/>
        <v>4</v>
      </c>
      <c r="C7" s="170">
        <f t="shared" si="0"/>
        <v>2025</v>
      </c>
      <c r="D7" s="14">
        <v>0</v>
      </c>
      <c r="E7" s="14">
        <v>1</v>
      </c>
      <c r="F7" s="14">
        <v>0</v>
      </c>
      <c r="G7" s="14">
        <v>1</v>
      </c>
      <c r="H7" s="14">
        <v>0</v>
      </c>
      <c r="I7" s="14">
        <v>0</v>
      </c>
      <c r="J7" s="14">
        <v>0</v>
      </c>
      <c r="K7" s="15">
        <v>0</v>
      </c>
      <c r="L7" s="14">
        <v>1</v>
      </c>
      <c r="M7" s="14">
        <v>0</v>
      </c>
      <c r="N7" s="14">
        <v>0</v>
      </c>
      <c r="O7" s="14">
        <v>1</v>
      </c>
      <c r="P7" s="14">
        <v>0</v>
      </c>
      <c r="Q7" s="14">
        <v>0</v>
      </c>
      <c r="R7" s="14">
        <v>0</v>
      </c>
      <c r="S7" s="46">
        <v>0</v>
      </c>
      <c r="T7" s="13">
        <v>0</v>
      </c>
      <c r="U7" s="14">
        <v>2</v>
      </c>
      <c r="V7" s="14">
        <v>0</v>
      </c>
      <c r="W7" s="14">
        <v>1</v>
      </c>
      <c r="X7" s="14">
        <v>1</v>
      </c>
      <c r="Y7" s="14">
        <v>0</v>
      </c>
      <c r="Z7" s="14">
        <v>0</v>
      </c>
      <c r="AA7" s="46">
        <v>0</v>
      </c>
      <c r="AB7" s="42"/>
      <c r="AC7" s="42"/>
      <c r="AD7" s="42"/>
      <c r="AE7" s="42"/>
      <c r="AF7" s="42"/>
      <c r="AG7" s="42"/>
      <c r="AH7" s="42"/>
      <c r="AI7" s="42"/>
      <c r="AJ7" s="42"/>
      <c r="AK7" s="42"/>
      <c r="AL7" s="42"/>
      <c r="AM7" s="42"/>
      <c r="AN7" s="42"/>
      <c r="AO7" s="42"/>
      <c r="AP7" s="42"/>
      <c r="AQ7" s="42"/>
    </row>
    <row r="8" spans="1:43">
      <c r="A8" s="226"/>
      <c r="B8" s="2">
        <f t="shared" si="0"/>
        <v>5</v>
      </c>
      <c r="C8" s="170">
        <f t="shared" si="0"/>
        <v>2026</v>
      </c>
      <c r="D8" s="14">
        <v>0</v>
      </c>
      <c r="E8" s="14">
        <v>1</v>
      </c>
      <c r="F8" s="14">
        <v>0</v>
      </c>
      <c r="G8" s="14">
        <v>1</v>
      </c>
      <c r="H8" s="14">
        <v>0</v>
      </c>
      <c r="I8" s="14">
        <v>0</v>
      </c>
      <c r="J8" s="14">
        <v>0</v>
      </c>
      <c r="K8" s="15">
        <v>0</v>
      </c>
      <c r="L8" s="14">
        <v>1</v>
      </c>
      <c r="M8" s="14">
        <v>0</v>
      </c>
      <c r="N8" s="14">
        <v>0</v>
      </c>
      <c r="O8" s="14">
        <v>1</v>
      </c>
      <c r="P8" s="14">
        <v>0</v>
      </c>
      <c r="Q8" s="14">
        <v>0</v>
      </c>
      <c r="R8" s="14">
        <v>0</v>
      </c>
      <c r="S8" s="46">
        <v>0</v>
      </c>
      <c r="T8" s="13">
        <v>0</v>
      </c>
      <c r="U8" s="14">
        <v>2</v>
      </c>
      <c r="V8" s="14">
        <v>0</v>
      </c>
      <c r="W8" s="14">
        <v>1</v>
      </c>
      <c r="X8" s="14">
        <v>1</v>
      </c>
      <c r="Y8" s="14">
        <v>0</v>
      </c>
      <c r="Z8" s="14">
        <v>0</v>
      </c>
      <c r="AA8" s="46">
        <v>0</v>
      </c>
      <c r="AB8" s="42"/>
      <c r="AC8" s="42"/>
      <c r="AD8" s="42"/>
      <c r="AE8" s="42"/>
      <c r="AF8" s="42"/>
      <c r="AG8" s="42"/>
      <c r="AH8" s="42"/>
      <c r="AI8" s="42"/>
      <c r="AJ8" s="42"/>
      <c r="AK8" s="42"/>
      <c r="AL8" s="42"/>
      <c r="AM8" s="42"/>
      <c r="AN8" s="42"/>
      <c r="AO8" s="42"/>
      <c r="AP8" s="42"/>
      <c r="AQ8" s="42"/>
    </row>
    <row r="9" spans="1:43">
      <c r="A9" s="226"/>
      <c r="B9" s="2">
        <f t="shared" si="0"/>
        <v>6</v>
      </c>
      <c r="C9" s="170">
        <f t="shared" si="0"/>
        <v>2027</v>
      </c>
      <c r="D9" s="14">
        <v>0</v>
      </c>
      <c r="E9" s="14">
        <v>0</v>
      </c>
      <c r="F9" s="14">
        <v>0</v>
      </c>
      <c r="G9" s="14">
        <v>0</v>
      </c>
      <c r="H9" s="14">
        <v>0</v>
      </c>
      <c r="I9" s="14">
        <v>0</v>
      </c>
      <c r="J9" s="14">
        <v>0</v>
      </c>
      <c r="K9" s="15">
        <v>0</v>
      </c>
      <c r="L9" s="14">
        <v>0</v>
      </c>
      <c r="M9" s="14">
        <v>0</v>
      </c>
      <c r="N9" s="14">
        <v>0</v>
      </c>
      <c r="O9" s="14">
        <v>0</v>
      </c>
      <c r="P9" s="14">
        <v>0</v>
      </c>
      <c r="Q9" s="14">
        <v>0</v>
      </c>
      <c r="R9" s="14">
        <v>0</v>
      </c>
      <c r="S9" s="14">
        <v>0</v>
      </c>
      <c r="T9" s="13">
        <v>0</v>
      </c>
      <c r="U9" s="14">
        <v>0</v>
      </c>
      <c r="V9" s="14">
        <v>0</v>
      </c>
      <c r="W9" s="14">
        <v>0</v>
      </c>
      <c r="X9" s="14">
        <v>0</v>
      </c>
      <c r="Y9" s="14">
        <v>0</v>
      </c>
      <c r="Z9" s="14">
        <v>0</v>
      </c>
      <c r="AA9" s="46">
        <v>0</v>
      </c>
      <c r="AB9" s="42"/>
      <c r="AC9" s="42"/>
      <c r="AD9" s="42"/>
      <c r="AE9" s="42"/>
      <c r="AF9" s="42"/>
      <c r="AG9" s="42"/>
      <c r="AH9" s="42"/>
      <c r="AI9" s="42"/>
      <c r="AJ9" s="42"/>
      <c r="AK9" s="42"/>
      <c r="AL9" s="42"/>
      <c r="AM9" s="42"/>
      <c r="AN9" s="42"/>
      <c r="AO9" s="42"/>
      <c r="AP9" s="42"/>
      <c r="AQ9" s="42"/>
    </row>
    <row r="10" spans="1:43">
      <c r="A10" s="226"/>
      <c r="B10" s="2">
        <f t="shared" si="0"/>
        <v>7</v>
      </c>
      <c r="C10" s="170">
        <f t="shared" si="0"/>
        <v>2028</v>
      </c>
      <c r="D10" s="14">
        <v>0</v>
      </c>
      <c r="E10" s="14">
        <v>0</v>
      </c>
      <c r="F10" s="14">
        <v>0</v>
      </c>
      <c r="G10" s="14">
        <v>0</v>
      </c>
      <c r="H10" s="14">
        <v>0</v>
      </c>
      <c r="I10" s="14">
        <v>0</v>
      </c>
      <c r="J10" s="14">
        <v>0</v>
      </c>
      <c r="K10" s="14">
        <v>0</v>
      </c>
      <c r="L10" s="13">
        <v>0</v>
      </c>
      <c r="M10" s="14">
        <v>0</v>
      </c>
      <c r="N10" s="14">
        <v>0</v>
      </c>
      <c r="O10" s="14">
        <v>0</v>
      </c>
      <c r="P10" s="14">
        <v>0</v>
      </c>
      <c r="Q10" s="14">
        <v>0</v>
      </c>
      <c r="R10" s="14">
        <v>0</v>
      </c>
      <c r="S10" s="14">
        <v>0</v>
      </c>
      <c r="T10" s="13">
        <v>0</v>
      </c>
      <c r="U10" s="14">
        <v>0</v>
      </c>
      <c r="V10" s="14">
        <v>0</v>
      </c>
      <c r="W10" s="14">
        <v>0</v>
      </c>
      <c r="X10" s="14">
        <v>0</v>
      </c>
      <c r="Y10" s="14">
        <v>0</v>
      </c>
      <c r="Z10" s="14">
        <v>0</v>
      </c>
      <c r="AA10" s="46">
        <v>0</v>
      </c>
      <c r="AB10" s="42"/>
      <c r="AC10" s="42"/>
      <c r="AD10" s="42"/>
      <c r="AE10" s="42"/>
      <c r="AF10" s="42"/>
      <c r="AG10" s="42"/>
      <c r="AH10" s="42"/>
      <c r="AI10" s="42"/>
      <c r="AJ10" s="42"/>
      <c r="AK10" s="42"/>
      <c r="AL10" s="42"/>
      <c r="AM10" s="42"/>
      <c r="AN10" s="42"/>
      <c r="AO10" s="42"/>
      <c r="AP10" s="42"/>
      <c r="AQ10" s="42"/>
    </row>
    <row r="11" spans="1:43">
      <c r="A11" s="226"/>
      <c r="B11" s="2">
        <f t="shared" si="0"/>
        <v>8</v>
      </c>
      <c r="C11" s="170">
        <f t="shared" si="0"/>
        <v>2029</v>
      </c>
      <c r="D11" s="14">
        <v>0</v>
      </c>
      <c r="E11" s="14">
        <v>0</v>
      </c>
      <c r="F11" s="14">
        <v>0</v>
      </c>
      <c r="G11" s="14">
        <v>0</v>
      </c>
      <c r="H11" s="14">
        <v>0</v>
      </c>
      <c r="I11" s="14">
        <v>0</v>
      </c>
      <c r="J11" s="14">
        <v>0</v>
      </c>
      <c r="K11" s="14">
        <v>0</v>
      </c>
      <c r="L11" s="13">
        <v>0</v>
      </c>
      <c r="M11" s="14">
        <v>0</v>
      </c>
      <c r="N11" s="14">
        <v>0</v>
      </c>
      <c r="O11" s="14">
        <v>0</v>
      </c>
      <c r="P11" s="14">
        <v>0</v>
      </c>
      <c r="Q11" s="14">
        <v>0</v>
      </c>
      <c r="R11" s="14">
        <v>0</v>
      </c>
      <c r="S11" s="14">
        <v>0</v>
      </c>
      <c r="T11" s="13">
        <v>0</v>
      </c>
      <c r="U11" s="14">
        <v>0</v>
      </c>
      <c r="V11" s="14">
        <v>0</v>
      </c>
      <c r="W11" s="14">
        <v>0</v>
      </c>
      <c r="X11" s="14">
        <v>0</v>
      </c>
      <c r="Y11" s="14">
        <v>0</v>
      </c>
      <c r="Z11" s="14">
        <v>0</v>
      </c>
      <c r="AA11" s="46">
        <v>0</v>
      </c>
      <c r="AB11" s="42"/>
      <c r="AC11" s="42"/>
      <c r="AD11" s="42"/>
      <c r="AE11" s="42"/>
      <c r="AF11" s="42"/>
      <c r="AG11" s="42"/>
      <c r="AH11" s="42"/>
      <c r="AI11" s="42"/>
      <c r="AJ11" s="42"/>
      <c r="AK11" s="42"/>
      <c r="AL11" s="42"/>
      <c r="AM11" s="42"/>
      <c r="AN11" s="42"/>
      <c r="AO11" s="42"/>
      <c r="AP11" s="42"/>
      <c r="AQ11" s="42"/>
    </row>
    <row r="12" spans="1:43">
      <c r="A12" s="226"/>
      <c r="B12" s="2">
        <f t="shared" si="0"/>
        <v>9</v>
      </c>
      <c r="C12" s="170">
        <f t="shared" si="0"/>
        <v>2030</v>
      </c>
      <c r="D12" s="14">
        <v>0</v>
      </c>
      <c r="E12" s="14">
        <v>0</v>
      </c>
      <c r="F12" s="14">
        <v>0</v>
      </c>
      <c r="G12" s="14">
        <v>0</v>
      </c>
      <c r="H12" s="14">
        <v>0</v>
      </c>
      <c r="I12" s="14">
        <v>0</v>
      </c>
      <c r="J12" s="14">
        <v>0</v>
      </c>
      <c r="K12" s="15">
        <v>0</v>
      </c>
      <c r="L12" s="13">
        <v>0</v>
      </c>
      <c r="M12" s="14">
        <v>0</v>
      </c>
      <c r="N12" s="14">
        <v>0</v>
      </c>
      <c r="O12" s="14">
        <v>0</v>
      </c>
      <c r="P12" s="14">
        <v>0</v>
      </c>
      <c r="Q12" s="14">
        <v>0</v>
      </c>
      <c r="R12" s="14">
        <v>0</v>
      </c>
      <c r="S12" s="14">
        <v>0</v>
      </c>
      <c r="T12" s="13">
        <v>0</v>
      </c>
      <c r="U12" s="14">
        <v>0</v>
      </c>
      <c r="V12" s="14">
        <v>0</v>
      </c>
      <c r="W12" s="14">
        <v>0</v>
      </c>
      <c r="X12" s="14">
        <v>0</v>
      </c>
      <c r="Y12" s="14">
        <v>0</v>
      </c>
      <c r="Z12" s="14">
        <v>0</v>
      </c>
      <c r="AA12" s="46">
        <v>0</v>
      </c>
      <c r="AB12" s="42"/>
      <c r="AC12" s="42"/>
      <c r="AD12" s="42"/>
      <c r="AE12" s="42"/>
      <c r="AF12" s="42"/>
      <c r="AG12" s="42"/>
      <c r="AH12" s="42"/>
      <c r="AI12" s="42"/>
      <c r="AJ12" s="42"/>
      <c r="AK12" s="42"/>
      <c r="AL12" s="42"/>
      <c r="AM12" s="42"/>
      <c r="AN12" s="42"/>
      <c r="AO12" s="42"/>
      <c r="AP12" s="42"/>
      <c r="AQ12" s="42"/>
    </row>
    <row r="13" spans="1:43">
      <c r="A13" s="226"/>
      <c r="B13" s="2">
        <f t="shared" si="0"/>
        <v>10</v>
      </c>
      <c r="C13" s="170">
        <f t="shared" si="0"/>
        <v>2031</v>
      </c>
      <c r="D13" s="14">
        <v>0</v>
      </c>
      <c r="E13" s="14">
        <v>0</v>
      </c>
      <c r="F13" s="14">
        <v>0</v>
      </c>
      <c r="G13" s="14">
        <v>0</v>
      </c>
      <c r="H13" s="14">
        <v>0</v>
      </c>
      <c r="I13" s="14">
        <v>0</v>
      </c>
      <c r="J13" s="14">
        <v>0</v>
      </c>
      <c r="K13" s="14">
        <v>0</v>
      </c>
      <c r="L13" s="13">
        <v>0</v>
      </c>
      <c r="M13" s="14">
        <v>0</v>
      </c>
      <c r="N13" s="14">
        <v>0</v>
      </c>
      <c r="O13" s="14">
        <v>0</v>
      </c>
      <c r="P13" s="14">
        <v>0</v>
      </c>
      <c r="Q13" s="14">
        <v>0</v>
      </c>
      <c r="R13" s="14">
        <v>0</v>
      </c>
      <c r="S13" s="14">
        <v>0</v>
      </c>
      <c r="T13" s="13">
        <v>0</v>
      </c>
      <c r="U13" s="14">
        <v>0</v>
      </c>
      <c r="V13" s="14">
        <v>0</v>
      </c>
      <c r="W13" s="14">
        <v>0</v>
      </c>
      <c r="X13" s="14">
        <v>0</v>
      </c>
      <c r="Y13" s="14">
        <v>0</v>
      </c>
      <c r="Z13" s="14">
        <v>0</v>
      </c>
      <c r="AA13" s="46">
        <v>0</v>
      </c>
      <c r="AB13" s="42"/>
      <c r="AC13" s="42"/>
      <c r="AD13" s="42"/>
      <c r="AE13" s="42"/>
      <c r="AF13" s="42"/>
      <c r="AG13" s="42"/>
      <c r="AH13" s="42"/>
      <c r="AI13" s="42"/>
      <c r="AJ13" s="42"/>
      <c r="AK13" s="42"/>
      <c r="AL13" s="42"/>
      <c r="AM13" s="42"/>
      <c r="AN13" s="42"/>
      <c r="AO13" s="42"/>
      <c r="AP13" s="42"/>
      <c r="AQ13" s="42"/>
    </row>
    <row r="14" spans="1:43">
      <c r="A14" s="226"/>
      <c r="B14" s="47">
        <f t="shared" si="0"/>
        <v>11</v>
      </c>
      <c r="C14" s="170">
        <f t="shared" si="0"/>
        <v>2032</v>
      </c>
      <c r="D14" s="14">
        <v>0</v>
      </c>
      <c r="E14" s="14">
        <v>0</v>
      </c>
      <c r="F14" s="14">
        <v>0</v>
      </c>
      <c r="G14" s="14">
        <v>0</v>
      </c>
      <c r="H14" s="14">
        <v>0</v>
      </c>
      <c r="I14" s="14">
        <v>0</v>
      </c>
      <c r="J14" s="14">
        <v>0</v>
      </c>
      <c r="K14" s="14">
        <v>0</v>
      </c>
      <c r="L14" s="13">
        <v>0</v>
      </c>
      <c r="M14" s="14">
        <v>0</v>
      </c>
      <c r="N14" s="14">
        <v>0</v>
      </c>
      <c r="O14" s="14">
        <v>0</v>
      </c>
      <c r="P14" s="14">
        <v>0</v>
      </c>
      <c r="Q14" s="14">
        <v>0</v>
      </c>
      <c r="R14" s="14">
        <v>0</v>
      </c>
      <c r="S14" s="14">
        <v>0</v>
      </c>
      <c r="T14" s="13">
        <v>0</v>
      </c>
      <c r="U14" s="14">
        <v>0</v>
      </c>
      <c r="V14" s="14">
        <v>0</v>
      </c>
      <c r="W14" s="14">
        <v>0</v>
      </c>
      <c r="X14" s="14">
        <v>0</v>
      </c>
      <c r="Y14" s="14">
        <v>0</v>
      </c>
      <c r="Z14" s="14">
        <v>0</v>
      </c>
      <c r="AA14" s="46">
        <v>0</v>
      </c>
      <c r="AB14" s="42"/>
      <c r="AC14" s="42"/>
      <c r="AD14" s="42"/>
      <c r="AE14" s="42"/>
      <c r="AF14" s="42"/>
      <c r="AG14" s="42"/>
      <c r="AH14" s="42"/>
      <c r="AI14" s="42"/>
      <c r="AJ14" s="42"/>
      <c r="AK14" s="42"/>
      <c r="AL14" s="42"/>
      <c r="AM14" s="42"/>
      <c r="AN14" s="42"/>
      <c r="AO14" s="42"/>
      <c r="AP14" s="42"/>
      <c r="AQ14" s="42"/>
    </row>
    <row r="15" spans="1:43">
      <c r="A15" s="226"/>
      <c r="B15" s="2">
        <f t="shared" si="0"/>
        <v>12</v>
      </c>
      <c r="C15" s="170">
        <f t="shared" si="0"/>
        <v>2033</v>
      </c>
      <c r="D15" s="14">
        <v>0</v>
      </c>
      <c r="E15" s="14">
        <v>0</v>
      </c>
      <c r="F15" s="14">
        <v>0</v>
      </c>
      <c r="G15" s="14">
        <v>0</v>
      </c>
      <c r="H15" s="14">
        <v>0</v>
      </c>
      <c r="I15" s="14">
        <v>0</v>
      </c>
      <c r="J15" s="14">
        <v>0</v>
      </c>
      <c r="K15" s="14">
        <v>0</v>
      </c>
      <c r="L15" s="13">
        <v>0</v>
      </c>
      <c r="M15" s="14">
        <v>0</v>
      </c>
      <c r="N15" s="14">
        <v>0</v>
      </c>
      <c r="O15" s="14">
        <v>0</v>
      </c>
      <c r="P15" s="14">
        <v>0</v>
      </c>
      <c r="Q15" s="14">
        <v>0</v>
      </c>
      <c r="R15" s="14">
        <v>0</v>
      </c>
      <c r="S15" s="14">
        <v>0</v>
      </c>
      <c r="T15" s="13">
        <v>0</v>
      </c>
      <c r="U15" s="14">
        <v>0</v>
      </c>
      <c r="V15" s="14">
        <v>0</v>
      </c>
      <c r="W15" s="14">
        <v>0</v>
      </c>
      <c r="X15" s="14">
        <v>0</v>
      </c>
      <c r="Y15" s="14">
        <v>0</v>
      </c>
      <c r="Z15" s="14">
        <v>0</v>
      </c>
      <c r="AA15" s="46">
        <v>0</v>
      </c>
      <c r="AB15" s="42"/>
      <c r="AC15" s="42"/>
      <c r="AD15" s="42"/>
      <c r="AE15" s="42"/>
      <c r="AF15" s="42"/>
      <c r="AG15" s="42"/>
      <c r="AH15" s="42"/>
      <c r="AI15" s="42"/>
      <c r="AJ15" s="42"/>
      <c r="AK15" s="42"/>
      <c r="AL15" s="42"/>
      <c r="AM15" s="42"/>
      <c r="AN15" s="42"/>
      <c r="AO15" s="42"/>
      <c r="AP15" s="42"/>
      <c r="AQ15" s="42"/>
    </row>
    <row r="16" spans="1:43">
      <c r="A16" s="226"/>
      <c r="B16" s="2">
        <f t="shared" si="0"/>
        <v>13</v>
      </c>
      <c r="C16" s="170">
        <f t="shared" si="0"/>
        <v>2034</v>
      </c>
      <c r="D16" s="14">
        <v>0</v>
      </c>
      <c r="E16" s="14">
        <v>0</v>
      </c>
      <c r="F16" s="14">
        <v>0</v>
      </c>
      <c r="G16" s="14">
        <v>0</v>
      </c>
      <c r="H16" s="14">
        <v>0</v>
      </c>
      <c r="I16" s="14">
        <v>0</v>
      </c>
      <c r="J16" s="14">
        <v>0</v>
      </c>
      <c r="K16" s="14">
        <v>0</v>
      </c>
      <c r="L16" s="13">
        <v>0</v>
      </c>
      <c r="M16" s="14">
        <v>0</v>
      </c>
      <c r="N16" s="14">
        <v>0</v>
      </c>
      <c r="O16" s="14">
        <v>0</v>
      </c>
      <c r="P16" s="14">
        <v>0</v>
      </c>
      <c r="Q16" s="14">
        <v>0</v>
      </c>
      <c r="R16" s="14">
        <v>0</v>
      </c>
      <c r="S16" s="14">
        <v>0</v>
      </c>
      <c r="T16" s="13">
        <v>0</v>
      </c>
      <c r="U16" s="14">
        <v>0</v>
      </c>
      <c r="V16" s="14">
        <v>0</v>
      </c>
      <c r="W16" s="14">
        <v>0</v>
      </c>
      <c r="X16" s="14">
        <v>0</v>
      </c>
      <c r="Y16" s="14">
        <v>0</v>
      </c>
      <c r="Z16" s="14">
        <v>0</v>
      </c>
      <c r="AA16" s="46">
        <v>0</v>
      </c>
      <c r="AB16" s="42"/>
      <c r="AC16" s="42"/>
      <c r="AD16" s="42"/>
      <c r="AE16" s="42"/>
      <c r="AF16" s="42"/>
      <c r="AG16" s="42"/>
      <c r="AH16" s="42"/>
      <c r="AI16" s="42"/>
      <c r="AJ16" s="42"/>
      <c r="AK16" s="42"/>
      <c r="AL16" s="42"/>
      <c r="AM16" s="42"/>
      <c r="AN16" s="42"/>
      <c r="AO16" s="42"/>
      <c r="AP16" s="42"/>
      <c r="AQ16" s="42"/>
    </row>
    <row r="17" spans="1:43">
      <c r="A17" s="226"/>
      <c r="B17" s="2">
        <f t="shared" si="0"/>
        <v>14</v>
      </c>
      <c r="C17" s="170">
        <f t="shared" si="0"/>
        <v>2035</v>
      </c>
      <c r="D17" s="14">
        <v>0</v>
      </c>
      <c r="E17" s="14">
        <v>0</v>
      </c>
      <c r="F17" s="14">
        <v>0</v>
      </c>
      <c r="G17" s="14">
        <v>0</v>
      </c>
      <c r="H17" s="14">
        <v>0</v>
      </c>
      <c r="I17" s="14">
        <v>0</v>
      </c>
      <c r="J17" s="14">
        <v>0</v>
      </c>
      <c r="K17" s="14">
        <v>0</v>
      </c>
      <c r="L17" s="13">
        <v>0</v>
      </c>
      <c r="M17" s="14">
        <v>0</v>
      </c>
      <c r="N17" s="14">
        <v>0</v>
      </c>
      <c r="O17" s="14">
        <v>0</v>
      </c>
      <c r="P17" s="14">
        <v>0</v>
      </c>
      <c r="Q17" s="14">
        <v>0</v>
      </c>
      <c r="R17" s="14">
        <v>0</v>
      </c>
      <c r="S17" s="14">
        <v>0</v>
      </c>
      <c r="T17" s="13">
        <v>0</v>
      </c>
      <c r="U17" s="14">
        <v>0</v>
      </c>
      <c r="V17" s="14">
        <v>0</v>
      </c>
      <c r="W17" s="14">
        <v>0</v>
      </c>
      <c r="X17" s="14">
        <v>0</v>
      </c>
      <c r="Y17" s="14">
        <v>0</v>
      </c>
      <c r="Z17" s="14">
        <v>0</v>
      </c>
      <c r="AA17" s="46">
        <v>0</v>
      </c>
      <c r="AB17" s="42"/>
      <c r="AC17" s="42"/>
      <c r="AD17" s="42"/>
      <c r="AE17" s="42"/>
      <c r="AF17" s="42"/>
      <c r="AG17" s="42"/>
      <c r="AH17" s="42"/>
      <c r="AI17" s="42"/>
      <c r="AJ17" s="42"/>
      <c r="AK17" s="42"/>
      <c r="AL17" s="42"/>
      <c r="AM17" s="42"/>
      <c r="AN17" s="42"/>
      <c r="AO17" s="42"/>
      <c r="AP17" s="42"/>
      <c r="AQ17" s="42"/>
    </row>
    <row r="18" spans="1:43">
      <c r="A18" s="226"/>
      <c r="B18" s="2">
        <f t="shared" si="0"/>
        <v>15</v>
      </c>
      <c r="C18" s="170">
        <f t="shared" si="0"/>
        <v>2036</v>
      </c>
      <c r="D18" s="14">
        <v>0</v>
      </c>
      <c r="E18" s="14">
        <v>0</v>
      </c>
      <c r="F18" s="14">
        <v>0</v>
      </c>
      <c r="G18" s="14">
        <v>0</v>
      </c>
      <c r="H18" s="14">
        <v>0</v>
      </c>
      <c r="I18" s="14">
        <v>0</v>
      </c>
      <c r="J18" s="14">
        <v>0</v>
      </c>
      <c r="K18" s="14">
        <v>0</v>
      </c>
      <c r="L18" s="13">
        <v>0</v>
      </c>
      <c r="M18" s="14">
        <v>0</v>
      </c>
      <c r="N18" s="14">
        <v>0</v>
      </c>
      <c r="O18" s="14">
        <v>0</v>
      </c>
      <c r="P18" s="14">
        <v>0</v>
      </c>
      <c r="Q18" s="14">
        <v>0</v>
      </c>
      <c r="R18" s="14">
        <v>0</v>
      </c>
      <c r="S18" s="14">
        <v>0</v>
      </c>
      <c r="T18" s="13">
        <v>0</v>
      </c>
      <c r="U18" s="14">
        <v>0</v>
      </c>
      <c r="V18" s="14">
        <v>0</v>
      </c>
      <c r="W18" s="14">
        <v>0</v>
      </c>
      <c r="X18" s="14">
        <v>0</v>
      </c>
      <c r="Y18" s="14">
        <v>0</v>
      </c>
      <c r="Z18" s="14">
        <v>0</v>
      </c>
      <c r="AA18" s="46">
        <v>0</v>
      </c>
      <c r="AB18" s="42"/>
      <c r="AC18" s="42"/>
      <c r="AD18" s="42"/>
      <c r="AE18" s="42"/>
      <c r="AF18" s="42"/>
      <c r="AG18" s="42"/>
      <c r="AH18" s="42"/>
      <c r="AI18" s="42"/>
      <c r="AJ18" s="42"/>
      <c r="AK18" s="42"/>
      <c r="AL18" s="42"/>
      <c r="AM18" s="42"/>
      <c r="AN18" s="42"/>
      <c r="AO18" s="42"/>
      <c r="AP18" s="42"/>
      <c r="AQ18" s="42"/>
    </row>
    <row r="19" spans="1:43">
      <c r="A19" s="226"/>
      <c r="B19" s="2">
        <f t="shared" si="0"/>
        <v>16</v>
      </c>
      <c r="C19" s="170">
        <f t="shared" si="0"/>
        <v>2037</v>
      </c>
      <c r="D19" s="14">
        <v>0</v>
      </c>
      <c r="E19" s="14">
        <v>0</v>
      </c>
      <c r="F19" s="14">
        <v>0</v>
      </c>
      <c r="G19" s="14">
        <v>0</v>
      </c>
      <c r="H19" s="14">
        <v>0</v>
      </c>
      <c r="I19" s="14">
        <v>0</v>
      </c>
      <c r="J19" s="14">
        <v>0</v>
      </c>
      <c r="K19" s="14">
        <v>0</v>
      </c>
      <c r="L19" s="13">
        <v>0</v>
      </c>
      <c r="M19" s="14">
        <v>0</v>
      </c>
      <c r="N19" s="14">
        <v>0</v>
      </c>
      <c r="O19" s="14">
        <v>0</v>
      </c>
      <c r="P19" s="14">
        <v>0</v>
      </c>
      <c r="Q19" s="14">
        <v>0</v>
      </c>
      <c r="R19" s="14">
        <v>0</v>
      </c>
      <c r="S19" s="14">
        <v>0</v>
      </c>
      <c r="T19" s="13">
        <v>0</v>
      </c>
      <c r="U19" s="14">
        <v>0</v>
      </c>
      <c r="V19" s="14">
        <v>0</v>
      </c>
      <c r="W19" s="14">
        <v>0</v>
      </c>
      <c r="X19" s="14">
        <v>0</v>
      </c>
      <c r="Y19" s="14">
        <v>0</v>
      </c>
      <c r="Z19" s="14">
        <v>0</v>
      </c>
      <c r="AA19" s="46">
        <v>0</v>
      </c>
      <c r="AB19" s="42"/>
      <c r="AC19" s="42"/>
      <c r="AD19" s="42"/>
      <c r="AE19" s="42"/>
      <c r="AF19" s="42"/>
      <c r="AG19" s="42"/>
      <c r="AH19" s="42"/>
      <c r="AI19" s="42"/>
      <c r="AJ19" s="42"/>
      <c r="AK19" s="42"/>
      <c r="AL19" s="42"/>
      <c r="AM19" s="42"/>
      <c r="AN19" s="42"/>
      <c r="AO19" s="42"/>
      <c r="AP19" s="42"/>
      <c r="AQ19" s="42"/>
    </row>
    <row r="20" spans="1:43">
      <c r="A20" s="226"/>
      <c r="B20" s="2">
        <f t="shared" si="0"/>
        <v>17</v>
      </c>
      <c r="C20" s="170">
        <f t="shared" si="0"/>
        <v>2038</v>
      </c>
      <c r="D20" s="14">
        <v>0</v>
      </c>
      <c r="E20" s="14">
        <v>0</v>
      </c>
      <c r="F20" s="14">
        <v>0</v>
      </c>
      <c r="G20" s="14">
        <v>0</v>
      </c>
      <c r="H20" s="14">
        <v>0</v>
      </c>
      <c r="I20" s="14">
        <v>0</v>
      </c>
      <c r="J20" s="14">
        <v>0</v>
      </c>
      <c r="K20" s="15">
        <v>0</v>
      </c>
      <c r="L20" s="13">
        <v>0</v>
      </c>
      <c r="M20" s="14">
        <v>0</v>
      </c>
      <c r="N20" s="14">
        <v>0</v>
      </c>
      <c r="O20" s="14">
        <v>0</v>
      </c>
      <c r="P20" s="14">
        <v>0</v>
      </c>
      <c r="Q20" s="14">
        <v>0</v>
      </c>
      <c r="R20" s="14">
        <v>0</v>
      </c>
      <c r="S20" s="14">
        <v>0</v>
      </c>
      <c r="T20" s="13">
        <v>0</v>
      </c>
      <c r="U20" s="14">
        <v>0</v>
      </c>
      <c r="V20" s="14">
        <v>0</v>
      </c>
      <c r="W20" s="14">
        <v>0</v>
      </c>
      <c r="X20" s="14">
        <v>0</v>
      </c>
      <c r="Y20" s="14">
        <v>0</v>
      </c>
      <c r="Z20" s="14">
        <v>0</v>
      </c>
      <c r="AA20" s="46">
        <v>0</v>
      </c>
      <c r="AB20" s="42"/>
      <c r="AC20" s="42"/>
      <c r="AD20" s="42"/>
      <c r="AE20" s="42"/>
      <c r="AF20" s="42"/>
      <c r="AG20" s="42"/>
      <c r="AH20" s="42"/>
      <c r="AI20" s="42"/>
      <c r="AJ20" s="42"/>
      <c r="AK20" s="42"/>
      <c r="AL20" s="42"/>
      <c r="AM20" s="42"/>
      <c r="AN20" s="42"/>
      <c r="AO20" s="42"/>
      <c r="AP20" s="42"/>
      <c r="AQ20" s="42"/>
    </row>
    <row r="21" spans="1:43">
      <c r="A21" s="226"/>
      <c r="B21" s="2">
        <f t="shared" si="0"/>
        <v>18</v>
      </c>
      <c r="C21" s="170">
        <f t="shared" si="0"/>
        <v>2039</v>
      </c>
      <c r="D21" s="14">
        <v>0</v>
      </c>
      <c r="E21" s="14">
        <v>0</v>
      </c>
      <c r="F21" s="14">
        <v>0</v>
      </c>
      <c r="G21" s="14">
        <v>0</v>
      </c>
      <c r="H21" s="14">
        <v>0</v>
      </c>
      <c r="I21" s="14">
        <v>0</v>
      </c>
      <c r="J21" s="14">
        <v>0</v>
      </c>
      <c r="K21" s="15">
        <v>0</v>
      </c>
      <c r="L21" s="13">
        <v>0</v>
      </c>
      <c r="M21" s="14">
        <v>0</v>
      </c>
      <c r="N21" s="14">
        <v>0</v>
      </c>
      <c r="O21" s="14">
        <v>0</v>
      </c>
      <c r="P21" s="14">
        <v>0</v>
      </c>
      <c r="Q21" s="14">
        <v>0</v>
      </c>
      <c r="R21" s="14">
        <v>0</v>
      </c>
      <c r="S21" s="14">
        <v>0</v>
      </c>
      <c r="T21" s="13">
        <v>0</v>
      </c>
      <c r="U21" s="14">
        <v>0</v>
      </c>
      <c r="V21" s="14">
        <v>0</v>
      </c>
      <c r="W21" s="14">
        <v>0</v>
      </c>
      <c r="X21" s="14">
        <v>0</v>
      </c>
      <c r="Y21" s="14">
        <v>0</v>
      </c>
      <c r="Z21" s="14">
        <v>0</v>
      </c>
      <c r="AA21" s="46">
        <v>0</v>
      </c>
      <c r="AB21" s="42"/>
      <c r="AC21" s="42"/>
      <c r="AD21" s="42"/>
      <c r="AE21" s="42"/>
      <c r="AF21" s="42"/>
      <c r="AG21" s="42"/>
      <c r="AH21" s="42"/>
      <c r="AI21" s="42"/>
      <c r="AJ21" s="42"/>
      <c r="AK21" s="42"/>
      <c r="AL21" s="42"/>
      <c r="AM21" s="42"/>
      <c r="AN21" s="42"/>
      <c r="AO21" s="42"/>
      <c r="AP21" s="42"/>
      <c r="AQ21" s="42"/>
    </row>
    <row r="22" spans="1:43">
      <c r="A22" s="226"/>
      <c r="B22" s="2">
        <f t="shared" ref="B22:C32" si="1">+B21+1</f>
        <v>19</v>
      </c>
      <c r="C22" s="170">
        <f t="shared" si="1"/>
        <v>2040</v>
      </c>
      <c r="D22" s="14">
        <v>0</v>
      </c>
      <c r="E22" s="14">
        <v>0</v>
      </c>
      <c r="F22" s="14">
        <v>0</v>
      </c>
      <c r="G22" s="14">
        <v>0</v>
      </c>
      <c r="H22" s="14">
        <v>0</v>
      </c>
      <c r="I22" s="14">
        <v>0</v>
      </c>
      <c r="J22" s="14">
        <v>0</v>
      </c>
      <c r="K22" s="15">
        <v>0</v>
      </c>
      <c r="L22" s="13">
        <v>0</v>
      </c>
      <c r="M22" s="14">
        <v>0</v>
      </c>
      <c r="N22" s="14">
        <v>0</v>
      </c>
      <c r="O22" s="14">
        <v>0</v>
      </c>
      <c r="P22" s="14">
        <v>0</v>
      </c>
      <c r="Q22" s="14">
        <v>0</v>
      </c>
      <c r="R22" s="14">
        <v>0</v>
      </c>
      <c r="S22" s="14">
        <v>0</v>
      </c>
      <c r="T22" s="13">
        <v>0</v>
      </c>
      <c r="U22" s="14">
        <v>0</v>
      </c>
      <c r="V22" s="14">
        <v>0</v>
      </c>
      <c r="W22" s="14">
        <v>0</v>
      </c>
      <c r="X22" s="14">
        <v>0</v>
      </c>
      <c r="Y22" s="14">
        <v>0</v>
      </c>
      <c r="Z22" s="14">
        <v>0</v>
      </c>
      <c r="AA22" s="46">
        <v>0</v>
      </c>
      <c r="AB22" s="42"/>
      <c r="AC22" s="42"/>
      <c r="AD22" s="42"/>
      <c r="AE22" s="42"/>
      <c r="AF22" s="42"/>
      <c r="AG22" s="42"/>
      <c r="AH22" s="42"/>
      <c r="AI22" s="42"/>
      <c r="AJ22" s="42"/>
      <c r="AK22" s="42"/>
      <c r="AL22" s="42"/>
      <c r="AM22" s="42"/>
      <c r="AN22" s="42"/>
      <c r="AO22" s="42"/>
      <c r="AP22" s="42"/>
      <c r="AQ22" s="42"/>
    </row>
    <row r="23" spans="1:43">
      <c r="A23" s="226"/>
      <c r="B23" s="2">
        <f t="shared" si="1"/>
        <v>20</v>
      </c>
      <c r="C23" s="170">
        <f t="shared" si="1"/>
        <v>2041</v>
      </c>
      <c r="D23" s="14">
        <v>0</v>
      </c>
      <c r="E23" s="14">
        <v>0</v>
      </c>
      <c r="F23" s="14">
        <v>0</v>
      </c>
      <c r="G23" s="14">
        <v>0</v>
      </c>
      <c r="H23" s="14">
        <v>0</v>
      </c>
      <c r="I23" s="14">
        <v>0</v>
      </c>
      <c r="J23" s="14">
        <v>0</v>
      </c>
      <c r="K23" s="15">
        <v>0</v>
      </c>
      <c r="L23" s="13">
        <v>0</v>
      </c>
      <c r="M23" s="14">
        <v>0</v>
      </c>
      <c r="N23" s="14">
        <v>0</v>
      </c>
      <c r="O23" s="14">
        <v>0</v>
      </c>
      <c r="P23" s="14">
        <v>0</v>
      </c>
      <c r="Q23" s="14">
        <v>0</v>
      </c>
      <c r="R23" s="14">
        <v>0</v>
      </c>
      <c r="S23" s="14">
        <v>0</v>
      </c>
      <c r="T23" s="13">
        <v>0</v>
      </c>
      <c r="U23" s="14">
        <v>0</v>
      </c>
      <c r="V23" s="14">
        <v>0</v>
      </c>
      <c r="W23" s="14">
        <v>0</v>
      </c>
      <c r="X23" s="14">
        <v>0</v>
      </c>
      <c r="Y23" s="14">
        <v>0</v>
      </c>
      <c r="Z23" s="14">
        <v>0</v>
      </c>
      <c r="AA23" s="46">
        <v>0</v>
      </c>
      <c r="AB23" s="42"/>
      <c r="AC23" s="42"/>
      <c r="AD23" s="42"/>
      <c r="AE23" s="42"/>
      <c r="AF23" s="42"/>
      <c r="AG23" s="42"/>
      <c r="AH23" s="42"/>
      <c r="AI23" s="42"/>
      <c r="AJ23" s="42"/>
      <c r="AK23" s="42"/>
      <c r="AL23" s="42"/>
      <c r="AM23" s="42"/>
      <c r="AN23" s="42"/>
      <c r="AO23" s="42"/>
      <c r="AP23" s="42"/>
      <c r="AQ23" s="42"/>
    </row>
    <row r="24" spans="1:43">
      <c r="A24" s="226"/>
      <c r="B24" s="2">
        <f t="shared" si="1"/>
        <v>21</v>
      </c>
      <c r="C24" s="170">
        <f t="shared" si="1"/>
        <v>2042</v>
      </c>
      <c r="D24" s="14">
        <v>0</v>
      </c>
      <c r="E24" s="14">
        <v>0</v>
      </c>
      <c r="F24" s="14">
        <v>0</v>
      </c>
      <c r="G24" s="14">
        <v>0</v>
      </c>
      <c r="H24" s="14">
        <v>0</v>
      </c>
      <c r="I24" s="14">
        <v>0</v>
      </c>
      <c r="J24" s="14">
        <v>0</v>
      </c>
      <c r="K24" s="15">
        <v>0</v>
      </c>
      <c r="L24" s="13">
        <v>0</v>
      </c>
      <c r="M24" s="14">
        <v>0</v>
      </c>
      <c r="N24" s="14">
        <v>0</v>
      </c>
      <c r="O24" s="14">
        <v>0</v>
      </c>
      <c r="P24" s="14">
        <v>0</v>
      </c>
      <c r="Q24" s="14">
        <v>0</v>
      </c>
      <c r="R24" s="14">
        <v>0</v>
      </c>
      <c r="S24" s="14">
        <v>0</v>
      </c>
      <c r="T24" s="13">
        <v>0</v>
      </c>
      <c r="U24" s="14">
        <v>0</v>
      </c>
      <c r="V24" s="14">
        <v>0</v>
      </c>
      <c r="W24" s="14">
        <v>0</v>
      </c>
      <c r="X24" s="14">
        <v>0</v>
      </c>
      <c r="Y24" s="14">
        <v>0</v>
      </c>
      <c r="Z24" s="14">
        <v>0</v>
      </c>
      <c r="AA24" s="46">
        <v>0</v>
      </c>
      <c r="AB24" s="42"/>
      <c r="AC24" s="42"/>
      <c r="AD24" s="42"/>
      <c r="AE24" s="42"/>
      <c r="AF24" s="42"/>
      <c r="AG24" s="42"/>
      <c r="AH24" s="42"/>
      <c r="AI24" s="42"/>
      <c r="AJ24" s="42"/>
      <c r="AK24" s="42"/>
      <c r="AL24" s="42"/>
      <c r="AM24" s="42"/>
      <c r="AN24" s="42"/>
      <c r="AO24" s="42"/>
      <c r="AP24" s="42"/>
      <c r="AQ24" s="42"/>
    </row>
    <row r="25" spans="1:43">
      <c r="A25" s="226"/>
      <c r="B25" s="2">
        <f t="shared" si="1"/>
        <v>22</v>
      </c>
      <c r="C25" s="170">
        <f t="shared" si="1"/>
        <v>2043</v>
      </c>
      <c r="D25" s="14">
        <v>0</v>
      </c>
      <c r="E25" s="14">
        <v>0</v>
      </c>
      <c r="F25" s="14">
        <v>0</v>
      </c>
      <c r="G25" s="14">
        <v>0</v>
      </c>
      <c r="H25" s="14">
        <v>0</v>
      </c>
      <c r="I25" s="14">
        <v>0</v>
      </c>
      <c r="J25" s="14">
        <v>0</v>
      </c>
      <c r="K25" s="15">
        <v>0</v>
      </c>
      <c r="L25" s="13">
        <v>0</v>
      </c>
      <c r="M25" s="14">
        <v>0</v>
      </c>
      <c r="N25" s="14">
        <v>0</v>
      </c>
      <c r="O25" s="14">
        <v>0</v>
      </c>
      <c r="P25" s="14">
        <v>0</v>
      </c>
      <c r="Q25" s="14">
        <v>0</v>
      </c>
      <c r="R25" s="14">
        <v>0</v>
      </c>
      <c r="S25" s="14">
        <v>0</v>
      </c>
      <c r="T25" s="13">
        <v>0</v>
      </c>
      <c r="U25" s="14">
        <v>0</v>
      </c>
      <c r="V25" s="14">
        <v>0</v>
      </c>
      <c r="W25" s="14">
        <v>0</v>
      </c>
      <c r="X25" s="14">
        <v>0</v>
      </c>
      <c r="Y25" s="14">
        <v>0</v>
      </c>
      <c r="Z25" s="14">
        <v>0</v>
      </c>
      <c r="AA25" s="46">
        <v>0</v>
      </c>
      <c r="AB25" s="42"/>
      <c r="AC25" s="42"/>
      <c r="AD25" s="42"/>
      <c r="AE25" s="42"/>
      <c r="AF25" s="42"/>
      <c r="AG25" s="42"/>
      <c r="AH25" s="42"/>
      <c r="AI25" s="42"/>
      <c r="AJ25" s="42"/>
      <c r="AK25" s="42"/>
      <c r="AL25" s="42"/>
      <c r="AM25" s="42"/>
      <c r="AN25" s="42"/>
      <c r="AO25" s="42"/>
      <c r="AP25" s="42"/>
      <c r="AQ25" s="42"/>
    </row>
    <row r="26" spans="1:43">
      <c r="A26" s="226"/>
      <c r="B26" s="2">
        <f t="shared" si="1"/>
        <v>23</v>
      </c>
      <c r="C26" s="170">
        <f t="shared" si="1"/>
        <v>2044</v>
      </c>
      <c r="D26" s="14">
        <v>0</v>
      </c>
      <c r="E26" s="14">
        <v>0</v>
      </c>
      <c r="F26" s="14">
        <v>0</v>
      </c>
      <c r="G26" s="14">
        <v>0</v>
      </c>
      <c r="H26" s="14">
        <v>0</v>
      </c>
      <c r="I26" s="14">
        <v>0</v>
      </c>
      <c r="J26" s="14">
        <v>0</v>
      </c>
      <c r="K26" s="15">
        <v>0</v>
      </c>
      <c r="L26" s="13">
        <v>0</v>
      </c>
      <c r="M26" s="14">
        <v>0</v>
      </c>
      <c r="N26" s="14">
        <v>0</v>
      </c>
      <c r="O26" s="14">
        <v>0</v>
      </c>
      <c r="P26" s="14">
        <v>0</v>
      </c>
      <c r="Q26" s="14">
        <v>0</v>
      </c>
      <c r="R26" s="14">
        <v>0</v>
      </c>
      <c r="S26" s="14">
        <v>0</v>
      </c>
      <c r="T26" s="13">
        <v>0</v>
      </c>
      <c r="U26" s="14">
        <v>0</v>
      </c>
      <c r="V26" s="14">
        <v>0</v>
      </c>
      <c r="W26" s="14">
        <v>0</v>
      </c>
      <c r="X26" s="14">
        <v>0</v>
      </c>
      <c r="Y26" s="14">
        <v>0</v>
      </c>
      <c r="Z26" s="14">
        <v>0</v>
      </c>
      <c r="AA26" s="46">
        <v>0</v>
      </c>
      <c r="AB26" s="42"/>
      <c r="AC26" s="42"/>
      <c r="AD26" s="42"/>
      <c r="AE26" s="42"/>
      <c r="AF26" s="42"/>
      <c r="AG26" s="42"/>
      <c r="AH26" s="42"/>
      <c r="AI26" s="42"/>
      <c r="AJ26" s="42"/>
      <c r="AK26" s="42"/>
      <c r="AL26" s="42"/>
      <c r="AM26" s="42"/>
      <c r="AN26" s="42"/>
      <c r="AO26" s="42"/>
      <c r="AP26" s="42"/>
      <c r="AQ26" s="42"/>
    </row>
    <row r="27" spans="1:43">
      <c r="A27" s="226"/>
      <c r="B27" s="2">
        <f t="shared" si="1"/>
        <v>24</v>
      </c>
      <c r="C27" s="170">
        <f t="shared" si="1"/>
        <v>2045</v>
      </c>
      <c r="D27" s="14">
        <v>0</v>
      </c>
      <c r="E27" s="14">
        <v>0</v>
      </c>
      <c r="F27" s="14">
        <v>0</v>
      </c>
      <c r="G27" s="14">
        <v>0</v>
      </c>
      <c r="H27" s="14">
        <v>0</v>
      </c>
      <c r="I27" s="14">
        <v>0</v>
      </c>
      <c r="J27" s="14">
        <v>0</v>
      </c>
      <c r="K27" s="15">
        <v>0</v>
      </c>
      <c r="L27" s="13">
        <v>0</v>
      </c>
      <c r="M27" s="14">
        <v>0</v>
      </c>
      <c r="N27" s="14">
        <v>0</v>
      </c>
      <c r="O27" s="14">
        <v>0</v>
      </c>
      <c r="P27" s="14">
        <v>0</v>
      </c>
      <c r="Q27" s="14">
        <v>0</v>
      </c>
      <c r="R27" s="14">
        <v>0</v>
      </c>
      <c r="S27" s="14">
        <v>0</v>
      </c>
      <c r="T27" s="13">
        <v>0</v>
      </c>
      <c r="U27" s="14">
        <v>0</v>
      </c>
      <c r="V27" s="14">
        <v>0</v>
      </c>
      <c r="W27" s="14">
        <v>0</v>
      </c>
      <c r="X27" s="14">
        <v>0</v>
      </c>
      <c r="Y27" s="14">
        <v>0</v>
      </c>
      <c r="Z27" s="14">
        <v>0</v>
      </c>
      <c r="AA27" s="46">
        <v>0</v>
      </c>
      <c r="AB27" s="42"/>
      <c r="AC27" s="42"/>
      <c r="AD27" s="42"/>
      <c r="AE27" s="42"/>
      <c r="AF27" s="42"/>
      <c r="AG27" s="42"/>
      <c r="AH27" s="42"/>
      <c r="AI27" s="42"/>
      <c r="AJ27" s="42"/>
      <c r="AK27" s="42"/>
      <c r="AL27" s="42"/>
      <c r="AM27" s="42"/>
      <c r="AN27" s="42"/>
      <c r="AO27" s="42"/>
      <c r="AP27" s="42"/>
      <c r="AQ27" s="42"/>
    </row>
    <row r="28" spans="1:43">
      <c r="A28" s="226"/>
      <c r="B28" s="2">
        <f t="shared" si="1"/>
        <v>25</v>
      </c>
      <c r="C28" s="170">
        <f t="shared" si="1"/>
        <v>2046</v>
      </c>
      <c r="D28" s="14">
        <v>0</v>
      </c>
      <c r="E28" s="14">
        <v>0</v>
      </c>
      <c r="F28" s="14">
        <v>0</v>
      </c>
      <c r="G28" s="14">
        <v>0</v>
      </c>
      <c r="H28" s="14">
        <v>0</v>
      </c>
      <c r="I28" s="14">
        <v>0</v>
      </c>
      <c r="J28" s="14">
        <v>0</v>
      </c>
      <c r="K28" s="15">
        <v>0</v>
      </c>
      <c r="L28" s="13">
        <v>0</v>
      </c>
      <c r="M28" s="14">
        <v>0</v>
      </c>
      <c r="N28" s="14">
        <v>0</v>
      </c>
      <c r="O28" s="14">
        <v>0</v>
      </c>
      <c r="P28" s="14">
        <v>0</v>
      </c>
      <c r="Q28" s="14">
        <v>0</v>
      </c>
      <c r="R28" s="14">
        <v>0</v>
      </c>
      <c r="S28" s="14">
        <v>0</v>
      </c>
      <c r="T28" s="13">
        <v>0</v>
      </c>
      <c r="U28" s="14">
        <v>0</v>
      </c>
      <c r="V28" s="14">
        <v>0</v>
      </c>
      <c r="W28" s="14">
        <v>0</v>
      </c>
      <c r="X28" s="14">
        <v>0</v>
      </c>
      <c r="Y28" s="14">
        <v>0</v>
      </c>
      <c r="Z28" s="14">
        <v>0</v>
      </c>
      <c r="AA28" s="46">
        <v>0</v>
      </c>
      <c r="AB28" s="42"/>
      <c r="AC28" s="42"/>
      <c r="AD28" s="42"/>
      <c r="AE28" s="42"/>
      <c r="AF28" s="42"/>
      <c r="AG28" s="42"/>
      <c r="AH28" s="42"/>
      <c r="AI28" s="42"/>
      <c r="AJ28" s="42"/>
      <c r="AK28" s="42"/>
      <c r="AL28" s="42"/>
      <c r="AM28" s="42"/>
      <c r="AN28" s="42"/>
      <c r="AO28" s="42"/>
      <c r="AP28" s="42"/>
      <c r="AQ28" s="42"/>
    </row>
    <row r="29" spans="1:43">
      <c r="A29" s="226"/>
      <c r="B29" s="2">
        <f t="shared" si="1"/>
        <v>26</v>
      </c>
      <c r="C29" s="170">
        <f t="shared" si="1"/>
        <v>2047</v>
      </c>
      <c r="D29" s="14">
        <v>0</v>
      </c>
      <c r="E29" s="14">
        <v>0</v>
      </c>
      <c r="F29" s="14">
        <v>0</v>
      </c>
      <c r="G29" s="14">
        <v>0</v>
      </c>
      <c r="H29" s="14">
        <v>0</v>
      </c>
      <c r="I29" s="14">
        <v>0</v>
      </c>
      <c r="J29" s="14">
        <v>0</v>
      </c>
      <c r="K29" s="15">
        <v>0</v>
      </c>
      <c r="L29" s="13">
        <v>0</v>
      </c>
      <c r="M29" s="14">
        <v>0</v>
      </c>
      <c r="N29" s="14">
        <v>0</v>
      </c>
      <c r="O29" s="14">
        <v>0</v>
      </c>
      <c r="P29" s="14">
        <v>0</v>
      </c>
      <c r="Q29" s="14">
        <v>0</v>
      </c>
      <c r="R29" s="14">
        <v>0</v>
      </c>
      <c r="S29" s="14">
        <v>0</v>
      </c>
      <c r="T29" s="13">
        <v>0</v>
      </c>
      <c r="U29" s="14">
        <v>0</v>
      </c>
      <c r="V29" s="14">
        <v>0</v>
      </c>
      <c r="W29" s="14">
        <v>0</v>
      </c>
      <c r="X29" s="14">
        <v>0</v>
      </c>
      <c r="Y29" s="14">
        <v>0</v>
      </c>
      <c r="Z29" s="14">
        <v>0</v>
      </c>
      <c r="AA29" s="46">
        <v>0</v>
      </c>
      <c r="AB29" s="42"/>
      <c r="AC29" s="42"/>
      <c r="AD29" s="42"/>
      <c r="AE29" s="42"/>
      <c r="AF29" s="42"/>
      <c r="AG29" s="42"/>
      <c r="AH29" s="42"/>
      <c r="AI29" s="42"/>
      <c r="AJ29" s="42"/>
      <c r="AK29" s="42"/>
      <c r="AL29" s="42"/>
      <c r="AM29" s="42"/>
      <c r="AN29" s="42"/>
      <c r="AO29" s="42"/>
      <c r="AP29" s="42"/>
      <c r="AQ29" s="42"/>
    </row>
    <row r="30" spans="1:43">
      <c r="A30" s="226"/>
      <c r="B30" s="2">
        <f t="shared" si="1"/>
        <v>27</v>
      </c>
      <c r="C30" s="170">
        <f t="shared" si="1"/>
        <v>2048</v>
      </c>
      <c r="D30" s="14">
        <v>0</v>
      </c>
      <c r="E30" s="14">
        <v>0</v>
      </c>
      <c r="F30" s="14">
        <v>0</v>
      </c>
      <c r="G30" s="14">
        <v>0</v>
      </c>
      <c r="H30" s="14">
        <v>0</v>
      </c>
      <c r="I30" s="14">
        <v>0</v>
      </c>
      <c r="J30" s="14">
        <v>0</v>
      </c>
      <c r="K30" s="15">
        <v>0</v>
      </c>
      <c r="L30" s="13">
        <v>0</v>
      </c>
      <c r="M30" s="14">
        <v>0</v>
      </c>
      <c r="N30" s="14">
        <v>0</v>
      </c>
      <c r="O30" s="14">
        <v>0</v>
      </c>
      <c r="P30" s="14">
        <v>0</v>
      </c>
      <c r="Q30" s="14">
        <v>0</v>
      </c>
      <c r="R30" s="14">
        <v>0</v>
      </c>
      <c r="S30" s="14">
        <v>0</v>
      </c>
      <c r="T30" s="13">
        <v>0</v>
      </c>
      <c r="U30" s="14">
        <v>0</v>
      </c>
      <c r="V30" s="14">
        <v>0</v>
      </c>
      <c r="W30" s="14">
        <v>0</v>
      </c>
      <c r="X30" s="14">
        <v>0</v>
      </c>
      <c r="Y30" s="14">
        <v>0</v>
      </c>
      <c r="Z30" s="14">
        <v>0</v>
      </c>
      <c r="AA30" s="46">
        <v>0</v>
      </c>
      <c r="AB30" s="42"/>
      <c r="AC30" s="42"/>
      <c r="AD30" s="42"/>
      <c r="AE30" s="42"/>
      <c r="AF30" s="42"/>
      <c r="AG30" s="42"/>
      <c r="AH30" s="42"/>
      <c r="AI30" s="42"/>
      <c r="AJ30" s="42"/>
      <c r="AK30" s="42"/>
      <c r="AL30" s="42"/>
      <c r="AM30" s="42"/>
      <c r="AN30" s="42"/>
      <c r="AO30" s="42"/>
      <c r="AP30" s="42"/>
      <c r="AQ30" s="42"/>
    </row>
    <row r="31" spans="1:43">
      <c r="A31" s="226"/>
      <c r="B31" s="2">
        <f t="shared" si="1"/>
        <v>28</v>
      </c>
      <c r="C31" s="170">
        <f t="shared" si="1"/>
        <v>2049</v>
      </c>
      <c r="D31" s="14">
        <v>0</v>
      </c>
      <c r="E31" s="14">
        <v>0</v>
      </c>
      <c r="F31" s="14">
        <v>0</v>
      </c>
      <c r="G31" s="14">
        <v>0</v>
      </c>
      <c r="H31" s="14">
        <v>0</v>
      </c>
      <c r="I31" s="14">
        <v>0</v>
      </c>
      <c r="J31" s="14">
        <v>0</v>
      </c>
      <c r="K31" s="15">
        <v>0</v>
      </c>
      <c r="L31" s="13">
        <v>0</v>
      </c>
      <c r="M31" s="14">
        <v>0</v>
      </c>
      <c r="N31" s="14">
        <v>0</v>
      </c>
      <c r="O31" s="14">
        <v>0</v>
      </c>
      <c r="P31" s="14">
        <v>0</v>
      </c>
      <c r="Q31" s="14">
        <v>0</v>
      </c>
      <c r="R31" s="14">
        <v>0</v>
      </c>
      <c r="S31" s="14">
        <v>0</v>
      </c>
      <c r="T31" s="13">
        <v>0</v>
      </c>
      <c r="U31" s="14">
        <v>0</v>
      </c>
      <c r="V31" s="14">
        <v>0</v>
      </c>
      <c r="W31" s="14">
        <v>0</v>
      </c>
      <c r="X31" s="14">
        <v>0</v>
      </c>
      <c r="Y31" s="14">
        <v>0</v>
      </c>
      <c r="Z31" s="14">
        <v>0</v>
      </c>
      <c r="AA31" s="46">
        <v>0</v>
      </c>
      <c r="AB31" s="42"/>
      <c r="AC31" s="42"/>
      <c r="AD31" s="42"/>
      <c r="AE31" s="42"/>
      <c r="AF31" s="42"/>
      <c r="AG31" s="42"/>
      <c r="AH31" s="42"/>
      <c r="AI31" s="42"/>
      <c r="AJ31" s="42"/>
      <c r="AK31" s="42"/>
      <c r="AL31" s="42"/>
      <c r="AM31" s="42"/>
      <c r="AN31" s="42"/>
      <c r="AO31" s="42"/>
      <c r="AP31" s="42"/>
      <c r="AQ31" s="42"/>
    </row>
    <row r="32" spans="1:43">
      <c r="A32" s="226"/>
      <c r="B32" s="2">
        <f t="shared" si="1"/>
        <v>29</v>
      </c>
      <c r="C32" s="170">
        <f t="shared" si="1"/>
        <v>2050</v>
      </c>
      <c r="D32" s="14">
        <v>0</v>
      </c>
      <c r="E32" s="14">
        <v>0</v>
      </c>
      <c r="F32" s="14">
        <v>0</v>
      </c>
      <c r="G32" s="14">
        <v>0</v>
      </c>
      <c r="H32" s="14">
        <v>0</v>
      </c>
      <c r="I32" s="14">
        <v>0</v>
      </c>
      <c r="J32" s="14">
        <v>0</v>
      </c>
      <c r="K32" s="15">
        <v>0</v>
      </c>
      <c r="L32" s="13">
        <v>0</v>
      </c>
      <c r="M32" s="14">
        <v>0</v>
      </c>
      <c r="N32" s="14">
        <v>0</v>
      </c>
      <c r="O32" s="14">
        <v>0</v>
      </c>
      <c r="P32" s="14">
        <v>0</v>
      </c>
      <c r="Q32" s="14">
        <v>0</v>
      </c>
      <c r="R32" s="14">
        <v>0</v>
      </c>
      <c r="S32" s="14">
        <v>0</v>
      </c>
      <c r="T32" s="13">
        <v>0</v>
      </c>
      <c r="U32" s="14">
        <v>0</v>
      </c>
      <c r="V32" s="14">
        <v>0</v>
      </c>
      <c r="W32" s="14">
        <v>0</v>
      </c>
      <c r="X32" s="14">
        <v>0</v>
      </c>
      <c r="Y32" s="14">
        <v>0</v>
      </c>
      <c r="Z32" s="14">
        <v>0</v>
      </c>
      <c r="AA32" s="46">
        <v>0</v>
      </c>
      <c r="AB32" s="42"/>
      <c r="AC32" s="42"/>
      <c r="AD32" s="42"/>
      <c r="AE32" s="42"/>
      <c r="AF32" s="42"/>
      <c r="AG32" s="42"/>
      <c r="AH32" s="42"/>
      <c r="AI32" s="42"/>
      <c r="AJ32" s="42"/>
      <c r="AK32" s="42"/>
      <c r="AL32" s="42"/>
      <c r="AM32" s="42"/>
      <c r="AN32" s="42"/>
      <c r="AO32" s="42"/>
      <c r="AP32" s="42"/>
      <c r="AQ32" s="42"/>
    </row>
    <row r="33" spans="1:43">
      <c r="A33" s="226"/>
      <c r="B33" s="2">
        <f t="shared" ref="B33:B53" si="2">+B32+1</f>
        <v>30</v>
      </c>
      <c r="C33" s="170">
        <f t="shared" ref="C33:C53" si="3">+C32+1</f>
        <v>2051</v>
      </c>
      <c r="D33" s="14">
        <v>0</v>
      </c>
      <c r="E33" s="14">
        <v>0</v>
      </c>
      <c r="F33" s="14">
        <v>0</v>
      </c>
      <c r="G33" s="14">
        <v>0</v>
      </c>
      <c r="H33" s="14">
        <v>0</v>
      </c>
      <c r="I33" s="14">
        <v>0</v>
      </c>
      <c r="J33" s="14">
        <v>0</v>
      </c>
      <c r="K33" s="15">
        <v>0</v>
      </c>
      <c r="L33" s="13">
        <v>0</v>
      </c>
      <c r="M33" s="14">
        <v>0</v>
      </c>
      <c r="N33" s="14">
        <v>0</v>
      </c>
      <c r="O33" s="14">
        <v>0</v>
      </c>
      <c r="P33" s="14">
        <v>0</v>
      </c>
      <c r="Q33" s="14">
        <v>0</v>
      </c>
      <c r="R33" s="14">
        <v>0</v>
      </c>
      <c r="S33" s="15">
        <v>0</v>
      </c>
      <c r="T33" s="13">
        <v>0</v>
      </c>
      <c r="U33" s="14">
        <v>0</v>
      </c>
      <c r="V33" s="14">
        <v>0</v>
      </c>
      <c r="W33" s="14">
        <v>0</v>
      </c>
      <c r="X33" s="14">
        <v>0</v>
      </c>
      <c r="Y33" s="14">
        <v>0</v>
      </c>
      <c r="Z33" s="14">
        <v>0</v>
      </c>
      <c r="AA33" s="46">
        <v>0</v>
      </c>
      <c r="AB33" s="42"/>
      <c r="AC33" s="42"/>
      <c r="AD33" s="42"/>
      <c r="AE33" s="42"/>
      <c r="AF33" s="42"/>
      <c r="AG33" s="42"/>
      <c r="AH33" s="42"/>
      <c r="AI33" s="42"/>
      <c r="AJ33" s="42"/>
      <c r="AK33" s="42"/>
      <c r="AL33" s="42"/>
      <c r="AM33" s="42"/>
      <c r="AN33" s="42"/>
      <c r="AO33" s="42"/>
      <c r="AP33" s="42"/>
      <c r="AQ33" s="42"/>
    </row>
    <row r="34" spans="1:43">
      <c r="A34" s="226"/>
      <c r="B34" s="2">
        <f t="shared" si="2"/>
        <v>31</v>
      </c>
      <c r="C34" s="170">
        <f t="shared" si="3"/>
        <v>2052</v>
      </c>
      <c r="D34" s="14">
        <v>0</v>
      </c>
      <c r="E34" s="14">
        <v>0</v>
      </c>
      <c r="F34" s="14">
        <v>0</v>
      </c>
      <c r="G34" s="14">
        <v>0</v>
      </c>
      <c r="H34" s="14">
        <v>0</v>
      </c>
      <c r="I34" s="14">
        <v>0</v>
      </c>
      <c r="J34" s="14">
        <v>0</v>
      </c>
      <c r="K34" s="15">
        <v>0</v>
      </c>
      <c r="L34" s="13">
        <v>0</v>
      </c>
      <c r="M34" s="14">
        <v>0</v>
      </c>
      <c r="N34" s="14">
        <v>0</v>
      </c>
      <c r="O34" s="14">
        <v>0</v>
      </c>
      <c r="P34" s="14">
        <v>0</v>
      </c>
      <c r="Q34" s="14">
        <v>0</v>
      </c>
      <c r="R34" s="14">
        <v>0</v>
      </c>
      <c r="S34" s="15">
        <v>0</v>
      </c>
      <c r="T34" s="13">
        <v>0</v>
      </c>
      <c r="U34" s="14">
        <v>0</v>
      </c>
      <c r="V34" s="14">
        <v>0</v>
      </c>
      <c r="W34" s="14">
        <v>0</v>
      </c>
      <c r="X34" s="14">
        <v>0</v>
      </c>
      <c r="Y34" s="14">
        <v>0</v>
      </c>
      <c r="Z34" s="14">
        <v>0</v>
      </c>
      <c r="AA34" s="46">
        <v>0</v>
      </c>
      <c r="AB34" s="42"/>
      <c r="AC34" s="42"/>
      <c r="AD34" s="42"/>
      <c r="AE34" s="42"/>
      <c r="AF34" s="42"/>
      <c r="AG34" s="42"/>
      <c r="AH34" s="42"/>
      <c r="AI34" s="42"/>
      <c r="AJ34" s="42"/>
      <c r="AK34" s="42"/>
      <c r="AL34" s="42"/>
      <c r="AM34" s="42"/>
      <c r="AN34" s="42"/>
      <c r="AO34" s="42"/>
      <c r="AP34" s="42"/>
      <c r="AQ34" s="42"/>
    </row>
    <row r="35" spans="1:43">
      <c r="A35" s="226"/>
      <c r="B35" s="2">
        <f t="shared" si="2"/>
        <v>32</v>
      </c>
      <c r="C35" s="170">
        <f t="shared" si="3"/>
        <v>2053</v>
      </c>
      <c r="D35" s="14">
        <v>0</v>
      </c>
      <c r="E35" s="14">
        <v>0</v>
      </c>
      <c r="F35" s="14">
        <v>0</v>
      </c>
      <c r="G35" s="14">
        <v>0</v>
      </c>
      <c r="H35" s="14">
        <v>0</v>
      </c>
      <c r="I35" s="14">
        <v>0</v>
      </c>
      <c r="J35" s="14">
        <v>0</v>
      </c>
      <c r="K35" s="15">
        <v>0</v>
      </c>
      <c r="L35" s="13">
        <v>0</v>
      </c>
      <c r="M35" s="14">
        <v>0</v>
      </c>
      <c r="N35" s="14">
        <v>0</v>
      </c>
      <c r="O35" s="14">
        <v>0</v>
      </c>
      <c r="P35" s="14">
        <v>0</v>
      </c>
      <c r="Q35" s="14">
        <v>0</v>
      </c>
      <c r="R35" s="14">
        <v>0</v>
      </c>
      <c r="S35" s="15">
        <v>0</v>
      </c>
      <c r="T35" s="13">
        <v>0</v>
      </c>
      <c r="U35" s="14">
        <v>0</v>
      </c>
      <c r="V35" s="14">
        <v>0</v>
      </c>
      <c r="W35" s="14">
        <v>0</v>
      </c>
      <c r="X35" s="14">
        <v>0</v>
      </c>
      <c r="Y35" s="14">
        <v>0</v>
      </c>
      <c r="Z35" s="14">
        <v>0</v>
      </c>
      <c r="AA35" s="46">
        <v>0</v>
      </c>
      <c r="AB35" s="42"/>
      <c r="AC35" s="42"/>
      <c r="AD35" s="42"/>
      <c r="AE35" s="42"/>
      <c r="AF35" s="42"/>
      <c r="AG35" s="42"/>
      <c r="AH35" s="42"/>
      <c r="AI35" s="42"/>
      <c r="AJ35" s="42"/>
      <c r="AK35" s="42"/>
      <c r="AL35" s="42"/>
      <c r="AM35" s="42"/>
      <c r="AN35" s="42"/>
      <c r="AO35" s="42"/>
      <c r="AP35" s="42"/>
      <c r="AQ35" s="42"/>
    </row>
    <row r="36" spans="1:43">
      <c r="A36" s="226"/>
      <c r="B36" s="2">
        <f t="shared" si="2"/>
        <v>33</v>
      </c>
      <c r="C36" s="170">
        <f t="shared" si="3"/>
        <v>2054</v>
      </c>
      <c r="D36" s="14">
        <v>0</v>
      </c>
      <c r="E36" s="14">
        <v>0</v>
      </c>
      <c r="F36" s="14">
        <v>0</v>
      </c>
      <c r="G36" s="14">
        <v>0</v>
      </c>
      <c r="H36" s="14">
        <v>0</v>
      </c>
      <c r="I36" s="14">
        <v>0</v>
      </c>
      <c r="J36" s="14">
        <v>0</v>
      </c>
      <c r="K36" s="15">
        <v>0</v>
      </c>
      <c r="L36" s="13">
        <v>0</v>
      </c>
      <c r="M36" s="14">
        <v>0</v>
      </c>
      <c r="N36" s="14">
        <v>0</v>
      </c>
      <c r="O36" s="14">
        <v>0</v>
      </c>
      <c r="P36" s="14">
        <v>0</v>
      </c>
      <c r="Q36" s="14">
        <v>0</v>
      </c>
      <c r="R36" s="14">
        <v>0</v>
      </c>
      <c r="S36" s="15">
        <v>0</v>
      </c>
      <c r="T36" s="13">
        <v>0</v>
      </c>
      <c r="U36" s="14">
        <v>0</v>
      </c>
      <c r="V36" s="14">
        <v>0</v>
      </c>
      <c r="W36" s="14">
        <v>0</v>
      </c>
      <c r="X36" s="14">
        <v>0</v>
      </c>
      <c r="Y36" s="14">
        <v>0</v>
      </c>
      <c r="Z36" s="14">
        <v>0</v>
      </c>
      <c r="AA36" s="46">
        <v>0</v>
      </c>
      <c r="AB36" s="42"/>
      <c r="AC36" s="42"/>
      <c r="AD36" s="42"/>
      <c r="AE36" s="42"/>
      <c r="AF36" s="42"/>
      <c r="AG36" s="42"/>
      <c r="AH36" s="42"/>
      <c r="AI36" s="42"/>
      <c r="AJ36" s="42"/>
      <c r="AK36" s="42"/>
      <c r="AL36" s="42"/>
      <c r="AM36" s="42"/>
      <c r="AN36" s="42"/>
      <c r="AO36" s="42"/>
      <c r="AP36" s="42"/>
      <c r="AQ36" s="42"/>
    </row>
    <row r="37" spans="1:43">
      <c r="A37" s="226"/>
      <c r="B37" s="2">
        <f t="shared" si="2"/>
        <v>34</v>
      </c>
      <c r="C37" s="170">
        <f t="shared" si="3"/>
        <v>2055</v>
      </c>
      <c r="D37" s="14">
        <v>0</v>
      </c>
      <c r="E37" s="14">
        <v>0</v>
      </c>
      <c r="F37" s="14">
        <v>0</v>
      </c>
      <c r="G37" s="14">
        <v>0</v>
      </c>
      <c r="H37" s="14">
        <v>0</v>
      </c>
      <c r="I37" s="14">
        <v>0</v>
      </c>
      <c r="J37" s="14">
        <v>0</v>
      </c>
      <c r="K37" s="15">
        <v>0</v>
      </c>
      <c r="L37" s="13">
        <v>0</v>
      </c>
      <c r="M37" s="14">
        <v>0</v>
      </c>
      <c r="N37" s="14">
        <v>0</v>
      </c>
      <c r="O37" s="14">
        <v>0</v>
      </c>
      <c r="P37" s="14">
        <v>0</v>
      </c>
      <c r="Q37" s="14">
        <v>0</v>
      </c>
      <c r="R37" s="14">
        <v>0</v>
      </c>
      <c r="S37" s="15">
        <v>0</v>
      </c>
      <c r="T37" s="13">
        <v>0</v>
      </c>
      <c r="U37" s="14">
        <v>0</v>
      </c>
      <c r="V37" s="14">
        <v>0</v>
      </c>
      <c r="W37" s="14">
        <v>0</v>
      </c>
      <c r="X37" s="14">
        <v>0</v>
      </c>
      <c r="Y37" s="14">
        <v>0</v>
      </c>
      <c r="Z37" s="14">
        <v>0</v>
      </c>
      <c r="AA37" s="46">
        <v>0</v>
      </c>
      <c r="AB37" s="42"/>
      <c r="AC37" s="42"/>
      <c r="AD37" s="42"/>
      <c r="AE37" s="42"/>
      <c r="AF37" s="42"/>
      <c r="AG37" s="42"/>
      <c r="AH37" s="42"/>
      <c r="AI37" s="42"/>
      <c r="AJ37" s="42"/>
      <c r="AK37" s="42"/>
      <c r="AL37" s="42"/>
      <c r="AM37" s="42"/>
      <c r="AN37" s="42"/>
      <c r="AO37" s="42"/>
      <c r="AP37" s="42"/>
      <c r="AQ37" s="42"/>
    </row>
    <row r="38" spans="1:43">
      <c r="A38" s="226"/>
      <c r="B38" s="2">
        <f t="shared" si="2"/>
        <v>35</v>
      </c>
      <c r="C38" s="170">
        <f t="shared" si="3"/>
        <v>2056</v>
      </c>
      <c r="D38" s="14">
        <v>0</v>
      </c>
      <c r="E38" s="14">
        <v>0</v>
      </c>
      <c r="F38" s="14">
        <v>0</v>
      </c>
      <c r="G38" s="14">
        <v>0</v>
      </c>
      <c r="H38" s="14">
        <v>0</v>
      </c>
      <c r="I38" s="14">
        <v>0</v>
      </c>
      <c r="J38" s="14">
        <v>0</v>
      </c>
      <c r="K38" s="15">
        <v>0</v>
      </c>
      <c r="L38" s="13">
        <v>0</v>
      </c>
      <c r="M38" s="14">
        <v>0</v>
      </c>
      <c r="N38" s="14">
        <v>0</v>
      </c>
      <c r="O38" s="14">
        <v>0</v>
      </c>
      <c r="P38" s="14">
        <v>0</v>
      </c>
      <c r="Q38" s="14">
        <v>0</v>
      </c>
      <c r="R38" s="14">
        <v>0</v>
      </c>
      <c r="S38" s="15">
        <v>0</v>
      </c>
      <c r="T38" s="13">
        <v>0</v>
      </c>
      <c r="U38" s="14">
        <v>0</v>
      </c>
      <c r="V38" s="14">
        <v>0</v>
      </c>
      <c r="W38" s="14">
        <v>0</v>
      </c>
      <c r="X38" s="14">
        <v>0</v>
      </c>
      <c r="Y38" s="14">
        <v>0</v>
      </c>
      <c r="Z38" s="14">
        <v>0</v>
      </c>
      <c r="AA38" s="46">
        <v>0</v>
      </c>
      <c r="AB38" s="42"/>
      <c r="AC38" s="42"/>
      <c r="AD38" s="42"/>
      <c r="AE38" s="42"/>
      <c r="AF38" s="42"/>
      <c r="AG38" s="42"/>
      <c r="AH38" s="42"/>
      <c r="AI38" s="42"/>
      <c r="AJ38" s="42"/>
      <c r="AK38" s="42"/>
      <c r="AL38" s="42"/>
      <c r="AM38" s="42"/>
      <c r="AN38" s="42"/>
      <c r="AO38" s="42"/>
      <c r="AP38" s="42"/>
      <c r="AQ38" s="42"/>
    </row>
    <row r="39" spans="1:43">
      <c r="A39" s="226"/>
      <c r="B39" s="2">
        <f t="shared" si="2"/>
        <v>36</v>
      </c>
      <c r="C39" s="170">
        <f t="shared" si="3"/>
        <v>2057</v>
      </c>
      <c r="D39" s="14"/>
      <c r="E39" s="14"/>
      <c r="F39" s="14"/>
      <c r="G39" s="14"/>
      <c r="H39" s="14"/>
      <c r="I39" s="14"/>
      <c r="J39" s="14"/>
      <c r="K39" s="15"/>
      <c r="L39" s="14"/>
      <c r="M39" s="14"/>
      <c r="N39" s="14"/>
      <c r="O39" s="14"/>
      <c r="P39" s="14"/>
      <c r="Q39" s="14"/>
      <c r="R39" s="14"/>
      <c r="S39" s="15"/>
      <c r="T39" s="13"/>
      <c r="U39" s="14"/>
      <c r="V39" s="14"/>
      <c r="W39" s="14"/>
      <c r="X39" s="14"/>
      <c r="Y39" s="14"/>
      <c r="Z39" s="14"/>
      <c r="AA39" s="46"/>
      <c r="AB39" s="42"/>
      <c r="AC39" s="42"/>
      <c r="AD39" s="42"/>
      <c r="AE39" s="42"/>
      <c r="AF39" s="42"/>
      <c r="AG39" s="42"/>
      <c r="AH39" s="42"/>
      <c r="AI39" s="42"/>
      <c r="AJ39" s="42"/>
      <c r="AK39" s="42"/>
      <c r="AL39" s="42"/>
      <c r="AM39" s="42"/>
      <c r="AN39" s="42"/>
      <c r="AO39" s="42"/>
      <c r="AP39" s="42"/>
      <c r="AQ39" s="42"/>
    </row>
    <row r="40" spans="1:43">
      <c r="A40" s="226"/>
      <c r="B40" s="2">
        <f t="shared" si="2"/>
        <v>37</v>
      </c>
      <c r="C40" s="170">
        <f t="shared" si="3"/>
        <v>2058</v>
      </c>
      <c r="D40" s="14"/>
      <c r="E40" s="14"/>
      <c r="F40" s="14"/>
      <c r="G40" s="14"/>
      <c r="H40" s="14"/>
      <c r="I40" s="14"/>
      <c r="J40" s="14"/>
      <c r="K40" s="15"/>
      <c r="L40" s="14"/>
      <c r="M40" s="14"/>
      <c r="N40" s="14"/>
      <c r="O40" s="14"/>
      <c r="P40" s="14"/>
      <c r="Q40" s="14"/>
      <c r="R40" s="14"/>
      <c r="S40" s="15"/>
      <c r="T40" s="13"/>
      <c r="U40" s="14"/>
      <c r="V40" s="14"/>
      <c r="W40" s="14"/>
      <c r="X40" s="14"/>
      <c r="Y40" s="14"/>
      <c r="Z40" s="14"/>
      <c r="AA40" s="46"/>
      <c r="AB40" s="42"/>
      <c r="AC40" s="42"/>
      <c r="AD40" s="42"/>
      <c r="AE40" s="42"/>
      <c r="AF40" s="42"/>
      <c r="AG40" s="42"/>
      <c r="AH40" s="42"/>
      <c r="AI40" s="42"/>
      <c r="AJ40" s="42"/>
      <c r="AK40" s="42"/>
      <c r="AL40" s="42"/>
      <c r="AM40" s="42"/>
      <c r="AN40" s="42"/>
      <c r="AO40" s="42"/>
      <c r="AP40" s="42"/>
      <c r="AQ40" s="42"/>
    </row>
    <row r="41" spans="1:43">
      <c r="A41" s="226"/>
      <c r="B41" s="2">
        <f t="shared" si="2"/>
        <v>38</v>
      </c>
      <c r="C41" s="170">
        <f t="shared" si="3"/>
        <v>2059</v>
      </c>
      <c r="D41" s="14"/>
      <c r="E41" s="14"/>
      <c r="F41" s="14"/>
      <c r="G41" s="14"/>
      <c r="H41" s="14"/>
      <c r="I41" s="14"/>
      <c r="J41" s="14"/>
      <c r="K41" s="15"/>
      <c r="L41" s="14"/>
      <c r="M41" s="14"/>
      <c r="N41" s="14"/>
      <c r="O41" s="14"/>
      <c r="P41" s="14"/>
      <c r="Q41" s="14"/>
      <c r="R41" s="14"/>
      <c r="S41" s="15"/>
      <c r="T41" s="13"/>
      <c r="U41" s="14"/>
      <c r="V41" s="14"/>
      <c r="W41" s="14"/>
      <c r="X41" s="14"/>
      <c r="Y41" s="14"/>
      <c r="Z41" s="14"/>
      <c r="AA41" s="46"/>
      <c r="AB41" s="42"/>
      <c r="AC41" s="42"/>
      <c r="AD41" s="42"/>
      <c r="AE41" s="42"/>
      <c r="AF41" s="42"/>
      <c r="AG41" s="42"/>
      <c r="AH41" s="42"/>
      <c r="AI41" s="42"/>
      <c r="AJ41" s="42"/>
      <c r="AK41" s="42"/>
      <c r="AL41" s="42"/>
      <c r="AM41" s="42"/>
      <c r="AN41" s="42"/>
      <c r="AO41" s="42"/>
      <c r="AP41" s="42"/>
      <c r="AQ41" s="42"/>
    </row>
    <row r="42" spans="1:43">
      <c r="A42" s="226"/>
      <c r="B42" s="2">
        <f t="shared" si="2"/>
        <v>39</v>
      </c>
      <c r="C42" s="170">
        <f t="shared" si="3"/>
        <v>2060</v>
      </c>
      <c r="D42" s="14"/>
      <c r="E42" s="14"/>
      <c r="F42" s="14"/>
      <c r="G42" s="14"/>
      <c r="H42" s="14"/>
      <c r="I42" s="14"/>
      <c r="J42" s="14"/>
      <c r="K42" s="15"/>
      <c r="L42" s="14"/>
      <c r="M42" s="14"/>
      <c r="N42" s="14"/>
      <c r="O42" s="14"/>
      <c r="P42" s="14"/>
      <c r="Q42" s="14"/>
      <c r="R42" s="14"/>
      <c r="S42" s="15"/>
      <c r="T42" s="13"/>
      <c r="U42" s="14"/>
      <c r="V42" s="14"/>
      <c r="W42" s="14"/>
      <c r="X42" s="14"/>
      <c r="Y42" s="14"/>
      <c r="Z42" s="14"/>
      <c r="AA42" s="46"/>
      <c r="AB42" s="42"/>
      <c r="AC42" s="42"/>
      <c r="AD42" s="42"/>
      <c r="AE42" s="42"/>
      <c r="AF42" s="42"/>
      <c r="AG42" s="42"/>
      <c r="AH42" s="42"/>
      <c r="AI42" s="42"/>
      <c r="AJ42" s="42"/>
      <c r="AK42" s="42"/>
      <c r="AL42" s="42"/>
      <c r="AM42" s="42"/>
      <c r="AN42" s="42"/>
      <c r="AO42" s="42"/>
      <c r="AP42" s="42"/>
      <c r="AQ42" s="42"/>
    </row>
    <row r="43" spans="1:43">
      <c r="A43" s="226"/>
      <c r="B43" s="2">
        <f t="shared" si="2"/>
        <v>40</v>
      </c>
      <c r="C43" s="170">
        <f t="shared" si="3"/>
        <v>2061</v>
      </c>
      <c r="D43" s="14"/>
      <c r="E43" s="14"/>
      <c r="F43" s="14"/>
      <c r="G43" s="14"/>
      <c r="H43" s="14"/>
      <c r="I43" s="14"/>
      <c r="J43" s="167"/>
      <c r="K43" s="15"/>
      <c r="L43" s="14"/>
      <c r="M43" s="14"/>
      <c r="N43" s="14"/>
      <c r="O43" s="14"/>
      <c r="P43" s="14"/>
      <c r="Q43" s="14"/>
      <c r="R43" s="14"/>
      <c r="S43" s="15"/>
      <c r="T43" s="13"/>
      <c r="U43" s="14"/>
      <c r="V43" s="14"/>
      <c r="W43" s="14"/>
      <c r="X43" s="14"/>
      <c r="Y43" s="14"/>
      <c r="Z43" s="14"/>
      <c r="AA43" s="46"/>
      <c r="AB43" s="42"/>
      <c r="AC43" s="42"/>
      <c r="AD43" s="42"/>
      <c r="AE43" s="42"/>
      <c r="AF43" s="42"/>
      <c r="AG43" s="42"/>
      <c r="AH43" s="42"/>
      <c r="AI43" s="42"/>
      <c r="AJ43" s="42"/>
      <c r="AK43" s="42"/>
      <c r="AL43" s="42"/>
      <c r="AM43" s="42"/>
      <c r="AN43" s="42"/>
      <c r="AO43" s="42"/>
      <c r="AP43" s="42"/>
      <c r="AQ43" s="42"/>
    </row>
    <row r="44" spans="1:43">
      <c r="A44" s="226"/>
      <c r="B44" s="2">
        <f t="shared" si="2"/>
        <v>41</v>
      </c>
      <c r="C44" s="170">
        <f t="shared" si="3"/>
        <v>2062</v>
      </c>
      <c r="D44" s="14"/>
      <c r="E44" s="14"/>
      <c r="F44" s="14"/>
      <c r="G44" s="14"/>
      <c r="H44" s="14"/>
      <c r="I44" s="14"/>
      <c r="J44" s="14"/>
      <c r="K44" s="15"/>
      <c r="L44" s="14"/>
      <c r="M44" s="14"/>
      <c r="N44" s="14"/>
      <c r="O44" s="14"/>
      <c r="P44" s="14"/>
      <c r="Q44" s="14"/>
      <c r="R44" s="14"/>
      <c r="S44" s="15"/>
      <c r="T44" s="13"/>
      <c r="U44" s="14"/>
      <c r="V44" s="14"/>
      <c r="W44" s="14"/>
      <c r="X44" s="14"/>
      <c r="Y44" s="14"/>
      <c r="Z44" s="14"/>
      <c r="AA44" s="46"/>
      <c r="AB44" s="42"/>
      <c r="AC44" s="42"/>
      <c r="AD44" s="42"/>
      <c r="AE44" s="42"/>
      <c r="AF44" s="42"/>
      <c r="AG44" s="42"/>
      <c r="AH44" s="42"/>
      <c r="AI44" s="42"/>
      <c r="AJ44" s="42"/>
      <c r="AK44" s="42"/>
      <c r="AL44" s="42"/>
      <c r="AM44" s="42"/>
      <c r="AN44" s="42"/>
      <c r="AO44" s="42"/>
      <c r="AP44" s="42"/>
      <c r="AQ44" s="42"/>
    </row>
    <row r="45" spans="1:43">
      <c r="A45" s="226"/>
      <c r="B45" s="2">
        <f t="shared" si="2"/>
        <v>42</v>
      </c>
      <c r="C45" s="170">
        <f t="shared" si="3"/>
        <v>2063</v>
      </c>
      <c r="D45" s="14"/>
      <c r="E45" s="14"/>
      <c r="F45" s="14"/>
      <c r="G45" s="14"/>
      <c r="H45" s="14"/>
      <c r="I45" s="14"/>
      <c r="J45" s="14"/>
      <c r="K45" s="15"/>
      <c r="L45" s="14"/>
      <c r="M45" s="14"/>
      <c r="N45" s="14"/>
      <c r="O45" s="14"/>
      <c r="P45" s="14"/>
      <c r="Q45" s="14"/>
      <c r="R45" s="14"/>
      <c r="S45" s="15"/>
      <c r="T45" s="14"/>
      <c r="U45" s="14"/>
      <c r="V45" s="14"/>
      <c r="W45" s="14"/>
      <c r="X45" s="14"/>
      <c r="Y45" s="14"/>
      <c r="Z45" s="14"/>
      <c r="AA45" s="46"/>
      <c r="AB45" s="42"/>
      <c r="AC45" s="42"/>
      <c r="AD45" s="42"/>
      <c r="AE45" s="42"/>
      <c r="AF45" s="42"/>
      <c r="AG45" s="42"/>
      <c r="AH45" s="42"/>
      <c r="AI45" s="42"/>
      <c r="AJ45" s="42"/>
      <c r="AK45" s="42"/>
      <c r="AL45" s="42"/>
      <c r="AM45" s="42"/>
      <c r="AN45" s="42"/>
      <c r="AO45" s="42"/>
      <c r="AP45" s="42"/>
      <c r="AQ45" s="42"/>
    </row>
    <row r="46" spans="1:43">
      <c r="A46" s="226"/>
      <c r="B46" s="2">
        <f t="shared" si="2"/>
        <v>43</v>
      </c>
      <c r="C46" s="170">
        <f t="shared" si="3"/>
        <v>2064</v>
      </c>
      <c r="D46" s="14"/>
      <c r="E46" s="14"/>
      <c r="F46" s="14"/>
      <c r="G46" s="14"/>
      <c r="H46" s="14"/>
      <c r="I46" s="14"/>
      <c r="J46" s="14"/>
      <c r="K46" s="15"/>
      <c r="L46" s="14"/>
      <c r="M46" s="14"/>
      <c r="N46" s="14"/>
      <c r="O46" s="14"/>
      <c r="P46" s="14"/>
      <c r="Q46" s="14"/>
      <c r="R46" s="14"/>
      <c r="S46" s="15"/>
      <c r="T46" s="14"/>
      <c r="U46" s="14"/>
      <c r="V46" s="14"/>
      <c r="W46" s="14"/>
      <c r="X46" s="14"/>
      <c r="Y46" s="14"/>
      <c r="Z46" s="14"/>
      <c r="AA46" s="46"/>
      <c r="AB46" s="42"/>
      <c r="AC46" s="42"/>
      <c r="AD46" s="42"/>
      <c r="AE46" s="42"/>
      <c r="AF46" s="42"/>
      <c r="AG46" s="42"/>
      <c r="AH46" s="42"/>
      <c r="AI46" s="42"/>
      <c r="AJ46" s="42"/>
      <c r="AK46" s="42"/>
      <c r="AL46" s="42"/>
      <c r="AM46" s="42"/>
      <c r="AN46" s="42"/>
      <c r="AO46" s="42"/>
      <c r="AP46" s="42"/>
      <c r="AQ46" s="42"/>
    </row>
    <row r="47" spans="1:43">
      <c r="A47" s="226"/>
      <c r="B47" s="2">
        <f t="shared" si="2"/>
        <v>44</v>
      </c>
      <c r="C47" s="170">
        <f t="shared" si="3"/>
        <v>2065</v>
      </c>
      <c r="D47" s="14"/>
      <c r="E47" s="14"/>
      <c r="F47" s="14"/>
      <c r="G47" s="14"/>
      <c r="H47" s="14"/>
      <c r="I47" s="14"/>
      <c r="J47" s="14"/>
      <c r="K47" s="15"/>
      <c r="L47" s="14"/>
      <c r="M47" s="14"/>
      <c r="N47" s="14"/>
      <c r="O47" s="14"/>
      <c r="P47" s="14"/>
      <c r="Q47" s="14"/>
      <c r="R47" s="14"/>
      <c r="S47" s="15"/>
      <c r="T47" s="14"/>
      <c r="U47" s="14"/>
      <c r="V47" s="14"/>
      <c r="W47" s="14"/>
      <c r="X47" s="14"/>
      <c r="Y47" s="14"/>
      <c r="Z47" s="14"/>
      <c r="AA47" s="46"/>
      <c r="AB47" s="42"/>
      <c r="AC47" s="42"/>
      <c r="AD47" s="42"/>
      <c r="AE47" s="42"/>
      <c r="AF47" s="42"/>
      <c r="AG47" s="42"/>
      <c r="AH47" s="42"/>
      <c r="AI47" s="42"/>
      <c r="AJ47" s="42"/>
      <c r="AK47" s="42"/>
      <c r="AL47" s="42"/>
      <c r="AM47" s="42"/>
      <c r="AN47" s="42"/>
      <c r="AO47" s="42"/>
      <c r="AP47" s="42"/>
      <c r="AQ47" s="42"/>
    </row>
    <row r="48" spans="1:43">
      <c r="A48" s="226"/>
      <c r="B48" s="2">
        <f t="shared" si="2"/>
        <v>45</v>
      </c>
      <c r="C48" s="170">
        <f t="shared" si="3"/>
        <v>2066</v>
      </c>
      <c r="D48" s="14"/>
      <c r="E48" s="14"/>
      <c r="F48" s="14"/>
      <c r="G48" s="14"/>
      <c r="H48" s="14"/>
      <c r="I48" s="14"/>
      <c r="J48" s="14"/>
      <c r="K48" s="15"/>
      <c r="L48" s="14"/>
      <c r="M48" s="14"/>
      <c r="N48" s="14"/>
      <c r="O48" s="14"/>
      <c r="P48" s="14"/>
      <c r="Q48" s="14"/>
      <c r="R48" s="14"/>
      <c r="S48" s="15"/>
      <c r="T48" s="14"/>
      <c r="U48" s="14"/>
      <c r="V48" s="14"/>
      <c r="W48" s="14"/>
      <c r="X48" s="14"/>
      <c r="Y48" s="14"/>
      <c r="Z48" s="14"/>
      <c r="AA48" s="46"/>
      <c r="AB48" s="42"/>
      <c r="AC48" s="42"/>
      <c r="AD48" s="42"/>
      <c r="AE48" s="42"/>
      <c r="AF48" s="42"/>
      <c r="AG48" s="42"/>
      <c r="AH48" s="42"/>
      <c r="AI48" s="42"/>
      <c r="AJ48" s="42"/>
      <c r="AK48" s="42"/>
      <c r="AL48" s="42"/>
      <c r="AM48" s="42"/>
      <c r="AN48" s="42"/>
      <c r="AO48" s="42"/>
      <c r="AP48" s="42"/>
      <c r="AQ48" s="42"/>
    </row>
    <row r="49" spans="1:43">
      <c r="A49" s="226"/>
      <c r="B49" s="2">
        <f t="shared" si="2"/>
        <v>46</v>
      </c>
      <c r="C49" s="170">
        <f t="shared" si="3"/>
        <v>2067</v>
      </c>
      <c r="D49" s="14"/>
      <c r="E49" s="14"/>
      <c r="F49" s="14"/>
      <c r="G49" s="14"/>
      <c r="H49" s="14"/>
      <c r="I49" s="14"/>
      <c r="J49" s="14"/>
      <c r="K49" s="15"/>
      <c r="L49" s="14"/>
      <c r="M49" s="14"/>
      <c r="N49" s="14"/>
      <c r="O49" s="14"/>
      <c r="P49" s="14"/>
      <c r="Q49" s="14"/>
      <c r="R49" s="14"/>
      <c r="S49" s="15"/>
      <c r="T49" s="14"/>
      <c r="U49" s="14"/>
      <c r="V49" s="14"/>
      <c r="W49" s="14"/>
      <c r="X49" s="14"/>
      <c r="Y49" s="14"/>
      <c r="Z49" s="14"/>
      <c r="AA49" s="46"/>
      <c r="AB49" s="42"/>
      <c r="AC49" s="42"/>
      <c r="AD49" s="42"/>
      <c r="AE49" s="42"/>
      <c r="AF49" s="42"/>
      <c r="AG49" s="42"/>
      <c r="AH49" s="42"/>
      <c r="AI49" s="42"/>
      <c r="AJ49" s="42"/>
      <c r="AK49" s="42"/>
      <c r="AL49" s="42"/>
      <c r="AM49" s="42"/>
      <c r="AN49" s="42"/>
      <c r="AO49" s="42"/>
      <c r="AP49" s="42"/>
      <c r="AQ49" s="42"/>
    </row>
    <row r="50" spans="1:43">
      <c r="A50" s="226"/>
      <c r="B50" s="2">
        <f t="shared" si="2"/>
        <v>47</v>
      </c>
      <c r="C50" s="170">
        <f t="shared" si="3"/>
        <v>2068</v>
      </c>
      <c r="D50" s="14"/>
      <c r="E50" s="14"/>
      <c r="F50" s="14"/>
      <c r="G50" s="14"/>
      <c r="H50" s="14"/>
      <c r="I50" s="14"/>
      <c r="J50" s="14"/>
      <c r="K50" s="15"/>
      <c r="L50" s="14"/>
      <c r="M50" s="14"/>
      <c r="N50" s="14"/>
      <c r="O50" s="14"/>
      <c r="P50" s="14"/>
      <c r="Q50" s="14"/>
      <c r="R50" s="14"/>
      <c r="S50" s="15"/>
      <c r="T50" s="14"/>
      <c r="U50" s="14"/>
      <c r="V50" s="14"/>
      <c r="W50" s="14"/>
      <c r="X50" s="14"/>
      <c r="Y50" s="14"/>
      <c r="Z50" s="14"/>
      <c r="AA50" s="46"/>
      <c r="AB50" s="42"/>
      <c r="AC50" s="42"/>
      <c r="AD50" s="42"/>
      <c r="AE50" s="42"/>
      <c r="AF50" s="42"/>
      <c r="AG50" s="42"/>
      <c r="AH50" s="42"/>
      <c r="AI50" s="42"/>
      <c r="AJ50" s="42"/>
      <c r="AK50" s="42"/>
      <c r="AL50" s="42"/>
      <c r="AM50" s="42"/>
      <c r="AN50" s="42"/>
      <c r="AO50" s="42"/>
      <c r="AP50" s="42"/>
      <c r="AQ50" s="42"/>
    </row>
    <row r="51" spans="1:43">
      <c r="A51" s="226"/>
      <c r="B51" s="2">
        <f t="shared" si="2"/>
        <v>48</v>
      </c>
      <c r="C51" s="170">
        <f t="shared" si="3"/>
        <v>2069</v>
      </c>
      <c r="D51" s="14"/>
      <c r="E51" s="14"/>
      <c r="F51" s="14"/>
      <c r="G51" s="14"/>
      <c r="H51" s="14"/>
      <c r="I51" s="14"/>
      <c r="J51" s="14"/>
      <c r="K51" s="15"/>
      <c r="L51" s="14"/>
      <c r="M51" s="14"/>
      <c r="N51" s="14"/>
      <c r="O51" s="14"/>
      <c r="P51" s="14"/>
      <c r="Q51" s="14"/>
      <c r="R51" s="14"/>
      <c r="S51" s="15"/>
      <c r="T51" s="14"/>
      <c r="U51" s="14"/>
      <c r="V51" s="14"/>
      <c r="W51" s="14"/>
      <c r="X51" s="14"/>
      <c r="Y51" s="14"/>
      <c r="Z51" s="14"/>
      <c r="AA51" s="46"/>
      <c r="AB51" s="42"/>
      <c r="AC51" s="42"/>
      <c r="AD51" s="42"/>
      <c r="AE51" s="42"/>
      <c r="AF51" s="42"/>
      <c r="AG51" s="42"/>
      <c r="AH51" s="42"/>
      <c r="AI51" s="42"/>
      <c r="AJ51" s="42"/>
      <c r="AK51" s="42"/>
      <c r="AL51" s="42"/>
      <c r="AM51" s="42"/>
      <c r="AN51" s="42"/>
      <c r="AO51" s="42"/>
      <c r="AP51" s="42"/>
      <c r="AQ51" s="42"/>
    </row>
    <row r="52" spans="1:43">
      <c r="A52" s="226"/>
      <c r="B52" s="2">
        <f t="shared" si="2"/>
        <v>49</v>
      </c>
      <c r="C52" s="170">
        <f t="shared" si="3"/>
        <v>2070</v>
      </c>
      <c r="D52" s="14"/>
      <c r="E52" s="14"/>
      <c r="F52" s="14"/>
      <c r="G52" s="14"/>
      <c r="H52" s="14"/>
      <c r="I52" s="14"/>
      <c r="J52" s="14"/>
      <c r="K52" s="15"/>
      <c r="L52" s="14"/>
      <c r="M52" s="14"/>
      <c r="N52" s="14"/>
      <c r="O52" s="14"/>
      <c r="P52" s="14"/>
      <c r="Q52" s="14"/>
      <c r="R52" s="14"/>
      <c r="S52" s="15"/>
      <c r="T52" s="14"/>
      <c r="U52" s="14"/>
      <c r="V52" s="14"/>
      <c r="W52" s="14"/>
      <c r="X52" s="14"/>
      <c r="Y52" s="14"/>
      <c r="Z52" s="14"/>
      <c r="AA52" s="46"/>
      <c r="AB52" s="42"/>
      <c r="AC52" s="42"/>
      <c r="AD52" s="42"/>
      <c r="AE52" s="42"/>
      <c r="AF52" s="42"/>
      <c r="AG52" s="42"/>
      <c r="AH52" s="42"/>
      <c r="AI52" s="42"/>
      <c r="AJ52" s="42"/>
      <c r="AK52" s="42"/>
      <c r="AL52" s="42"/>
      <c r="AM52" s="42"/>
      <c r="AN52" s="42"/>
      <c r="AO52" s="42"/>
      <c r="AP52" s="42"/>
      <c r="AQ52" s="42"/>
    </row>
    <row r="53" spans="1:43" ht="16" thickBot="1">
      <c r="A53" s="227"/>
      <c r="B53" s="48">
        <f t="shared" si="2"/>
        <v>50</v>
      </c>
      <c r="C53" s="171">
        <f t="shared" si="3"/>
        <v>2071</v>
      </c>
      <c r="D53" s="49"/>
      <c r="E53" s="49"/>
      <c r="F53" s="49"/>
      <c r="G53" s="49"/>
      <c r="H53" s="49"/>
      <c r="I53" s="49"/>
      <c r="J53" s="49"/>
      <c r="K53" s="50"/>
      <c r="L53" s="49"/>
      <c r="M53" s="49"/>
      <c r="N53" s="49"/>
      <c r="O53" s="49"/>
      <c r="P53" s="49"/>
      <c r="Q53" s="49"/>
      <c r="R53" s="49"/>
      <c r="S53" s="50"/>
      <c r="T53" s="49"/>
      <c r="U53" s="49"/>
      <c r="V53" s="49"/>
      <c r="W53" s="49"/>
      <c r="X53" s="49"/>
      <c r="Y53" s="49"/>
      <c r="Z53" s="49"/>
      <c r="AA53" s="51"/>
      <c r="AB53" s="42"/>
      <c r="AC53" s="42"/>
      <c r="AD53" s="42"/>
      <c r="AE53" s="42"/>
      <c r="AF53" s="42"/>
      <c r="AG53" s="42"/>
      <c r="AH53" s="42"/>
      <c r="AI53" s="42"/>
      <c r="AJ53" s="42"/>
      <c r="AK53" s="42"/>
      <c r="AL53" s="42"/>
      <c r="AM53" s="42"/>
      <c r="AN53" s="42"/>
      <c r="AO53" s="42"/>
      <c r="AP53" s="42"/>
      <c r="AQ53" s="42"/>
    </row>
  </sheetData>
  <mergeCells count="38">
    <mergeCell ref="L1:S1"/>
    <mergeCell ref="N2:N3"/>
    <mergeCell ref="F2:F3"/>
    <mergeCell ref="AD2:AD3"/>
    <mergeCell ref="AL2:AL3"/>
    <mergeCell ref="L2:L3"/>
    <mergeCell ref="O2:O3"/>
    <mergeCell ref="P2:P3"/>
    <mergeCell ref="Q2:S2"/>
    <mergeCell ref="T2:T3"/>
    <mergeCell ref="W2:W3"/>
    <mergeCell ref="X2:X3"/>
    <mergeCell ref="Y2:AA2"/>
    <mergeCell ref="AJ1:AQ1"/>
    <mergeCell ref="T1:AA1"/>
    <mergeCell ref="AB1:AI1"/>
    <mergeCell ref="A4:A53"/>
    <mergeCell ref="D2:D3"/>
    <mergeCell ref="G2:G3"/>
    <mergeCell ref="H2:H3"/>
    <mergeCell ref="I2:K2"/>
    <mergeCell ref="B1:B3"/>
    <mergeCell ref="C1:C3"/>
    <mergeCell ref="D1:K1"/>
    <mergeCell ref="E2:E3"/>
    <mergeCell ref="AN2:AN3"/>
    <mergeCell ref="AO2:AQ2"/>
    <mergeCell ref="AB2:AB3"/>
    <mergeCell ref="AE2:AE3"/>
    <mergeCell ref="AF2:AF3"/>
    <mergeCell ref="AG2:AI2"/>
    <mergeCell ref="AJ2:AJ3"/>
    <mergeCell ref="AM2:AM3"/>
    <mergeCell ref="M2:M3"/>
    <mergeCell ref="U2:U3"/>
    <mergeCell ref="AC2:AC3"/>
    <mergeCell ref="AK2:AK3"/>
    <mergeCell ref="V2:V3"/>
  </mergeCells>
  <phoneticPr fontId="25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2FB45-7253-4FB5-BBBB-84267972CCDF}">
  <sheetPr codeName="Sheet3">
    <tabColor rgb="FF0070C0"/>
  </sheetPr>
  <dimension ref="A1:BT25"/>
  <sheetViews>
    <sheetView tabSelected="1" zoomScale="90" zoomScaleNormal="90" workbookViewId="0">
      <selection activeCell="E23" sqref="E23"/>
    </sheetView>
  </sheetViews>
  <sheetFormatPr baseColWidth="10" defaultColWidth="9.5" defaultRowHeight="15"/>
  <cols>
    <col min="1" max="1" width="10.5" style="1" customWidth="1"/>
    <col min="2" max="2" width="20.83203125" style="1" customWidth="1"/>
    <col min="3" max="3" width="18.5" style="1" customWidth="1"/>
    <col min="4" max="4" width="4.5" style="1" customWidth="1"/>
    <col min="5" max="5" width="33.5" style="1" customWidth="1"/>
    <col min="6" max="6" width="10.5" style="1" customWidth="1"/>
    <col min="7" max="7" width="11.5" style="1" customWidth="1"/>
    <col min="8" max="8" width="24.5" style="1" customWidth="1"/>
    <col min="9" max="9" width="15.5" style="1" customWidth="1"/>
    <col min="10" max="10" width="20" style="1" bestFit="1" customWidth="1"/>
    <col min="11" max="11" width="44.5" style="1" customWidth="1"/>
    <col min="12" max="12" width="4.5" style="1" customWidth="1"/>
    <col min="13" max="13" width="31.5" style="1" customWidth="1"/>
    <col min="14" max="14" width="13" style="1" customWidth="1"/>
    <col min="15" max="15" width="31.5" style="1" customWidth="1"/>
    <col min="16" max="16" width="32.5" style="1" customWidth="1"/>
    <col min="17" max="74" width="9.5" style="1"/>
    <col min="75" max="75" width="0" style="1" hidden="1" customWidth="1"/>
    <col min="76" max="16384" width="9.5" style="1"/>
  </cols>
  <sheetData>
    <row r="1" spans="1:72" ht="47.25" customHeight="1">
      <c r="A1" s="65"/>
      <c r="B1" s="247" t="s">
        <v>142</v>
      </c>
      <c r="C1" s="247"/>
      <c r="D1" s="2"/>
      <c r="E1" s="21" t="s">
        <v>143</v>
      </c>
      <c r="F1" s="21" t="s">
        <v>144</v>
      </c>
      <c r="G1" s="21" t="s">
        <v>145</v>
      </c>
      <c r="H1" s="21" t="s">
        <v>146</v>
      </c>
      <c r="I1" s="21" t="s">
        <v>147</v>
      </c>
    </row>
    <row r="2" spans="1:72" ht="21.75" customHeight="1">
      <c r="A2" s="28"/>
      <c r="B2" s="162" t="s">
        <v>148</v>
      </c>
      <c r="C2" s="54" t="s">
        <v>149</v>
      </c>
      <c r="D2" s="2"/>
      <c r="E2" s="163" t="s">
        <v>150</v>
      </c>
      <c r="F2" s="53">
        <v>1</v>
      </c>
      <c r="G2" s="53">
        <v>20</v>
      </c>
      <c r="H2" s="53" t="s">
        <v>322</v>
      </c>
      <c r="I2" s="168">
        <f>Calibration!F20</f>
        <v>0.5</v>
      </c>
      <c r="BT2" s="1" t="s">
        <v>152</v>
      </c>
    </row>
    <row r="3" spans="1:72" ht="22.5" customHeight="1">
      <c r="A3" s="28"/>
      <c r="B3" s="74" t="s">
        <v>153</v>
      </c>
      <c r="C3" s="75"/>
      <c r="D3" s="2"/>
      <c r="E3" s="74" t="s">
        <v>154</v>
      </c>
      <c r="F3" s="17">
        <v>2</v>
      </c>
      <c r="G3" s="17">
        <v>20</v>
      </c>
      <c r="H3" s="17" t="s">
        <v>323</v>
      </c>
      <c r="I3" s="209">
        <v>0.5</v>
      </c>
      <c r="BT3" s="1" t="s">
        <v>155</v>
      </c>
    </row>
    <row r="4" spans="1:72" ht="25.5" customHeight="1">
      <c r="A4" s="173"/>
      <c r="B4" s="163" t="s">
        <v>156</v>
      </c>
      <c r="C4" s="54"/>
      <c r="D4" s="2"/>
      <c r="E4" s="163" t="s">
        <v>157</v>
      </c>
      <c r="F4" s="53">
        <v>3</v>
      </c>
      <c r="G4" s="53">
        <v>20</v>
      </c>
      <c r="H4" s="53" t="s">
        <v>324</v>
      </c>
      <c r="I4" s="168">
        <v>0.7</v>
      </c>
    </row>
    <row r="5" spans="1:72" ht="22.5" customHeight="1">
      <c r="A5" s="28"/>
      <c r="C5" s="2"/>
      <c r="D5" s="2"/>
      <c r="E5" s="2"/>
      <c r="F5" s="7"/>
      <c r="G5" s="7"/>
      <c r="H5" s="7"/>
      <c r="I5" s="2"/>
      <c r="J5" s="7"/>
      <c r="K5" s="7"/>
      <c r="L5" s="2"/>
    </row>
    <row r="6" spans="1:72">
      <c r="A6" s="28"/>
      <c r="B6" s="7"/>
      <c r="C6" s="7"/>
      <c r="D6" s="7"/>
      <c r="E6" s="7"/>
      <c r="F6" s="7"/>
      <c r="G6" s="7"/>
      <c r="H6" s="7"/>
      <c r="I6" s="7"/>
      <c r="J6" s="7"/>
      <c r="K6" s="7"/>
      <c r="L6" s="2"/>
    </row>
    <row r="7" spans="1:72" ht="23.25" customHeight="1">
      <c r="A7" s="248" t="s">
        <v>158</v>
      </c>
      <c r="B7" s="21" t="s">
        <v>159</v>
      </c>
      <c r="C7" s="247" t="s">
        <v>160</v>
      </c>
      <c r="D7" s="247"/>
      <c r="E7" s="247"/>
      <c r="F7" s="247"/>
      <c r="G7" s="247"/>
      <c r="H7" s="247"/>
      <c r="I7" s="58"/>
      <c r="J7" s="58"/>
      <c r="K7" s="58"/>
      <c r="L7" s="2"/>
      <c r="P7" s="242"/>
      <c r="Q7" s="242"/>
      <c r="R7" s="58"/>
    </row>
    <row r="8" spans="1:72" ht="48" customHeight="1">
      <c r="A8" s="249"/>
      <c r="B8" s="77" t="s">
        <v>149</v>
      </c>
      <c r="C8" s="251" t="s">
        <v>321</v>
      </c>
      <c r="D8" s="251"/>
      <c r="E8" s="251"/>
      <c r="F8" s="251"/>
      <c r="G8" s="251"/>
      <c r="H8" s="251"/>
      <c r="I8" s="41"/>
      <c r="J8" s="2"/>
      <c r="K8" s="2"/>
      <c r="L8" s="2"/>
      <c r="Q8" s="2"/>
      <c r="R8" s="2"/>
    </row>
    <row r="9" spans="1:72" ht="45" customHeight="1">
      <c r="A9" s="249"/>
      <c r="B9" s="76" t="s">
        <v>164</v>
      </c>
      <c r="C9" s="252" t="s">
        <v>165</v>
      </c>
      <c r="D9" s="252"/>
      <c r="E9" s="252"/>
      <c r="F9" s="252"/>
      <c r="G9" s="252"/>
      <c r="H9" s="252"/>
      <c r="J9" s="7"/>
      <c r="K9" s="7"/>
      <c r="L9" s="2"/>
      <c r="Q9" s="7"/>
      <c r="R9" s="2"/>
    </row>
    <row r="10" spans="1:72" ht="48.75" customHeight="1">
      <c r="A10" s="249"/>
      <c r="B10" s="77" t="s">
        <v>162</v>
      </c>
      <c r="C10" s="251" t="s">
        <v>163</v>
      </c>
      <c r="D10" s="251"/>
      <c r="E10" s="251"/>
      <c r="F10" s="251"/>
      <c r="G10" s="251"/>
      <c r="H10" s="251"/>
      <c r="I10" s="8"/>
      <c r="J10" s="7"/>
      <c r="K10" s="7"/>
      <c r="L10" s="2"/>
      <c r="P10" s="8"/>
      <c r="Q10" s="7"/>
      <c r="R10" s="2"/>
    </row>
    <row r="11" spans="1:72" ht="48" customHeight="1">
      <c r="A11" s="250"/>
      <c r="B11" s="76" t="s">
        <v>161</v>
      </c>
      <c r="C11" s="252" t="s">
        <v>318</v>
      </c>
      <c r="D11" s="252"/>
      <c r="E11" s="252"/>
      <c r="F11" s="252"/>
      <c r="G11" s="252"/>
      <c r="H11" s="252"/>
      <c r="I11" s="2"/>
      <c r="J11" s="7"/>
      <c r="K11" s="7"/>
      <c r="L11" s="2"/>
      <c r="P11" s="8"/>
      <c r="Q11" s="7"/>
      <c r="R11" s="7"/>
    </row>
    <row r="14" spans="1:72" ht="29.75" hidden="1" customHeight="1">
      <c r="A14" s="166" t="s">
        <v>166</v>
      </c>
      <c r="B14" s="244"/>
      <c r="C14" s="245"/>
      <c r="D14" s="245"/>
      <c r="E14" s="245"/>
      <c r="F14" s="245"/>
      <c r="G14" s="245"/>
      <c r="H14" s="246"/>
      <c r="I14" s="73">
        <v>0</v>
      </c>
    </row>
    <row r="21" spans="4:5">
      <c r="D21" s="56"/>
      <c r="E21" s="57"/>
    </row>
    <row r="22" spans="4:5">
      <c r="D22" s="56"/>
      <c r="E22" s="57"/>
    </row>
    <row r="23" spans="4:5">
      <c r="D23" s="56"/>
      <c r="E23" s="57"/>
    </row>
    <row r="24" spans="4:5">
      <c r="D24" s="56"/>
      <c r="E24" s="57"/>
    </row>
    <row r="25" spans="4:5">
      <c r="D25" s="56"/>
      <c r="E25" s="57"/>
    </row>
  </sheetData>
  <mergeCells count="9">
    <mergeCell ref="B14:H14"/>
    <mergeCell ref="B1:C1"/>
    <mergeCell ref="A7:A11"/>
    <mergeCell ref="C7:H7"/>
    <mergeCell ref="P7:Q7"/>
    <mergeCell ref="C10:H10"/>
    <mergeCell ref="C9:H9"/>
    <mergeCell ref="C8:H8"/>
    <mergeCell ref="C11:H11"/>
  </mergeCells>
  <phoneticPr fontId="257" type="noConversion"/>
  <dataValidations count="7">
    <dataValidation type="list" allowBlank="1" showInputMessage="1" showErrorMessage="1" sqref="K8:K10" xr:uid="{54CD3460-6676-4C9C-958F-2C387035FE0F}">
      <formula1>#REF!</formula1>
    </dataValidation>
    <dataValidation allowBlank="1" showInputMessage="1" showErrorMessage="1" prompt="Space or &quot;-&quot; between words are not allowed. Use &quot;_&quot; if needed. " sqref="R8:R10" xr:uid="{07CAA05C-1639-4DCE-BE48-2B171B3D80F5}"/>
    <dataValidation type="whole" allowBlank="1" showInputMessage="1" showErrorMessage="1" sqref="Q8:Q10" xr:uid="{2B7FC80C-8F39-4667-8F7F-AECFD075CA90}">
      <formula1>1</formula1>
      <formula2>8</formula2>
    </dataValidation>
    <dataValidation type="whole" allowBlank="1" showInputMessage="1" showErrorMessage="1" sqref="I14" xr:uid="{1C832DB8-F58D-4FFE-B3DC-5982DCCE3DF4}">
      <formula1>0</formula1>
      <formula2>1</formula2>
    </dataValidation>
    <dataValidation type="whole" allowBlank="1" showInputMessage="1" showErrorMessage="1" sqref="G2:G4" xr:uid="{7CA4CDE6-C42C-4014-A99C-C25261DC102E}">
      <formula1>1</formula1>
      <formula2>50</formula2>
    </dataValidation>
    <dataValidation type="whole" allowBlank="1" showInputMessage="1" showErrorMessage="1" sqref="F2:F4" xr:uid="{11AB1307-E48C-4502-90E7-97400DABE6A8}">
      <formula1>1</formula1>
      <formula2>5</formula2>
    </dataValidation>
    <dataValidation type="list" allowBlank="1" showInputMessage="1" showErrorMessage="1" sqref="C3:C4 C2" xr:uid="{C3688A6E-22F9-4B3A-9E8E-D7D49CAF6BF5}">
      <formula1>$B$8:$B$11</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09388-34E0-4FFB-9CA2-F260D677A5B0}">
  <sheetPr codeName="Sheet6">
    <tabColor rgb="FF0070C0"/>
  </sheetPr>
  <dimension ref="A2:AQ27"/>
  <sheetViews>
    <sheetView zoomScale="90" zoomScaleNormal="90" workbookViewId="0">
      <selection activeCell="D12" sqref="D12"/>
    </sheetView>
  </sheetViews>
  <sheetFormatPr baseColWidth="10" defaultColWidth="9.5" defaultRowHeight="15"/>
  <cols>
    <col min="1" max="1" width="10.5" style="1" customWidth="1"/>
    <col min="2" max="2" width="78" style="1" customWidth="1"/>
    <col min="3" max="3" width="20.5" style="1" customWidth="1"/>
    <col min="4" max="4" width="19.5" style="1" customWidth="1"/>
    <col min="5" max="42" width="9.5" style="1"/>
    <col min="43" max="43" width="0" style="1" hidden="1" customWidth="1"/>
    <col min="44" max="16384" width="9.5" style="1"/>
  </cols>
  <sheetData>
    <row r="2" spans="1:43" ht="38.25" customHeight="1">
      <c r="A2" s="172"/>
      <c r="B2" s="21"/>
      <c r="C2" s="21" t="s">
        <v>127</v>
      </c>
      <c r="D2" s="21" t="s">
        <v>128</v>
      </c>
    </row>
    <row r="3" spans="1:43" ht="31.5" customHeight="1">
      <c r="A3" s="28"/>
      <c r="B3" s="10" t="s">
        <v>167</v>
      </c>
      <c r="C3" s="16" t="s">
        <v>152</v>
      </c>
      <c r="D3" s="38"/>
      <c r="AQ3" s="1" t="s">
        <v>152</v>
      </c>
    </row>
    <row r="4" spans="1:43" ht="31.5" customHeight="1">
      <c r="A4" s="173"/>
      <c r="B4" s="78" t="s">
        <v>168</v>
      </c>
      <c r="C4" s="64">
        <v>6</v>
      </c>
      <c r="D4" s="20">
        <v>2027</v>
      </c>
      <c r="AQ4" s="1" t="s">
        <v>155</v>
      </c>
    </row>
    <row r="5" spans="1:43" ht="15" customHeight="1">
      <c r="A5" s="12"/>
      <c r="B5" s="41"/>
      <c r="C5" s="41"/>
      <c r="D5" s="41"/>
    </row>
    <row r="6" spans="1:43" ht="44.25" customHeight="1">
      <c r="A6" s="248" t="s">
        <v>169</v>
      </c>
      <c r="B6" s="59" t="s">
        <v>170</v>
      </c>
      <c r="C6" s="79"/>
      <c r="D6" s="61" t="s">
        <v>171</v>
      </c>
    </row>
    <row r="7" spans="1:43" ht="29.25" customHeight="1">
      <c r="A7" s="249"/>
      <c r="B7" s="34" t="s">
        <v>172</v>
      </c>
      <c r="C7" s="80"/>
      <c r="D7" s="25">
        <v>0.2</v>
      </c>
    </row>
    <row r="8" spans="1:43" ht="35.25" customHeight="1">
      <c r="A8" s="249"/>
      <c r="B8" s="81" t="s">
        <v>173</v>
      </c>
      <c r="C8" s="30"/>
      <c r="D8" s="82">
        <v>0.2</v>
      </c>
    </row>
    <row r="9" spans="1:43" ht="34.5" customHeight="1">
      <c r="A9" s="249"/>
      <c r="B9" s="81" t="s">
        <v>174</v>
      </c>
      <c r="C9" s="30"/>
      <c r="D9" s="83">
        <v>0</v>
      </c>
    </row>
    <row r="10" spans="1:43" ht="33" customHeight="1">
      <c r="A10" s="249"/>
      <c r="B10" s="37" t="s">
        <v>175</v>
      </c>
      <c r="C10" s="36"/>
      <c r="D10" s="26">
        <v>0</v>
      </c>
    </row>
    <row r="11" spans="1:43" ht="28.5" customHeight="1">
      <c r="A11" s="249"/>
      <c r="B11" s="81" t="s">
        <v>176</v>
      </c>
      <c r="C11" s="30"/>
      <c r="D11" s="82">
        <v>0.2</v>
      </c>
    </row>
    <row r="12" spans="1:43" ht="24.75" customHeight="1">
      <c r="A12" s="249"/>
      <c r="B12" s="81" t="s">
        <v>177</v>
      </c>
      <c r="C12" s="30"/>
      <c r="D12" s="82">
        <v>0.2</v>
      </c>
    </row>
    <row r="13" spans="1:43" ht="30.75" customHeight="1">
      <c r="A13" s="250"/>
      <c r="B13" s="35" t="s">
        <v>178</v>
      </c>
      <c r="C13" s="36"/>
      <c r="D13" s="24">
        <v>0.5</v>
      </c>
    </row>
    <row r="14" spans="1:43">
      <c r="B14" s="11"/>
      <c r="C14" s="9"/>
      <c r="D14" s="2"/>
    </row>
    <row r="15" spans="1:43" ht="15" customHeight="1">
      <c r="A15" s="12"/>
      <c r="C15" s="2"/>
      <c r="D15" s="2"/>
    </row>
    <row r="16" spans="1:43" ht="45.75" customHeight="1">
      <c r="A16" s="248" t="s">
        <v>179</v>
      </c>
      <c r="B16" s="22" t="s">
        <v>180</v>
      </c>
      <c r="C16" s="60" t="s">
        <v>181</v>
      </c>
      <c r="D16" s="60" t="s">
        <v>182</v>
      </c>
    </row>
    <row r="17" spans="1:4" ht="40.5" customHeight="1">
      <c r="A17" s="249"/>
      <c r="B17" s="27" t="s">
        <v>183</v>
      </c>
      <c r="C17" s="17">
        <v>2027</v>
      </c>
      <c r="D17" s="17">
        <f>C17</f>
        <v>2027</v>
      </c>
    </row>
    <row r="18" spans="1:4" ht="42" customHeight="1">
      <c r="A18" s="249"/>
      <c r="B18" s="27" t="s">
        <v>184</v>
      </c>
      <c r="C18" s="17">
        <v>2032</v>
      </c>
      <c r="D18" s="17">
        <f>C18</f>
        <v>2032</v>
      </c>
    </row>
    <row r="19" spans="1:4" ht="33.75" customHeight="1">
      <c r="A19" s="249"/>
      <c r="B19" s="215" t="s">
        <v>185</v>
      </c>
      <c r="C19" s="216"/>
    </row>
    <row r="20" spans="1:4" ht="45" customHeight="1">
      <c r="A20" s="249"/>
      <c r="B20" s="27" t="s">
        <v>183</v>
      </c>
      <c r="C20" s="17">
        <f>C17</f>
        <v>2027</v>
      </c>
    </row>
    <row r="21" spans="1:4" ht="48.75" customHeight="1">
      <c r="A21" s="249"/>
      <c r="B21" s="27" t="s">
        <v>184</v>
      </c>
      <c r="C21" s="17">
        <f>C18</f>
        <v>2032</v>
      </c>
    </row>
    <row r="22" spans="1:4" ht="39" customHeight="1">
      <c r="A22" s="249"/>
      <c r="B22" s="215" t="s">
        <v>186</v>
      </c>
      <c r="C22" s="216"/>
      <c r="D22" s="58"/>
    </row>
    <row r="23" spans="1:4" ht="55.5" customHeight="1">
      <c r="A23" s="249"/>
      <c r="B23" s="27" t="s">
        <v>183</v>
      </c>
      <c r="C23" s="17">
        <f>C20</f>
        <v>2027</v>
      </c>
      <c r="D23" s="2"/>
    </row>
    <row r="24" spans="1:4" ht="55.5" customHeight="1">
      <c r="A24" s="249"/>
      <c r="B24" s="27" t="s">
        <v>184</v>
      </c>
      <c r="C24" s="17">
        <f>C21</f>
        <v>2032</v>
      </c>
      <c r="D24" s="2"/>
    </row>
    <row r="25" spans="1:4" ht="39.75" customHeight="1">
      <c r="A25" s="249"/>
      <c r="B25" s="215" t="s">
        <v>187</v>
      </c>
      <c r="C25" s="216"/>
    </row>
    <row r="26" spans="1:4" ht="35.25" customHeight="1">
      <c r="A26" s="249"/>
      <c r="B26" s="27" t="s">
        <v>183</v>
      </c>
      <c r="C26" s="17">
        <f>C23</f>
        <v>2027</v>
      </c>
    </row>
    <row r="27" spans="1:4" ht="36" customHeight="1">
      <c r="A27" s="250"/>
      <c r="B27" s="27" t="s">
        <v>184</v>
      </c>
      <c r="C27" s="17">
        <f>C24</f>
        <v>2032</v>
      </c>
    </row>
  </sheetData>
  <mergeCells count="5">
    <mergeCell ref="A6:A13"/>
    <mergeCell ref="A16:A27"/>
    <mergeCell ref="B19:C19"/>
    <mergeCell ref="B22:C22"/>
    <mergeCell ref="B25:C25"/>
  </mergeCells>
  <dataValidations count="5">
    <dataValidation type="list" allowBlank="1" showInputMessage="1" showErrorMessage="1" sqref="C3" xr:uid="{450EC416-4F47-4B3F-896D-2BF493C41D1F}">
      <formula1>$AQ$3:$AQ$4</formula1>
    </dataValidation>
    <dataValidation type="whole" allowBlank="1" showInputMessage="1" showErrorMessage="1" sqref="C4" xr:uid="{394CD03D-535A-4139-AB82-509552FADA92}">
      <formula1>1</formula1>
      <formula2>50</formula2>
    </dataValidation>
    <dataValidation type="decimal" allowBlank="1" showInputMessage="1" showErrorMessage="1" sqref="D10" xr:uid="{EA9C8D93-6F1A-4741-B290-0727135A7108}">
      <formula1>0</formula1>
      <formula2>1</formula2>
    </dataValidation>
    <dataValidation type="whole" allowBlank="1" showInputMessage="1" showErrorMessage="1" sqref="C5" xr:uid="{EC23B3AD-B79C-4BCA-BFAD-2DB03207B959}">
      <formula1>1</formula1>
      <formula2>C4+20</formula2>
    </dataValidation>
    <dataValidation type="decimal" operator="greaterThanOrEqual" allowBlank="1" showInputMessage="1" showErrorMessage="1" sqref="D11:D13 D8:D9" xr:uid="{5B9F84BC-B22C-4A2F-8606-C44F1FFAE072}">
      <formula1>0</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70C0"/>
  </sheetPr>
  <dimension ref="A1:BV51"/>
  <sheetViews>
    <sheetView topLeftCell="F1" zoomScale="80" zoomScaleNormal="80" workbookViewId="0">
      <selection activeCell="L11" sqref="L11"/>
    </sheetView>
  </sheetViews>
  <sheetFormatPr baseColWidth="10" defaultColWidth="9.5" defaultRowHeight="15"/>
  <cols>
    <col min="1" max="1" width="10.5" style="1" customWidth="1"/>
    <col min="2" max="2" width="67.5" style="1" bestFit="1" customWidth="1"/>
    <col min="3" max="3" width="23.5" style="1" customWidth="1"/>
    <col min="4" max="4" width="14.5" style="1" bestFit="1" customWidth="1"/>
    <col min="5" max="6" width="12.5" style="1" customWidth="1"/>
    <col min="7" max="8" width="19.5" style="1" customWidth="1"/>
    <col min="9" max="9" width="11.5" style="1" bestFit="1" customWidth="1"/>
    <col min="10" max="10" width="13.5" style="1" bestFit="1" customWidth="1"/>
    <col min="11" max="12" width="10.5" style="1" bestFit="1" customWidth="1"/>
    <col min="13" max="15" width="11.5" style="1" customWidth="1"/>
    <col min="16" max="16" width="11" style="1" bestFit="1" customWidth="1"/>
    <col min="17" max="17" width="13.5" style="1" bestFit="1" customWidth="1"/>
    <col min="18" max="18" width="12.5" style="1" bestFit="1" customWidth="1"/>
    <col min="19" max="19" width="14" style="1" bestFit="1" customWidth="1"/>
    <col min="20" max="20" width="11.5" style="1" bestFit="1" customWidth="1"/>
    <col min="21" max="24" width="11.5" style="1" customWidth="1"/>
    <col min="25" max="26" width="9.5" style="1"/>
    <col min="27" max="27" width="12" style="1" bestFit="1" customWidth="1"/>
    <col min="28" max="73" width="9.5" style="1"/>
    <col min="74" max="74" width="0" style="1" hidden="1" customWidth="1"/>
    <col min="75" max="16384" width="9.5" style="1"/>
  </cols>
  <sheetData>
    <row r="1" spans="1:74" ht="45" customHeight="1">
      <c r="A1" s="248" t="s">
        <v>188</v>
      </c>
      <c r="B1" s="22" t="s">
        <v>189</v>
      </c>
      <c r="C1" s="23" t="s">
        <v>190</v>
      </c>
      <c r="D1" s="21" t="s">
        <v>191</v>
      </c>
      <c r="E1" s="21" t="s">
        <v>192</v>
      </c>
      <c r="F1" s="21" t="s">
        <v>193</v>
      </c>
      <c r="G1" s="21" t="s">
        <v>194</v>
      </c>
      <c r="H1" s="21" t="s">
        <v>195</v>
      </c>
      <c r="I1" s="21" t="s">
        <v>196</v>
      </c>
      <c r="J1" s="21" t="s">
        <v>197</v>
      </c>
      <c r="K1" s="21" t="s">
        <v>198</v>
      </c>
      <c r="L1" s="21" t="s">
        <v>199</v>
      </c>
      <c r="M1" s="21" t="s">
        <v>200</v>
      </c>
      <c r="N1" s="21" t="s">
        <v>201</v>
      </c>
      <c r="O1" s="21" t="s">
        <v>202</v>
      </c>
      <c r="P1" s="21" t="s">
        <v>203</v>
      </c>
      <c r="Q1" s="21" t="s">
        <v>204</v>
      </c>
      <c r="R1" s="21" t="s">
        <v>205</v>
      </c>
      <c r="S1" s="21" t="s">
        <v>206</v>
      </c>
      <c r="T1" s="21" t="s">
        <v>207</v>
      </c>
      <c r="U1" s="21" t="s">
        <v>208</v>
      </c>
      <c r="V1" s="21" t="s">
        <v>209</v>
      </c>
      <c r="W1" s="21" t="s">
        <v>210</v>
      </c>
      <c r="X1" s="21" t="s">
        <v>211</v>
      </c>
    </row>
    <row r="2" spans="1:74" ht="36" hidden="1" customHeight="1">
      <c r="A2" s="249"/>
      <c r="B2" s="30" t="s">
        <v>212</v>
      </c>
      <c r="C2" s="17" t="s">
        <v>155</v>
      </c>
      <c r="D2" s="17">
        <v>25</v>
      </c>
      <c r="E2" s="17">
        <v>3</v>
      </c>
      <c r="F2" s="17">
        <v>4</v>
      </c>
      <c r="G2" s="20">
        <f>+E2*F2</f>
        <v>12</v>
      </c>
      <c r="H2" s="20">
        <f>COUNTA(I2:X2)</f>
        <v>15</v>
      </c>
      <c r="I2" s="33" t="s">
        <v>213</v>
      </c>
      <c r="J2" s="33" t="s">
        <v>214</v>
      </c>
      <c r="K2" s="33" t="s">
        <v>215</v>
      </c>
      <c r="L2" s="33" t="s">
        <v>216</v>
      </c>
      <c r="M2" s="33" t="s">
        <v>217</v>
      </c>
      <c r="N2" s="33" t="s">
        <v>218</v>
      </c>
      <c r="O2" s="33" t="s">
        <v>219</v>
      </c>
      <c r="P2" s="33" t="s">
        <v>220</v>
      </c>
      <c r="Q2" s="33" t="s">
        <v>221</v>
      </c>
      <c r="R2" s="33" t="s">
        <v>222</v>
      </c>
      <c r="S2" s="33" t="s">
        <v>223</v>
      </c>
      <c r="T2" s="33" t="s">
        <v>224</v>
      </c>
      <c r="U2" s="33" t="s">
        <v>225</v>
      </c>
      <c r="V2" s="33" t="s">
        <v>226</v>
      </c>
      <c r="W2" s="33" t="s">
        <v>227</v>
      </c>
      <c r="X2" s="33"/>
      <c r="BV2" s="1" t="s">
        <v>152</v>
      </c>
    </row>
    <row r="3" spans="1:74" ht="37.5" customHeight="1">
      <c r="A3" s="250"/>
      <c r="B3" s="31" t="s">
        <v>228</v>
      </c>
      <c r="C3" s="16" t="s">
        <v>152</v>
      </c>
      <c r="D3" s="20">
        <v>20</v>
      </c>
      <c r="E3" s="20">
        <v>4</v>
      </c>
      <c r="F3" s="20">
        <v>4</v>
      </c>
      <c r="G3" s="20">
        <f>+E3*F3</f>
        <v>16</v>
      </c>
      <c r="H3" s="20">
        <f>COUNTA(I3:X3)</f>
        <v>16</v>
      </c>
      <c r="I3" s="33" t="s">
        <v>328</v>
      </c>
      <c r="J3" s="33" t="s">
        <v>329</v>
      </c>
      <c r="K3" s="33" t="s">
        <v>226</v>
      </c>
      <c r="L3" s="33" t="s">
        <v>225</v>
      </c>
      <c r="M3" s="33" t="s">
        <v>213</v>
      </c>
      <c r="N3" s="33" t="s">
        <v>330</v>
      </c>
      <c r="O3" s="33" t="s">
        <v>262</v>
      </c>
      <c r="P3" s="33" t="s">
        <v>227</v>
      </c>
      <c r="Q3" s="33" t="s">
        <v>222</v>
      </c>
      <c r="R3" s="33" t="s">
        <v>229</v>
      </c>
      <c r="S3" s="33" t="s">
        <v>218</v>
      </c>
      <c r="T3" s="33" t="s">
        <v>219</v>
      </c>
      <c r="U3" s="33" t="s">
        <v>217</v>
      </c>
      <c r="V3" s="33" t="s">
        <v>268</v>
      </c>
      <c r="W3" s="33" t="s">
        <v>215</v>
      </c>
      <c r="X3" s="33" t="s">
        <v>214</v>
      </c>
      <c r="BV3" s="1" t="s">
        <v>155</v>
      </c>
    </row>
    <row r="4" spans="1:74">
      <c r="A4" s="12"/>
      <c r="B4" s="11"/>
      <c r="C4" s="9"/>
      <c r="D4" s="2"/>
      <c r="E4" s="2"/>
      <c r="F4" s="2"/>
      <c r="G4" s="2"/>
      <c r="H4" s="2"/>
      <c r="I4" s="5"/>
      <c r="J4" s="5"/>
      <c r="K4" s="5"/>
      <c r="L4" s="5"/>
      <c r="M4" s="5"/>
      <c r="N4" s="5"/>
      <c r="O4" s="5"/>
      <c r="P4" s="5"/>
      <c r="Q4" s="5"/>
      <c r="R4" s="5"/>
      <c r="S4" s="5"/>
      <c r="T4" s="5"/>
      <c r="U4" s="5"/>
      <c r="V4" s="5"/>
      <c r="W4" s="5"/>
      <c r="X4" s="5"/>
    </row>
    <row r="5" spans="1:74">
      <c r="A5" s="12"/>
      <c r="C5" s="2"/>
      <c r="D5" s="2"/>
      <c r="E5" s="2"/>
      <c r="F5" s="2"/>
      <c r="G5" s="2"/>
      <c r="H5" s="2"/>
      <c r="I5" s="5"/>
      <c r="J5" s="5"/>
      <c r="K5" s="5"/>
      <c r="L5" s="5"/>
      <c r="M5" s="5"/>
      <c r="N5" s="5"/>
      <c r="P5" s="5"/>
      <c r="Q5" s="5"/>
      <c r="R5" s="5"/>
      <c r="S5" s="5"/>
      <c r="T5" s="5"/>
      <c r="U5" s="5"/>
      <c r="V5" s="5"/>
      <c r="W5" s="5"/>
      <c r="X5" s="5"/>
    </row>
    <row r="6" spans="1:74">
      <c r="A6" s="12"/>
      <c r="B6" s="32"/>
      <c r="C6" s="4"/>
      <c r="D6" s="2"/>
      <c r="E6" s="2"/>
      <c r="F6" s="2"/>
      <c r="G6" s="2"/>
      <c r="H6" s="2"/>
      <c r="I6" s="5"/>
      <c r="J6" s="5"/>
      <c r="K6" s="5"/>
      <c r="L6" s="5"/>
      <c r="M6" s="5"/>
      <c r="N6" s="5"/>
      <c r="O6" s="5"/>
      <c r="P6" s="5"/>
      <c r="Q6" s="5"/>
      <c r="R6" s="5"/>
      <c r="S6" s="5"/>
      <c r="T6" s="5"/>
      <c r="U6" s="5"/>
      <c r="V6" s="5"/>
      <c r="W6" s="5"/>
      <c r="X6" s="5"/>
    </row>
    <row r="7" spans="1:74" ht="16">
      <c r="A7" s="28"/>
      <c r="B7" s="21" t="s">
        <v>232</v>
      </c>
      <c r="C7" s="21" t="s">
        <v>159</v>
      </c>
      <c r="D7" s="5"/>
      <c r="E7" s="5"/>
      <c r="F7" s="5"/>
      <c r="G7" s="5"/>
      <c r="H7" s="5"/>
      <c r="I7" s="5"/>
      <c r="J7" s="5"/>
      <c r="K7" s="5"/>
      <c r="L7" s="5"/>
      <c r="M7" s="5"/>
      <c r="N7" s="5"/>
      <c r="P7" s="5"/>
      <c r="Q7" s="5"/>
      <c r="R7" s="5"/>
      <c r="S7" s="5"/>
      <c r="T7" s="5"/>
      <c r="U7" s="5"/>
      <c r="V7" s="5"/>
      <c r="W7" s="5"/>
      <c r="X7" s="5"/>
    </row>
    <row r="8" spans="1:74" ht="19.5" customHeight="1">
      <c r="A8" s="28"/>
      <c r="B8" s="92" t="s">
        <v>233</v>
      </c>
      <c r="C8" s="93" t="s">
        <v>213</v>
      </c>
      <c r="D8" s="2"/>
      <c r="E8" s="2"/>
      <c r="F8" s="2"/>
      <c r="G8" s="2"/>
      <c r="H8" s="2"/>
      <c r="I8" s="5"/>
      <c r="J8" s="5"/>
      <c r="K8" s="5"/>
      <c r="L8" s="5"/>
      <c r="M8" s="5"/>
      <c r="N8" s="5"/>
      <c r="O8" s="5"/>
      <c r="P8" s="5"/>
      <c r="Q8" s="5"/>
      <c r="R8" s="5"/>
      <c r="S8" s="5"/>
      <c r="T8" s="5"/>
      <c r="U8" s="5"/>
      <c r="V8" s="5"/>
      <c r="W8" s="5"/>
      <c r="X8" s="5"/>
    </row>
    <row r="9" spans="1:74">
      <c r="A9" s="28"/>
      <c r="B9" s="87" t="s">
        <v>234</v>
      </c>
      <c r="C9" s="91" t="s">
        <v>214</v>
      </c>
      <c r="D9" s="2"/>
      <c r="E9" s="2"/>
      <c r="F9" s="2"/>
      <c r="G9" s="2"/>
      <c r="H9" s="2"/>
      <c r="I9" s="5"/>
      <c r="J9" s="5"/>
      <c r="K9" s="5"/>
      <c r="L9" s="5"/>
      <c r="M9" s="5"/>
      <c r="N9" s="5"/>
      <c r="O9" s="5"/>
      <c r="P9" s="5"/>
      <c r="Q9" s="5"/>
      <c r="R9" s="5"/>
      <c r="S9" s="5"/>
      <c r="T9" s="5"/>
      <c r="U9" s="5"/>
      <c r="V9" s="5"/>
      <c r="W9" s="5"/>
      <c r="X9" s="5"/>
    </row>
    <row r="10" spans="1:74">
      <c r="A10" s="28"/>
      <c r="B10" s="87" t="s">
        <v>235</v>
      </c>
      <c r="C10" s="91" t="s">
        <v>215</v>
      </c>
      <c r="D10" s="2"/>
      <c r="E10" s="2"/>
      <c r="F10" s="2"/>
      <c r="G10" s="2"/>
      <c r="H10" s="2"/>
      <c r="I10" s="5"/>
      <c r="J10" s="5"/>
      <c r="K10" s="5"/>
      <c r="L10" s="5"/>
      <c r="M10" s="5"/>
      <c r="N10" s="5"/>
      <c r="O10" s="5"/>
      <c r="P10" s="5"/>
      <c r="Q10" s="5"/>
      <c r="R10" s="5"/>
      <c r="S10" s="5"/>
      <c r="T10" s="5"/>
      <c r="U10" s="5"/>
      <c r="V10" s="5"/>
      <c r="W10" s="5"/>
      <c r="X10" s="5"/>
    </row>
    <row r="11" spans="1:74">
      <c r="A11" s="28"/>
      <c r="B11" s="87" t="s">
        <v>236</v>
      </c>
      <c r="C11" s="91" t="s">
        <v>219</v>
      </c>
      <c r="D11" s="2"/>
      <c r="E11" s="2"/>
      <c r="F11" s="2"/>
      <c r="G11" s="2"/>
      <c r="H11" s="2"/>
      <c r="I11" s="5"/>
      <c r="J11" s="5"/>
      <c r="K11" s="5"/>
      <c r="L11" s="5"/>
      <c r="M11" s="5"/>
      <c r="N11" s="5"/>
      <c r="O11" s="5"/>
      <c r="P11" s="5"/>
      <c r="Q11" s="5"/>
      <c r="R11" s="5"/>
      <c r="S11" s="5"/>
      <c r="T11" s="5"/>
      <c r="U11" s="5"/>
      <c r="V11" s="5"/>
      <c r="W11" s="5"/>
      <c r="X11" s="5"/>
    </row>
    <row r="12" spans="1:74">
      <c r="A12" s="28"/>
      <c r="B12" s="94" t="s">
        <v>237</v>
      </c>
      <c r="C12" s="91" t="s">
        <v>221</v>
      </c>
      <c r="D12" s="2"/>
      <c r="E12" s="2"/>
      <c r="F12" s="2"/>
      <c r="G12" s="2"/>
      <c r="H12" s="2"/>
      <c r="I12" s="5"/>
      <c r="J12" s="5"/>
      <c r="K12" s="5"/>
      <c r="L12" s="5"/>
      <c r="M12" s="5"/>
      <c r="N12" s="5"/>
      <c r="O12" s="5"/>
      <c r="P12" s="5"/>
      <c r="Q12" s="5"/>
      <c r="R12" s="5"/>
      <c r="S12" s="5"/>
      <c r="T12" s="5"/>
      <c r="U12" s="5"/>
      <c r="V12" s="5"/>
      <c r="W12" s="5"/>
      <c r="X12" s="5"/>
    </row>
    <row r="13" spans="1:74">
      <c r="A13" s="28"/>
      <c r="B13" s="94" t="s">
        <v>238</v>
      </c>
      <c r="C13" s="91" t="s">
        <v>224</v>
      </c>
      <c r="D13" s="2"/>
      <c r="E13" s="2"/>
      <c r="F13" s="2"/>
      <c r="G13" s="2"/>
      <c r="H13" s="2"/>
      <c r="I13" s="5"/>
      <c r="J13" s="5"/>
      <c r="K13" s="5"/>
      <c r="L13" s="5"/>
      <c r="M13" s="5"/>
      <c r="N13" s="5"/>
      <c r="O13" s="5"/>
      <c r="P13" s="5"/>
      <c r="Q13" s="5"/>
      <c r="R13" s="5"/>
      <c r="S13" s="5"/>
      <c r="T13" s="5"/>
      <c r="U13" s="5"/>
      <c r="V13" s="5"/>
      <c r="W13" s="5"/>
      <c r="X13" s="5"/>
    </row>
    <row r="14" spans="1:74">
      <c r="A14" s="28"/>
      <c r="B14" s="94" t="s">
        <v>239</v>
      </c>
      <c r="C14" s="91" t="s">
        <v>222</v>
      </c>
      <c r="D14" s="2"/>
      <c r="E14" s="2"/>
      <c r="F14" s="2"/>
      <c r="G14" s="2"/>
      <c r="H14" s="2"/>
      <c r="I14" s="5"/>
      <c r="J14" s="5"/>
      <c r="K14" s="5"/>
      <c r="L14" s="5"/>
      <c r="M14" s="5"/>
      <c r="N14" s="5"/>
      <c r="O14" s="5"/>
      <c r="P14" s="5"/>
      <c r="Q14" s="5"/>
      <c r="R14" s="5"/>
      <c r="S14" s="5"/>
      <c r="T14" s="5"/>
      <c r="U14" s="5"/>
      <c r="V14" s="5"/>
      <c r="W14" s="5"/>
      <c r="X14" s="5"/>
    </row>
    <row r="15" spans="1:74">
      <c r="A15" s="28"/>
      <c r="B15" s="94" t="s">
        <v>240</v>
      </c>
      <c r="C15" s="91" t="s">
        <v>216</v>
      </c>
      <c r="D15" s="2"/>
      <c r="E15" s="2"/>
      <c r="F15" s="2"/>
      <c r="G15" s="2"/>
      <c r="H15" s="2"/>
      <c r="I15" s="5"/>
      <c r="J15" s="5"/>
      <c r="K15" s="5"/>
      <c r="L15" s="5"/>
      <c r="M15" s="5"/>
      <c r="N15" s="5"/>
      <c r="O15" s="5"/>
      <c r="P15" s="5"/>
      <c r="Q15" s="5"/>
      <c r="R15" s="5"/>
      <c r="S15" s="5"/>
      <c r="T15" s="5"/>
      <c r="U15" s="5"/>
      <c r="V15" s="5"/>
      <c r="W15" s="5"/>
      <c r="X15" s="5"/>
    </row>
    <row r="16" spans="1:74">
      <c r="A16" s="28"/>
      <c r="B16" s="100" t="s">
        <v>241</v>
      </c>
      <c r="C16" s="101" t="s">
        <v>229</v>
      </c>
      <c r="D16" s="2"/>
      <c r="E16" s="2"/>
      <c r="F16" s="2"/>
      <c r="G16" s="2"/>
      <c r="H16" s="2"/>
      <c r="I16" s="5"/>
      <c r="J16" s="5"/>
      <c r="K16" s="5"/>
      <c r="L16" s="5"/>
      <c r="M16" s="5"/>
      <c r="N16" s="5"/>
      <c r="O16" s="5"/>
      <c r="P16" s="5"/>
      <c r="Q16" s="5"/>
      <c r="R16" s="5"/>
      <c r="S16" s="5"/>
      <c r="T16" s="5"/>
      <c r="U16" s="5"/>
      <c r="V16" s="5"/>
      <c r="W16" s="5"/>
      <c r="X16" s="5"/>
    </row>
    <row r="17" spans="1:24">
      <c r="A17" s="28"/>
      <c r="B17" s="88" t="s">
        <v>242</v>
      </c>
      <c r="C17" s="89" t="s">
        <v>243</v>
      </c>
      <c r="D17" s="2"/>
      <c r="E17" s="2"/>
      <c r="F17" s="2"/>
      <c r="G17" s="2"/>
      <c r="H17" s="2"/>
      <c r="I17" s="5"/>
      <c r="J17" s="5"/>
      <c r="K17" s="5"/>
      <c r="L17" s="5"/>
      <c r="M17" s="5"/>
      <c r="N17" s="5"/>
      <c r="O17" s="5"/>
      <c r="P17" s="5"/>
      <c r="Q17" s="5"/>
      <c r="R17" s="5"/>
      <c r="S17" s="5"/>
      <c r="T17" s="5"/>
      <c r="U17" s="5"/>
      <c r="V17" s="5"/>
      <c r="W17" s="5"/>
      <c r="X17" s="5"/>
    </row>
    <row r="18" spans="1:24">
      <c r="A18" s="28"/>
      <c r="B18" s="88" t="s">
        <v>244</v>
      </c>
      <c r="C18" s="89" t="s">
        <v>245</v>
      </c>
      <c r="D18" s="2"/>
      <c r="E18" s="2"/>
      <c r="F18" s="2"/>
      <c r="G18" s="2"/>
      <c r="H18" s="2"/>
      <c r="I18" s="5"/>
      <c r="J18" s="5"/>
      <c r="K18" s="5"/>
      <c r="L18" s="5"/>
      <c r="M18" s="5"/>
      <c r="N18" s="5"/>
      <c r="O18" s="5"/>
      <c r="P18" s="5"/>
      <c r="Q18" s="5"/>
      <c r="R18" s="5"/>
      <c r="S18" s="5"/>
      <c r="T18" s="5"/>
      <c r="U18" s="5"/>
      <c r="V18" s="5"/>
      <c r="W18" s="5"/>
      <c r="X18" s="5"/>
    </row>
    <row r="19" spans="1:24">
      <c r="A19" s="28"/>
      <c r="B19" s="88" t="s">
        <v>246</v>
      </c>
      <c r="C19" s="89" t="s">
        <v>247</v>
      </c>
      <c r="D19" s="2"/>
      <c r="E19" s="2"/>
      <c r="F19" s="2"/>
      <c r="G19" s="2"/>
      <c r="H19" s="2"/>
      <c r="I19" s="5"/>
      <c r="J19" s="5"/>
      <c r="K19" s="5"/>
      <c r="L19" s="5"/>
      <c r="M19" s="5"/>
      <c r="N19" s="5"/>
      <c r="O19" s="5"/>
      <c r="P19" s="5"/>
      <c r="Q19" s="5"/>
      <c r="R19" s="5"/>
      <c r="S19" s="5"/>
      <c r="T19" s="5"/>
      <c r="U19" s="5"/>
      <c r="V19" s="5"/>
      <c r="W19" s="5"/>
      <c r="X19" s="5"/>
    </row>
    <row r="20" spans="1:24">
      <c r="A20" s="28"/>
      <c r="B20" s="88" t="s">
        <v>248</v>
      </c>
      <c r="C20" s="89" t="s">
        <v>249</v>
      </c>
      <c r="D20" s="2"/>
      <c r="E20" s="2"/>
      <c r="F20" s="2"/>
      <c r="G20" s="2"/>
      <c r="H20" s="2"/>
      <c r="I20" s="5"/>
      <c r="J20" s="5"/>
      <c r="K20" s="5"/>
      <c r="L20" s="5"/>
      <c r="M20" s="5"/>
      <c r="N20" s="5"/>
      <c r="O20" s="5"/>
      <c r="P20" s="5"/>
      <c r="Q20" s="5"/>
      <c r="R20" s="5"/>
      <c r="S20" s="5"/>
      <c r="T20" s="5"/>
      <c r="U20" s="5"/>
      <c r="V20" s="5"/>
      <c r="W20" s="5"/>
      <c r="X20" s="5"/>
    </row>
    <row r="21" spans="1:24">
      <c r="A21" s="28"/>
      <c r="B21" s="88" t="s">
        <v>250</v>
      </c>
      <c r="C21" s="89" t="s">
        <v>251</v>
      </c>
      <c r="D21" s="2"/>
      <c r="E21" s="2"/>
      <c r="F21" s="2"/>
      <c r="G21" s="2"/>
      <c r="H21" s="2"/>
      <c r="I21" s="5"/>
      <c r="J21" s="5"/>
      <c r="K21" s="5"/>
      <c r="L21" s="5"/>
      <c r="M21" s="5"/>
      <c r="N21" s="5"/>
      <c r="O21" s="5"/>
      <c r="P21" s="5"/>
      <c r="Q21" s="5"/>
      <c r="R21" s="5"/>
      <c r="S21" s="5"/>
      <c r="T21" s="5"/>
      <c r="U21" s="5"/>
      <c r="V21" s="5"/>
      <c r="W21" s="5"/>
      <c r="X21" s="5"/>
    </row>
    <row r="22" spans="1:24">
      <c r="A22" s="28"/>
      <c r="B22" s="88" t="s">
        <v>252</v>
      </c>
      <c r="C22" s="89" t="s">
        <v>225</v>
      </c>
      <c r="D22" s="2"/>
      <c r="E22" s="2"/>
      <c r="F22" s="2"/>
      <c r="G22" s="2"/>
      <c r="H22" s="2"/>
      <c r="I22" s="5"/>
      <c r="J22" s="5"/>
      <c r="K22" s="5"/>
      <c r="L22" s="5"/>
      <c r="M22" s="5"/>
      <c r="N22" s="5"/>
      <c r="O22" s="5"/>
      <c r="P22" s="5"/>
      <c r="Q22" s="5"/>
      <c r="R22" s="5"/>
      <c r="S22" s="5"/>
      <c r="T22" s="5"/>
      <c r="U22" s="5"/>
      <c r="V22" s="5"/>
      <c r="W22" s="5"/>
      <c r="X22" s="5"/>
    </row>
    <row r="23" spans="1:24">
      <c r="A23" s="28"/>
      <c r="B23" s="88" t="s">
        <v>253</v>
      </c>
      <c r="C23" s="89" t="s">
        <v>226</v>
      </c>
      <c r="D23" s="2"/>
      <c r="E23" s="2"/>
      <c r="F23" s="2"/>
      <c r="G23" s="2"/>
      <c r="H23" s="2"/>
      <c r="I23" s="5"/>
      <c r="J23" s="5"/>
      <c r="K23" s="5"/>
      <c r="L23" s="5"/>
      <c r="M23" s="5"/>
      <c r="N23" s="5"/>
      <c r="O23" s="5"/>
      <c r="P23" s="5"/>
      <c r="Q23" s="5"/>
      <c r="R23" s="5"/>
      <c r="S23" s="5"/>
      <c r="T23" s="5"/>
      <c r="U23" s="5"/>
      <c r="V23" s="5"/>
      <c r="W23" s="5"/>
      <c r="X23" s="5"/>
    </row>
    <row r="24" spans="1:24">
      <c r="A24" s="28"/>
      <c r="B24" s="88" t="s">
        <v>254</v>
      </c>
      <c r="C24" s="89" t="s">
        <v>218</v>
      </c>
      <c r="D24" s="2"/>
      <c r="E24" s="2"/>
      <c r="F24" s="2"/>
      <c r="G24" s="2"/>
      <c r="H24" s="2"/>
      <c r="I24" s="5"/>
      <c r="J24" s="5"/>
      <c r="K24" s="5"/>
      <c r="L24" s="5"/>
      <c r="M24" s="5"/>
      <c r="N24" s="5"/>
      <c r="O24" s="5"/>
      <c r="P24" s="5"/>
      <c r="Q24" s="5"/>
      <c r="R24" s="5"/>
      <c r="S24" s="5"/>
      <c r="T24" s="5"/>
      <c r="U24" s="5"/>
      <c r="V24" s="5"/>
      <c r="W24" s="5"/>
      <c r="X24" s="5"/>
    </row>
    <row r="25" spans="1:24">
      <c r="A25" s="28"/>
      <c r="B25" s="88" t="s">
        <v>255</v>
      </c>
      <c r="C25" s="89" t="s">
        <v>220</v>
      </c>
      <c r="D25" s="2"/>
      <c r="E25" s="2"/>
      <c r="F25" s="2"/>
      <c r="G25" s="2"/>
      <c r="H25" s="2"/>
      <c r="I25" s="5"/>
      <c r="J25" s="5"/>
      <c r="K25" s="5"/>
      <c r="L25" s="5"/>
      <c r="M25" s="5"/>
      <c r="N25" s="5"/>
      <c r="O25" s="5"/>
      <c r="P25" s="5"/>
      <c r="Q25" s="5"/>
      <c r="R25" s="5"/>
      <c r="S25" s="5"/>
      <c r="T25" s="5"/>
      <c r="U25" s="5"/>
      <c r="V25" s="5"/>
      <c r="W25" s="5"/>
      <c r="X25" s="5"/>
    </row>
    <row r="26" spans="1:24">
      <c r="A26" s="28"/>
      <c r="B26" s="88" t="s">
        <v>256</v>
      </c>
      <c r="C26" s="89" t="s">
        <v>230</v>
      </c>
      <c r="D26" s="2"/>
      <c r="E26" s="2"/>
      <c r="F26" s="2"/>
      <c r="G26" s="2"/>
      <c r="H26" s="2"/>
      <c r="I26" s="5"/>
      <c r="J26" s="5"/>
      <c r="K26" s="5"/>
      <c r="L26" s="5"/>
      <c r="M26" s="5"/>
      <c r="N26" s="5"/>
      <c r="O26" s="5"/>
      <c r="P26" s="5"/>
      <c r="Q26" s="5"/>
      <c r="R26" s="5"/>
      <c r="S26" s="5"/>
      <c r="T26" s="5"/>
      <c r="U26" s="5"/>
      <c r="V26" s="5"/>
      <c r="W26" s="5"/>
      <c r="X26" s="5"/>
    </row>
    <row r="27" spans="1:24">
      <c r="A27" s="28"/>
      <c r="B27" s="95" t="s">
        <v>257</v>
      </c>
      <c r="C27" s="89" t="s">
        <v>223</v>
      </c>
      <c r="D27" s="2"/>
      <c r="E27" s="2"/>
      <c r="F27" s="2"/>
      <c r="G27" s="2"/>
      <c r="H27" s="2"/>
      <c r="I27" s="5"/>
      <c r="J27" s="5"/>
      <c r="K27" s="5"/>
      <c r="L27" s="5"/>
      <c r="M27" s="5"/>
      <c r="N27" s="5"/>
      <c r="O27" s="5"/>
      <c r="P27" s="5"/>
      <c r="Q27" s="5"/>
      <c r="R27" s="5"/>
      <c r="S27" s="5"/>
      <c r="T27" s="5"/>
      <c r="U27" s="5"/>
      <c r="V27" s="5"/>
      <c r="W27" s="5"/>
      <c r="X27" s="5"/>
    </row>
    <row r="28" spans="1:24">
      <c r="A28" s="28"/>
      <c r="B28" s="95" t="s">
        <v>258</v>
      </c>
      <c r="C28" s="89" t="s">
        <v>217</v>
      </c>
      <c r="D28" s="2"/>
      <c r="E28" s="2"/>
      <c r="F28" s="2"/>
      <c r="G28" s="2"/>
      <c r="H28" s="2"/>
      <c r="I28" s="5"/>
      <c r="J28" s="5"/>
      <c r="K28" s="5"/>
      <c r="L28" s="5"/>
      <c r="M28" s="5"/>
      <c r="N28" s="5"/>
      <c r="O28" s="5"/>
      <c r="P28" s="5"/>
      <c r="Q28" s="5"/>
      <c r="R28" s="5"/>
      <c r="S28" s="5"/>
      <c r="T28" s="5"/>
      <c r="U28" s="5"/>
      <c r="V28" s="5"/>
      <c r="W28" s="5"/>
      <c r="X28" s="5"/>
    </row>
    <row r="29" spans="1:24">
      <c r="A29" s="28"/>
      <c r="B29" s="95" t="s">
        <v>259</v>
      </c>
      <c r="C29" s="89" t="s">
        <v>260</v>
      </c>
      <c r="D29" s="2"/>
      <c r="E29" s="7"/>
      <c r="F29" s="7"/>
      <c r="G29" s="7"/>
      <c r="H29" s="7"/>
      <c r="I29" s="5"/>
      <c r="J29" s="5"/>
      <c r="K29" s="5"/>
      <c r="L29" s="5"/>
      <c r="M29" s="5"/>
      <c r="N29" s="5"/>
      <c r="O29" s="5"/>
      <c r="P29" s="5"/>
      <c r="Q29" s="5"/>
      <c r="R29" s="5"/>
      <c r="S29" s="5"/>
      <c r="T29" s="5"/>
      <c r="U29" s="5"/>
      <c r="V29" s="5"/>
      <c r="W29" s="5"/>
      <c r="X29" s="5"/>
    </row>
    <row r="30" spans="1:24">
      <c r="A30" s="28"/>
      <c r="B30" s="95" t="s">
        <v>261</v>
      </c>
      <c r="C30" s="89" t="s">
        <v>262</v>
      </c>
      <c r="D30" s="2"/>
      <c r="E30" s="2"/>
      <c r="F30" s="2"/>
      <c r="G30" s="2"/>
      <c r="H30" s="2"/>
      <c r="I30" s="5"/>
      <c r="J30" s="5"/>
      <c r="K30" s="5"/>
      <c r="L30" s="5"/>
      <c r="M30" s="5"/>
      <c r="N30" s="5"/>
      <c r="O30" s="5"/>
      <c r="P30" s="5"/>
      <c r="Q30" s="5"/>
      <c r="R30" s="5"/>
      <c r="S30" s="5"/>
      <c r="T30" s="5"/>
      <c r="U30" s="5"/>
      <c r="V30" s="5"/>
      <c r="W30" s="5"/>
      <c r="X30" s="5"/>
    </row>
    <row r="31" spans="1:24">
      <c r="A31" s="28"/>
      <c r="B31" s="88" t="s">
        <v>263</v>
      </c>
      <c r="C31" s="89" t="s">
        <v>264</v>
      </c>
      <c r="D31" s="2"/>
      <c r="E31" s="2"/>
      <c r="F31" s="2"/>
      <c r="G31" s="2"/>
      <c r="H31" s="2"/>
      <c r="I31" s="5"/>
      <c r="J31" s="5"/>
      <c r="K31" s="5"/>
      <c r="L31" s="5"/>
      <c r="M31" s="5"/>
      <c r="N31" s="5"/>
      <c r="O31" s="5"/>
      <c r="P31" s="5"/>
      <c r="Q31" s="5"/>
      <c r="R31" s="5"/>
      <c r="S31" s="5"/>
      <c r="T31" s="5"/>
      <c r="U31" s="5"/>
      <c r="V31" s="5"/>
      <c r="W31" s="5"/>
      <c r="X31" s="5"/>
    </row>
    <row r="32" spans="1:24">
      <c r="A32" s="28"/>
      <c r="B32" s="88" t="s">
        <v>265</v>
      </c>
      <c r="C32" s="90" t="s">
        <v>227</v>
      </c>
      <c r="D32" s="2"/>
      <c r="E32" s="2"/>
      <c r="F32" s="2"/>
      <c r="G32" s="2"/>
      <c r="H32" s="2"/>
      <c r="I32" s="5"/>
      <c r="J32" s="5"/>
      <c r="K32" s="5"/>
      <c r="L32" s="5"/>
      <c r="M32" s="5"/>
      <c r="N32" s="5"/>
      <c r="O32" s="5"/>
      <c r="P32" s="5"/>
      <c r="Q32" s="5"/>
      <c r="R32" s="5"/>
      <c r="S32" s="5"/>
      <c r="T32" s="5"/>
      <c r="U32" s="5"/>
      <c r="V32" s="5"/>
      <c r="W32" s="5"/>
      <c r="X32" s="5"/>
    </row>
    <row r="33" spans="1:24">
      <c r="A33" s="28"/>
      <c r="B33" s="88" t="s">
        <v>266</v>
      </c>
      <c r="C33" s="89" t="s">
        <v>231</v>
      </c>
      <c r="D33" s="2"/>
      <c r="E33" s="2"/>
      <c r="F33" s="2"/>
      <c r="G33" s="2"/>
      <c r="H33" s="2"/>
      <c r="I33" s="5"/>
      <c r="J33" s="5"/>
      <c r="K33" s="5"/>
      <c r="L33" s="5"/>
      <c r="M33" s="5"/>
      <c r="N33" s="5"/>
      <c r="O33" s="5"/>
      <c r="P33" s="5"/>
      <c r="Q33" s="5"/>
      <c r="R33" s="5"/>
      <c r="S33" s="5"/>
      <c r="T33" s="5"/>
      <c r="U33" s="5"/>
      <c r="V33" s="5"/>
      <c r="W33" s="5"/>
      <c r="X33" s="5"/>
    </row>
    <row r="34" spans="1:24">
      <c r="A34" s="28"/>
      <c r="B34" s="95" t="s">
        <v>267</v>
      </c>
      <c r="C34" s="89" t="s">
        <v>268</v>
      </c>
      <c r="D34" s="2"/>
      <c r="E34" s="2"/>
      <c r="F34" s="2"/>
      <c r="G34" s="2"/>
      <c r="H34" s="2"/>
      <c r="I34" s="5"/>
      <c r="J34" s="5"/>
      <c r="K34" s="5"/>
      <c r="L34" s="5"/>
      <c r="M34" s="5"/>
      <c r="N34" s="5"/>
      <c r="O34" s="5"/>
      <c r="P34" s="5"/>
      <c r="Q34" s="5"/>
      <c r="R34" s="5"/>
      <c r="S34" s="5"/>
      <c r="T34" s="5"/>
      <c r="U34" s="5"/>
      <c r="V34" s="5"/>
      <c r="W34" s="5"/>
      <c r="X34" s="5"/>
    </row>
    <row r="35" spans="1:24">
      <c r="A35" s="28"/>
      <c r="B35" s="96" t="s">
        <v>269</v>
      </c>
      <c r="C35" s="97" t="s">
        <v>270</v>
      </c>
      <c r="D35" s="2"/>
      <c r="E35" s="2"/>
      <c r="F35" s="2"/>
      <c r="G35" s="2"/>
      <c r="H35" s="2"/>
      <c r="I35" s="5"/>
      <c r="J35" s="5"/>
      <c r="K35" s="5"/>
      <c r="L35" s="5"/>
      <c r="M35" s="5"/>
      <c r="N35" s="5"/>
      <c r="O35" s="5"/>
      <c r="P35" s="5"/>
      <c r="Q35" s="5"/>
      <c r="R35" s="5"/>
      <c r="S35" s="5"/>
      <c r="T35" s="5"/>
      <c r="U35" s="5"/>
      <c r="V35" s="5"/>
      <c r="W35" s="5"/>
      <c r="X35" s="5"/>
    </row>
    <row r="36" spans="1:24">
      <c r="A36" s="29"/>
      <c r="B36" s="98"/>
      <c r="C36" s="99"/>
      <c r="D36" s="2"/>
      <c r="E36" s="2"/>
      <c r="F36" s="2"/>
      <c r="G36" s="2"/>
      <c r="H36" s="2"/>
      <c r="I36" s="5"/>
      <c r="J36" s="5"/>
      <c r="K36" s="5"/>
      <c r="L36" s="5"/>
      <c r="M36" s="5"/>
      <c r="N36" s="5"/>
      <c r="O36" s="5"/>
      <c r="P36" s="5"/>
      <c r="Q36" s="5"/>
      <c r="R36" s="5"/>
      <c r="S36" s="5"/>
      <c r="T36" s="5"/>
      <c r="U36" s="5"/>
      <c r="V36" s="5"/>
      <c r="W36" s="5"/>
      <c r="X36" s="5"/>
    </row>
    <row r="37" spans="1:24">
      <c r="A37" s="29"/>
      <c r="B37" s="98"/>
      <c r="C37" s="99"/>
      <c r="D37" s="2"/>
      <c r="E37" s="2"/>
      <c r="F37" s="2"/>
      <c r="G37" s="2"/>
      <c r="H37" s="2"/>
      <c r="I37" s="5"/>
      <c r="J37" s="5"/>
      <c r="K37" s="5"/>
      <c r="L37" s="5"/>
      <c r="M37" s="5"/>
      <c r="N37" s="5"/>
      <c r="O37" s="5"/>
      <c r="P37" s="5"/>
      <c r="Q37" s="5"/>
      <c r="R37" s="5"/>
      <c r="S37" s="5"/>
      <c r="T37" s="5"/>
      <c r="U37" s="5"/>
      <c r="V37" s="5"/>
      <c r="W37" s="5"/>
      <c r="X37" s="5"/>
    </row>
    <row r="38" spans="1:24">
      <c r="A38" s="29"/>
      <c r="B38" s="98"/>
      <c r="C38" s="99"/>
      <c r="D38" s="2"/>
      <c r="E38" s="2"/>
      <c r="F38" s="2"/>
      <c r="G38" s="2"/>
      <c r="H38" s="2"/>
      <c r="I38" s="5"/>
      <c r="J38" s="5"/>
      <c r="K38" s="5"/>
      <c r="L38" s="5"/>
      <c r="M38" s="5"/>
      <c r="N38" s="5"/>
      <c r="O38" s="5"/>
      <c r="P38" s="5"/>
      <c r="Q38" s="5"/>
      <c r="R38" s="5"/>
      <c r="S38" s="5"/>
      <c r="T38" s="5"/>
      <c r="U38" s="5"/>
      <c r="V38" s="5"/>
      <c r="W38" s="5"/>
      <c r="X38" s="5"/>
    </row>
    <row r="39" spans="1:24">
      <c r="A39" s="29"/>
      <c r="B39" s="98"/>
      <c r="C39" s="99"/>
      <c r="D39" s="2"/>
      <c r="E39" s="2"/>
      <c r="F39" s="2"/>
      <c r="G39" s="2"/>
      <c r="H39" s="2"/>
      <c r="I39" s="5"/>
      <c r="J39" s="5"/>
      <c r="K39" s="5"/>
      <c r="L39" s="5"/>
      <c r="M39" s="5"/>
      <c r="N39" s="5"/>
      <c r="O39" s="5"/>
      <c r="P39" s="5"/>
      <c r="Q39" s="5"/>
      <c r="R39" s="5"/>
      <c r="S39" s="5"/>
      <c r="T39" s="5"/>
      <c r="U39" s="5"/>
      <c r="V39" s="5"/>
      <c r="W39" s="5"/>
      <c r="X39" s="5"/>
    </row>
    <row r="40" spans="1:24">
      <c r="A40" s="29"/>
      <c r="B40" s="98"/>
      <c r="C40" s="99"/>
      <c r="D40" s="2"/>
      <c r="E40" s="2"/>
      <c r="F40" s="2"/>
      <c r="G40" s="2"/>
      <c r="H40" s="2"/>
      <c r="I40" s="5"/>
      <c r="J40" s="5"/>
      <c r="K40" s="5"/>
      <c r="L40" s="5"/>
      <c r="M40" s="5"/>
      <c r="N40" s="5"/>
      <c r="O40" s="5"/>
      <c r="P40" s="5"/>
      <c r="Q40" s="5"/>
      <c r="R40" s="5"/>
      <c r="S40" s="5"/>
      <c r="T40" s="5"/>
      <c r="U40" s="5"/>
      <c r="V40" s="5"/>
      <c r="W40" s="5"/>
      <c r="X40" s="5"/>
    </row>
    <row r="41" spans="1:24">
      <c r="A41" s="29"/>
      <c r="B41" s="98"/>
      <c r="C41" s="99"/>
      <c r="D41" s="2"/>
      <c r="E41" s="2"/>
      <c r="F41" s="2"/>
      <c r="G41" s="2"/>
      <c r="H41" s="2"/>
      <c r="I41" s="5"/>
      <c r="J41" s="5"/>
      <c r="K41" s="5"/>
      <c r="L41" s="5"/>
      <c r="M41" s="5"/>
      <c r="N41" s="5"/>
      <c r="O41" s="5"/>
      <c r="P41" s="5"/>
      <c r="Q41" s="5"/>
      <c r="R41" s="5"/>
      <c r="S41" s="5"/>
      <c r="T41" s="5"/>
      <c r="U41" s="5"/>
      <c r="V41" s="5"/>
      <c r="W41" s="5"/>
      <c r="X41" s="5"/>
    </row>
    <row r="42" spans="1:24">
      <c r="A42" s="29"/>
      <c r="B42" s="98"/>
      <c r="C42" s="99"/>
      <c r="D42" s="2"/>
      <c r="E42" s="2"/>
      <c r="F42" s="2"/>
      <c r="G42" s="2"/>
      <c r="H42" s="2"/>
      <c r="I42" s="5"/>
      <c r="J42" s="5"/>
      <c r="K42" s="5"/>
      <c r="L42" s="5"/>
      <c r="M42" s="5"/>
      <c r="N42" s="5"/>
      <c r="O42" s="5"/>
      <c r="P42" s="5"/>
      <c r="Q42" s="5"/>
      <c r="R42" s="5"/>
      <c r="S42" s="5"/>
      <c r="T42" s="5"/>
      <c r="U42" s="5"/>
      <c r="V42" s="5"/>
      <c r="W42" s="5"/>
      <c r="X42" s="5"/>
    </row>
    <row r="43" spans="1:24">
      <c r="A43" s="29"/>
      <c r="B43" s="98"/>
      <c r="C43" s="99"/>
      <c r="D43" s="2"/>
      <c r="E43" s="2"/>
      <c r="F43" s="2"/>
      <c r="G43" s="2"/>
      <c r="H43" s="2"/>
      <c r="I43" s="5"/>
      <c r="J43" s="5"/>
      <c r="K43" s="5"/>
      <c r="L43" s="5"/>
      <c r="M43" s="5"/>
      <c r="N43" s="5"/>
      <c r="O43" s="5"/>
      <c r="P43" s="5"/>
      <c r="Q43" s="5"/>
      <c r="R43" s="5"/>
      <c r="S43" s="5"/>
      <c r="T43" s="5"/>
      <c r="U43" s="5"/>
      <c r="V43" s="5"/>
      <c r="W43" s="5"/>
      <c r="X43" s="5"/>
    </row>
    <row r="44" spans="1:24">
      <c r="A44" s="29"/>
      <c r="B44" s="98"/>
      <c r="C44" s="99"/>
      <c r="D44" s="2"/>
      <c r="E44" s="2"/>
      <c r="F44" s="2"/>
      <c r="G44" s="2"/>
      <c r="H44" s="2"/>
      <c r="I44" s="5"/>
      <c r="J44" s="5"/>
      <c r="K44" s="5"/>
      <c r="L44" s="5"/>
      <c r="M44" s="5"/>
      <c r="N44" s="5"/>
      <c r="O44" s="5"/>
      <c r="P44" s="5"/>
      <c r="Q44" s="5"/>
      <c r="R44" s="5"/>
      <c r="S44" s="5"/>
      <c r="T44" s="5"/>
      <c r="U44" s="5"/>
      <c r="V44" s="5"/>
      <c r="W44" s="5"/>
      <c r="X44" s="5"/>
    </row>
    <row r="45" spans="1:24">
      <c r="A45" s="29"/>
      <c r="B45" s="98"/>
      <c r="C45" s="99"/>
      <c r="D45" s="2"/>
      <c r="E45" s="2"/>
      <c r="F45" s="2"/>
      <c r="G45" s="2"/>
      <c r="H45" s="2"/>
      <c r="I45" s="5"/>
      <c r="J45" s="5"/>
      <c r="K45" s="5"/>
      <c r="L45" s="5"/>
      <c r="M45" s="5"/>
      <c r="N45" s="5"/>
      <c r="O45" s="5"/>
      <c r="P45" s="5"/>
      <c r="Q45" s="5"/>
      <c r="R45" s="5"/>
      <c r="S45" s="5"/>
      <c r="T45" s="5"/>
      <c r="U45" s="5"/>
      <c r="V45" s="5"/>
      <c r="W45" s="5"/>
      <c r="X45" s="5"/>
    </row>
    <row r="46" spans="1:24">
      <c r="A46" s="29"/>
      <c r="B46" s="98"/>
      <c r="C46" s="99"/>
      <c r="D46" s="2"/>
      <c r="E46" s="2"/>
      <c r="F46" s="2"/>
      <c r="G46" s="2"/>
      <c r="H46" s="2"/>
      <c r="I46" s="5"/>
      <c r="J46" s="5"/>
      <c r="K46" s="5"/>
      <c r="L46" s="5"/>
      <c r="M46" s="5"/>
      <c r="N46" s="5"/>
      <c r="O46" s="5"/>
      <c r="P46" s="5"/>
      <c r="Q46" s="5"/>
      <c r="R46" s="5"/>
      <c r="S46" s="5"/>
      <c r="T46" s="5"/>
      <c r="U46" s="5"/>
      <c r="V46" s="5"/>
      <c r="W46" s="5"/>
      <c r="X46" s="5"/>
    </row>
    <row r="47" spans="1:24">
      <c r="A47" s="29"/>
      <c r="B47" s="98"/>
      <c r="C47" s="99"/>
      <c r="D47" s="2"/>
      <c r="E47" s="2"/>
      <c r="F47" s="2"/>
      <c r="G47" s="2"/>
      <c r="H47" s="2"/>
      <c r="I47" s="5"/>
      <c r="J47" s="5"/>
      <c r="K47" s="5"/>
      <c r="L47" s="5"/>
      <c r="M47" s="5"/>
      <c r="N47" s="5"/>
      <c r="O47" s="5"/>
      <c r="P47" s="5"/>
      <c r="Q47" s="5"/>
      <c r="R47" s="5"/>
      <c r="S47" s="5"/>
      <c r="T47" s="5"/>
      <c r="U47" s="5"/>
      <c r="V47" s="5"/>
      <c r="W47" s="5"/>
      <c r="X47" s="5"/>
    </row>
    <row r="48" spans="1:24">
      <c r="A48" s="29"/>
      <c r="C48" s="2"/>
      <c r="D48" s="2"/>
      <c r="E48" s="2"/>
      <c r="F48" s="2"/>
      <c r="G48" s="2"/>
      <c r="H48" s="2"/>
      <c r="I48" s="5"/>
      <c r="J48" s="5"/>
      <c r="K48" s="5"/>
      <c r="L48" s="5"/>
      <c r="M48" s="5"/>
      <c r="N48" s="5"/>
      <c r="O48" s="5"/>
      <c r="P48" s="5"/>
      <c r="Q48" s="5"/>
      <c r="R48" s="5"/>
      <c r="S48" s="5"/>
      <c r="T48" s="5"/>
      <c r="U48" s="5"/>
      <c r="V48" s="5"/>
      <c r="W48" s="5"/>
      <c r="X48" s="5"/>
    </row>
    <row r="49" spans="1:8">
      <c r="A49" s="12"/>
    </row>
    <row r="51" spans="1:8">
      <c r="C51" s="6"/>
      <c r="D51" s="6"/>
      <c r="E51" s="6"/>
      <c r="F51" s="6"/>
      <c r="G51" s="6"/>
      <c r="H51" s="6"/>
    </row>
  </sheetData>
  <mergeCells count="1">
    <mergeCell ref="A1:A3"/>
  </mergeCells>
  <dataValidations count="5">
    <dataValidation type="whole" operator="greaterThan" allowBlank="1" showInputMessage="1" showErrorMessage="1" prompt="Number of Rows x Number of Columns &lt;= Number of Variables Being Plotted." sqref="F3" xr:uid="{00000000-0002-0000-0300-000000000000}">
      <formula1>(H3-0.01)/E3</formula1>
    </dataValidation>
    <dataValidation type="whole" operator="greaterThanOrEqual" allowBlank="1" showInputMessage="1" showErrorMessage="1" prompt="Number of Rows x Number of Columns &lt;= Number of Variables Being Plotted." sqref="F2" xr:uid="{00000000-0002-0000-0300-000001000000}">
      <formula1>(H2-0.01)/E2</formula1>
    </dataValidation>
    <dataValidation type="whole" operator="greaterThan" allowBlank="1" showInputMessage="1" showErrorMessage="1" prompt="Number of Rows x Number of Columns &lt;= Number of Variables Being Plotted." sqref="E2:E3" xr:uid="{00000000-0002-0000-0300-000002000000}">
      <formula1>(H2-0.01)/F2</formula1>
    </dataValidation>
    <dataValidation type="list" allowBlank="1" showInputMessage="1" showErrorMessage="1" sqref="C2:C3" xr:uid="{00000000-0002-0000-0300-000003000000}">
      <formula1>$BV$2:$BV$3</formula1>
    </dataValidation>
    <dataValidation type="list" allowBlank="1" showInputMessage="1" showErrorMessage="1" sqref="I2:X3" xr:uid="{00000000-0002-0000-0300-000004000000}">
      <formula1>$C$8:$C$35</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70C0"/>
  </sheetPr>
  <dimension ref="A1:BS48"/>
  <sheetViews>
    <sheetView topLeftCell="C1" zoomScale="70" zoomScaleNormal="70" workbookViewId="0">
      <selection activeCell="F2" sqref="F2:U2"/>
    </sheetView>
  </sheetViews>
  <sheetFormatPr baseColWidth="10" defaultColWidth="9.5" defaultRowHeight="15"/>
  <cols>
    <col min="1" max="1" width="10.5" style="1" customWidth="1"/>
    <col min="2" max="2" width="63.5" style="1" customWidth="1"/>
    <col min="3" max="3" width="23.5" style="1" customWidth="1"/>
    <col min="4" max="4" width="14.5" style="1" bestFit="1" customWidth="1"/>
    <col min="5" max="5" width="19.5" style="1" bestFit="1" customWidth="1"/>
    <col min="6" max="6" width="11.5" style="1" customWidth="1"/>
    <col min="7" max="7" width="13.5" style="1" bestFit="1" customWidth="1"/>
    <col min="8" max="8" width="11.5" style="1" bestFit="1" customWidth="1"/>
    <col min="9" max="12" width="11.5" style="1" customWidth="1"/>
    <col min="13" max="13" width="11.5" style="1" bestFit="1" customWidth="1"/>
    <col min="14" max="14" width="13.5" style="1" bestFit="1" customWidth="1"/>
    <col min="15" max="15" width="11.5" style="1" bestFit="1" customWidth="1"/>
    <col min="16" max="16" width="15" style="1" bestFit="1" customWidth="1"/>
    <col min="17" max="17" width="16.5" style="1" customWidth="1"/>
    <col min="18" max="18" width="13.5" style="1" bestFit="1" customWidth="1"/>
    <col min="19" max="19" width="11.5" style="1" customWidth="1"/>
    <col min="20" max="21" width="13.5" style="1" bestFit="1" customWidth="1"/>
    <col min="22" max="23" width="9.5" style="1"/>
    <col min="24" max="24" width="12" style="1" bestFit="1" customWidth="1"/>
    <col min="25" max="70" width="9.5" style="1"/>
    <col min="71" max="71" width="9.5" style="1" hidden="1" customWidth="1"/>
    <col min="72" max="16384" width="9.5" style="1"/>
  </cols>
  <sheetData>
    <row r="1" spans="1:71" ht="45" customHeight="1">
      <c r="A1" s="248" t="s">
        <v>271</v>
      </c>
      <c r="B1" s="22" t="s">
        <v>272</v>
      </c>
      <c r="C1" s="23" t="s">
        <v>273</v>
      </c>
      <c r="D1" s="21" t="s">
        <v>274</v>
      </c>
      <c r="E1" s="21" t="s">
        <v>275</v>
      </c>
      <c r="F1" s="21" t="s">
        <v>196</v>
      </c>
      <c r="G1" s="21" t="s">
        <v>197</v>
      </c>
      <c r="H1" s="21" t="s">
        <v>198</v>
      </c>
      <c r="I1" s="21" t="s">
        <v>199</v>
      </c>
      <c r="J1" s="21" t="s">
        <v>200</v>
      </c>
      <c r="K1" s="21" t="s">
        <v>201</v>
      </c>
      <c r="L1" s="21" t="s">
        <v>202</v>
      </c>
      <c r="M1" s="21" t="s">
        <v>203</v>
      </c>
      <c r="N1" s="21" t="s">
        <v>204</v>
      </c>
      <c r="O1" s="21" t="s">
        <v>205</v>
      </c>
      <c r="P1" s="21" t="s">
        <v>206</v>
      </c>
      <c r="Q1" s="21" t="s">
        <v>207</v>
      </c>
      <c r="R1" s="21" t="s">
        <v>208</v>
      </c>
      <c r="S1" s="21" t="s">
        <v>209</v>
      </c>
      <c r="T1" s="21" t="s">
        <v>210</v>
      </c>
      <c r="U1" s="21" t="s">
        <v>211</v>
      </c>
    </row>
    <row r="2" spans="1:71" ht="36" customHeight="1">
      <c r="A2" s="250"/>
      <c r="B2" s="30" t="s">
        <v>276</v>
      </c>
      <c r="C2" s="17" t="s">
        <v>152</v>
      </c>
      <c r="D2" s="18">
        <v>20</v>
      </c>
      <c r="E2" s="19">
        <f>COUNTA(F2:U2)</f>
        <v>16</v>
      </c>
      <c r="F2" s="33" t="s">
        <v>328</v>
      </c>
      <c r="G2" s="33" t="s">
        <v>329</v>
      </c>
      <c r="H2" s="33" t="s">
        <v>226</v>
      </c>
      <c r="I2" s="33" t="s">
        <v>225</v>
      </c>
      <c r="J2" s="33" t="s">
        <v>213</v>
      </c>
      <c r="K2" s="33" t="s">
        <v>330</v>
      </c>
      <c r="L2" s="33" t="s">
        <v>262</v>
      </c>
      <c r="M2" s="33" t="s">
        <v>227</v>
      </c>
      <c r="N2" s="33" t="s">
        <v>222</v>
      </c>
      <c r="O2" s="33" t="s">
        <v>229</v>
      </c>
      <c r="P2" s="33" t="s">
        <v>218</v>
      </c>
      <c r="Q2" s="33" t="s">
        <v>219</v>
      </c>
      <c r="R2" s="33" t="s">
        <v>217</v>
      </c>
      <c r="S2" s="33" t="s">
        <v>268</v>
      </c>
      <c r="T2" s="33" t="s">
        <v>215</v>
      </c>
      <c r="U2" s="33" t="s">
        <v>214</v>
      </c>
      <c r="BS2" s="1" t="s">
        <v>152</v>
      </c>
    </row>
    <row r="3" spans="1:71">
      <c r="A3" s="12"/>
      <c r="C3" s="2"/>
      <c r="D3" s="2"/>
      <c r="E3" s="2"/>
      <c r="F3" s="5"/>
      <c r="G3" s="5"/>
      <c r="H3" s="5"/>
      <c r="I3" s="5"/>
      <c r="J3" s="5"/>
      <c r="K3" s="5"/>
      <c r="L3" s="5"/>
      <c r="M3" s="5"/>
      <c r="N3" s="5"/>
      <c r="O3" s="5"/>
      <c r="P3" s="5"/>
      <c r="Q3" s="5"/>
      <c r="R3" s="5"/>
      <c r="S3" s="5"/>
      <c r="T3" s="5"/>
      <c r="U3" s="5"/>
      <c r="BS3" s="1" t="s">
        <v>155</v>
      </c>
    </row>
    <row r="4" spans="1:71">
      <c r="A4" s="12"/>
      <c r="C4" s="2"/>
      <c r="D4" s="2"/>
      <c r="E4" s="2"/>
      <c r="F4" s="5"/>
      <c r="G4" s="5"/>
      <c r="H4" s="5"/>
      <c r="I4" s="5"/>
      <c r="J4" s="5"/>
      <c r="K4" s="5"/>
      <c r="L4" s="5"/>
      <c r="M4" s="5"/>
      <c r="N4" s="5"/>
      <c r="O4" s="5"/>
      <c r="P4" s="5"/>
      <c r="Q4" s="5"/>
      <c r="R4" s="5"/>
      <c r="S4" s="5"/>
      <c r="T4" s="5"/>
      <c r="U4" s="5"/>
    </row>
    <row r="5" spans="1:71">
      <c r="A5" s="12"/>
      <c r="C5" s="2"/>
      <c r="D5" s="2"/>
      <c r="E5" s="2"/>
      <c r="F5" s="5"/>
      <c r="G5" s="5"/>
      <c r="H5" s="5"/>
      <c r="I5" s="5"/>
      <c r="J5" s="5"/>
      <c r="K5" s="5"/>
      <c r="L5" s="5"/>
      <c r="M5" s="5"/>
      <c r="N5" s="5"/>
      <c r="O5" s="5"/>
      <c r="P5" s="5"/>
      <c r="Q5" s="5"/>
      <c r="R5" s="5"/>
      <c r="S5" s="5"/>
      <c r="T5" s="5"/>
      <c r="U5" s="5"/>
    </row>
    <row r="6" spans="1:71">
      <c r="A6" s="12"/>
      <c r="D6" s="5"/>
      <c r="E6" s="2"/>
      <c r="F6" s="5"/>
      <c r="G6" s="5"/>
      <c r="H6" s="5"/>
      <c r="I6" s="5"/>
      <c r="J6" s="5"/>
      <c r="K6" s="5"/>
      <c r="L6" s="5"/>
      <c r="M6" s="5"/>
      <c r="N6" s="5"/>
      <c r="O6" s="5"/>
      <c r="P6" s="5"/>
      <c r="Q6" s="5"/>
      <c r="R6" s="5"/>
      <c r="S6" s="5"/>
      <c r="T6" s="5"/>
      <c r="U6" s="5"/>
    </row>
    <row r="7" spans="1:71" ht="19.5" customHeight="1">
      <c r="A7" s="29"/>
      <c r="B7" s="21" t="s">
        <v>277</v>
      </c>
      <c r="C7" s="21" t="s">
        <v>159</v>
      </c>
      <c r="D7" s="2"/>
      <c r="E7" s="5"/>
      <c r="F7" s="5"/>
      <c r="G7" s="5"/>
      <c r="H7" s="5"/>
      <c r="I7" s="5"/>
      <c r="J7" s="5"/>
      <c r="K7" s="5"/>
      <c r="L7" s="5"/>
      <c r="M7" s="5"/>
      <c r="N7" s="5"/>
      <c r="O7" s="5"/>
      <c r="P7" s="5"/>
      <c r="Q7" s="5"/>
      <c r="R7" s="5"/>
      <c r="S7" s="5"/>
      <c r="T7" s="5"/>
      <c r="U7" s="5"/>
    </row>
    <row r="8" spans="1:71">
      <c r="A8" s="29"/>
      <c r="B8" s="92" t="s">
        <v>233</v>
      </c>
      <c r="C8" s="93" t="s">
        <v>213</v>
      </c>
      <c r="D8" s="2"/>
      <c r="E8" s="2"/>
      <c r="F8" s="5"/>
      <c r="G8" s="5"/>
      <c r="H8" s="5"/>
      <c r="I8" s="5"/>
      <c r="J8" s="5"/>
      <c r="K8" s="5"/>
      <c r="L8" s="5"/>
      <c r="M8" s="5"/>
      <c r="N8" s="5"/>
      <c r="O8" s="5"/>
      <c r="P8" s="5"/>
      <c r="Q8" s="5"/>
      <c r="R8" s="5"/>
      <c r="S8" s="5"/>
      <c r="T8" s="5"/>
      <c r="U8" s="5"/>
    </row>
    <row r="9" spans="1:71">
      <c r="A9" s="29"/>
      <c r="B9" s="87" t="s">
        <v>234</v>
      </c>
      <c r="C9" s="91" t="s">
        <v>214</v>
      </c>
      <c r="D9" s="2"/>
      <c r="E9" s="2"/>
      <c r="F9" s="5"/>
      <c r="G9" s="5"/>
      <c r="H9" s="5"/>
      <c r="I9" s="5"/>
      <c r="J9" s="5"/>
      <c r="K9" s="5"/>
      <c r="L9" s="5"/>
      <c r="M9" s="5"/>
      <c r="N9" s="5"/>
      <c r="O9" s="5"/>
      <c r="P9" s="5"/>
      <c r="Q9" s="5"/>
      <c r="R9" s="5"/>
      <c r="S9" s="5"/>
      <c r="T9" s="5"/>
      <c r="U9" s="5"/>
    </row>
    <row r="10" spans="1:71">
      <c r="A10" s="29"/>
      <c r="B10" s="87" t="s">
        <v>235</v>
      </c>
      <c r="C10" s="91" t="s">
        <v>215</v>
      </c>
      <c r="D10" s="2"/>
      <c r="E10" s="2"/>
      <c r="F10" s="5"/>
      <c r="G10" s="5"/>
      <c r="H10" s="5"/>
      <c r="I10" s="5"/>
      <c r="J10" s="5"/>
      <c r="K10" s="5"/>
      <c r="L10" s="5"/>
      <c r="M10" s="5"/>
      <c r="N10" s="5"/>
      <c r="O10" s="5"/>
      <c r="P10" s="5"/>
      <c r="Q10" s="5"/>
      <c r="R10" s="5"/>
      <c r="S10" s="5"/>
      <c r="T10" s="5"/>
      <c r="U10" s="5"/>
    </row>
    <row r="11" spans="1:71">
      <c r="A11" s="29"/>
      <c r="B11" s="87" t="s">
        <v>236</v>
      </c>
      <c r="C11" s="91" t="s">
        <v>219</v>
      </c>
      <c r="D11" s="2"/>
      <c r="E11" s="2"/>
      <c r="F11" s="5"/>
      <c r="G11" s="5"/>
      <c r="H11" s="5"/>
      <c r="I11" s="5"/>
      <c r="J11" s="5"/>
      <c r="K11" s="5"/>
      <c r="L11" s="5"/>
      <c r="M11" s="5"/>
      <c r="N11" s="5"/>
      <c r="O11" s="5"/>
      <c r="P11" s="5"/>
      <c r="Q11" s="5"/>
      <c r="R11" s="5"/>
      <c r="S11" s="5"/>
      <c r="T11" s="5"/>
      <c r="U11" s="5"/>
    </row>
    <row r="12" spans="1:71">
      <c r="A12" s="29"/>
      <c r="B12" s="94" t="s">
        <v>237</v>
      </c>
      <c r="C12" s="91" t="s">
        <v>221</v>
      </c>
      <c r="D12" s="2"/>
      <c r="E12" s="2"/>
      <c r="F12" s="5"/>
      <c r="G12" s="5"/>
      <c r="H12" s="5"/>
      <c r="I12" s="5"/>
      <c r="J12" s="5"/>
      <c r="K12" s="5"/>
      <c r="L12" s="5"/>
      <c r="M12" s="5"/>
      <c r="N12" s="5"/>
      <c r="O12" s="5"/>
      <c r="P12" s="5"/>
      <c r="Q12" s="5"/>
      <c r="R12" s="5"/>
      <c r="S12" s="5"/>
      <c r="T12" s="5"/>
      <c r="U12" s="5"/>
    </row>
    <row r="13" spans="1:71">
      <c r="A13" s="29"/>
      <c r="B13" s="94" t="s">
        <v>238</v>
      </c>
      <c r="C13" s="91" t="s">
        <v>224</v>
      </c>
      <c r="D13" s="2"/>
      <c r="E13" s="2"/>
      <c r="F13" s="5"/>
      <c r="G13" s="5"/>
      <c r="H13" s="5"/>
      <c r="I13" s="5"/>
      <c r="J13" s="5"/>
      <c r="K13" s="5"/>
      <c r="L13" s="5"/>
      <c r="M13" s="5"/>
      <c r="N13" s="5"/>
      <c r="O13" s="5"/>
      <c r="P13" s="5"/>
      <c r="Q13" s="5"/>
      <c r="R13" s="5"/>
      <c r="S13" s="5"/>
      <c r="T13" s="5"/>
      <c r="U13" s="5"/>
    </row>
    <row r="14" spans="1:71">
      <c r="A14" s="29"/>
      <c r="B14" s="94" t="s">
        <v>239</v>
      </c>
      <c r="C14" s="91" t="s">
        <v>222</v>
      </c>
      <c r="D14" s="2"/>
      <c r="E14" s="2"/>
      <c r="F14" s="5"/>
      <c r="G14" s="5"/>
      <c r="H14" s="5"/>
      <c r="I14" s="5"/>
      <c r="J14" s="5"/>
      <c r="K14" s="5"/>
      <c r="L14" s="5"/>
      <c r="M14" s="5"/>
      <c r="N14" s="5"/>
      <c r="O14" s="5"/>
      <c r="P14" s="5"/>
      <c r="Q14" s="5"/>
      <c r="R14" s="5"/>
      <c r="S14" s="5"/>
      <c r="T14" s="5"/>
      <c r="U14" s="5"/>
    </row>
    <row r="15" spans="1:71">
      <c r="A15" s="29"/>
      <c r="B15" s="94" t="s">
        <v>240</v>
      </c>
      <c r="C15" s="91" t="s">
        <v>216</v>
      </c>
      <c r="D15" s="2"/>
      <c r="E15" s="2"/>
      <c r="F15" s="5"/>
      <c r="G15" s="5"/>
      <c r="H15" s="5"/>
      <c r="I15" s="5"/>
      <c r="J15" s="5"/>
      <c r="K15" s="5"/>
      <c r="L15" s="5"/>
      <c r="M15" s="5"/>
      <c r="N15" s="5"/>
      <c r="O15" s="5"/>
      <c r="P15" s="5"/>
      <c r="Q15" s="5"/>
      <c r="R15" s="5"/>
      <c r="S15" s="5"/>
      <c r="T15" s="5"/>
      <c r="U15" s="5"/>
    </row>
    <row r="16" spans="1:71">
      <c r="A16" s="29"/>
      <c r="B16" s="100" t="s">
        <v>241</v>
      </c>
      <c r="C16" s="101" t="s">
        <v>229</v>
      </c>
      <c r="D16" s="2"/>
      <c r="E16" s="2"/>
      <c r="F16" s="5"/>
      <c r="G16" s="5"/>
      <c r="H16" s="5"/>
      <c r="I16" s="5"/>
      <c r="J16" s="5"/>
      <c r="K16" s="5"/>
      <c r="L16" s="5"/>
      <c r="M16" s="5"/>
      <c r="N16" s="5"/>
      <c r="O16" s="5"/>
      <c r="P16" s="5"/>
      <c r="Q16" s="5"/>
      <c r="R16" s="5"/>
      <c r="S16" s="5"/>
      <c r="T16" s="5"/>
      <c r="U16" s="5"/>
    </row>
    <row r="17" spans="1:21">
      <c r="A17" s="29"/>
      <c r="B17" s="88" t="s">
        <v>242</v>
      </c>
      <c r="C17" s="89" t="s">
        <v>243</v>
      </c>
      <c r="D17" s="2"/>
      <c r="E17" s="2"/>
      <c r="F17" s="5"/>
      <c r="G17" s="5"/>
      <c r="H17" s="5"/>
      <c r="I17" s="5"/>
      <c r="J17" s="5"/>
      <c r="K17" s="5"/>
      <c r="L17" s="5"/>
      <c r="M17" s="5"/>
      <c r="N17" s="5"/>
      <c r="O17" s="5"/>
      <c r="P17" s="5"/>
      <c r="Q17" s="5"/>
      <c r="R17" s="5"/>
      <c r="S17" s="5"/>
      <c r="T17" s="5"/>
      <c r="U17" s="5"/>
    </row>
    <row r="18" spans="1:21">
      <c r="A18" s="29"/>
      <c r="B18" s="88" t="s">
        <v>244</v>
      </c>
      <c r="C18" s="89" t="s">
        <v>245</v>
      </c>
      <c r="D18" s="2"/>
      <c r="E18" s="2"/>
      <c r="F18" s="5"/>
      <c r="G18" s="5"/>
      <c r="H18" s="5"/>
      <c r="I18" s="5"/>
      <c r="J18" s="5"/>
      <c r="K18" s="5"/>
      <c r="L18" s="5"/>
      <c r="M18" s="5"/>
      <c r="N18" s="5"/>
      <c r="O18" s="5"/>
      <c r="P18" s="5"/>
      <c r="Q18" s="5"/>
      <c r="R18" s="5"/>
      <c r="S18" s="5"/>
      <c r="T18" s="5"/>
      <c r="U18" s="5"/>
    </row>
    <row r="19" spans="1:21">
      <c r="A19" s="29"/>
      <c r="B19" s="88" t="s">
        <v>246</v>
      </c>
      <c r="C19" s="89" t="s">
        <v>247</v>
      </c>
      <c r="D19" s="2"/>
      <c r="E19" s="2"/>
      <c r="F19" s="5"/>
      <c r="G19" s="5"/>
      <c r="H19" s="5"/>
      <c r="I19" s="5"/>
      <c r="J19" s="5"/>
      <c r="K19" s="5"/>
      <c r="L19" s="5"/>
      <c r="M19" s="5"/>
      <c r="N19" s="5"/>
      <c r="O19" s="5"/>
      <c r="P19" s="5"/>
      <c r="Q19" s="5"/>
      <c r="R19" s="5"/>
      <c r="S19" s="5"/>
      <c r="T19" s="5"/>
      <c r="U19" s="5"/>
    </row>
    <row r="20" spans="1:21">
      <c r="A20" s="29"/>
      <c r="B20" s="88" t="s">
        <v>248</v>
      </c>
      <c r="C20" s="89" t="s">
        <v>249</v>
      </c>
      <c r="D20" s="2"/>
      <c r="E20" s="2"/>
      <c r="F20" s="5"/>
      <c r="G20" s="5"/>
      <c r="H20" s="5"/>
      <c r="I20" s="5"/>
      <c r="J20" s="5"/>
      <c r="K20" s="5"/>
      <c r="L20" s="5"/>
      <c r="M20" s="5"/>
      <c r="N20" s="5"/>
      <c r="O20" s="5"/>
      <c r="P20" s="5"/>
      <c r="Q20" s="5"/>
      <c r="R20" s="5"/>
      <c r="S20" s="5"/>
      <c r="T20" s="5"/>
      <c r="U20" s="5"/>
    </row>
    <row r="21" spans="1:21">
      <c r="A21" s="29"/>
      <c r="B21" s="88" t="s">
        <v>250</v>
      </c>
      <c r="C21" s="89" t="s">
        <v>251</v>
      </c>
      <c r="D21" s="2"/>
      <c r="E21" s="7"/>
      <c r="F21" s="5"/>
      <c r="G21" s="5"/>
      <c r="H21" s="5"/>
      <c r="I21" s="5"/>
      <c r="J21" s="5"/>
      <c r="K21" s="5"/>
      <c r="L21" s="5"/>
      <c r="M21" s="5"/>
      <c r="N21" s="5"/>
      <c r="O21" s="5"/>
      <c r="P21" s="5"/>
      <c r="Q21" s="5"/>
      <c r="R21" s="5"/>
      <c r="S21" s="5"/>
      <c r="T21" s="5"/>
      <c r="U21" s="5"/>
    </row>
    <row r="22" spans="1:21">
      <c r="A22" s="29"/>
      <c r="B22" s="88" t="s">
        <v>252</v>
      </c>
      <c r="C22" s="89" t="s">
        <v>225</v>
      </c>
      <c r="D22" s="2"/>
      <c r="E22" s="2"/>
      <c r="F22" s="5"/>
      <c r="G22" s="5"/>
      <c r="H22" s="5"/>
      <c r="I22" s="5"/>
      <c r="J22" s="5"/>
      <c r="K22" s="5"/>
      <c r="L22" s="5"/>
      <c r="M22" s="5"/>
      <c r="N22" s="5"/>
      <c r="O22" s="5"/>
      <c r="P22" s="5"/>
      <c r="Q22" s="5"/>
      <c r="R22" s="5"/>
      <c r="S22" s="5"/>
      <c r="T22" s="5"/>
      <c r="U22" s="5"/>
    </row>
    <row r="23" spans="1:21">
      <c r="A23" s="29"/>
      <c r="B23" s="88" t="s">
        <v>253</v>
      </c>
      <c r="C23" s="89" t="s">
        <v>226</v>
      </c>
      <c r="D23" s="2"/>
      <c r="E23" s="2"/>
      <c r="F23" s="5"/>
      <c r="G23" s="5"/>
      <c r="H23" s="5"/>
      <c r="I23" s="5"/>
      <c r="J23" s="5"/>
      <c r="K23" s="5"/>
      <c r="L23" s="5"/>
      <c r="M23" s="5"/>
      <c r="N23" s="5"/>
      <c r="O23" s="5"/>
      <c r="P23" s="5"/>
      <c r="Q23" s="5"/>
      <c r="R23" s="5"/>
      <c r="S23" s="5"/>
      <c r="T23" s="5"/>
      <c r="U23" s="5"/>
    </row>
    <row r="24" spans="1:21">
      <c r="A24" s="29"/>
      <c r="B24" s="88" t="s">
        <v>254</v>
      </c>
      <c r="C24" s="89" t="s">
        <v>218</v>
      </c>
      <c r="D24" s="2"/>
      <c r="E24" s="2"/>
      <c r="F24" s="5"/>
      <c r="G24" s="5"/>
      <c r="H24" s="5"/>
      <c r="I24" s="5"/>
      <c r="J24" s="5"/>
      <c r="K24" s="5"/>
      <c r="L24" s="5"/>
      <c r="M24" s="5"/>
      <c r="N24" s="5"/>
      <c r="O24" s="5"/>
      <c r="P24" s="5"/>
      <c r="Q24" s="5"/>
      <c r="R24" s="5"/>
      <c r="S24" s="5"/>
      <c r="T24" s="5"/>
      <c r="U24" s="5"/>
    </row>
    <row r="25" spans="1:21">
      <c r="A25" s="29"/>
      <c r="B25" s="88" t="s">
        <v>255</v>
      </c>
      <c r="C25" s="89" t="s">
        <v>220</v>
      </c>
      <c r="D25" s="2"/>
      <c r="E25" s="2"/>
      <c r="F25" s="5"/>
      <c r="G25" s="5"/>
      <c r="H25" s="5"/>
      <c r="I25" s="5"/>
      <c r="J25" s="5"/>
      <c r="K25" s="5"/>
      <c r="L25" s="5"/>
      <c r="M25" s="5"/>
      <c r="N25" s="5"/>
      <c r="O25" s="5"/>
      <c r="P25" s="5"/>
      <c r="Q25" s="5"/>
      <c r="R25" s="5"/>
      <c r="S25" s="5"/>
      <c r="T25" s="5"/>
      <c r="U25" s="5"/>
    </row>
    <row r="26" spans="1:21">
      <c r="A26" s="29"/>
      <c r="B26" s="88" t="s">
        <v>256</v>
      </c>
      <c r="C26" s="89" t="s">
        <v>230</v>
      </c>
      <c r="D26" s="2"/>
      <c r="E26" s="2"/>
      <c r="F26" s="5"/>
      <c r="G26" s="5"/>
      <c r="H26" s="5"/>
      <c r="I26" s="5"/>
      <c r="J26" s="5"/>
      <c r="K26" s="5"/>
      <c r="L26" s="5"/>
      <c r="M26" s="5"/>
      <c r="N26" s="5"/>
      <c r="O26" s="5"/>
      <c r="P26" s="5"/>
      <c r="Q26" s="5"/>
      <c r="R26" s="5"/>
      <c r="S26" s="5"/>
      <c r="T26" s="5"/>
      <c r="U26" s="5"/>
    </row>
    <row r="27" spans="1:21">
      <c r="A27" s="29"/>
      <c r="B27" s="95" t="s">
        <v>257</v>
      </c>
      <c r="C27" s="89" t="s">
        <v>223</v>
      </c>
      <c r="D27" s="2"/>
      <c r="E27" s="2"/>
      <c r="F27" s="5"/>
      <c r="G27" s="5"/>
      <c r="H27" s="5"/>
      <c r="I27" s="5"/>
      <c r="J27" s="5"/>
      <c r="K27" s="5"/>
      <c r="L27" s="5"/>
      <c r="M27" s="5"/>
      <c r="N27" s="5"/>
      <c r="O27" s="5"/>
      <c r="P27" s="5"/>
      <c r="Q27" s="5"/>
      <c r="R27" s="5"/>
      <c r="S27" s="5"/>
      <c r="T27" s="5"/>
      <c r="U27" s="5"/>
    </row>
    <row r="28" spans="1:21">
      <c r="A28" s="29"/>
      <c r="B28" s="95" t="s">
        <v>258</v>
      </c>
      <c r="C28" s="89" t="s">
        <v>217</v>
      </c>
      <c r="D28" s="2"/>
      <c r="E28" s="2"/>
      <c r="F28" s="5"/>
      <c r="G28" s="5"/>
      <c r="H28" s="5"/>
      <c r="I28" s="5"/>
      <c r="J28" s="5"/>
      <c r="K28" s="5"/>
      <c r="L28" s="5"/>
      <c r="M28" s="5"/>
      <c r="N28" s="5"/>
      <c r="O28" s="5"/>
      <c r="P28" s="5"/>
      <c r="Q28" s="5"/>
      <c r="R28" s="5"/>
      <c r="S28" s="5"/>
      <c r="T28" s="5"/>
      <c r="U28" s="5"/>
    </row>
    <row r="29" spans="1:21">
      <c r="A29" s="29"/>
      <c r="B29" s="95" t="s">
        <v>259</v>
      </c>
      <c r="C29" s="89" t="s">
        <v>260</v>
      </c>
      <c r="D29" s="2"/>
      <c r="E29" s="2"/>
      <c r="F29" s="5"/>
      <c r="G29" s="5"/>
      <c r="H29" s="5"/>
      <c r="I29" s="5"/>
      <c r="J29" s="5"/>
      <c r="K29" s="5"/>
      <c r="L29" s="5"/>
      <c r="M29" s="5"/>
      <c r="N29" s="5"/>
      <c r="O29" s="5"/>
      <c r="P29" s="5"/>
      <c r="Q29" s="5"/>
      <c r="R29" s="5"/>
      <c r="S29" s="5"/>
      <c r="T29" s="5"/>
      <c r="U29" s="5"/>
    </row>
    <row r="30" spans="1:21">
      <c r="A30" s="29"/>
      <c r="B30" s="95" t="s">
        <v>261</v>
      </c>
      <c r="C30" s="89" t="s">
        <v>262</v>
      </c>
      <c r="D30" s="2"/>
      <c r="E30" s="2"/>
      <c r="F30" s="5"/>
      <c r="G30" s="5"/>
      <c r="H30" s="5"/>
      <c r="I30" s="5"/>
      <c r="J30" s="5"/>
      <c r="K30" s="5"/>
      <c r="L30" s="5"/>
      <c r="M30" s="5"/>
      <c r="N30" s="5"/>
      <c r="O30" s="5"/>
      <c r="P30" s="5"/>
      <c r="Q30" s="5"/>
      <c r="R30" s="5"/>
      <c r="S30" s="5"/>
      <c r="T30" s="5"/>
      <c r="U30" s="5"/>
    </row>
    <row r="31" spans="1:21">
      <c r="A31" s="29"/>
      <c r="B31" s="88" t="s">
        <v>263</v>
      </c>
      <c r="C31" s="89" t="s">
        <v>264</v>
      </c>
      <c r="D31" s="2"/>
      <c r="E31" s="2"/>
      <c r="F31" s="5"/>
      <c r="G31" s="5"/>
      <c r="H31" s="5"/>
      <c r="I31" s="5"/>
      <c r="J31" s="5"/>
      <c r="K31" s="5"/>
      <c r="L31" s="5"/>
      <c r="M31" s="5"/>
      <c r="N31" s="5"/>
      <c r="O31" s="5"/>
      <c r="P31" s="5"/>
      <c r="Q31" s="5"/>
      <c r="R31" s="5"/>
      <c r="S31" s="5"/>
      <c r="T31" s="5"/>
      <c r="U31" s="5"/>
    </row>
    <row r="32" spans="1:21">
      <c r="A32" s="29"/>
      <c r="B32" s="88" t="s">
        <v>265</v>
      </c>
      <c r="C32" s="90" t="s">
        <v>227</v>
      </c>
      <c r="D32" s="2"/>
      <c r="E32" s="2"/>
      <c r="F32" s="5"/>
      <c r="G32" s="5"/>
      <c r="H32" s="5"/>
      <c r="I32" s="5"/>
      <c r="J32" s="5"/>
      <c r="K32" s="5"/>
      <c r="L32" s="5"/>
      <c r="M32" s="5"/>
      <c r="N32" s="5"/>
      <c r="O32" s="5"/>
      <c r="P32" s="5"/>
      <c r="Q32" s="5"/>
      <c r="R32" s="5"/>
      <c r="S32" s="5"/>
      <c r="T32" s="5"/>
      <c r="U32" s="5"/>
    </row>
    <row r="33" spans="1:21">
      <c r="A33" s="29"/>
      <c r="B33" s="88" t="s">
        <v>266</v>
      </c>
      <c r="C33" s="89" t="s">
        <v>231</v>
      </c>
      <c r="D33" s="2"/>
      <c r="E33" s="2"/>
      <c r="F33" s="5"/>
      <c r="G33" s="5"/>
      <c r="H33" s="5"/>
      <c r="I33" s="5"/>
      <c r="J33" s="5"/>
      <c r="K33" s="5"/>
      <c r="L33" s="5"/>
      <c r="M33" s="5"/>
      <c r="N33" s="5"/>
      <c r="O33" s="5"/>
      <c r="P33" s="5"/>
      <c r="Q33" s="5"/>
      <c r="R33" s="5"/>
      <c r="S33" s="5"/>
      <c r="T33" s="5"/>
      <c r="U33" s="5"/>
    </row>
    <row r="34" spans="1:21">
      <c r="A34" s="29"/>
      <c r="B34" s="95" t="s">
        <v>267</v>
      </c>
      <c r="C34" s="89" t="s">
        <v>268</v>
      </c>
      <c r="D34" s="2"/>
      <c r="E34" s="2"/>
      <c r="F34" s="5"/>
      <c r="G34" s="5"/>
      <c r="H34" s="5"/>
      <c r="I34" s="5"/>
      <c r="J34" s="5"/>
      <c r="K34" s="5"/>
      <c r="L34" s="5"/>
      <c r="M34" s="5"/>
      <c r="N34" s="5"/>
      <c r="O34" s="5"/>
      <c r="P34" s="5"/>
      <c r="Q34" s="5"/>
      <c r="R34" s="5"/>
      <c r="S34" s="5"/>
      <c r="T34" s="5"/>
      <c r="U34" s="5"/>
    </row>
    <row r="35" spans="1:21">
      <c r="A35" s="29"/>
      <c r="B35" s="96" t="s">
        <v>269</v>
      </c>
      <c r="C35" s="97" t="s">
        <v>270</v>
      </c>
      <c r="D35" s="2"/>
      <c r="E35" s="2"/>
      <c r="F35" s="5"/>
      <c r="G35" s="5"/>
      <c r="H35" s="5"/>
      <c r="I35" s="5"/>
      <c r="J35" s="5"/>
      <c r="K35" s="5"/>
      <c r="L35" s="5"/>
      <c r="M35" s="5"/>
      <c r="N35" s="5"/>
      <c r="O35" s="5"/>
      <c r="P35" s="5"/>
      <c r="Q35" s="5"/>
      <c r="R35" s="5"/>
      <c r="S35" s="5"/>
      <c r="T35" s="5"/>
      <c r="U35" s="5"/>
    </row>
    <row r="36" spans="1:21">
      <c r="A36" s="29"/>
      <c r="D36" s="2"/>
      <c r="E36" s="2"/>
      <c r="F36" s="5"/>
      <c r="G36" s="5"/>
      <c r="H36" s="5"/>
      <c r="I36" s="5"/>
      <c r="J36" s="5"/>
      <c r="K36" s="5"/>
      <c r="L36" s="5"/>
      <c r="M36" s="5"/>
      <c r="N36" s="5"/>
      <c r="O36" s="5"/>
      <c r="P36" s="5"/>
      <c r="Q36" s="5"/>
      <c r="R36" s="5"/>
      <c r="S36" s="5"/>
      <c r="T36" s="5"/>
      <c r="U36" s="5"/>
    </row>
    <row r="37" spans="1:21">
      <c r="A37" s="29"/>
      <c r="D37" s="2"/>
      <c r="E37" s="2"/>
      <c r="F37" s="5"/>
      <c r="G37" s="5"/>
      <c r="H37" s="5"/>
      <c r="I37" s="5"/>
      <c r="J37" s="5"/>
      <c r="K37" s="5"/>
      <c r="L37" s="5"/>
      <c r="M37" s="5"/>
      <c r="N37" s="5"/>
      <c r="O37" s="5"/>
      <c r="P37" s="5"/>
      <c r="Q37" s="5"/>
      <c r="R37" s="5"/>
      <c r="S37" s="5"/>
      <c r="T37" s="5"/>
      <c r="U37" s="5"/>
    </row>
    <row r="38" spans="1:21">
      <c r="A38" s="29"/>
      <c r="E38" s="2"/>
    </row>
    <row r="39" spans="1:21">
      <c r="A39" s="29"/>
    </row>
    <row r="40" spans="1:21">
      <c r="A40" s="29"/>
      <c r="D40" s="6"/>
    </row>
    <row r="41" spans="1:21">
      <c r="A41" s="29"/>
      <c r="E41" s="6"/>
    </row>
    <row r="42" spans="1:21">
      <c r="A42" s="29"/>
    </row>
    <row r="43" spans="1:21">
      <c r="A43" s="29"/>
    </row>
    <row r="44" spans="1:21">
      <c r="A44" s="29"/>
    </row>
    <row r="45" spans="1:21">
      <c r="A45" s="29"/>
    </row>
    <row r="46" spans="1:21">
      <c r="A46" s="29"/>
    </row>
    <row r="47" spans="1:21">
      <c r="A47" s="29"/>
    </row>
    <row r="48" spans="1:21">
      <c r="A48" s="12"/>
    </row>
  </sheetData>
  <mergeCells count="1">
    <mergeCell ref="A1:A2"/>
  </mergeCells>
  <dataValidations count="2">
    <dataValidation type="list" allowBlank="1" showInputMessage="1" showErrorMessage="1" sqref="C2" xr:uid="{00000000-0002-0000-0400-000001000000}">
      <formula1>$BS$2:$BS$3</formula1>
    </dataValidation>
    <dataValidation type="list" allowBlank="1" showInputMessage="1" showErrorMessage="1" sqref="F2:U2" xr:uid="{CFD80A41-C81F-4D51-BC2B-7B068667F042}">
      <formula1>$C$8:$C$35</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2429-9366-47D7-90EF-F333C243F028}">
  <sheetPr codeName="Sheet8">
    <tabColor rgb="FF00B0F0"/>
  </sheetPr>
  <dimension ref="A1:EH94"/>
  <sheetViews>
    <sheetView topLeftCell="A4" zoomScale="60" zoomScaleNormal="60" workbookViewId="0">
      <selection activeCell="G49" sqref="G49"/>
    </sheetView>
  </sheetViews>
  <sheetFormatPr baseColWidth="10" defaultColWidth="8.5" defaultRowHeight="15"/>
  <cols>
    <col min="1" max="1" width="16.5" style="62" customWidth="1"/>
    <col min="2" max="2" width="11.5" customWidth="1"/>
    <col min="3" max="4" width="11.5" style="62" customWidth="1"/>
    <col min="5" max="5" width="11.5" customWidth="1"/>
    <col min="6" max="6" width="7.5" style="85" customWidth="1"/>
    <col min="7" max="7" width="15" style="62" customWidth="1"/>
    <col min="8" max="8" width="10.5" style="103" customWidth="1"/>
    <col min="9" max="9" width="11.5" style="104" customWidth="1"/>
    <col min="10" max="10" width="10.5" style="62" customWidth="1"/>
    <col min="11" max="138" width="8.5" style="85"/>
  </cols>
  <sheetData>
    <row r="1" spans="1:29" ht="67.5" customHeight="1">
      <c r="A1" s="253" t="s">
        <v>278</v>
      </c>
      <c r="B1" s="254"/>
      <c r="C1" s="215" t="s">
        <v>3</v>
      </c>
      <c r="D1" s="271"/>
      <c r="E1" s="216"/>
      <c r="G1" s="272" t="s">
        <v>279</v>
      </c>
      <c r="H1" s="268" t="s">
        <v>280</v>
      </c>
      <c r="I1" s="269"/>
      <c r="J1" s="270"/>
      <c r="L1" s="180"/>
    </row>
    <row r="2" spans="1:29" ht="30" customHeight="1">
      <c r="A2" s="255" t="s">
        <v>281</v>
      </c>
      <c r="B2" s="256"/>
      <c r="C2" s="21" t="s">
        <v>282</v>
      </c>
      <c r="D2" s="21" t="s">
        <v>151</v>
      </c>
      <c r="E2" s="21" t="s">
        <v>283</v>
      </c>
      <c r="G2" s="273"/>
      <c r="H2" s="55" t="s">
        <v>282</v>
      </c>
      <c r="I2" s="102" t="s">
        <v>151</v>
      </c>
      <c r="J2" s="55" t="s">
        <v>283</v>
      </c>
      <c r="L2" s="108"/>
    </row>
    <row r="3" spans="1:29" ht="19.5" customHeight="1">
      <c r="A3" s="257"/>
      <c r="B3" s="258"/>
      <c r="C3" s="105">
        <f>D3/2</f>
        <v>12.5</v>
      </c>
      <c r="D3" s="165">
        <f>Calibration!F25</f>
        <v>25</v>
      </c>
      <c r="E3" s="52">
        <f>D3*2</f>
        <v>50</v>
      </c>
      <c r="G3" s="204">
        <v>0</v>
      </c>
      <c r="H3" s="128">
        <f>(1-1/((1+$C$3*$G3)^(1)))</f>
        <v>0</v>
      </c>
      <c r="I3" s="128">
        <f>(1-1/((1+$D$3*$G3)^(1)))</f>
        <v>0</v>
      </c>
      <c r="J3" s="128">
        <f>(1-1/((1+$E$3*$G3)^(1)))</f>
        <v>0</v>
      </c>
    </row>
    <row r="4" spans="1:29">
      <c r="A4" s="109"/>
      <c r="B4" s="85"/>
      <c r="C4" s="109"/>
      <c r="D4" s="109"/>
      <c r="E4" s="85"/>
      <c r="G4" s="119">
        <f>G3+0.005</f>
        <v>5.0000000000000001E-3</v>
      </c>
      <c r="H4" s="129">
        <f t="shared" ref="H4:H39" si="0">(1-1/((1+$C$3*$G4)^(1)))</f>
        <v>5.8823529411764719E-2</v>
      </c>
      <c r="I4" s="129">
        <f t="shared" ref="I4:I39" si="1">(1-1/((1+$D$3*$G4)^(1)))</f>
        <v>0.11111111111111116</v>
      </c>
      <c r="J4" s="129">
        <f t="shared" ref="J4:J39" si="2">(1-1/((1+$E$3*$G4)^(1)))</f>
        <v>0.19999999999999996</v>
      </c>
    </row>
    <row r="5" spans="1:29">
      <c r="A5" s="2"/>
      <c r="B5" s="1"/>
      <c r="C5" s="110"/>
      <c r="D5" s="110"/>
      <c r="E5" s="111"/>
      <c r="G5" s="119">
        <f t="shared" ref="G5:G39" si="3">G4+0.005</f>
        <v>0.01</v>
      </c>
      <c r="H5" s="129">
        <f t="shared" si="0"/>
        <v>0.11111111111111116</v>
      </c>
      <c r="I5" s="129">
        <f t="shared" si="1"/>
        <v>0.19999999999999996</v>
      </c>
      <c r="J5" s="129">
        <f t="shared" si="2"/>
        <v>0.33333333333333337</v>
      </c>
    </row>
    <row r="6" spans="1:29">
      <c r="A6" s="259" t="s">
        <v>284</v>
      </c>
      <c r="B6" s="253" t="s">
        <v>285</v>
      </c>
      <c r="C6" s="261"/>
      <c r="D6" s="254"/>
      <c r="E6" s="111"/>
      <c r="G6" s="119">
        <f t="shared" si="3"/>
        <v>1.4999999999999999E-2</v>
      </c>
      <c r="H6" s="129">
        <f t="shared" si="0"/>
        <v>0.15789473684210531</v>
      </c>
      <c r="I6" s="129">
        <f t="shared" si="1"/>
        <v>0.27272727272727271</v>
      </c>
      <c r="J6" s="129">
        <f t="shared" si="2"/>
        <v>0.4285714285714286</v>
      </c>
    </row>
    <row r="7" spans="1:29">
      <c r="A7" s="260"/>
      <c r="B7" s="262"/>
      <c r="C7" s="263"/>
      <c r="D7" s="264"/>
      <c r="E7" s="85"/>
      <c r="G7" s="119">
        <f t="shared" si="3"/>
        <v>0.02</v>
      </c>
      <c r="H7" s="129">
        <f t="shared" si="0"/>
        <v>0.19999999999999996</v>
      </c>
      <c r="I7" s="129">
        <f t="shared" si="1"/>
        <v>0.33333333333333337</v>
      </c>
      <c r="J7" s="129">
        <f t="shared" si="2"/>
        <v>0.5</v>
      </c>
    </row>
    <row r="8" spans="1:29">
      <c r="A8" s="260"/>
      <c r="B8" s="265"/>
      <c r="C8" s="266"/>
      <c r="D8" s="267"/>
      <c r="E8" s="111"/>
      <c r="G8" s="119">
        <f t="shared" si="3"/>
        <v>2.5000000000000001E-2</v>
      </c>
      <c r="H8" s="129">
        <f t="shared" si="0"/>
        <v>0.23809523809523814</v>
      </c>
      <c r="I8" s="129">
        <f t="shared" si="1"/>
        <v>0.38461538461538458</v>
      </c>
      <c r="J8" s="129">
        <f t="shared" si="2"/>
        <v>0.55555555555555558</v>
      </c>
    </row>
    <row r="9" spans="1:29" ht="17.25" customHeight="1">
      <c r="A9" s="106"/>
      <c r="B9" s="161" t="s">
        <v>129</v>
      </c>
      <c r="C9" s="107" t="s">
        <v>130</v>
      </c>
      <c r="D9" s="107" t="s">
        <v>131</v>
      </c>
      <c r="E9" s="111"/>
      <c r="G9" s="119">
        <f t="shared" si="3"/>
        <v>3.0000000000000002E-2</v>
      </c>
      <c r="H9" s="129">
        <f t="shared" si="0"/>
        <v>0.27272727272727271</v>
      </c>
      <c r="I9" s="129">
        <f t="shared" si="1"/>
        <v>0.4285714285714286</v>
      </c>
      <c r="J9" s="129">
        <f t="shared" si="2"/>
        <v>0.6</v>
      </c>
    </row>
    <row r="10" spans="1:29">
      <c r="A10" s="121">
        <f>Exogenous_series!C4-1</f>
        <v>2021</v>
      </c>
      <c r="B10" s="124">
        <f>(Calibration!$F$20*Calibration!$F$3/(Calibration!$F$30+Calibration!$F$17))/100</f>
        <v>0</v>
      </c>
      <c r="C10" s="127">
        <f>(Calibration!$F$20*Calibration!$F$3/(Calibration!$F$30+Calibration!$F$17))/100</f>
        <v>0</v>
      </c>
      <c r="D10" s="116">
        <f>(Calibration!$F$20*Calibration!$F$3/(Calibration!$F$30+Calibration!$F$17))/100</f>
        <v>0</v>
      </c>
      <c r="E10" s="111"/>
      <c r="G10" s="119">
        <f t="shared" si="3"/>
        <v>3.5000000000000003E-2</v>
      </c>
      <c r="H10" s="129">
        <f t="shared" si="0"/>
        <v>0.30434782608695654</v>
      </c>
      <c r="I10" s="129">
        <f t="shared" si="1"/>
        <v>0.46666666666666667</v>
      </c>
      <c r="J10" s="129">
        <f t="shared" si="2"/>
        <v>0.63636363636363635</v>
      </c>
    </row>
    <row r="11" spans="1:29">
      <c r="A11" s="122">
        <f>A10+1</f>
        <v>2022</v>
      </c>
      <c r="B11" s="125">
        <f>(B10*(1-Calibration!$F$30)+Calibration!$F$20*(Calibration!$F$3+Exogenous_series!E4)/100)</f>
        <v>5.0000000000000001E-3</v>
      </c>
      <c r="C11" s="119">
        <f>(C10*(1-Calibration!$F$30)+Calibration!$F$20*(Calibration!$F$3+Exogenous_series!M4)/100)</f>
        <v>0</v>
      </c>
      <c r="D11" s="117">
        <f>(D10*(1-Calibration!$F$30)+Calibration!$F$20*(Calibration!$F$3+Exogenous_series!U4)/100)</f>
        <v>0.01</v>
      </c>
      <c r="E11" s="111"/>
      <c r="G11" s="119">
        <f t="shared" si="3"/>
        <v>0.04</v>
      </c>
      <c r="H11" s="129">
        <f t="shared" si="0"/>
        <v>0.33333333333333337</v>
      </c>
      <c r="I11" s="129">
        <f t="shared" si="1"/>
        <v>0.5</v>
      </c>
      <c r="J11" s="129">
        <f t="shared" si="2"/>
        <v>0.66666666666666674</v>
      </c>
    </row>
    <row r="12" spans="1:29">
      <c r="A12" s="122">
        <f t="shared" ref="A12:A39" si="4">A11+1</f>
        <v>2023</v>
      </c>
      <c r="B12" s="125">
        <f>(B11*(1-Calibration!$F$30)+Calibration!$F$20*(Calibration!$F$3+Exogenous_series!E5)/100)</f>
        <v>9.6250000000000016E-3</v>
      </c>
      <c r="C12" s="119">
        <f>(C11*(1-Calibration!$F$30)+Calibration!$F$20*(Calibration!$F$3+Exogenous_series!M5)/100)</f>
        <v>0</v>
      </c>
      <c r="D12" s="117">
        <f>(D11*(1-Calibration!$F$30)+Calibration!$F$20*(Calibration!$F$3+Exogenous_series!U5)/100)</f>
        <v>1.9250000000000003E-2</v>
      </c>
      <c r="E12" s="111"/>
      <c r="G12" s="119">
        <f t="shared" si="3"/>
        <v>4.4999999999999998E-2</v>
      </c>
      <c r="H12" s="129">
        <f t="shared" si="0"/>
        <v>0.36</v>
      </c>
      <c r="I12" s="129">
        <f t="shared" si="1"/>
        <v>0.52941176470588236</v>
      </c>
      <c r="J12" s="129">
        <f t="shared" si="2"/>
        <v>0.69230769230769229</v>
      </c>
    </row>
    <row r="13" spans="1:29">
      <c r="A13" s="122">
        <f t="shared" si="4"/>
        <v>2024</v>
      </c>
      <c r="B13" s="125">
        <f>(B12*(1-Calibration!$F$30)+Calibration!$F$20*(Calibration!$F$3+Exogenous_series!E6)/100)</f>
        <v>1.3903125000000002E-2</v>
      </c>
      <c r="C13" s="119">
        <f>(C12*(1-Calibration!$F$30)+Calibration!$F$20*(Calibration!$F$3+Exogenous_series!M6)/100)</f>
        <v>0</v>
      </c>
      <c r="D13" s="117">
        <f>(D12*(1-Calibration!$F$30)+Calibration!$F$20*(Calibration!$F$3+Exogenous_series!U6)/100)</f>
        <v>2.7806250000000005E-2</v>
      </c>
      <c r="E13" s="85"/>
      <c r="G13" s="119">
        <f t="shared" si="3"/>
        <v>4.9999999999999996E-2</v>
      </c>
      <c r="H13" s="129">
        <f t="shared" si="0"/>
        <v>0.38461538461538458</v>
      </c>
      <c r="I13" s="129">
        <f t="shared" si="1"/>
        <v>0.55555555555555558</v>
      </c>
      <c r="J13" s="129">
        <f t="shared" si="2"/>
        <v>0.7142857142857143</v>
      </c>
      <c r="AC13" s="115"/>
    </row>
    <row r="14" spans="1:29">
      <c r="A14" s="122">
        <f t="shared" si="4"/>
        <v>2025</v>
      </c>
      <c r="B14" s="125">
        <f>(B13*(1-Calibration!$F$30)+Calibration!$F$20*(Calibration!$F$3+Exogenous_series!E7)/100)</f>
        <v>1.7860390625000003E-2</v>
      </c>
      <c r="C14" s="119">
        <f>(C13*(1-Calibration!$F$30)+Calibration!$F$20*(Calibration!$F$3+Exogenous_series!M7)/100)</f>
        <v>0</v>
      </c>
      <c r="D14" s="117">
        <f>(D13*(1-Calibration!$F$30)+Calibration!$F$20*(Calibration!$F$3+Exogenous_series!U7)/100)</f>
        <v>3.5720781250000007E-2</v>
      </c>
      <c r="E14" s="111"/>
      <c r="G14" s="119">
        <f t="shared" si="3"/>
        <v>5.4999999999999993E-2</v>
      </c>
      <c r="H14" s="129">
        <f t="shared" si="0"/>
        <v>0.40740740740740744</v>
      </c>
      <c r="I14" s="129">
        <f t="shared" si="1"/>
        <v>0.57894736842105265</v>
      </c>
      <c r="J14" s="129">
        <f t="shared" si="2"/>
        <v>0.73333333333333328</v>
      </c>
    </row>
    <row r="15" spans="1:29">
      <c r="A15" s="122">
        <f t="shared" si="4"/>
        <v>2026</v>
      </c>
      <c r="B15" s="125">
        <f>(B14*(1-Calibration!$F$30)+Calibration!$F$20*(Calibration!$F$3+Exogenous_series!E8)/100)</f>
        <v>2.1520861328125005E-2</v>
      </c>
      <c r="C15" s="119">
        <f>(C14*(1-Calibration!$F$30)+Calibration!$F$20*(Calibration!$F$3+Exogenous_series!M8)/100)</f>
        <v>0</v>
      </c>
      <c r="D15" s="117">
        <f>(D14*(1-Calibration!$F$30)+Calibration!$F$20*(Calibration!$F$3+Exogenous_series!U8)/100)</f>
        <v>4.304172265625001E-2</v>
      </c>
      <c r="E15" s="111"/>
      <c r="G15" s="119">
        <f t="shared" si="3"/>
        <v>5.9999999999999991E-2</v>
      </c>
      <c r="H15" s="129">
        <f t="shared" si="0"/>
        <v>0.4285714285714286</v>
      </c>
      <c r="I15" s="129">
        <f t="shared" si="1"/>
        <v>0.6</v>
      </c>
      <c r="J15" s="129">
        <f t="shared" si="2"/>
        <v>0.75</v>
      </c>
    </row>
    <row r="16" spans="1:29">
      <c r="A16" s="122">
        <f t="shared" si="4"/>
        <v>2027</v>
      </c>
      <c r="B16" s="125">
        <f>(B15*(1-Calibration!$F$30)+Calibration!$F$20*(Calibration!$F$3+Exogenous_series!E9)/100)</f>
        <v>1.9906796728515631E-2</v>
      </c>
      <c r="C16" s="119">
        <f>(C15*(1-Calibration!$F$30)+Calibration!$F$20*(Calibration!$F$3+Exogenous_series!M9)/100)</f>
        <v>0</v>
      </c>
      <c r="D16" s="117">
        <f>(D15*(1-Calibration!$F$30)+Calibration!$F$20*(Calibration!$F$3+Exogenous_series!U9)/100)</f>
        <v>3.9813593457031261E-2</v>
      </c>
      <c r="E16" s="85"/>
      <c r="G16" s="119">
        <f t="shared" si="3"/>
        <v>6.4999999999999988E-2</v>
      </c>
      <c r="H16" s="129">
        <f t="shared" si="0"/>
        <v>0.44827586206896552</v>
      </c>
      <c r="I16" s="129">
        <f t="shared" si="1"/>
        <v>0.61904761904761907</v>
      </c>
      <c r="J16" s="129">
        <f t="shared" si="2"/>
        <v>0.76470588235294112</v>
      </c>
    </row>
    <row r="17" spans="1:10">
      <c r="A17" s="122">
        <f t="shared" si="4"/>
        <v>2028</v>
      </c>
      <c r="B17" s="125">
        <f>(B16*(1-Calibration!$F$30)+Calibration!$F$20*(Calibration!$F$3+Exogenous_series!E10)/100)</f>
        <v>1.841378697387696E-2</v>
      </c>
      <c r="C17" s="119">
        <f>(C16*(1-Calibration!$F$30)+Calibration!$F$20*(Calibration!$F$3+Exogenous_series!M10)/100)</f>
        <v>0</v>
      </c>
      <c r="D17" s="117">
        <f>(D16*(1-Calibration!$F$30)+Calibration!$F$20*(Calibration!$F$3+Exogenous_series!U10)/100)</f>
        <v>3.6827573947753919E-2</v>
      </c>
      <c r="E17" s="85"/>
      <c r="G17" s="119">
        <f t="shared" si="3"/>
        <v>6.9999999999999993E-2</v>
      </c>
      <c r="H17" s="129">
        <f t="shared" si="0"/>
        <v>0.46666666666666667</v>
      </c>
      <c r="I17" s="129">
        <f t="shared" si="1"/>
        <v>0.63636363636363635</v>
      </c>
      <c r="J17" s="129">
        <f t="shared" si="2"/>
        <v>0.77777777777777779</v>
      </c>
    </row>
    <row r="18" spans="1:10">
      <c r="A18" s="122">
        <f t="shared" si="4"/>
        <v>2029</v>
      </c>
      <c r="B18" s="125">
        <f>(B17*(1-Calibration!$F$30)+Calibration!$F$20*(Calibration!$F$3+Exogenous_series!E11)/100)</f>
        <v>1.7032752950836189E-2</v>
      </c>
      <c r="C18" s="119">
        <f>(C17*(1-Calibration!$F$30)+Calibration!$F$20*(Calibration!$F$3+Exogenous_series!M11)/100)</f>
        <v>0</v>
      </c>
      <c r="D18" s="117">
        <f>(D17*(1-Calibration!$F$30)+Calibration!$F$20*(Calibration!$F$3+Exogenous_series!U11)/100)</f>
        <v>3.4065505901672379E-2</v>
      </c>
      <c r="E18" s="85"/>
      <c r="G18" s="119">
        <f t="shared" si="3"/>
        <v>7.4999999999999997E-2</v>
      </c>
      <c r="H18" s="129">
        <f t="shared" si="0"/>
        <v>0.4838709677419355</v>
      </c>
      <c r="I18" s="129">
        <f t="shared" si="1"/>
        <v>0.65217391304347827</v>
      </c>
      <c r="J18" s="129">
        <f t="shared" si="2"/>
        <v>0.78947368421052633</v>
      </c>
    </row>
    <row r="19" spans="1:10">
      <c r="A19" s="122">
        <f t="shared" si="4"/>
        <v>2030</v>
      </c>
      <c r="B19" s="125">
        <f>(B18*(1-Calibration!$F$30)+Calibration!$F$20*(Calibration!$F$3+Exogenous_series!E12)/100)</f>
        <v>1.5755296479523475E-2</v>
      </c>
      <c r="C19" s="119">
        <f>(C18*(1-Calibration!$F$30)+Calibration!$F$20*(Calibration!$F$3+Exogenous_series!M12)/100)</f>
        <v>0</v>
      </c>
      <c r="D19" s="117">
        <f>(D18*(1-Calibration!$F$30)+Calibration!$F$20*(Calibration!$F$3+Exogenous_series!U12)/100)</f>
        <v>3.151059295904695E-2</v>
      </c>
      <c r="E19" s="85"/>
      <c r="G19" s="119">
        <f t="shared" si="3"/>
        <v>0.08</v>
      </c>
      <c r="H19" s="129">
        <f t="shared" si="0"/>
        <v>0.5</v>
      </c>
      <c r="I19" s="129">
        <f t="shared" si="1"/>
        <v>0.66666666666666674</v>
      </c>
      <c r="J19" s="129">
        <f t="shared" si="2"/>
        <v>0.8</v>
      </c>
    </row>
    <row r="20" spans="1:10">
      <c r="A20" s="122">
        <f t="shared" si="4"/>
        <v>2031</v>
      </c>
      <c r="B20" s="125">
        <f>(B19*(1-Calibration!$F$30)+Calibration!$F$20*(Calibration!$F$3+Exogenous_series!E13)/100)</f>
        <v>1.4573649243559215E-2</v>
      </c>
      <c r="C20" s="119">
        <f>(C19*(1-Calibration!$F$30)+Calibration!$F$20*(Calibration!$F$3+Exogenous_series!M13)/100)</f>
        <v>0</v>
      </c>
      <c r="D20" s="117">
        <f>(D19*(1-Calibration!$F$30)+Calibration!$F$20*(Calibration!$F$3+Exogenous_series!U13)/100)</f>
        <v>2.9147298487118431E-2</v>
      </c>
      <c r="E20" s="85"/>
      <c r="G20" s="119">
        <f t="shared" si="3"/>
        <v>8.5000000000000006E-2</v>
      </c>
      <c r="H20" s="129">
        <f t="shared" si="0"/>
        <v>0.51515151515151514</v>
      </c>
      <c r="I20" s="129">
        <f t="shared" si="1"/>
        <v>0.67999999999999994</v>
      </c>
      <c r="J20" s="129">
        <f t="shared" si="2"/>
        <v>0.80952380952380953</v>
      </c>
    </row>
    <row r="21" spans="1:10">
      <c r="A21" s="122">
        <f t="shared" si="4"/>
        <v>2032</v>
      </c>
      <c r="B21" s="125">
        <f>(B20*(1-Calibration!$F$30)+Calibration!$F$20*(Calibration!$F$3+Exogenous_series!E14)/100)</f>
        <v>1.3480625550292275E-2</v>
      </c>
      <c r="C21" s="119">
        <f>(C20*(1-Calibration!$F$30)+Calibration!$F$20*(Calibration!$F$3+Exogenous_series!M14)/100)</f>
        <v>0</v>
      </c>
      <c r="D21" s="117">
        <f>(D20*(1-Calibration!$F$30)+Calibration!$F$20*(Calibration!$F$3+Exogenous_series!U14)/100)</f>
        <v>2.696125110058455E-2</v>
      </c>
      <c r="E21" s="85"/>
      <c r="G21" s="119">
        <f t="shared" si="3"/>
        <v>9.0000000000000011E-2</v>
      </c>
      <c r="H21" s="129">
        <f t="shared" si="0"/>
        <v>0.52941176470588236</v>
      </c>
      <c r="I21" s="129">
        <f t="shared" si="1"/>
        <v>0.69230769230769229</v>
      </c>
      <c r="J21" s="129">
        <f t="shared" si="2"/>
        <v>0.81818181818181823</v>
      </c>
    </row>
    <row r="22" spans="1:10">
      <c r="A22" s="122">
        <f t="shared" si="4"/>
        <v>2033</v>
      </c>
      <c r="B22" s="125">
        <f>(B21*(1-Calibration!$F$30)+Calibration!$F$20*(Calibration!$F$3+Exogenous_series!E15)/100)</f>
        <v>1.2469578634020356E-2</v>
      </c>
      <c r="C22" s="119">
        <f>(C21*(1-Calibration!$F$30)+Calibration!$F$20*(Calibration!$F$3+Exogenous_series!M15)/100)</f>
        <v>0</v>
      </c>
      <c r="D22" s="117">
        <f>(D21*(1-Calibration!$F$30)+Calibration!$F$20*(Calibration!$F$3+Exogenous_series!U15)/100)</f>
        <v>2.4939157268040711E-2</v>
      </c>
      <c r="E22" s="85"/>
      <c r="G22" s="119">
        <f t="shared" si="3"/>
        <v>9.5000000000000015E-2</v>
      </c>
      <c r="H22" s="129">
        <f t="shared" si="0"/>
        <v>0.54285714285714293</v>
      </c>
      <c r="I22" s="129">
        <f t="shared" si="1"/>
        <v>0.70370370370370372</v>
      </c>
      <c r="J22" s="129">
        <f t="shared" si="2"/>
        <v>0.82608695652173914</v>
      </c>
    </row>
    <row r="23" spans="1:10">
      <c r="A23" s="122">
        <f t="shared" si="4"/>
        <v>2034</v>
      </c>
      <c r="B23" s="125">
        <f>(B22*(1-Calibration!$F$30)+Calibration!$F$20*(Calibration!$F$3+Exogenous_series!E16)/100)</f>
        <v>1.1534360236468829E-2</v>
      </c>
      <c r="C23" s="119">
        <f>(C22*(1-Calibration!$F$30)+Calibration!$F$20*(Calibration!$F$3+Exogenous_series!M16)/100)</f>
        <v>0</v>
      </c>
      <c r="D23" s="117">
        <f>(D22*(1-Calibration!$F$30)+Calibration!$F$20*(Calibration!$F$3+Exogenous_series!U16)/100)</f>
        <v>2.3068720472937659E-2</v>
      </c>
      <c r="E23" s="85"/>
      <c r="G23" s="119">
        <f t="shared" si="3"/>
        <v>0.10000000000000002</v>
      </c>
      <c r="H23" s="129">
        <f t="shared" si="0"/>
        <v>0.55555555555555558</v>
      </c>
      <c r="I23" s="129">
        <f t="shared" si="1"/>
        <v>0.7142857142857143</v>
      </c>
      <c r="J23" s="129">
        <f t="shared" si="2"/>
        <v>0.83333333333333337</v>
      </c>
    </row>
    <row r="24" spans="1:10">
      <c r="A24" s="122">
        <f t="shared" si="4"/>
        <v>2035</v>
      </c>
      <c r="B24" s="125">
        <f>(B23*(1-Calibration!$F$30)+Calibration!$F$20*(Calibration!$F$3+Exogenous_series!E17)/100)</f>
        <v>1.0669283218733668E-2</v>
      </c>
      <c r="C24" s="119">
        <f>(C23*(1-Calibration!$F$30)+Calibration!$F$20*(Calibration!$F$3+Exogenous_series!M17)/100)</f>
        <v>0</v>
      </c>
      <c r="D24" s="117">
        <f>(D23*(1-Calibration!$F$30)+Calibration!$F$20*(Calibration!$F$3+Exogenous_series!U17)/100)</f>
        <v>2.1338566437467336E-2</v>
      </c>
      <c r="E24" s="85"/>
      <c r="G24" s="119">
        <f t="shared" si="3"/>
        <v>0.10500000000000002</v>
      </c>
      <c r="H24" s="129">
        <f t="shared" si="0"/>
        <v>0.56756756756756754</v>
      </c>
      <c r="I24" s="129">
        <f t="shared" si="1"/>
        <v>0.72413793103448287</v>
      </c>
      <c r="J24" s="129">
        <f t="shared" si="2"/>
        <v>0.84000000000000008</v>
      </c>
    </row>
    <row r="25" spans="1:10">
      <c r="A25" s="122">
        <f t="shared" si="4"/>
        <v>2036</v>
      </c>
      <c r="B25" s="125">
        <f>(B24*(1-Calibration!$F$30)+Calibration!$F$20*(Calibration!$F$3+Exogenous_series!E18)/100)</f>
        <v>9.8690869773286442E-3</v>
      </c>
      <c r="C25" s="119">
        <f>(C24*(1-Calibration!$F$30)+Calibration!$F$20*(Calibration!$F$3+Exogenous_series!M18)/100)</f>
        <v>0</v>
      </c>
      <c r="D25" s="117">
        <f>(D24*(1-Calibration!$F$30)+Calibration!$F$20*(Calibration!$F$3+Exogenous_series!U18)/100)</f>
        <v>1.9738173954657288E-2</v>
      </c>
      <c r="E25" s="85"/>
      <c r="G25" s="119">
        <f t="shared" si="3"/>
        <v>0.11000000000000003</v>
      </c>
      <c r="H25" s="129">
        <f t="shared" si="0"/>
        <v>0.57894736842105265</v>
      </c>
      <c r="I25" s="129">
        <f t="shared" si="1"/>
        <v>0.73333333333333339</v>
      </c>
      <c r="J25" s="129">
        <f t="shared" si="2"/>
        <v>0.84615384615384626</v>
      </c>
    </row>
    <row r="26" spans="1:10">
      <c r="A26" s="122">
        <f t="shared" si="4"/>
        <v>2037</v>
      </c>
      <c r="B26" s="125">
        <f>(B25*(1-Calibration!$F$30)+Calibration!$F$20*(Calibration!$F$3+Exogenous_series!E19)/100)</f>
        <v>9.1289054540289963E-3</v>
      </c>
      <c r="C26" s="119">
        <f>(C25*(1-Calibration!$F$30)+Calibration!$F$20*(Calibration!$F$3+Exogenous_series!M19)/100)</f>
        <v>0</v>
      </c>
      <c r="D26" s="117">
        <f>(D25*(1-Calibration!$F$30)+Calibration!$F$20*(Calibration!$F$3+Exogenous_series!U19)/100)</f>
        <v>1.8257810908057993E-2</v>
      </c>
      <c r="E26" s="85"/>
      <c r="G26" s="119">
        <f t="shared" si="3"/>
        <v>0.11500000000000003</v>
      </c>
      <c r="H26" s="129">
        <f t="shared" si="0"/>
        <v>0.58974358974358987</v>
      </c>
      <c r="I26" s="129">
        <f t="shared" si="1"/>
        <v>0.74193548387096775</v>
      </c>
      <c r="J26" s="129">
        <f t="shared" si="2"/>
        <v>0.85185185185185186</v>
      </c>
    </row>
    <row r="27" spans="1:10">
      <c r="A27" s="122">
        <f t="shared" si="4"/>
        <v>2038</v>
      </c>
      <c r="B27" s="125">
        <f>(B26*(1-Calibration!$F$30)+Calibration!$F$20*(Calibration!$F$3+Exogenous_series!E20)/100)</f>
        <v>8.4442375449768226E-3</v>
      </c>
      <c r="C27" s="119">
        <f>(C26*(1-Calibration!$F$30)+Calibration!$F$20*(Calibration!$F$3+Exogenous_series!M20)/100)</f>
        <v>0</v>
      </c>
      <c r="D27" s="117">
        <f>(D26*(1-Calibration!$F$30)+Calibration!$F$20*(Calibration!$F$3+Exogenous_series!U20)/100)</f>
        <v>1.6888475089953645E-2</v>
      </c>
      <c r="E27" s="85"/>
      <c r="G27" s="119">
        <f t="shared" si="3"/>
        <v>0.12000000000000004</v>
      </c>
      <c r="H27" s="129">
        <f t="shared" si="0"/>
        <v>0.60000000000000009</v>
      </c>
      <c r="I27" s="129">
        <f t="shared" si="1"/>
        <v>0.75</v>
      </c>
      <c r="J27" s="129">
        <f t="shared" si="2"/>
        <v>0.85714285714285721</v>
      </c>
    </row>
    <row r="28" spans="1:10">
      <c r="A28" s="122">
        <f t="shared" si="4"/>
        <v>2039</v>
      </c>
      <c r="B28" s="125">
        <f>(B27*(1-Calibration!$F$30)+Calibration!$F$20*(Calibration!$F$3+Exogenous_series!E21)/100)</f>
        <v>7.8109197291035609E-3</v>
      </c>
      <c r="C28" s="119">
        <f>(C27*(1-Calibration!$F$30)+Calibration!$F$20*(Calibration!$F$3+Exogenous_series!M21)/100)</f>
        <v>0</v>
      </c>
      <c r="D28" s="117">
        <f>(D27*(1-Calibration!$F$30)+Calibration!$F$20*(Calibration!$F$3+Exogenous_series!U21)/100)</f>
        <v>1.5621839458207122E-2</v>
      </c>
      <c r="E28" s="85"/>
      <c r="G28" s="119">
        <f t="shared" si="3"/>
        <v>0.12500000000000003</v>
      </c>
      <c r="H28" s="129">
        <f t="shared" si="0"/>
        <v>0.60975609756097571</v>
      </c>
      <c r="I28" s="129">
        <f t="shared" si="1"/>
        <v>0.75757575757575757</v>
      </c>
      <c r="J28" s="129">
        <f t="shared" si="2"/>
        <v>0.86206896551724144</v>
      </c>
    </row>
    <row r="29" spans="1:10">
      <c r="A29" s="122">
        <f t="shared" si="4"/>
        <v>2040</v>
      </c>
      <c r="B29" s="125">
        <f>(B28*(1-Calibration!$F$30)+Calibration!$F$20*(Calibration!$F$3+Exogenous_series!E22)/100)</f>
        <v>7.2251007494207944E-3</v>
      </c>
      <c r="C29" s="119">
        <f>(C28*(1-Calibration!$F$30)+Calibration!$F$20*(Calibration!$F$3+Exogenous_series!M22)/100)</f>
        <v>0</v>
      </c>
      <c r="D29" s="117">
        <f>(D28*(1-Calibration!$F$30)+Calibration!$F$20*(Calibration!$F$3+Exogenous_series!U22)/100)</f>
        <v>1.4450201498841589E-2</v>
      </c>
      <c r="E29" s="85"/>
      <c r="G29" s="119">
        <f t="shared" si="3"/>
        <v>0.13000000000000003</v>
      </c>
      <c r="H29" s="129">
        <f t="shared" si="0"/>
        <v>0.61904761904761907</v>
      </c>
      <c r="I29" s="129">
        <f t="shared" si="1"/>
        <v>0.76470588235294124</v>
      </c>
      <c r="J29" s="129">
        <f t="shared" si="2"/>
        <v>0.8666666666666667</v>
      </c>
    </row>
    <row r="30" spans="1:10">
      <c r="A30" s="122">
        <f t="shared" si="4"/>
        <v>2041</v>
      </c>
      <c r="B30" s="125">
        <f>(B29*(1-Calibration!$F$30)+Calibration!$F$20*(Calibration!$F$3+Exogenous_series!E23)/100)</f>
        <v>6.6832181932142349E-3</v>
      </c>
      <c r="C30" s="119">
        <f>(C29*(1-Calibration!$F$30)+Calibration!$F$20*(Calibration!$F$3+Exogenous_series!M23)/100)</f>
        <v>0</v>
      </c>
      <c r="D30" s="117">
        <f>(D29*(1-Calibration!$F$30)+Calibration!$F$20*(Calibration!$F$3+Exogenous_series!U23)/100)</f>
        <v>1.336643638642847E-2</v>
      </c>
      <c r="E30" s="85"/>
      <c r="G30" s="119">
        <f t="shared" si="3"/>
        <v>0.13500000000000004</v>
      </c>
      <c r="H30" s="129">
        <f t="shared" si="0"/>
        <v>0.62790697674418605</v>
      </c>
      <c r="I30" s="129">
        <f t="shared" si="1"/>
        <v>0.77142857142857146</v>
      </c>
      <c r="J30" s="129">
        <f t="shared" si="2"/>
        <v>0.87096774193548387</v>
      </c>
    </row>
    <row r="31" spans="1:10">
      <c r="A31" s="122">
        <f t="shared" si="4"/>
        <v>2042</v>
      </c>
      <c r="B31" s="125">
        <f>(B30*(1-Calibration!$F$30)+Calibration!$F$20*(Calibration!$F$3+Exogenous_series!E24)/100)</f>
        <v>6.1819768287231678E-3</v>
      </c>
      <c r="C31" s="119">
        <f>(C30*(1-Calibration!$F$30)+Calibration!$F$20*(Calibration!$F$3+Exogenous_series!M24)/100)</f>
        <v>0</v>
      </c>
      <c r="D31" s="117">
        <f>(D30*(1-Calibration!$F$30)+Calibration!$F$20*(Calibration!$F$3+Exogenous_series!U24)/100)</f>
        <v>1.2363953657446336E-2</v>
      </c>
      <c r="E31" s="85"/>
      <c r="G31" s="119">
        <f t="shared" si="3"/>
        <v>0.14000000000000004</v>
      </c>
      <c r="H31" s="129">
        <f t="shared" si="0"/>
        <v>0.63636363636363646</v>
      </c>
      <c r="I31" s="129">
        <f t="shared" si="1"/>
        <v>0.77777777777777779</v>
      </c>
      <c r="J31" s="129">
        <f t="shared" si="2"/>
        <v>0.875</v>
      </c>
    </row>
    <row r="32" spans="1:10">
      <c r="A32" s="122">
        <f t="shared" si="4"/>
        <v>2043</v>
      </c>
      <c r="B32" s="125">
        <f>(B31*(1-Calibration!$F$30)+Calibration!$F$20*(Calibration!$F$3+Exogenous_series!E25)/100)</f>
        <v>5.7183285665689306E-3</v>
      </c>
      <c r="C32" s="119">
        <f>(C31*(1-Calibration!$F$30)+Calibration!$F$20*(Calibration!$F$3+Exogenous_series!M25)/100)</f>
        <v>0</v>
      </c>
      <c r="D32" s="117">
        <f>(D31*(1-Calibration!$F$30)+Calibration!$F$20*(Calibration!$F$3+Exogenous_series!U25)/100)</f>
        <v>1.1436657133137861E-2</v>
      </c>
      <c r="E32" s="85"/>
      <c r="G32" s="119">
        <f t="shared" si="3"/>
        <v>0.14500000000000005</v>
      </c>
      <c r="H32" s="129">
        <f t="shared" si="0"/>
        <v>0.6444444444444446</v>
      </c>
      <c r="I32" s="129">
        <f t="shared" si="1"/>
        <v>0.78378378378378388</v>
      </c>
      <c r="J32" s="129">
        <f t="shared" si="2"/>
        <v>0.8787878787878789</v>
      </c>
    </row>
    <row r="33" spans="1:11">
      <c r="A33" s="122">
        <f t="shared" si="4"/>
        <v>2044</v>
      </c>
      <c r="B33" s="125">
        <f>(B32*(1-Calibration!$F$30)+Calibration!$F$20*(Calibration!$F$3+Exogenous_series!E26)/100)</f>
        <v>5.2894539240762612E-3</v>
      </c>
      <c r="C33" s="119">
        <f>(C32*(1-Calibration!$F$30)+Calibration!$F$20*(Calibration!$F$3+Exogenous_series!M26)/100)</f>
        <v>0</v>
      </c>
      <c r="D33" s="117">
        <f>(D32*(1-Calibration!$F$30)+Calibration!$F$20*(Calibration!$F$3+Exogenous_series!U26)/100)</f>
        <v>1.0578907848152522E-2</v>
      </c>
      <c r="E33" s="85"/>
      <c r="G33" s="119">
        <f t="shared" si="3"/>
        <v>0.15000000000000005</v>
      </c>
      <c r="H33" s="129">
        <f t="shared" si="0"/>
        <v>0.65217391304347838</v>
      </c>
      <c r="I33" s="129">
        <f t="shared" si="1"/>
        <v>0.78947368421052633</v>
      </c>
      <c r="J33" s="129">
        <f t="shared" si="2"/>
        <v>0.88235294117647067</v>
      </c>
    </row>
    <row r="34" spans="1:11">
      <c r="A34" s="122">
        <f t="shared" si="4"/>
        <v>2045</v>
      </c>
      <c r="B34" s="125">
        <f>(B33*(1-Calibration!$F$30)+Calibration!$F$20*(Calibration!$F$3+Exogenous_series!E27)/100)</f>
        <v>4.8927448797705421E-3</v>
      </c>
      <c r="C34" s="119">
        <f>(C33*(1-Calibration!$F$30)+Calibration!$F$20*(Calibration!$F$3+Exogenous_series!M27)/100)</f>
        <v>0</v>
      </c>
      <c r="D34" s="117">
        <f>(D33*(1-Calibration!$F$30)+Calibration!$F$20*(Calibration!$F$3+Exogenous_series!U27)/100)</f>
        <v>9.7854897595410842E-3</v>
      </c>
      <c r="E34" s="85"/>
      <c r="G34" s="119">
        <f t="shared" si="3"/>
        <v>0.15500000000000005</v>
      </c>
      <c r="H34" s="129">
        <f t="shared" si="0"/>
        <v>0.65957446808510656</v>
      </c>
      <c r="I34" s="129">
        <f t="shared" si="1"/>
        <v>0.79487179487179493</v>
      </c>
      <c r="J34" s="129">
        <f t="shared" si="2"/>
        <v>0.88571428571428579</v>
      </c>
    </row>
    <row r="35" spans="1:11">
      <c r="A35" s="122">
        <f t="shared" si="4"/>
        <v>2046</v>
      </c>
      <c r="B35" s="125">
        <f>(B34*(1-Calibration!$F$30)+Calibration!$F$20*(Calibration!$F$3+Exogenous_series!E28)/100)</f>
        <v>4.5257890137877519E-3</v>
      </c>
      <c r="C35" s="119">
        <f>(C34*(1-Calibration!$F$30)+Calibration!$F$20*(Calibration!$F$3+Exogenous_series!M28)/100)</f>
        <v>0</v>
      </c>
      <c r="D35" s="117">
        <f>(D34*(1-Calibration!$F$30)+Calibration!$F$20*(Calibration!$F$3+Exogenous_series!U28)/100)</f>
        <v>9.0515780275755037E-3</v>
      </c>
      <c r="E35" s="85"/>
      <c r="G35" s="119">
        <f t="shared" si="3"/>
        <v>0.16000000000000006</v>
      </c>
      <c r="H35" s="129">
        <f t="shared" si="0"/>
        <v>0.66666666666666674</v>
      </c>
      <c r="I35" s="129">
        <f t="shared" si="1"/>
        <v>0.8</v>
      </c>
      <c r="J35" s="129">
        <f t="shared" si="2"/>
        <v>0.88888888888888895</v>
      </c>
    </row>
    <row r="36" spans="1:11">
      <c r="A36" s="122">
        <f t="shared" si="4"/>
        <v>2047</v>
      </c>
      <c r="B36" s="125">
        <f>(B35*(1-Calibration!$F$30)+Calibration!$F$20*(Calibration!$F$3+Exogenous_series!E29)/100)</f>
        <v>4.1863548377536709E-3</v>
      </c>
      <c r="C36" s="119">
        <f>(C35*(1-Calibration!$F$30)+Calibration!$F$20*(Calibration!$F$3+Exogenous_series!M29)/100)</f>
        <v>0</v>
      </c>
      <c r="D36" s="117">
        <f>(D35*(1-Calibration!$F$30)+Calibration!$F$20*(Calibration!$F$3+Exogenous_series!U29)/100)</f>
        <v>8.3727096755073418E-3</v>
      </c>
      <c r="E36" s="85"/>
      <c r="G36" s="119">
        <f t="shared" si="3"/>
        <v>0.16500000000000006</v>
      </c>
      <c r="H36" s="129">
        <f t="shared" si="0"/>
        <v>0.67346938775510212</v>
      </c>
      <c r="I36" s="129">
        <f t="shared" si="1"/>
        <v>0.80487804878048785</v>
      </c>
      <c r="J36" s="129">
        <f t="shared" si="2"/>
        <v>0.89189189189189189</v>
      </c>
    </row>
    <row r="37" spans="1:11">
      <c r="A37" s="122">
        <f t="shared" si="4"/>
        <v>2048</v>
      </c>
      <c r="B37" s="125">
        <f>(B36*(1-Calibration!$F$30)+Calibration!$F$20*(Calibration!$F$3+Exogenous_series!E30)/100)</f>
        <v>3.8723782249221457E-3</v>
      </c>
      <c r="C37" s="119">
        <f>(C36*(1-Calibration!$F$30)+Calibration!$F$20*(Calibration!$F$3+Exogenous_series!M30)/100)</f>
        <v>0</v>
      </c>
      <c r="D37" s="117">
        <f>(D36*(1-Calibration!$F$30)+Calibration!$F$20*(Calibration!$F$3+Exogenous_series!U30)/100)</f>
        <v>7.7447564498442914E-3</v>
      </c>
      <c r="E37" s="85"/>
      <c r="G37" s="119">
        <f t="shared" si="3"/>
        <v>0.17000000000000007</v>
      </c>
      <c r="H37" s="129">
        <f t="shared" si="0"/>
        <v>0.68000000000000016</v>
      </c>
      <c r="I37" s="129">
        <f t="shared" si="1"/>
        <v>0.80952380952380953</v>
      </c>
      <c r="J37" s="129">
        <f t="shared" si="2"/>
        <v>0.89473684210526316</v>
      </c>
    </row>
    <row r="38" spans="1:11">
      <c r="A38" s="122">
        <f t="shared" si="4"/>
        <v>2049</v>
      </c>
      <c r="B38" s="125">
        <f>(B37*(1-Calibration!$F$30)+Calibration!$F$20*(Calibration!$F$3+Exogenous_series!E31)/100)</f>
        <v>3.5819498580529851E-3</v>
      </c>
      <c r="C38" s="119">
        <f>(C37*(1-Calibration!$F$30)+Calibration!$F$20*(Calibration!$F$3+Exogenous_series!M31)/100)</f>
        <v>0</v>
      </c>
      <c r="D38" s="117">
        <f>(D37*(1-Calibration!$F$30)+Calibration!$F$20*(Calibration!$F$3+Exogenous_series!U31)/100)</f>
        <v>7.1638997161059701E-3</v>
      </c>
      <c r="E38" s="85"/>
      <c r="G38" s="119">
        <f t="shared" si="3"/>
        <v>0.17500000000000007</v>
      </c>
      <c r="H38" s="129">
        <f t="shared" si="0"/>
        <v>0.68627450980392157</v>
      </c>
      <c r="I38" s="129">
        <f t="shared" si="1"/>
        <v>0.81395348837209314</v>
      </c>
      <c r="J38" s="129">
        <f t="shared" si="2"/>
        <v>0.89743589743589747</v>
      </c>
    </row>
    <row r="39" spans="1:11">
      <c r="A39" s="123">
        <f t="shared" si="4"/>
        <v>2050</v>
      </c>
      <c r="B39" s="126">
        <f>(B38*(1-Calibration!$F$30)+Calibration!$F$20*(Calibration!$F$3+Exogenous_series!E32)/100)</f>
        <v>3.3133036186990114E-3</v>
      </c>
      <c r="C39" s="120">
        <f>(C38*(1-Calibration!$F$30)+Calibration!$F$20*(Calibration!$F$3+Exogenous_series!M32)/100)</f>
        <v>0</v>
      </c>
      <c r="D39" s="118">
        <f>(D38*(1-Calibration!$F$30)+Calibration!$F$20*(Calibration!$F$3+Exogenous_series!U32)/100)</f>
        <v>6.6266072373980228E-3</v>
      </c>
      <c r="E39" s="85"/>
      <c r="G39" s="119">
        <f t="shared" si="3"/>
        <v>0.18000000000000008</v>
      </c>
      <c r="H39" s="130">
        <f t="shared" si="0"/>
        <v>0.6923076923076924</v>
      </c>
      <c r="I39" s="130">
        <f t="shared" si="1"/>
        <v>0.81818181818181823</v>
      </c>
      <c r="J39" s="130">
        <f t="shared" si="2"/>
        <v>0.9</v>
      </c>
    </row>
    <row r="40" spans="1:11">
      <c r="A40" s="109"/>
      <c r="B40" s="85"/>
      <c r="C40" s="109"/>
      <c r="D40" s="109"/>
      <c r="E40" s="85"/>
      <c r="G40" s="112"/>
      <c r="H40" s="113"/>
      <c r="I40" s="181"/>
      <c r="J40" s="113"/>
    </row>
    <row r="41" spans="1:11" ht="21">
      <c r="A41" s="187" t="s">
        <v>166</v>
      </c>
      <c r="B41" s="194"/>
      <c r="C41" s="195"/>
      <c r="D41" s="195"/>
      <c r="E41" s="194"/>
      <c r="F41" s="194"/>
      <c r="G41" s="196"/>
      <c r="H41" s="197"/>
      <c r="I41" s="197"/>
      <c r="J41" s="197"/>
      <c r="K41" s="188"/>
    </row>
    <row r="42" spans="1:11" ht="21">
      <c r="A42" s="189" t="s">
        <v>326</v>
      </c>
      <c r="B42" s="198"/>
      <c r="C42" s="199"/>
      <c r="D42" s="199"/>
      <c r="E42" s="198"/>
      <c r="F42" s="198"/>
      <c r="G42" s="199"/>
      <c r="H42" s="200"/>
      <c r="I42" s="200"/>
      <c r="J42" s="199"/>
      <c r="K42" s="190"/>
    </row>
    <row r="43" spans="1:11" ht="21">
      <c r="A43" s="189" t="s">
        <v>287</v>
      </c>
      <c r="B43" s="198"/>
      <c r="C43" s="199"/>
      <c r="D43" s="199"/>
      <c r="E43" s="198"/>
      <c r="F43" s="198"/>
      <c r="G43" s="199"/>
      <c r="H43" s="200"/>
      <c r="I43" s="200"/>
      <c r="J43" s="199"/>
      <c r="K43" s="190"/>
    </row>
    <row r="44" spans="1:11" ht="21">
      <c r="A44" s="191" t="s">
        <v>288</v>
      </c>
      <c r="B44" s="201"/>
      <c r="C44" s="202"/>
      <c r="D44" s="202"/>
      <c r="E44" s="201"/>
      <c r="F44" s="201"/>
      <c r="G44" s="202"/>
      <c r="H44" s="203"/>
      <c r="I44" s="203"/>
      <c r="J44" s="202"/>
      <c r="K44" s="193"/>
    </row>
    <row r="45" spans="1:11" ht="26">
      <c r="A45" s="182"/>
      <c r="B45" s="85"/>
      <c r="C45" s="109"/>
      <c r="D45" s="109"/>
      <c r="E45" s="85"/>
      <c r="G45" s="109"/>
      <c r="H45" s="114"/>
      <c r="I45" s="114"/>
      <c r="J45" s="109"/>
    </row>
    <row r="46" spans="1:11">
      <c r="A46" s="109"/>
      <c r="B46" s="85"/>
      <c r="C46" s="109"/>
      <c r="D46" s="109"/>
      <c r="E46" s="85"/>
      <c r="G46" s="109"/>
      <c r="H46" s="114"/>
      <c r="I46" s="114"/>
      <c r="J46" s="109"/>
    </row>
    <row r="47" spans="1:11">
      <c r="A47" s="109"/>
      <c r="B47" s="85"/>
      <c r="C47" s="109"/>
      <c r="D47" s="109"/>
      <c r="E47" s="85"/>
      <c r="G47" s="109"/>
      <c r="H47" s="114"/>
      <c r="I47" s="114"/>
      <c r="J47" s="109"/>
    </row>
    <row r="48" spans="1:11">
      <c r="A48" s="109"/>
      <c r="B48" s="85"/>
      <c r="C48" s="109"/>
      <c r="D48" s="109"/>
      <c r="E48" s="85"/>
      <c r="G48" s="109"/>
      <c r="H48" s="114"/>
      <c r="I48" s="114"/>
      <c r="J48" s="109"/>
    </row>
    <row r="49" spans="1:10">
      <c r="A49" s="109"/>
      <c r="B49" s="85"/>
      <c r="C49" s="109"/>
      <c r="D49" s="109"/>
      <c r="E49" s="85"/>
      <c r="G49" s="109"/>
      <c r="H49" s="114"/>
      <c r="I49" s="114"/>
      <c r="J49" s="109"/>
    </row>
    <row r="50" spans="1:10">
      <c r="A50" s="109"/>
      <c r="B50" s="85"/>
      <c r="C50" s="109"/>
      <c r="D50" s="109"/>
      <c r="E50" s="85"/>
      <c r="G50" s="109"/>
      <c r="H50" s="114"/>
      <c r="I50" s="114"/>
      <c r="J50" s="109"/>
    </row>
    <row r="51" spans="1:10">
      <c r="A51" s="109"/>
      <c r="B51" s="85"/>
      <c r="C51" s="109"/>
      <c r="D51" s="109"/>
      <c r="E51" s="85"/>
      <c r="G51" s="109"/>
      <c r="H51" s="114"/>
      <c r="I51" s="114"/>
      <c r="J51" s="109"/>
    </row>
    <row r="52" spans="1:10">
      <c r="A52" s="109"/>
      <c r="B52" s="85"/>
      <c r="C52" s="109"/>
      <c r="D52" s="109"/>
      <c r="E52" s="85"/>
      <c r="G52" s="109"/>
      <c r="H52" s="114"/>
      <c r="I52" s="114"/>
      <c r="J52" s="109"/>
    </row>
    <row r="53" spans="1:10">
      <c r="A53" s="109"/>
      <c r="B53" s="85"/>
      <c r="C53" s="109"/>
      <c r="D53" s="109"/>
      <c r="E53" s="85"/>
      <c r="G53" s="109"/>
      <c r="H53" s="114"/>
      <c r="I53" s="114"/>
      <c r="J53" s="109"/>
    </row>
    <row r="54" spans="1:10">
      <c r="A54" s="109"/>
      <c r="B54" s="85"/>
      <c r="C54" s="109"/>
      <c r="D54" s="109"/>
      <c r="E54" s="85"/>
      <c r="G54" s="109"/>
      <c r="H54" s="114"/>
      <c r="I54" s="114"/>
      <c r="J54" s="109"/>
    </row>
    <row r="55" spans="1:10">
      <c r="A55" s="109"/>
      <c r="B55" s="85"/>
      <c r="C55" s="109"/>
      <c r="D55" s="109"/>
      <c r="E55" s="85"/>
      <c r="G55" s="109"/>
      <c r="H55" s="114"/>
      <c r="I55" s="114"/>
      <c r="J55" s="109"/>
    </row>
    <row r="56" spans="1:10">
      <c r="A56" s="109"/>
      <c r="B56" s="85"/>
      <c r="C56" s="109"/>
      <c r="D56" s="109"/>
      <c r="E56" s="85"/>
      <c r="G56" s="109"/>
      <c r="H56" s="114"/>
      <c r="I56" s="114"/>
      <c r="J56" s="109"/>
    </row>
    <row r="57" spans="1:10">
      <c r="A57" s="109"/>
      <c r="B57" s="85"/>
      <c r="C57" s="109"/>
      <c r="D57" s="109"/>
      <c r="E57" s="85"/>
      <c r="G57" s="109"/>
      <c r="H57" s="114"/>
      <c r="I57" s="114"/>
      <c r="J57" s="109"/>
    </row>
    <row r="58" spans="1:10">
      <c r="A58" s="109"/>
      <c r="B58" s="85"/>
      <c r="C58" s="109"/>
      <c r="D58" s="109"/>
      <c r="E58" s="85"/>
      <c r="G58" s="109"/>
      <c r="H58" s="114"/>
      <c r="I58" s="114"/>
      <c r="J58" s="109"/>
    </row>
    <row r="59" spans="1:10">
      <c r="A59" s="109"/>
      <c r="B59" s="85"/>
      <c r="C59" s="109"/>
      <c r="D59" s="109"/>
      <c r="E59" s="85"/>
      <c r="G59" s="109"/>
      <c r="H59" s="114"/>
      <c r="I59" s="114"/>
      <c r="J59" s="109"/>
    </row>
    <row r="60" spans="1:10">
      <c r="A60" s="109"/>
      <c r="B60" s="85"/>
      <c r="C60" s="109"/>
      <c r="D60" s="109"/>
      <c r="E60" s="85"/>
      <c r="G60" s="109"/>
      <c r="H60" s="114"/>
      <c r="I60" s="114"/>
      <c r="J60" s="109"/>
    </row>
    <row r="61" spans="1:10">
      <c r="A61" s="109"/>
      <c r="B61" s="85"/>
      <c r="C61" s="109"/>
      <c r="D61" s="109"/>
      <c r="E61" s="85"/>
      <c r="G61" s="109"/>
      <c r="H61" s="114"/>
      <c r="I61" s="114"/>
      <c r="J61" s="109"/>
    </row>
    <row r="62" spans="1:10">
      <c r="A62" s="109"/>
      <c r="B62" s="85"/>
      <c r="C62" s="109"/>
      <c r="D62" s="109"/>
      <c r="E62" s="85"/>
      <c r="G62" s="109"/>
      <c r="H62" s="114"/>
      <c r="I62" s="114"/>
      <c r="J62" s="109"/>
    </row>
    <row r="63" spans="1:10">
      <c r="A63" s="109"/>
      <c r="B63" s="85"/>
      <c r="C63" s="109"/>
      <c r="D63" s="109"/>
      <c r="E63" s="85"/>
      <c r="G63" s="109"/>
      <c r="H63" s="114"/>
      <c r="I63" s="114"/>
      <c r="J63" s="109"/>
    </row>
    <row r="64" spans="1:10">
      <c r="A64" s="109"/>
      <c r="B64" s="85"/>
      <c r="C64" s="109"/>
      <c r="D64" s="109"/>
      <c r="E64" s="85"/>
      <c r="G64" s="109"/>
      <c r="H64" s="114"/>
      <c r="I64" s="114"/>
      <c r="J64" s="109"/>
    </row>
    <row r="65" spans="1:10">
      <c r="A65" s="109"/>
      <c r="B65" s="85"/>
      <c r="C65" s="109"/>
      <c r="D65" s="109"/>
      <c r="E65" s="85"/>
      <c r="G65" s="109"/>
      <c r="H65" s="114"/>
      <c r="I65" s="114"/>
      <c r="J65" s="109"/>
    </row>
    <row r="66" spans="1:10">
      <c r="A66" s="109"/>
      <c r="B66" s="85"/>
      <c r="C66" s="109"/>
      <c r="D66" s="109"/>
      <c r="E66" s="85"/>
      <c r="G66" s="109"/>
      <c r="H66" s="114"/>
      <c r="I66" s="114"/>
      <c r="J66" s="109"/>
    </row>
    <row r="67" spans="1:10">
      <c r="A67" s="109"/>
      <c r="B67" s="85"/>
      <c r="C67" s="109"/>
      <c r="D67" s="109"/>
      <c r="E67" s="85"/>
      <c r="G67" s="109"/>
      <c r="H67" s="114"/>
      <c r="I67" s="114"/>
      <c r="J67" s="109"/>
    </row>
    <row r="68" spans="1:10">
      <c r="A68" s="109"/>
      <c r="B68" s="85"/>
      <c r="C68" s="109"/>
      <c r="D68" s="109"/>
      <c r="E68" s="85"/>
      <c r="G68" s="109"/>
      <c r="H68" s="114"/>
      <c r="I68" s="114"/>
      <c r="J68" s="109"/>
    </row>
    <row r="69" spans="1:10">
      <c r="A69" s="109"/>
      <c r="B69" s="85"/>
      <c r="C69" s="109"/>
      <c r="D69" s="109"/>
      <c r="E69" s="85"/>
      <c r="G69" s="109"/>
      <c r="H69" s="114"/>
      <c r="I69" s="114"/>
      <c r="J69" s="109"/>
    </row>
    <row r="70" spans="1:10">
      <c r="A70" s="109"/>
      <c r="B70" s="85"/>
      <c r="C70" s="109"/>
      <c r="D70" s="109"/>
      <c r="E70" s="85"/>
      <c r="G70" s="109"/>
      <c r="H70" s="114"/>
      <c r="I70" s="114"/>
      <c r="J70" s="109"/>
    </row>
    <row r="71" spans="1:10">
      <c r="A71" s="109"/>
      <c r="B71" s="85"/>
      <c r="C71" s="109"/>
      <c r="D71" s="109"/>
      <c r="E71" s="85"/>
      <c r="G71" s="109"/>
      <c r="H71" s="114"/>
      <c r="I71" s="114"/>
      <c r="J71" s="109"/>
    </row>
    <row r="72" spans="1:10">
      <c r="A72" s="109"/>
      <c r="B72" s="85"/>
      <c r="C72" s="109"/>
      <c r="D72" s="109"/>
      <c r="E72" s="85"/>
      <c r="G72" s="109"/>
      <c r="H72" s="114"/>
      <c r="I72" s="114"/>
      <c r="J72" s="109"/>
    </row>
    <row r="73" spans="1:10">
      <c r="A73" s="109"/>
      <c r="B73" s="85"/>
      <c r="C73" s="109"/>
      <c r="D73" s="109"/>
      <c r="E73" s="85"/>
      <c r="G73" s="109"/>
      <c r="H73" s="114"/>
      <c r="I73" s="114"/>
      <c r="J73" s="109"/>
    </row>
    <row r="74" spans="1:10">
      <c r="A74" s="109"/>
      <c r="B74" s="85"/>
      <c r="C74" s="109"/>
      <c r="D74" s="109"/>
      <c r="E74" s="85"/>
      <c r="G74" s="109"/>
      <c r="H74" s="114"/>
      <c r="I74" s="114"/>
      <c r="J74" s="109"/>
    </row>
    <row r="75" spans="1:10">
      <c r="A75" s="109"/>
      <c r="B75" s="85"/>
      <c r="C75" s="109"/>
      <c r="D75" s="109"/>
      <c r="E75" s="85"/>
      <c r="G75" s="109"/>
      <c r="H75" s="114"/>
      <c r="I75" s="114"/>
      <c r="J75" s="109"/>
    </row>
    <row r="76" spans="1:10">
      <c r="A76" s="109"/>
      <c r="B76" s="85"/>
      <c r="C76" s="109"/>
      <c r="D76" s="109"/>
      <c r="E76" s="85"/>
      <c r="G76" s="109"/>
      <c r="H76" s="114"/>
      <c r="I76" s="114"/>
      <c r="J76" s="109"/>
    </row>
    <row r="77" spans="1:10">
      <c r="A77" s="109"/>
      <c r="B77" s="85"/>
      <c r="C77" s="109"/>
      <c r="D77" s="109"/>
      <c r="E77" s="85"/>
      <c r="G77" s="109"/>
      <c r="H77" s="114"/>
      <c r="I77" s="114"/>
      <c r="J77" s="109"/>
    </row>
    <row r="78" spans="1:10">
      <c r="A78" s="109"/>
      <c r="B78" s="85"/>
      <c r="C78" s="109"/>
      <c r="D78" s="109"/>
      <c r="E78" s="85"/>
      <c r="G78" s="109"/>
      <c r="H78" s="114"/>
      <c r="I78" s="114"/>
      <c r="J78" s="109"/>
    </row>
    <row r="79" spans="1:10">
      <c r="A79" s="109"/>
      <c r="B79" s="85"/>
      <c r="C79" s="109"/>
      <c r="D79" s="109"/>
      <c r="E79" s="85"/>
      <c r="G79" s="109"/>
      <c r="H79" s="114"/>
      <c r="I79" s="114"/>
      <c r="J79" s="109"/>
    </row>
    <row r="80" spans="1:10">
      <c r="A80" s="109"/>
      <c r="B80" s="85"/>
      <c r="C80" s="109"/>
      <c r="D80" s="109"/>
      <c r="E80" s="85"/>
      <c r="G80" s="109"/>
      <c r="H80" s="114"/>
      <c r="I80" s="114"/>
      <c r="J80" s="109"/>
    </row>
    <row r="81" spans="1:10">
      <c r="A81" s="109"/>
      <c r="B81" s="85"/>
      <c r="C81" s="109"/>
      <c r="D81" s="109"/>
      <c r="E81" s="85"/>
      <c r="G81" s="109"/>
      <c r="H81" s="114"/>
      <c r="I81" s="114"/>
      <c r="J81" s="109"/>
    </row>
    <row r="82" spans="1:10">
      <c r="A82" s="109"/>
      <c r="B82" s="85"/>
      <c r="C82" s="109"/>
      <c r="D82" s="109"/>
      <c r="E82" s="85"/>
      <c r="G82" s="109"/>
      <c r="H82" s="114"/>
      <c r="I82" s="114"/>
      <c r="J82" s="109"/>
    </row>
    <row r="83" spans="1:10">
      <c r="A83" s="109"/>
      <c r="B83" s="85"/>
      <c r="C83" s="109"/>
      <c r="D83" s="109"/>
      <c r="E83" s="85"/>
      <c r="G83" s="109"/>
      <c r="H83" s="114"/>
      <c r="I83" s="114"/>
      <c r="J83" s="109"/>
    </row>
    <row r="84" spans="1:10">
      <c r="A84" s="109"/>
      <c r="B84" s="85"/>
      <c r="C84" s="109"/>
      <c r="D84" s="109"/>
      <c r="E84" s="85"/>
      <c r="G84" s="109"/>
      <c r="H84" s="114"/>
      <c r="I84" s="114"/>
      <c r="J84" s="109"/>
    </row>
    <row r="85" spans="1:10">
      <c r="A85" s="109"/>
      <c r="B85" s="85"/>
      <c r="C85" s="109"/>
      <c r="D85" s="109"/>
      <c r="E85" s="85"/>
      <c r="G85" s="109"/>
      <c r="H85" s="114"/>
      <c r="I85" s="114"/>
      <c r="J85" s="109"/>
    </row>
    <row r="86" spans="1:10">
      <c r="A86" s="109"/>
      <c r="B86" s="85"/>
      <c r="C86" s="109"/>
      <c r="D86" s="109"/>
      <c r="E86" s="85"/>
      <c r="G86" s="109"/>
      <c r="H86" s="114"/>
      <c r="I86" s="114"/>
      <c r="J86" s="109"/>
    </row>
    <row r="87" spans="1:10">
      <c r="A87" s="109"/>
      <c r="B87" s="85"/>
      <c r="C87" s="109"/>
      <c r="D87" s="109"/>
      <c r="E87" s="85"/>
      <c r="G87" s="109"/>
      <c r="H87" s="114"/>
      <c r="I87" s="114"/>
      <c r="J87" s="109"/>
    </row>
    <row r="88" spans="1:10">
      <c r="A88" s="109"/>
      <c r="B88" s="85"/>
      <c r="C88" s="109"/>
      <c r="D88" s="109"/>
      <c r="E88" s="85"/>
      <c r="G88" s="109"/>
      <c r="H88" s="114"/>
      <c r="I88" s="114"/>
      <c r="J88" s="109"/>
    </row>
    <row r="89" spans="1:10">
      <c r="A89" s="109"/>
      <c r="B89" s="85"/>
      <c r="C89" s="109"/>
      <c r="D89" s="109"/>
      <c r="E89" s="85"/>
      <c r="G89" s="109"/>
      <c r="H89" s="114"/>
      <c r="I89" s="114"/>
      <c r="J89" s="109"/>
    </row>
    <row r="90" spans="1:10">
      <c r="A90" s="109"/>
      <c r="B90" s="85"/>
      <c r="C90" s="109"/>
      <c r="D90" s="109"/>
      <c r="E90" s="85"/>
      <c r="G90" s="109"/>
      <c r="H90" s="114"/>
      <c r="I90" s="114"/>
      <c r="J90" s="109"/>
    </row>
    <row r="91" spans="1:10">
      <c r="A91" s="109"/>
      <c r="B91" s="85"/>
      <c r="C91" s="109"/>
      <c r="D91" s="109"/>
      <c r="E91" s="85"/>
      <c r="G91" s="109"/>
      <c r="H91" s="114"/>
      <c r="I91" s="114"/>
      <c r="J91" s="109"/>
    </row>
    <row r="92" spans="1:10">
      <c r="A92" s="109"/>
      <c r="B92" s="85"/>
      <c r="C92" s="109"/>
      <c r="D92" s="109"/>
      <c r="E92" s="85"/>
      <c r="G92" s="109"/>
      <c r="H92" s="114"/>
      <c r="I92" s="114"/>
      <c r="J92" s="109"/>
    </row>
    <row r="93" spans="1:10">
      <c r="A93" s="109"/>
      <c r="B93" s="85"/>
      <c r="C93" s="109"/>
      <c r="D93" s="109"/>
      <c r="E93" s="85"/>
      <c r="G93" s="109"/>
      <c r="H93" s="114"/>
      <c r="I93" s="114"/>
      <c r="J93" s="109"/>
    </row>
    <row r="94" spans="1:10">
      <c r="A94" s="109"/>
      <c r="B94" s="85"/>
      <c r="C94" s="109"/>
      <c r="D94" s="109"/>
      <c r="E94" s="85"/>
      <c r="G94" s="109"/>
      <c r="H94" s="114"/>
      <c r="I94" s="114"/>
      <c r="J94" s="109"/>
    </row>
  </sheetData>
  <dataConsolidate/>
  <mergeCells count="7">
    <mergeCell ref="A1:B1"/>
    <mergeCell ref="A2:B3"/>
    <mergeCell ref="A6:A8"/>
    <mergeCell ref="B6:D8"/>
    <mergeCell ref="H1:J1"/>
    <mergeCell ref="C1:E1"/>
    <mergeCell ref="G1:G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44A59-4084-41B7-B505-27A88703E2E2}">
  <sheetPr codeName="Sheet7">
    <tabColor rgb="FF00B0F0"/>
  </sheetPr>
  <dimension ref="A1:AD58"/>
  <sheetViews>
    <sheetView zoomScale="70" zoomScaleNormal="70" workbookViewId="0">
      <selection activeCell="E2" sqref="E2"/>
    </sheetView>
  </sheetViews>
  <sheetFormatPr baseColWidth="10" defaultColWidth="8.5" defaultRowHeight="15"/>
  <cols>
    <col min="2" max="2" width="20.5" customWidth="1"/>
    <col min="4" max="4" width="89.5" customWidth="1"/>
    <col min="5" max="5" width="10.5" customWidth="1"/>
  </cols>
  <sheetData>
    <row r="1" spans="1:30" ht="33" customHeight="1">
      <c r="A1" s="272" t="s">
        <v>284</v>
      </c>
      <c r="B1" s="21" t="s">
        <v>289</v>
      </c>
      <c r="C1" s="85"/>
      <c r="D1" s="274" t="s">
        <v>290</v>
      </c>
      <c r="E1" s="275"/>
      <c r="F1" s="85"/>
      <c r="G1" s="85"/>
      <c r="H1" s="85"/>
      <c r="I1" s="85"/>
      <c r="J1" s="85"/>
      <c r="K1" s="85"/>
      <c r="L1" s="85"/>
      <c r="M1" s="85"/>
      <c r="N1" s="85"/>
      <c r="O1" s="85"/>
      <c r="P1" s="85"/>
      <c r="Q1" s="85"/>
      <c r="R1" s="85"/>
      <c r="S1" s="85"/>
      <c r="T1" s="85"/>
      <c r="U1" s="85"/>
      <c r="V1" s="85"/>
      <c r="W1" s="85"/>
      <c r="X1" s="85"/>
      <c r="Y1" s="85"/>
      <c r="Z1" s="85"/>
      <c r="AA1" s="85"/>
      <c r="AB1" s="85"/>
      <c r="AC1" s="85"/>
      <c r="AD1" s="85"/>
    </row>
    <row r="2" spans="1:30" ht="33" customHeight="1">
      <c r="A2" s="273"/>
      <c r="B2" s="63" t="s">
        <v>291</v>
      </c>
      <c r="C2" s="85"/>
      <c r="D2" s="72" t="s">
        <v>292</v>
      </c>
      <c r="E2" s="214">
        <v>0</v>
      </c>
      <c r="F2" s="85"/>
      <c r="G2" s="85"/>
      <c r="H2" s="85"/>
      <c r="I2" s="85"/>
      <c r="J2" s="85"/>
      <c r="K2" s="85"/>
      <c r="L2" s="85"/>
      <c r="M2" s="85"/>
      <c r="N2" s="85"/>
      <c r="O2" s="85"/>
      <c r="P2" s="85"/>
      <c r="Q2" s="85"/>
      <c r="R2" s="85"/>
      <c r="S2" s="85"/>
      <c r="T2" s="85"/>
      <c r="U2" s="85"/>
      <c r="V2" s="85"/>
      <c r="W2" s="85"/>
      <c r="X2" s="85"/>
      <c r="Y2" s="85"/>
      <c r="Z2" s="85"/>
      <c r="AA2" s="85"/>
      <c r="AB2" s="85"/>
      <c r="AC2" s="85"/>
      <c r="AD2" s="85"/>
    </row>
    <row r="3" spans="1:30">
      <c r="A3" s="65">
        <v>2021</v>
      </c>
      <c r="B3" s="66">
        <v>0</v>
      </c>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row>
    <row r="4" spans="1:30" ht="21">
      <c r="A4" s="3">
        <f>A3+1</f>
        <v>2022</v>
      </c>
      <c r="B4" s="67">
        <v>0</v>
      </c>
      <c r="C4" s="85"/>
      <c r="D4" s="187" t="s">
        <v>166</v>
      </c>
      <c r="E4" s="188"/>
      <c r="F4" s="85"/>
      <c r="G4" s="85"/>
      <c r="H4" s="85"/>
      <c r="I4" s="85"/>
      <c r="J4" s="85"/>
      <c r="K4" s="85"/>
      <c r="L4" s="85"/>
      <c r="M4" s="85"/>
      <c r="N4" s="85"/>
      <c r="O4" s="85"/>
      <c r="P4" s="85"/>
      <c r="Q4" s="85"/>
      <c r="R4" s="85"/>
      <c r="S4" s="85"/>
      <c r="T4" s="85"/>
      <c r="U4" s="85"/>
      <c r="V4" s="85"/>
      <c r="W4" s="85"/>
      <c r="X4" s="85"/>
      <c r="Y4" s="85"/>
      <c r="Z4" s="85"/>
      <c r="AA4" s="85"/>
      <c r="AB4" s="85"/>
      <c r="AC4" s="85"/>
      <c r="AD4" s="85"/>
    </row>
    <row r="5" spans="1:30" ht="21">
      <c r="A5" s="3">
        <f t="shared" ref="A5:A32" si="0">A4+1</f>
        <v>2023</v>
      </c>
      <c r="B5" s="67">
        <v>0</v>
      </c>
      <c r="C5" s="85"/>
      <c r="D5" s="210" t="s">
        <v>286</v>
      </c>
      <c r="E5" s="198"/>
      <c r="F5" s="85"/>
      <c r="G5" s="85"/>
      <c r="H5" s="85"/>
      <c r="I5" s="85"/>
      <c r="J5" s="85"/>
      <c r="K5" s="85"/>
      <c r="L5" s="85"/>
      <c r="M5" s="85"/>
      <c r="N5" s="85"/>
      <c r="O5" s="85"/>
      <c r="P5" s="85"/>
      <c r="Q5" s="85"/>
      <c r="R5" s="85"/>
      <c r="S5" s="85"/>
      <c r="T5" s="85"/>
      <c r="U5" s="85"/>
      <c r="V5" s="85"/>
      <c r="W5" s="85"/>
      <c r="X5" s="85"/>
      <c r="Y5" s="85"/>
      <c r="Z5" s="85"/>
      <c r="AA5" s="85"/>
      <c r="AB5" s="85"/>
      <c r="AC5" s="85"/>
      <c r="AD5" s="85"/>
    </row>
    <row r="6" spans="1:30" ht="21">
      <c r="A6" s="3">
        <f t="shared" si="0"/>
        <v>2024</v>
      </c>
      <c r="B6" s="67">
        <v>0</v>
      </c>
      <c r="C6" s="85"/>
      <c r="D6" s="210" t="s">
        <v>293</v>
      </c>
      <c r="E6" s="198"/>
      <c r="F6" s="85"/>
      <c r="G6" s="85"/>
      <c r="H6" s="85"/>
      <c r="I6" s="85"/>
      <c r="J6" s="85"/>
      <c r="K6" s="85"/>
      <c r="L6" s="85"/>
      <c r="M6" s="85"/>
      <c r="N6" s="85"/>
      <c r="O6" s="85"/>
      <c r="P6" s="85"/>
      <c r="Q6" s="85"/>
      <c r="R6" s="85"/>
      <c r="S6" s="85"/>
      <c r="T6" s="85"/>
      <c r="U6" s="85"/>
      <c r="V6" s="85"/>
      <c r="W6" s="85"/>
      <c r="X6" s="85"/>
      <c r="Y6" s="85"/>
      <c r="Z6" s="85"/>
      <c r="AA6" s="85"/>
      <c r="AB6" s="85"/>
      <c r="AC6" s="85"/>
      <c r="AD6" s="85"/>
    </row>
    <row r="7" spans="1:30" ht="42" customHeight="1">
      <c r="A7" s="3">
        <f t="shared" si="0"/>
        <v>2025</v>
      </c>
      <c r="B7" s="67">
        <v>0</v>
      </c>
      <c r="C7" s="85"/>
      <c r="D7" s="276" t="s">
        <v>319</v>
      </c>
      <c r="E7" s="276"/>
      <c r="F7" s="85"/>
      <c r="G7" s="85"/>
      <c r="H7" s="85"/>
      <c r="I7" s="85"/>
      <c r="J7" s="85"/>
      <c r="K7" s="85"/>
      <c r="L7" s="85"/>
      <c r="M7" s="85"/>
      <c r="N7" s="85"/>
      <c r="O7" s="85"/>
      <c r="P7" s="85"/>
      <c r="Q7" s="85"/>
      <c r="R7" s="85"/>
      <c r="S7" s="85"/>
      <c r="T7" s="85"/>
      <c r="U7" s="85"/>
      <c r="V7" s="85"/>
      <c r="W7" s="85"/>
      <c r="X7" s="85"/>
      <c r="Y7" s="85"/>
      <c r="Z7" s="85"/>
      <c r="AA7" s="85"/>
      <c r="AB7" s="85"/>
      <c r="AC7" s="85"/>
      <c r="AD7" s="85"/>
    </row>
    <row r="8" spans="1:30">
      <c r="A8" s="3">
        <f t="shared" si="0"/>
        <v>2026</v>
      </c>
      <c r="B8" s="68">
        <v>-12.7951</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row>
    <row r="9" spans="1:30">
      <c r="A9" s="3">
        <f t="shared" si="0"/>
        <v>2027</v>
      </c>
      <c r="B9" s="68">
        <v>-14.804399999999999</v>
      </c>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row>
    <row r="10" spans="1:30">
      <c r="A10" s="3">
        <f t="shared" si="0"/>
        <v>2028</v>
      </c>
      <c r="B10" s="68">
        <v>-10.606400000000001</v>
      </c>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row>
    <row r="11" spans="1:30">
      <c r="A11" s="3">
        <f t="shared" si="0"/>
        <v>2029</v>
      </c>
      <c r="B11" s="68">
        <v>-7.8365999999999998</v>
      </c>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row>
    <row r="12" spans="1:30">
      <c r="A12" s="3">
        <f t="shared" si="0"/>
        <v>2030</v>
      </c>
      <c r="B12" s="68">
        <v>-6.0582000000000003</v>
      </c>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row>
    <row r="13" spans="1:30">
      <c r="A13" s="3">
        <f t="shared" si="0"/>
        <v>2031</v>
      </c>
      <c r="B13" s="68">
        <v>-3.2277999999999998</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row>
    <row r="14" spans="1:30">
      <c r="A14" s="3">
        <f t="shared" si="0"/>
        <v>2032</v>
      </c>
      <c r="B14" s="68">
        <v>-2.9643000000000002</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row>
    <row r="15" spans="1:30">
      <c r="A15" s="3">
        <f t="shared" si="0"/>
        <v>2033</v>
      </c>
      <c r="B15" s="67">
        <v>-1</v>
      </c>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row>
    <row r="16" spans="1:30">
      <c r="A16" s="3">
        <f t="shared" si="0"/>
        <v>2034</v>
      </c>
      <c r="B16" s="67">
        <v>0</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row>
    <row r="17" spans="1:30">
      <c r="A17" s="3">
        <f t="shared" si="0"/>
        <v>2035</v>
      </c>
      <c r="B17" s="67">
        <v>0</v>
      </c>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row>
    <row r="18" spans="1:30">
      <c r="A18" s="3">
        <f t="shared" si="0"/>
        <v>2036</v>
      </c>
      <c r="B18" s="67">
        <v>0</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row>
    <row r="19" spans="1:30">
      <c r="A19" s="3">
        <f t="shared" si="0"/>
        <v>2037</v>
      </c>
      <c r="B19" s="67">
        <v>0</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row>
    <row r="20" spans="1:30">
      <c r="A20" s="3">
        <f t="shared" si="0"/>
        <v>2038</v>
      </c>
      <c r="B20" s="67">
        <v>0</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row>
    <row r="21" spans="1:30">
      <c r="A21" s="3">
        <f t="shared" si="0"/>
        <v>2039</v>
      </c>
      <c r="B21" s="67">
        <v>0</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row>
    <row r="22" spans="1:30">
      <c r="A22" s="3">
        <f t="shared" si="0"/>
        <v>2040</v>
      </c>
      <c r="B22" s="67">
        <v>0</v>
      </c>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row>
    <row r="23" spans="1:30">
      <c r="A23" s="3">
        <f t="shared" si="0"/>
        <v>2041</v>
      </c>
      <c r="B23" s="67">
        <v>0</v>
      </c>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row>
    <row r="24" spans="1:30">
      <c r="A24" s="3">
        <f t="shared" si="0"/>
        <v>2042</v>
      </c>
      <c r="B24" s="69">
        <v>0</v>
      </c>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row>
    <row r="25" spans="1:30">
      <c r="A25" s="3">
        <f t="shared" si="0"/>
        <v>2043</v>
      </c>
      <c r="B25" s="67">
        <v>0</v>
      </c>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row>
    <row r="26" spans="1:30">
      <c r="A26" s="3">
        <f t="shared" si="0"/>
        <v>2044</v>
      </c>
      <c r="B26" s="67">
        <v>0</v>
      </c>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row>
    <row r="27" spans="1:30">
      <c r="A27" s="3">
        <f t="shared" si="0"/>
        <v>2045</v>
      </c>
      <c r="B27" s="67">
        <v>0</v>
      </c>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row>
    <row r="28" spans="1:30">
      <c r="A28" s="3">
        <f t="shared" si="0"/>
        <v>2046</v>
      </c>
      <c r="B28" s="67">
        <v>0</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row>
    <row r="29" spans="1:30">
      <c r="A29" s="3">
        <f t="shared" si="0"/>
        <v>2047</v>
      </c>
      <c r="B29" s="67">
        <v>0</v>
      </c>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row>
    <row r="30" spans="1:30">
      <c r="A30" s="3">
        <f t="shared" si="0"/>
        <v>2048</v>
      </c>
      <c r="B30" s="67">
        <v>0</v>
      </c>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row>
    <row r="31" spans="1:30">
      <c r="A31" s="3">
        <f t="shared" si="0"/>
        <v>2049</v>
      </c>
      <c r="B31" s="67">
        <v>0</v>
      </c>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row>
    <row r="32" spans="1:30">
      <c r="A32" s="70">
        <f t="shared" si="0"/>
        <v>2050</v>
      </c>
      <c r="B32" s="71">
        <v>0</v>
      </c>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row>
    <row r="33" spans="1:30">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row>
    <row r="34" spans="1:30">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row>
    <row r="35" spans="1:30">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row>
    <row r="36" spans="1:30">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row>
    <row r="37" spans="1:30">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row>
    <row r="38" spans="1:30">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row>
    <row r="39" spans="1:30">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row>
    <row r="40" spans="1:3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row>
    <row r="41" spans="1:30">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row>
    <row r="42" spans="1:30">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row>
    <row r="43" spans="1:30">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row>
    <row r="44" spans="1:30">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row>
    <row r="45" spans="1:30">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row>
    <row r="46" spans="1:30">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row>
    <row r="47" spans="1:30">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row>
    <row r="48" spans="1:30">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row>
    <row r="49" spans="1:30">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row>
    <row r="50" spans="1:3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row>
    <row r="51" spans="1:30">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row>
    <row r="52" spans="1:30">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row>
    <row r="53" spans="1:30">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row>
    <row r="54" spans="1:30">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row>
    <row r="55" spans="1:30">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row>
    <row r="56" spans="1:30">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row>
    <row r="57" spans="1:30">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row>
    <row r="58" spans="1:30">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row>
  </sheetData>
  <mergeCells count="3">
    <mergeCell ref="A1:A2"/>
    <mergeCell ref="D1:E1"/>
    <mergeCell ref="D7:E7"/>
  </mergeCells>
  <dataValidations count="1">
    <dataValidation type="whole" allowBlank="1" showInputMessage="1" showErrorMessage="1" sqref="E2" xr:uid="{406908A2-79DD-43A0-9678-EAE3B20E6FA0}">
      <formula1>0</formula1>
      <formula2>1</formula2>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574E-63CA-4EAD-907C-8AD9B99943BC}">
  <sheetPr codeName="Sheet10">
    <tabColor rgb="FF00B0F0"/>
  </sheetPr>
  <dimension ref="A1:BF57"/>
  <sheetViews>
    <sheetView zoomScale="70" zoomScaleNormal="70" workbookViewId="0">
      <selection activeCell="E4" sqref="E4:G6"/>
    </sheetView>
  </sheetViews>
  <sheetFormatPr baseColWidth="10" defaultColWidth="8.83203125" defaultRowHeight="15"/>
  <cols>
    <col min="1" max="1" width="6.5" style="85" customWidth="1"/>
    <col min="2" max="2" width="76.5" customWidth="1"/>
    <col min="3" max="3" width="29" bestFit="1" customWidth="1"/>
    <col min="4" max="4" width="2.6640625" customWidth="1"/>
    <col min="8" max="8" width="22.5" bestFit="1" customWidth="1"/>
    <col min="25" max="58" width="9.1640625" style="85"/>
  </cols>
  <sheetData>
    <row r="1" spans="2:24" ht="29.75" customHeight="1">
      <c r="B1" s="274" t="s">
        <v>294</v>
      </c>
      <c r="C1" s="275"/>
      <c r="D1" s="85"/>
      <c r="E1" s="85"/>
      <c r="F1" s="85"/>
      <c r="G1" s="85"/>
      <c r="H1" s="85"/>
      <c r="I1" s="85"/>
      <c r="J1" s="85"/>
      <c r="K1" s="85"/>
      <c r="L1" s="85"/>
      <c r="M1" s="85"/>
      <c r="N1" s="85"/>
      <c r="O1" s="85"/>
      <c r="P1" s="85"/>
      <c r="Q1" s="85"/>
      <c r="R1" s="85"/>
      <c r="S1" s="85"/>
      <c r="T1" s="85"/>
      <c r="U1" s="85"/>
      <c r="V1" s="85"/>
      <c r="W1" s="85"/>
      <c r="X1" s="85"/>
    </row>
    <row r="2" spans="2:24" ht="29.75" customHeight="1">
      <c r="B2" s="213"/>
      <c r="C2" s="213"/>
      <c r="D2" s="85"/>
      <c r="E2" s="85"/>
      <c r="F2" s="85"/>
      <c r="G2" s="85"/>
      <c r="H2" s="85"/>
      <c r="I2" s="85"/>
      <c r="J2" s="85"/>
      <c r="K2" s="85"/>
      <c r="L2" s="85"/>
      <c r="M2" s="85"/>
      <c r="N2" s="85"/>
      <c r="O2" s="85"/>
      <c r="P2" s="85"/>
      <c r="Q2" s="85"/>
      <c r="R2" s="85"/>
      <c r="S2" s="85"/>
      <c r="T2" s="85"/>
      <c r="U2" s="85"/>
      <c r="V2" s="85"/>
      <c r="W2" s="85"/>
      <c r="X2" s="85"/>
    </row>
    <row r="3" spans="2:24" ht="29.75" customHeight="1">
      <c r="C3" s="85"/>
      <c r="D3" s="85"/>
      <c r="E3" s="85"/>
      <c r="F3" s="85"/>
      <c r="G3" s="85"/>
      <c r="H3" s="85"/>
      <c r="I3" s="85"/>
      <c r="J3" s="85"/>
      <c r="K3" s="85"/>
      <c r="L3" s="85"/>
      <c r="M3" s="85"/>
      <c r="N3" s="85"/>
      <c r="O3" s="85"/>
      <c r="P3" s="85"/>
      <c r="Q3" s="85"/>
      <c r="R3" s="85"/>
      <c r="S3" s="85"/>
      <c r="T3" s="85"/>
      <c r="U3" s="85"/>
      <c r="V3" s="85"/>
      <c r="W3" s="85"/>
      <c r="X3" s="85"/>
    </row>
    <row r="4" spans="2:24" ht="29.75" customHeight="1">
      <c r="B4" s="183" t="s">
        <v>295</v>
      </c>
      <c r="C4" s="183" t="s">
        <v>3</v>
      </c>
      <c r="D4" s="85"/>
      <c r="E4" s="277" t="s">
        <v>325</v>
      </c>
      <c r="F4" s="278"/>
      <c r="G4" s="279"/>
      <c r="H4" s="85"/>
      <c r="I4" s="85"/>
      <c r="J4" s="85"/>
      <c r="K4" s="85"/>
      <c r="L4" s="85"/>
      <c r="M4" s="85"/>
      <c r="N4" s="85"/>
      <c r="O4" s="85"/>
      <c r="P4" s="85"/>
      <c r="Q4" s="85"/>
      <c r="R4" s="85"/>
      <c r="S4" s="85"/>
      <c r="T4" s="85"/>
      <c r="U4" s="85"/>
      <c r="V4" s="85"/>
      <c r="W4" s="85"/>
      <c r="X4" s="85"/>
    </row>
    <row r="5" spans="2:24" ht="29.75" customHeight="1">
      <c r="B5" s="205" t="s">
        <v>296</v>
      </c>
      <c r="C5" s="206">
        <v>100</v>
      </c>
      <c r="D5" s="85"/>
      <c r="E5" s="280"/>
      <c r="F5" s="281"/>
      <c r="G5" s="282"/>
      <c r="H5" s="85"/>
      <c r="I5" s="85"/>
      <c r="J5" s="85"/>
      <c r="K5" s="85"/>
      <c r="L5" s="85"/>
      <c r="M5" s="85"/>
      <c r="N5" s="85"/>
      <c r="O5" s="85"/>
      <c r="P5" s="85"/>
      <c r="Q5" s="85"/>
      <c r="R5" s="85"/>
      <c r="S5" s="85"/>
      <c r="T5" s="85"/>
      <c r="U5" s="85"/>
      <c r="V5" s="85"/>
      <c r="W5" s="85"/>
      <c r="X5" s="85"/>
    </row>
    <row r="6" spans="2:24" ht="29.75" customHeight="1">
      <c r="B6" s="207" t="s">
        <v>297</v>
      </c>
      <c r="C6" s="208">
        <v>0.05</v>
      </c>
      <c r="D6" s="85"/>
      <c r="E6" s="283"/>
      <c r="F6" s="284"/>
      <c r="G6" s="285"/>
      <c r="H6" s="164"/>
      <c r="I6" s="85"/>
      <c r="J6" s="85"/>
      <c r="K6" s="85"/>
      <c r="L6" s="85"/>
      <c r="M6" s="85"/>
      <c r="N6" s="85"/>
      <c r="O6" s="85"/>
      <c r="P6" s="85"/>
      <c r="Q6" s="85"/>
      <c r="R6" s="85"/>
      <c r="S6" s="85"/>
      <c r="T6" s="85"/>
      <c r="U6" s="85"/>
      <c r="V6" s="85"/>
      <c r="W6" s="85"/>
      <c r="X6" s="85"/>
    </row>
    <row r="7" spans="2:24" ht="29.75" customHeight="1">
      <c r="B7" s="85"/>
      <c r="C7" s="85"/>
      <c r="D7" s="85"/>
      <c r="E7" s="85"/>
      <c r="F7" s="85"/>
      <c r="G7" s="85"/>
      <c r="H7" s="164"/>
      <c r="I7" s="85"/>
      <c r="J7" s="85"/>
      <c r="K7" s="85"/>
      <c r="L7" s="85"/>
      <c r="M7" s="85"/>
      <c r="N7" s="85"/>
      <c r="O7" s="85"/>
      <c r="P7" s="85"/>
      <c r="Q7" s="85"/>
      <c r="R7" s="85"/>
      <c r="S7" s="85"/>
      <c r="T7" s="85"/>
      <c r="U7" s="85"/>
      <c r="V7" s="85"/>
      <c r="W7" s="85"/>
      <c r="X7" s="85"/>
    </row>
    <row r="8" spans="2:24" ht="21">
      <c r="B8" s="187" t="s">
        <v>166</v>
      </c>
      <c r="C8" s="188"/>
      <c r="D8" s="85"/>
      <c r="E8" s="85"/>
      <c r="F8" s="85"/>
      <c r="G8" s="85"/>
      <c r="H8" s="85"/>
      <c r="I8" s="85"/>
      <c r="J8" s="85"/>
      <c r="K8" s="85"/>
      <c r="L8" s="85"/>
      <c r="M8" s="85"/>
      <c r="N8" s="85"/>
      <c r="O8" s="85"/>
      <c r="P8" s="85"/>
      <c r="Q8" s="85"/>
      <c r="R8" s="85"/>
      <c r="S8" s="85"/>
      <c r="T8" s="85"/>
      <c r="U8" s="85"/>
      <c r="V8" s="85"/>
      <c r="W8" s="85"/>
      <c r="X8" s="85"/>
    </row>
    <row r="9" spans="2:24" ht="21">
      <c r="B9" s="189" t="s">
        <v>298</v>
      </c>
      <c r="C9" s="190"/>
      <c r="D9" s="85"/>
      <c r="E9" s="85"/>
      <c r="F9" s="85"/>
      <c r="G9" s="85"/>
      <c r="H9" s="85"/>
      <c r="I9" s="85"/>
      <c r="J9" s="85"/>
      <c r="K9" s="85"/>
      <c r="L9" s="85"/>
      <c r="M9" s="85"/>
      <c r="N9" s="85"/>
      <c r="O9" s="85"/>
      <c r="P9" s="85"/>
      <c r="Q9" s="85"/>
      <c r="R9" s="85"/>
      <c r="S9" s="85"/>
      <c r="T9" s="85"/>
      <c r="U9" s="85"/>
      <c r="V9" s="85"/>
      <c r="W9" s="85"/>
      <c r="X9" s="85"/>
    </row>
    <row r="10" spans="2:24" ht="21">
      <c r="B10" s="191" t="s">
        <v>299</v>
      </c>
      <c r="C10" s="192"/>
      <c r="D10" s="85"/>
      <c r="E10" s="85"/>
      <c r="F10" s="85"/>
      <c r="G10" s="85"/>
      <c r="H10" s="85"/>
      <c r="I10" s="85"/>
      <c r="J10" s="85"/>
      <c r="K10" s="85"/>
      <c r="L10" s="85"/>
      <c r="M10" s="85"/>
      <c r="N10" s="85"/>
      <c r="O10" s="85"/>
      <c r="P10" s="85"/>
      <c r="Q10" s="85"/>
      <c r="R10" s="85"/>
      <c r="S10" s="85"/>
      <c r="T10" s="85"/>
      <c r="U10" s="85"/>
      <c r="V10" s="85"/>
      <c r="W10" s="85"/>
      <c r="X10" s="85"/>
    </row>
    <row r="11" spans="2:24">
      <c r="B11" s="85"/>
      <c r="C11" s="85"/>
      <c r="D11" s="85"/>
      <c r="E11" s="85"/>
      <c r="F11" s="85"/>
      <c r="G11" s="85"/>
      <c r="H11" s="85"/>
      <c r="I11" s="85"/>
      <c r="J11" s="85"/>
      <c r="K11" s="85"/>
      <c r="L11" s="85"/>
      <c r="M11" s="85"/>
      <c r="N11" s="85"/>
      <c r="O11" s="85"/>
      <c r="P11" s="85"/>
      <c r="Q11" s="85"/>
      <c r="R11" s="85"/>
      <c r="S11" s="85"/>
      <c r="T11" s="85"/>
      <c r="U11" s="85"/>
      <c r="V11" s="85"/>
      <c r="W11" s="85"/>
      <c r="X11" s="85"/>
    </row>
    <row r="12" spans="2:24">
      <c r="B12" s="85"/>
      <c r="C12" s="85"/>
      <c r="D12" s="85"/>
      <c r="E12" s="85"/>
      <c r="F12" s="85"/>
      <c r="G12" s="85"/>
      <c r="H12" s="85"/>
      <c r="I12" s="85"/>
      <c r="J12" s="85"/>
      <c r="K12" s="85"/>
      <c r="L12" s="85"/>
      <c r="M12" s="85"/>
      <c r="N12" s="85"/>
      <c r="O12" s="85"/>
      <c r="P12" s="85"/>
      <c r="Q12" s="85"/>
      <c r="R12" s="85"/>
      <c r="S12" s="85"/>
      <c r="T12" s="85"/>
      <c r="U12" s="85"/>
      <c r="V12" s="85"/>
      <c r="W12" s="85"/>
      <c r="X12" s="85"/>
    </row>
    <row r="13" spans="2:24">
      <c r="B13" s="85"/>
      <c r="C13" s="85"/>
      <c r="D13" s="85"/>
      <c r="E13" s="85"/>
      <c r="F13" s="85"/>
      <c r="G13" s="85"/>
      <c r="H13" s="85"/>
      <c r="I13" s="85"/>
      <c r="J13" s="85"/>
      <c r="K13" s="85"/>
      <c r="L13" s="85"/>
      <c r="M13" s="85"/>
      <c r="N13" s="85"/>
      <c r="O13" s="85"/>
      <c r="P13" s="85"/>
      <c r="Q13" s="85"/>
      <c r="R13" s="85"/>
      <c r="S13" s="85"/>
      <c r="T13" s="85"/>
      <c r="U13" s="85"/>
      <c r="V13" s="85"/>
      <c r="W13" s="85"/>
      <c r="X13" s="85"/>
    </row>
    <row r="14" spans="2:24">
      <c r="B14" s="85"/>
      <c r="C14" s="85"/>
      <c r="D14" s="85"/>
      <c r="E14" s="85"/>
      <c r="F14" s="85"/>
      <c r="G14" s="85"/>
      <c r="H14" s="85"/>
      <c r="I14" s="85"/>
      <c r="J14" s="85"/>
      <c r="K14" s="85"/>
      <c r="L14" s="85"/>
      <c r="M14" s="85"/>
      <c r="N14" s="85"/>
      <c r="O14" s="85"/>
      <c r="P14" s="85"/>
      <c r="Q14" s="85"/>
      <c r="R14" s="85"/>
      <c r="S14" s="85"/>
      <c r="T14" s="85"/>
      <c r="U14" s="85"/>
      <c r="V14" s="85"/>
      <c r="W14" s="85"/>
      <c r="X14" s="85"/>
    </row>
    <row r="15" spans="2:24">
      <c r="B15" s="85"/>
      <c r="C15" s="85"/>
      <c r="D15" s="85"/>
      <c r="E15" s="85"/>
      <c r="F15" s="85"/>
      <c r="G15" s="85"/>
      <c r="H15" s="85"/>
      <c r="I15" s="85"/>
      <c r="J15" s="85"/>
      <c r="K15" s="85"/>
      <c r="L15" s="85"/>
      <c r="M15" s="85"/>
      <c r="N15" s="85"/>
      <c r="O15" s="85"/>
      <c r="P15" s="85"/>
      <c r="Q15" s="85"/>
      <c r="R15" s="85"/>
      <c r="S15" s="85"/>
      <c r="T15" s="85"/>
      <c r="U15" s="85"/>
      <c r="V15" s="85"/>
      <c r="W15" s="85"/>
      <c r="X15" s="85"/>
    </row>
    <row r="16" spans="2:24">
      <c r="B16" s="85"/>
      <c r="C16" s="85"/>
      <c r="D16" s="85"/>
      <c r="E16" s="85"/>
      <c r="F16" s="85"/>
      <c r="G16" s="85"/>
      <c r="H16" s="85"/>
      <c r="I16" s="85"/>
      <c r="J16" s="85"/>
      <c r="K16" s="85"/>
      <c r="L16" s="85"/>
      <c r="M16" s="85"/>
      <c r="N16" s="85"/>
      <c r="O16" s="85"/>
      <c r="P16" s="85"/>
      <c r="Q16" s="85"/>
      <c r="R16" s="85"/>
      <c r="S16" s="85"/>
      <c r="T16" s="85"/>
      <c r="U16" s="85"/>
      <c r="V16" s="85"/>
      <c r="W16" s="85"/>
      <c r="X16" s="85"/>
    </row>
    <row r="17" spans="2:24">
      <c r="B17" s="85"/>
      <c r="C17" s="85"/>
      <c r="D17" s="85"/>
      <c r="E17" s="85"/>
      <c r="F17" s="85"/>
      <c r="G17" s="85"/>
      <c r="H17" s="85"/>
      <c r="I17" s="85"/>
      <c r="J17" s="85"/>
      <c r="K17" s="85"/>
      <c r="L17" s="85"/>
      <c r="M17" s="85"/>
      <c r="N17" s="85"/>
      <c r="O17" s="85"/>
      <c r="P17" s="85"/>
      <c r="Q17" s="85"/>
      <c r="R17" s="85"/>
      <c r="S17" s="85"/>
      <c r="T17" s="85"/>
      <c r="U17" s="85"/>
      <c r="V17" s="85"/>
      <c r="W17" s="85"/>
      <c r="X17" s="85"/>
    </row>
    <row r="18" spans="2:24">
      <c r="B18" s="85"/>
      <c r="C18" s="85"/>
      <c r="D18" s="85"/>
      <c r="E18" s="85"/>
      <c r="F18" s="85"/>
      <c r="G18" s="85"/>
      <c r="H18" s="85"/>
      <c r="I18" s="85"/>
      <c r="J18" s="85"/>
      <c r="K18" s="85"/>
      <c r="L18" s="85"/>
      <c r="M18" s="85"/>
      <c r="N18" s="85"/>
      <c r="O18" s="85"/>
      <c r="P18" s="85"/>
      <c r="Q18" s="85"/>
      <c r="R18" s="85"/>
      <c r="S18" s="85"/>
      <c r="T18" s="85"/>
      <c r="U18" s="85"/>
      <c r="V18" s="85"/>
      <c r="W18" s="85"/>
      <c r="X18" s="85"/>
    </row>
    <row r="19" spans="2:24">
      <c r="B19" s="85"/>
      <c r="C19" s="85"/>
      <c r="D19" s="85"/>
      <c r="E19" s="85"/>
      <c r="F19" s="85"/>
      <c r="G19" s="85"/>
      <c r="H19" s="85"/>
      <c r="I19" s="85"/>
      <c r="J19" s="85"/>
      <c r="K19" s="85"/>
      <c r="L19" s="85"/>
      <c r="M19" s="85"/>
      <c r="N19" s="85"/>
      <c r="O19" s="85"/>
      <c r="P19" s="85"/>
      <c r="Q19" s="85"/>
      <c r="R19" s="85"/>
      <c r="S19" s="85"/>
      <c r="T19" s="85"/>
      <c r="U19" s="85"/>
      <c r="V19" s="85"/>
      <c r="W19" s="85"/>
      <c r="X19" s="85"/>
    </row>
    <row r="20" spans="2:24">
      <c r="B20" s="85"/>
      <c r="C20" s="85"/>
      <c r="D20" s="85"/>
      <c r="E20" s="85"/>
      <c r="F20" s="85"/>
      <c r="G20" s="85"/>
      <c r="H20" s="85"/>
      <c r="I20" s="85"/>
      <c r="J20" s="85"/>
      <c r="K20" s="85"/>
      <c r="L20" s="85"/>
      <c r="M20" s="85"/>
      <c r="N20" s="85"/>
      <c r="O20" s="85"/>
      <c r="P20" s="85"/>
      <c r="Q20" s="85"/>
      <c r="R20" s="85"/>
      <c r="S20" s="85"/>
      <c r="T20" s="85"/>
      <c r="U20" s="85"/>
      <c r="V20" s="85"/>
      <c r="W20" s="85"/>
      <c r="X20" s="85"/>
    </row>
    <row r="21" spans="2:24">
      <c r="B21" s="85"/>
      <c r="C21" s="85"/>
      <c r="D21" s="85"/>
      <c r="E21" s="85"/>
      <c r="F21" s="85"/>
      <c r="G21" s="85"/>
      <c r="H21" s="85"/>
      <c r="I21" s="85"/>
      <c r="J21" s="85"/>
      <c r="K21" s="85"/>
      <c r="L21" s="85"/>
      <c r="M21" s="85"/>
      <c r="N21" s="85"/>
      <c r="O21" s="85"/>
      <c r="P21" s="85"/>
      <c r="Q21" s="85"/>
      <c r="R21" s="85"/>
      <c r="S21" s="85"/>
      <c r="T21" s="85"/>
      <c r="U21" s="85"/>
      <c r="V21" s="85"/>
      <c r="W21" s="85"/>
      <c r="X21" s="85"/>
    </row>
    <row r="22" spans="2:24">
      <c r="B22" s="85"/>
      <c r="C22" s="85"/>
      <c r="D22" s="85"/>
      <c r="E22" s="85"/>
      <c r="F22" s="85"/>
      <c r="G22" s="85"/>
      <c r="H22" s="85"/>
      <c r="I22" s="85"/>
      <c r="J22" s="85"/>
      <c r="K22" s="85"/>
      <c r="L22" s="85"/>
      <c r="M22" s="85"/>
      <c r="N22" s="85"/>
      <c r="O22" s="85"/>
      <c r="P22" s="85"/>
      <c r="Q22" s="85"/>
      <c r="R22" s="85"/>
      <c r="S22" s="85"/>
      <c r="T22" s="85"/>
      <c r="U22" s="85"/>
      <c r="V22" s="85"/>
      <c r="W22" s="85"/>
      <c r="X22" s="85"/>
    </row>
    <row r="23" spans="2:24">
      <c r="B23" s="85"/>
      <c r="C23" s="85"/>
      <c r="D23" s="85"/>
      <c r="E23" s="85"/>
      <c r="F23" s="85"/>
      <c r="G23" s="85"/>
      <c r="H23" s="85"/>
      <c r="I23" s="85"/>
      <c r="J23" s="85"/>
      <c r="K23" s="85"/>
      <c r="L23" s="85"/>
      <c r="M23" s="85"/>
      <c r="N23" s="85"/>
      <c r="O23" s="85"/>
      <c r="P23" s="85"/>
      <c r="Q23" s="85"/>
      <c r="R23" s="85"/>
      <c r="S23" s="85"/>
      <c r="T23" s="85"/>
      <c r="U23" s="85"/>
      <c r="V23" s="85"/>
      <c r="W23" s="85"/>
      <c r="X23" s="85"/>
    </row>
    <row r="24" spans="2:24">
      <c r="B24" s="85"/>
      <c r="C24" s="85"/>
      <c r="D24" s="85"/>
      <c r="E24" s="85"/>
      <c r="F24" s="85"/>
      <c r="G24" s="85"/>
      <c r="H24" s="85"/>
      <c r="I24" s="85"/>
      <c r="J24" s="85"/>
      <c r="K24" s="85"/>
      <c r="L24" s="85"/>
      <c r="M24" s="85"/>
      <c r="N24" s="85"/>
      <c r="O24" s="85"/>
      <c r="P24" s="85"/>
      <c r="Q24" s="85"/>
      <c r="R24" s="85"/>
      <c r="S24" s="85"/>
      <c r="T24" s="85"/>
      <c r="U24" s="85"/>
      <c r="V24" s="85"/>
      <c r="W24" s="85"/>
      <c r="X24" s="85"/>
    </row>
    <row r="25" spans="2:24">
      <c r="B25" s="85"/>
      <c r="C25" s="85"/>
      <c r="D25" s="85"/>
      <c r="E25" s="85"/>
      <c r="F25" s="85"/>
      <c r="G25" s="85"/>
      <c r="H25" s="85"/>
      <c r="I25" s="85"/>
      <c r="J25" s="85"/>
      <c r="K25" s="85"/>
      <c r="L25" s="85"/>
      <c r="M25" s="85"/>
      <c r="N25" s="85"/>
      <c r="O25" s="85"/>
      <c r="P25" s="85"/>
      <c r="Q25" s="85"/>
      <c r="R25" s="85"/>
      <c r="S25" s="85"/>
      <c r="T25" s="85"/>
      <c r="U25" s="85"/>
      <c r="V25" s="85"/>
      <c r="W25" s="85"/>
      <c r="X25" s="85"/>
    </row>
    <row r="26" spans="2:24">
      <c r="B26" s="85"/>
      <c r="C26" s="85"/>
      <c r="D26" s="85"/>
      <c r="E26" s="85"/>
      <c r="F26" s="85"/>
      <c r="G26" s="85"/>
      <c r="H26" s="85"/>
      <c r="I26" s="85"/>
      <c r="J26" s="85"/>
      <c r="K26" s="85"/>
      <c r="L26" s="85"/>
      <c r="M26" s="85"/>
      <c r="N26" s="85"/>
      <c r="O26" s="85"/>
      <c r="P26" s="85"/>
      <c r="Q26" s="85"/>
      <c r="R26" s="85"/>
      <c r="S26" s="85"/>
      <c r="T26" s="85"/>
      <c r="U26" s="85"/>
      <c r="V26" s="85"/>
      <c r="W26" s="85"/>
      <c r="X26" s="85"/>
    </row>
    <row r="27" spans="2:24">
      <c r="B27" s="85"/>
      <c r="C27" s="85"/>
      <c r="D27" s="85"/>
      <c r="E27" s="85"/>
      <c r="F27" s="85"/>
      <c r="G27" s="85"/>
      <c r="H27" s="85"/>
      <c r="I27" s="85"/>
      <c r="J27" s="85"/>
      <c r="K27" s="85"/>
      <c r="L27" s="85"/>
      <c r="M27" s="85"/>
      <c r="N27" s="85"/>
      <c r="O27" s="85"/>
      <c r="P27" s="85"/>
      <c r="Q27" s="85"/>
      <c r="R27" s="85"/>
      <c r="S27" s="85"/>
      <c r="T27" s="85"/>
      <c r="U27" s="85"/>
      <c r="V27" s="85"/>
      <c r="W27" s="85"/>
      <c r="X27" s="85"/>
    </row>
    <row r="28" spans="2:24">
      <c r="B28" s="85"/>
      <c r="C28" s="85"/>
      <c r="D28" s="85"/>
      <c r="E28" s="85"/>
      <c r="F28" s="85"/>
      <c r="G28" s="85"/>
      <c r="H28" s="85"/>
      <c r="I28" s="85"/>
      <c r="J28" s="85"/>
      <c r="K28" s="85"/>
      <c r="L28" s="85"/>
      <c r="M28" s="85"/>
      <c r="N28" s="85"/>
      <c r="O28" s="85"/>
      <c r="P28" s="85"/>
      <c r="Q28" s="85"/>
      <c r="R28" s="85"/>
      <c r="S28" s="85"/>
      <c r="T28" s="85"/>
      <c r="U28" s="85"/>
      <c r="V28" s="85"/>
      <c r="W28" s="85"/>
      <c r="X28" s="85"/>
    </row>
    <row r="29" spans="2:24">
      <c r="B29" s="85"/>
      <c r="C29" s="85"/>
      <c r="D29" s="85"/>
      <c r="E29" s="85"/>
      <c r="F29" s="85"/>
      <c r="G29" s="85"/>
      <c r="H29" s="85"/>
      <c r="I29" s="85"/>
      <c r="J29" s="85"/>
      <c r="K29" s="85"/>
      <c r="L29" s="85"/>
      <c r="M29" s="85"/>
      <c r="N29" s="85"/>
      <c r="O29" s="85"/>
      <c r="P29" s="85"/>
      <c r="Q29" s="85"/>
      <c r="R29" s="85"/>
      <c r="S29" s="85"/>
      <c r="T29" s="85"/>
      <c r="U29" s="85"/>
      <c r="V29" s="85"/>
      <c r="W29" s="85"/>
      <c r="X29" s="85"/>
    </row>
    <row r="30" spans="2:24">
      <c r="B30" s="85"/>
      <c r="C30" s="85"/>
      <c r="D30" s="85"/>
      <c r="E30" s="85"/>
      <c r="F30" s="85"/>
      <c r="G30" s="85"/>
      <c r="H30" s="85"/>
      <c r="I30" s="85"/>
      <c r="J30" s="85"/>
      <c r="K30" s="85"/>
      <c r="L30" s="85"/>
      <c r="M30" s="85"/>
      <c r="N30" s="85"/>
      <c r="O30" s="85"/>
      <c r="P30" s="85"/>
      <c r="Q30" s="85"/>
      <c r="R30" s="85"/>
      <c r="S30" s="85"/>
      <c r="T30" s="85"/>
      <c r="U30" s="85"/>
      <c r="V30" s="85"/>
      <c r="W30" s="85"/>
      <c r="X30" s="85"/>
    </row>
    <row r="31" spans="2:24">
      <c r="B31" s="85"/>
      <c r="C31" s="85"/>
      <c r="D31" s="85"/>
      <c r="E31" s="85"/>
      <c r="F31" s="85"/>
      <c r="G31" s="85"/>
      <c r="H31" s="85"/>
      <c r="I31" s="85"/>
      <c r="J31" s="85"/>
      <c r="K31" s="85"/>
      <c r="L31" s="85"/>
      <c r="M31" s="85"/>
      <c r="N31" s="85"/>
      <c r="O31" s="85"/>
      <c r="P31" s="85"/>
      <c r="Q31" s="85"/>
      <c r="R31" s="85"/>
      <c r="S31" s="85"/>
      <c r="T31" s="85"/>
      <c r="U31" s="85"/>
      <c r="V31" s="85"/>
      <c r="W31" s="85"/>
      <c r="X31" s="85"/>
    </row>
    <row r="32" spans="2:24">
      <c r="B32" s="85"/>
      <c r="C32" s="85"/>
      <c r="D32" s="85"/>
      <c r="E32" s="85"/>
      <c r="F32" s="85"/>
      <c r="G32" s="85"/>
      <c r="H32" s="85"/>
      <c r="I32" s="85"/>
      <c r="J32" s="85"/>
      <c r="K32" s="85"/>
      <c r="L32" s="85"/>
      <c r="M32" s="85"/>
      <c r="N32" s="85"/>
      <c r="O32" s="85"/>
      <c r="P32" s="85"/>
      <c r="Q32" s="85"/>
      <c r="R32" s="85"/>
      <c r="S32" s="85"/>
      <c r="T32" s="85"/>
      <c r="U32" s="85"/>
      <c r="V32" s="85"/>
      <c r="W32" s="85"/>
      <c r="X32" s="85"/>
    </row>
    <row r="33" spans="2:24">
      <c r="B33" s="85"/>
      <c r="C33" s="85"/>
      <c r="D33" s="85"/>
      <c r="E33" s="85"/>
      <c r="F33" s="85"/>
      <c r="G33" s="85"/>
      <c r="H33" s="85"/>
      <c r="I33" s="85"/>
      <c r="J33" s="85"/>
      <c r="K33" s="85"/>
      <c r="L33" s="85"/>
      <c r="M33" s="85"/>
      <c r="N33" s="85"/>
      <c r="O33" s="85"/>
      <c r="P33" s="85"/>
      <c r="Q33" s="85"/>
      <c r="R33" s="85"/>
      <c r="S33" s="85"/>
      <c r="T33" s="85"/>
      <c r="U33" s="85"/>
      <c r="V33" s="85"/>
      <c r="W33" s="85"/>
      <c r="X33" s="85"/>
    </row>
    <row r="34" spans="2:24">
      <c r="B34" s="85"/>
      <c r="C34" s="85"/>
      <c r="D34" s="85"/>
      <c r="E34" s="85"/>
      <c r="F34" s="85"/>
      <c r="G34" s="85"/>
      <c r="H34" s="85"/>
      <c r="I34" s="85"/>
      <c r="J34" s="85"/>
      <c r="K34" s="85"/>
      <c r="L34" s="85"/>
      <c r="M34" s="85"/>
      <c r="N34" s="85"/>
      <c r="O34" s="85"/>
      <c r="P34" s="85"/>
      <c r="Q34" s="85"/>
      <c r="R34" s="85"/>
      <c r="S34" s="85"/>
      <c r="T34" s="85"/>
      <c r="U34" s="85"/>
      <c r="V34" s="85"/>
      <c r="W34" s="85"/>
      <c r="X34" s="85"/>
    </row>
    <row r="35" spans="2:24">
      <c r="B35" s="85"/>
      <c r="C35" s="85"/>
      <c r="D35" s="85"/>
      <c r="E35" s="85"/>
      <c r="F35" s="85"/>
      <c r="G35" s="85"/>
      <c r="H35" s="85"/>
      <c r="I35" s="85"/>
      <c r="J35" s="85"/>
      <c r="K35" s="85"/>
      <c r="L35" s="85"/>
      <c r="M35" s="85"/>
      <c r="N35" s="85"/>
      <c r="O35" s="85"/>
      <c r="P35" s="85"/>
      <c r="Q35" s="85"/>
      <c r="R35" s="85"/>
      <c r="S35" s="85"/>
      <c r="T35" s="85"/>
      <c r="U35" s="85"/>
      <c r="V35" s="85"/>
      <c r="W35" s="85"/>
      <c r="X35" s="85"/>
    </row>
    <row r="36" spans="2:24">
      <c r="B36" s="85"/>
      <c r="C36" s="85"/>
      <c r="D36" s="85"/>
      <c r="E36" s="85"/>
      <c r="F36" s="85"/>
      <c r="G36" s="85"/>
      <c r="H36" s="85"/>
      <c r="I36" s="85"/>
      <c r="J36" s="85"/>
      <c r="K36" s="85"/>
      <c r="L36" s="85"/>
      <c r="M36" s="85"/>
      <c r="N36" s="85"/>
      <c r="O36" s="85"/>
      <c r="P36" s="85"/>
      <c r="Q36" s="85"/>
      <c r="R36" s="85"/>
      <c r="S36" s="85"/>
      <c r="T36" s="85"/>
      <c r="U36" s="85"/>
      <c r="V36" s="85"/>
      <c r="W36" s="85"/>
      <c r="X36" s="85"/>
    </row>
    <row r="37" spans="2:24">
      <c r="B37" s="85"/>
      <c r="C37" s="85"/>
      <c r="D37" s="85"/>
      <c r="E37" s="85"/>
      <c r="F37" s="85"/>
      <c r="G37" s="85"/>
      <c r="H37" s="85"/>
      <c r="I37" s="85"/>
      <c r="J37" s="85"/>
      <c r="K37" s="85"/>
      <c r="L37" s="85"/>
      <c r="M37" s="85"/>
      <c r="N37" s="85"/>
      <c r="O37" s="85"/>
      <c r="P37" s="85"/>
      <c r="Q37" s="85"/>
      <c r="R37" s="85"/>
      <c r="S37" s="85"/>
      <c r="T37" s="85"/>
      <c r="U37" s="85"/>
      <c r="V37" s="85"/>
      <c r="W37" s="85"/>
      <c r="X37" s="85"/>
    </row>
    <row r="38" spans="2:24">
      <c r="B38" s="85"/>
      <c r="C38" s="85"/>
      <c r="D38" s="85"/>
      <c r="E38" s="85"/>
      <c r="F38" s="85"/>
      <c r="G38" s="85"/>
      <c r="H38" s="85"/>
      <c r="I38" s="85"/>
      <c r="J38" s="85"/>
      <c r="K38" s="85"/>
      <c r="L38" s="85"/>
      <c r="M38" s="85"/>
      <c r="N38" s="85"/>
      <c r="O38" s="85"/>
      <c r="P38" s="85"/>
      <c r="Q38" s="85"/>
      <c r="R38" s="85"/>
      <c r="S38" s="85"/>
      <c r="T38" s="85"/>
      <c r="U38" s="85"/>
      <c r="V38" s="85"/>
      <c r="W38" s="85"/>
      <c r="X38" s="85"/>
    </row>
    <row r="39" spans="2:24">
      <c r="B39" s="85"/>
      <c r="C39" s="85"/>
      <c r="D39" s="85"/>
      <c r="E39" s="85"/>
      <c r="F39" s="85"/>
      <c r="G39" s="85"/>
      <c r="H39" s="85"/>
      <c r="I39" s="85"/>
      <c r="J39" s="85"/>
      <c r="K39" s="85"/>
      <c r="L39" s="85"/>
      <c r="M39" s="85"/>
      <c r="N39" s="85"/>
      <c r="O39" s="85"/>
      <c r="P39" s="85"/>
      <c r="Q39" s="85"/>
      <c r="R39" s="85"/>
      <c r="S39" s="85"/>
      <c r="T39" s="85"/>
      <c r="U39" s="85"/>
      <c r="V39" s="85"/>
      <c r="W39" s="85"/>
      <c r="X39" s="85"/>
    </row>
    <row r="40" spans="2:24">
      <c r="B40" s="85"/>
      <c r="C40" s="85"/>
      <c r="D40" s="85"/>
      <c r="E40" s="85"/>
      <c r="F40" s="85"/>
      <c r="G40" s="85"/>
      <c r="H40" s="85"/>
      <c r="I40" s="85"/>
      <c r="J40" s="85"/>
      <c r="K40" s="85"/>
      <c r="L40" s="85"/>
      <c r="M40" s="85"/>
      <c r="N40" s="85"/>
      <c r="O40" s="85"/>
      <c r="P40" s="85"/>
      <c r="Q40" s="85"/>
      <c r="R40" s="85"/>
      <c r="S40" s="85"/>
      <c r="T40" s="85"/>
      <c r="U40" s="85"/>
      <c r="V40" s="85"/>
      <c r="W40" s="85"/>
      <c r="X40" s="85"/>
    </row>
    <row r="41" spans="2:24">
      <c r="B41" s="85"/>
      <c r="C41" s="85"/>
      <c r="D41" s="85"/>
      <c r="E41" s="85"/>
      <c r="F41" s="85"/>
      <c r="G41" s="85"/>
      <c r="H41" s="85"/>
      <c r="I41" s="85"/>
      <c r="J41" s="85"/>
      <c r="K41" s="85"/>
      <c r="L41" s="85"/>
      <c r="M41" s="85"/>
      <c r="N41" s="85"/>
      <c r="O41" s="85"/>
      <c r="P41" s="85"/>
      <c r="Q41" s="85"/>
      <c r="R41" s="85"/>
      <c r="S41" s="85"/>
      <c r="T41" s="85"/>
      <c r="U41" s="85"/>
      <c r="V41" s="85"/>
      <c r="W41" s="85"/>
      <c r="X41" s="85"/>
    </row>
    <row r="42" spans="2:24">
      <c r="B42" s="85"/>
      <c r="C42" s="85"/>
      <c r="D42" s="85"/>
      <c r="E42" s="85"/>
      <c r="F42" s="85"/>
      <c r="G42" s="85"/>
      <c r="H42" s="85"/>
      <c r="I42" s="85"/>
      <c r="J42" s="85"/>
      <c r="K42" s="85"/>
      <c r="L42" s="85"/>
      <c r="M42" s="85"/>
      <c r="N42" s="85"/>
      <c r="O42" s="85"/>
      <c r="P42" s="85"/>
      <c r="Q42" s="85"/>
      <c r="R42" s="85"/>
      <c r="S42" s="85"/>
      <c r="T42" s="85"/>
      <c r="U42" s="85"/>
      <c r="V42" s="85"/>
      <c r="W42" s="85"/>
      <c r="X42" s="85"/>
    </row>
    <row r="43" spans="2:24">
      <c r="B43" s="85"/>
      <c r="C43" s="85"/>
      <c r="D43" s="85"/>
      <c r="E43" s="85"/>
      <c r="F43" s="85"/>
      <c r="G43" s="85"/>
      <c r="H43" s="85"/>
      <c r="I43" s="85"/>
      <c r="J43" s="85"/>
      <c r="K43" s="85"/>
      <c r="L43" s="85"/>
      <c r="M43" s="85"/>
      <c r="N43" s="85"/>
      <c r="O43" s="85"/>
      <c r="P43" s="85"/>
      <c r="Q43" s="85"/>
      <c r="R43" s="85"/>
      <c r="S43" s="85"/>
      <c r="T43" s="85"/>
      <c r="U43" s="85"/>
      <c r="V43" s="85"/>
      <c r="W43" s="85"/>
      <c r="X43" s="85"/>
    </row>
    <row r="44" spans="2:24">
      <c r="B44" s="85"/>
      <c r="C44" s="85"/>
      <c r="D44" s="85"/>
      <c r="E44" s="85"/>
      <c r="F44" s="85"/>
      <c r="G44" s="85"/>
      <c r="H44" s="85"/>
      <c r="I44" s="85"/>
      <c r="J44" s="85"/>
      <c r="K44" s="85"/>
      <c r="L44" s="85"/>
      <c r="M44" s="85"/>
      <c r="N44" s="85"/>
      <c r="O44" s="85"/>
      <c r="P44" s="85"/>
      <c r="Q44" s="85"/>
      <c r="R44" s="85"/>
      <c r="S44" s="85"/>
      <c r="T44" s="85"/>
      <c r="U44" s="85"/>
      <c r="V44" s="85"/>
      <c r="W44" s="85"/>
      <c r="X44" s="85"/>
    </row>
    <row r="45" spans="2:24">
      <c r="B45" s="85"/>
      <c r="C45" s="85"/>
      <c r="D45" s="85"/>
      <c r="E45" s="85"/>
      <c r="F45" s="85"/>
      <c r="G45" s="85"/>
      <c r="H45" s="85"/>
      <c r="I45" s="85"/>
      <c r="J45" s="85"/>
      <c r="K45" s="85"/>
      <c r="L45" s="85"/>
      <c r="M45" s="85"/>
      <c r="N45" s="85"/>
      <c r="O45" s="85"/>
      <c r="P45" s="85"/>
      <c r="Q45" s="85"/>
      <c r="R45" s="85"/>
      <c r="S45" s="85"/>
      <c r="T45" s="85"/>
      <c r="U45" s="85"/>
      <c r="V45" s="85"/>
      <c r="W45" s="85"/>
      <c r="X45" s="85"/>
    </row>
    <row r="46" spans="2:24">
      <c r="B46" s="85"/>
      <c r="C46" s="85"/>
      <c r="D46" s="85"/>
      <c r="E46" s="85"/>
      <c r="F46" s="85"/>
      <c r="G46" s="85"/>
      <c r="H46" s="85"/>
      <c r="I46" s="85"/>
      <c r="J46" s="85"/>
      <c r="K46" s="85"/>
      <c r="L46" s="85"/>
      <c r="M46" s="85"/>
      <c r="N46" s="85"/>
      <c r="O46" s="85"/>
      <c r="P46" s="85"/>
      <c r="Q46" s="85"/>
      <c r="R46" s="85"/>
      <c r="S46" s="85"/>
      <c r="T46" s="85"/>
      <c r="U46" s="85"/>
      <c r="V46" s="85"/>
      <c r="W46" s="85"/>
      <c r="X46" s="85"/>
    </row>
    <row r="47" spans="2:24">
      <c r="B47" s="85"/>
      <c r="C47" s="85"/>
      <c r="D47" s="85"/>
      <c r="E47" s="85"/>
      <c r="F47" s="85"/>
      <c r="G47" s="85"/>
      <c r="H47" s="85"/>
      <c r="I47" s="85"/>
      <c r="J47" s="85"/>
      <c r="K47" s="85"/>
      <c r="L47" s="85"/>
      <c r="M47" s="85"/>
      <c r="N47" s="85"/>
      <c r="O47" s="85"/>
      <c r="P47" s="85"/>
      <c r="Q47" s="85"/>
      <c r="R47" s="85"/>
      <c r="S47" s="85"/>
      <c r="T47" s="85"/>
      <c r="U47" s="85"/>
      <c r="V47" s="85"/>
      <c r="W47" s="85"/>
      <c r="X47" s="85"/>
    </row>
    <row r="48" spans="2:24">
      <c r="B48" s="85"/>
      <c r="C48" s="85"/>
      <c r="D48" s="85"/>
      <c r="E48" s="85"/>
      <c r="F48" s="85"/>
      <c r="G48" s="85"/>
      <c r="H48" s="85"/>
      <c r="I48" s="85"/>
      <c r="J48" s="85"/>
      <c r="K48" s="85"/>
      <c r="L48" s="85"/>
      <c r="M48" s="85"/>
      <c r="N48" s="85"/>
      <c r="O48" s="85"/>
      <c r="P48" s="85"/>
      <c r="Q48" s="85"/>
      <c r="R48" s="85"/>
      <c r="S48" s="85"/>
      <c r="T48" s="85"/>
      <c r="U48" s="85"/>
      <c r="V48" s="85"/>
      <c r="W48" s="85"/>
      <c r="X48" s="85"/>
    </row>
    <row r="49" spans="2:24">
      <c r="B49" s="85"/>
      <c r="C49" s="85"/>
      <c r="D49" s="85"/>
      <c r="E49" s="85"/>
      <c r="F49" s="85"/>
      <c r="G49" s="85"/>
      <c r="H49" s="85"/>
      <c r="I49" s="85"/>
      <c r="J49" s="85"/>
      <c r="K49" s="85"/>
      <c r="L49" s="85"/>
      <c r="M49" s="85"/>
      <c r="N49" s="85"/>
      <c r="O49" s="85"/>
      <c r="P49" s="85"/>
      <c r="Q49" s="85"/>
      <c r="R49" s="85"/>
      <c r="S49" s="85"/>
      <c r="T49" s="85"/>
      <c r="U49" s="85"/>
      <c r="V49" s="85"/>
      <c r="W49" s="85"/>
      <c r="X49" s="85"/>
    </row>
    <row r="50" spans="2:24">
      <c r="B50" s="85"/>
      <c r="C50" s="85"/>
      <c r="D50" s="85"/>
      <c r="E50" s="85"/>
      <c r="F50" s="85"/>
      <c r="G50" s="85"/>
      <c r="H50" s="85"/>
      <c r="I50" s="85"/>
      <c r="J50" s="85"/>
      <c r="K50" s="85"/>
      <c r="L50" s="85"/>
      <c r="M50" s="85"/>
      <c r="N50" s="85"/>
      <c r="O50" s="85"/>
      <c r="P50" s="85"/>
      <c r="Q50" s="85"/>
      <c r="R50" s="85"/>
      <c r="S50" s="85"/>
      <c r="T50" s="85"/>
      <c r="U50" s="85"/>
      <c r="V50" s="85"/>
      <c r="W50" s="85"/>
      <c r="X50" s="85"/>
    </row>
    <row r="51" spans="2:24">
      <c r="B51" s="85"/>
      <c r="C51" s="85"/>
      <c r="D51" s="85"/>
      <c r="E51" s="85"/>
      <c r="F51" s="85"/>
      <c r="G51" s="85"/>
      <c r="H51" s="85"/>
      <c r="I51" s="85"/>
      <c r="J51" s="85"/>
      <c r="K51" s="85"/>
      <c r="L51" s="85"/>
      <c r="M51" s="85"/>
      <c r="N51" s="85"/>
      <c r="O51" s="85"/>
      <c r="P51" s="85"/>
      <c r="Q51" s="85"/>
      <c r="R51" s="85"/>
      <c r="S51" s="85"/>
      <c r="T51" s="85"/>
      <c r="U51" s="85"/>
      <c r="V51" s="85"/>
      <c r="W51" s="85"/>
      <c r="X51" s="85"/>
    </row>
    <row r="52" spans="2:24">
      <c r="B52" s="85"/>
      <c r="C52" s="85"/>
      <c r="D52" s="85"/>
      <c r="E52" s="85"/>
      <c r="F52" s="85"/>
      <c r="G52" s="85"/>
      <c r="H52" s="85"/>
      <c r="I52" s="85"/>
      <c r="J52" s="85"/>
      <c r="K52" s="85"/>
      <c r="L52" s="85"/>
      <c r="M52" s="85"/>
      <c r="N52" s="85"/>
      <c r="O52" s="85"/>
      <c r="P52" s="85"/>
      <c r="Q52" s="85"/>
      <c r="R52" s="85"/>
      <c r="S52" s="85"/>
      <c r="T52" s="85"/>
      <c r="U52" s="85"/>
      <c r="V52" s="85"/>
      <c r="W52" s="85"/>
      <c r="X52" s="85"/>
    </row>
    <row r="53" spans="2:24">
      <c r="B53" s="85"/>
      <c r="C53" s="85"/>
      <c r="D53" s="85"/>
      <c r="E53" s="85"/>
      <c r="F53" s="85"/>
      <c r="G53" s="85"/>
      <c r="H53" s="85"/>
      <c r="I53" s="85"/>
      <c r="J53" s="85"/>
      <c r="K53" s="85"/>
      <c r="L53" s="85"/>
      <c r="M53" s="85"/>
      <c r="N53" s="85"/>
      <c r="O53" s="85"/>
      <c r="P53" s="85"/>
      <c r="Q53" s="85"/>
      <c r="R53" s="85"/>
      <c r="S53" s="85"/>
      <c r="T53" s="85"/>
      <c r="U53" s="85"/>
      <c r="V53" s="85"/>
      <c r="W53" s="85"/>
      <c r="X53" s="85"/>
    </row>
    <row r="54" spans="2:24">
      <c r="B54" s="85"/>
      <c r="C54" s="85"/>
      <c r="D54" s="85"/>
      <c r="E54" s="85"/>
      <c r="F54" s="85"/>
      <c r="G54" s="85"/>
      <c r="H54" s="85"/>
      <c r="I54" s="85"/>
      <c r="J54" s="85"/>
      <c r="K54" s="85"/>
      <c r="L54" s="85"/>
      <c r="M54" s="85"/>
      <c r="N54" s="85"/>
      <c r="O54" s="85"/>
      <c r="P54" s="85"/>
      <c r="Q54" s="85"/>
      <c r="R54" s="85"/>
      <c r="S54" s="85"/>
      <c r="T54" s="85"/>
      <c r="U54" s="85"/>
      <c r="V54" s="85"/>
      <c r="W54" s="85"/>
      <c r="X54" s="85"/>
    </row>
    <row r="55" spans="2:24">
      <c r="B55" s="85"/>
      <c r="C55" s="85"/>
      <c r="D55" s="85"/>
      <c r="E55" s="85"/>
      <c r="F55" s="85"/>
      <c r="G55" s="85"/>
      <c r="H55" s="85"/>
      <c r="I55" s="85"/>
      <c r="J55" s="85"/>
      <c r="K55" s="85"/>
      <c r="L55" s="85"/>
      <c r="M55" s="85"/>
      <c r="N55" s="85"/>
      <c r="O55" s="85"/>
      <c r="P55" s="85"/>
      <c r="Q55" s="85"/>
      <c r="R55" s="85"/>
      <c r="S55" s="85"/>
      <c r="T55" s="85"/>
      <c r="U55" s="85"/>
      <c r="V55" s="85"/>
      <c r="W55" s="85"/>
      <c r="X55" s="85"/>
    </row>
    <row r="56" spans="2:24">
      <c r="B56" s="85"/>
      <c r="C56" s="85"/>
      <c r="D56" s="85"/>
      <c r="E56" s="85"/>
      <c r="F56" s="85"/>
      <c r="G56" s="85"/>
      <c r="H56" s="85"/>
      <c r="I56" s="85"/>
      <c r="J56" s="85"/>
      <c r="K56" s="85"/>
      <c r="L56" s="85"/>
      <c r="M56" s="85"/>
      <c r="N56" s="85"/>
      <c r="O56" s="85"/>
      <c r="P56" s="85"/>
      <c r="Q56" s="85"/>
      <c r="R56" s="85"/>
      <c r="S56" s="85"/>
      <c r="T56" s="85"/>
      <c r="U56" s="85"/>
      <c r="V56" s="85"/>
      <c r="W56" s="85"/>
      <c r="X56" s="85"/>
    </row>
    <row r="57" spans="2:24">
      <c r="B57" s="85"/>
      <c r="C57" s="85"/>
      <c r="D57" s="85"/>
      <c r="E57" s="85"/>
      <c r="F57" s="85"/>
      <c r="G57" s="85"/>
      <c r="H57" s="85"/>
      <c r="I57" s="85"/>
      <c r="J57" s="85"/>
      <c r="K57" s="85"/>
      <c r="L57" s="85"/>
      <c r="M57" s="85"/>
      <c r="N57" s="85"/>
      <c r="O57" s="85"/>
      <c r="P57" s="85"/>
      <c r="Q57" s="85"/>
      <c r="R57" s="85"/>
      <c r="S57" s="85"/>
      <c r="T57" s="85"/>
      <c r="U57" s="85"/>
      <c r="V57" s="85"/>
      <c r="W57" s="85"/>
      <c r="X57" s="85"/>
    </row>
  </sheetData>
  <mergeCells count="2">
    <mergeCell ref="B1:C1"/>
    <mergeCell ref="E4:G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232E-42E8-4549-925E-55A9FB3B6CFC}">
  <sheetPr codeName="Sheet9"/>
  <dimension ref="A1:Q31"/>
  <sheetViews>
    <sheetView zoomScale="90" zoomScaleNormal="90" workbookViewId="0">
      <selection activeCell="A2" sqref="A2:Q3"/>
    </sheetView>
  </sheetViews>
  <sheetFormatPr baseColWidth="10" defaultColWidth="8.6640625" defaultRowHeight="15"/>
  <cols>
    <col min="1" max="8" width="8.6640625" style="85"/>
    <col min="9" max="9" width="10.33203125" style="85" customWidth="1"/>
    <col min="10" max="16384" width="8.6640625" style="85"/>
  </cols>
  <sheetData>
    <row r="1" spans="1:17" ht="16" thickBot="1"/>
    <row r="2" spans="1:17">
      <c r="A2" s="306" t="s">
        <v>327</v>
      </c>
      <c r="B2" s="307"/>
      <c r="C2" s="307"/>
      <c r="D2" s="307"/>
      <c r="E2" s="307"/>
      <c r="F2" s="307"/>
      <c r="G2" s="307"/>
      <c r="H2" s="307"/>
      <c r="I2" s="307"/>
      <c r="J2" s="307"/>
      <c r="K2" s="307"/>
      <c r="L2" s="307"/>
      <c r="M2" s="307"/>
      <c r="N2" s="307"/>
      <c r="O2" s="307"/>
      <c r="P2" s="307"/>
      <c r="Q2" s="308"/>
    </row>
    <row r="3" spans="1:17" ht="16" thickBot="1">
      <c r="A3" s="309"/>
      <c r="B3" s="310"/>
      <c r="C3" s="310"/>
      <c r="D3" s="310"/>
      <c r="E3" s="310"/>
      <c r="F3" s="310"/>
      <c r="G3" s="310"/>
      <c r="H3" s="310"/>
      <c r="I3" s="310"/>
      <c r="J3" s="310"/>
      <c r="K3" s="310"/>
      <c r="L3" s="310"/>
      <c r="M3" s="310"/>
      <c r="N3" s="310"/>
      <c r="O3" s="310"/>
      <c r="P3" s="310"/>
      <c r="Q3" s="311"/>
    </row>
    <row r="4" spans="1:17" ht="16" thickBot="1">
      <c r="A4" s="312"/>
      <c r="B4" s="312"/>
      <c r="C4" s="312"/>
      <c r="D4" s="312"/>
      <c r="E4" s="312"/>
      <c r="F4" s="312"/>
      <c r="G4" s="312"/>
      <c r="H4" s="312"/>
      <c r="I4" s="312"/>
      <c r="J4" s="312"/>
      <c r="K4" s="312"/>
      <c r="L4" s="312"/>
      <c r="M4" s="312"/>
      <c r="N4" s="312"/>
      <c r="O4" s="312"/>
      <c r="P4" s="312"/>
      <c r="Q4" s="312"/>
    </row>
    <row r="5" spans="1:17">
      <c r="A5" s="306" t="s">
        <v>300</v>
      </c>
      <c r="B5" s="307"/>
      <c r="C5" s="307"/>
      <c r="D5" s="307"/>
      <c r="E5" s="307"/>
      <c r="F5" s="307"/>
      <c r="G5" s="307"/>
      <c r="H5" s="307"/>
      <c r="I5" s="307"/>
      <c r="J5" s="307"/>
      <c r="K5" s="307"/>
      <c r="L5" s="307"/>
      <c r="M5" s="307"/>
      <c r="N5" s="307"/>
      <c r="O5" s="307"/>
      <c r="P5" s="307"/>
      <c r="Q5" s="308"/>
    </row>
    <row r="6" spans="1:17">
      <c r="A6" s="313"/>
      <c r="B6" s="314"/>
      <c r="C6" s="314"/>
      <c r="D6" s="314"/>
      <c r="E6" s="314"/>
      <c r="F6" s="314"/>
      <c r="G6" s="314"/>
      <c r="H6" s="314"/>
      <c r="I6" s="314"/>
      <c r="J6" s="314"/>
      <c r="K6" s="314"/>
      <c r="L6" s="314"/>
      <c r="M6" s="314"/>
      <c r="N6" s="314"/>
      <c r="O6" s="314"/>
      <c r="P6" s="314"/>
      <c r="Q6" s="315"/>
    </row>
    <row r="7" spans="1:17">
      <c r="A7" s="313"/>
      <c r="B7" s="314"/>
      <c r="C7" s="314"/>
      <c r="D7" s="314"/>
      <c r="E7" s="314"/>
      <c r="F7" s="314"/>
      <c r="G7" s="314"/>
      <c r="H7" s="314"/>
      <c r="I7" s="314"/>
      <c r="J7" s="314"/>
      <c r="K7" s="314"/>
      <c r="L7" s="314"/>
      <c r="M7" s="314"/>
      <c r="N7" s="314"/>
      <c r="O7" s="314"/>
      <c r="P7" s="314"/>
      <c r="Q7" s="315"/>
    </row>
    <row r="8" spans="1:17">
      <c r="A8" s="313"/>
      <c r="B8" s="314"/>
      <c r="C8" s="314"/>
      <c r="D8" s="314"/>
      <c r="E8" s="314"/>
      <c r="F8" s="314"/>
      <c r="G8" s="314"/>
      <c r="H8" s="314"/>
      <c r="I8" s="314"/>
      <c r="J8" s="314"/>
      <c r="K8" s="314"/>
      <c r="L8" s="314"/>
      <c r="M8" s="314"/>
      <c r="N8" s="314"/>
      <c r="O8" s="314"/>
      <c r="P8" s="314"/>
      <c r="Q8" s="315"/>
    </row>
    <row r="9" spans="1:17" ht="16" thickBot="1">
      <c r="A9" s="309"/>
      <c r="B9" s="310"/>
      <c r="C9" s="310"/>
      <c r="D9" s="310"/>
      <c r="E9" s="310"/>
      <c r="F9" s="310"/>
      <c r="G9" s="310"/>
      <c r="H9" s="310"/>
      <c r="I9" s="310"/>
      <c r="J9" s="310"/>
      <c r="K9" s="310"/>
      <c r="L9" s="310"/>
      <c r="M9" s="310"/>
      <c r="N9" s="310"/>
      <c r="O9" s="310"/>
      <c r="P9" s="310"/>
      <c r="Q9" s="311"/>
    </row>
    <row r="10" spans="1:17" ht="16" thickBot="1">
      <c r="A10" s="176"/>
      <c r="B10" s="176"/>
      <c r="C10" s="176"/>
      <c r="D10" s="176"/>
      <c r="E10" s="176"/>
      <c r="F10" s="176"/>
      <c r="G10" s="176"/>
      <c r="H10" s="176"/>
      <c r="I10" s="176"/>
      <c r="J10" s="176"/>
      <c r="K10" s="176"/>
      <c r="L10" s="176"/>
      <c r="M10" s="176"/>
      <c r="N10" s="176"/>
      <c r="O10" s="176"/>
      <c r="P10" s="176"/>
      <c r="Q10" s="176"/>
    </row>
    <row r="11" spans="1:17">
      <c r="A11" s="298" t="s">
        <v>301</v>
      </c>
      <c r="B11" s="299"/>
      <c r="C11" s="299"/>
      <c r="D11" s="299"/>
      <c r="E11" s="299"/>
      <c r="F11" s="299"/>
      <c r="G11" s="299"/>
      <c r="H11" s="299"/>
      <c r="I11" s="299"/>
      <c r="J11" s="299"/>
      <c r="K11" s="299"/>
      <c r="L11" s="299"/>
      <c r="M11" s="299"/>
      <c r="N11" s="299"/>
      <c r="O11" s="299"/>
      <c r="P11" s="299"/>
      <c r="Q11" s="300"/>
    </row>
    <row r="12" spans="1:17" ht="14.5" customHeight="1">
      <c r="A12" s="301" t="s">
        <v>302</v>
      </c>
      <c r="B12" s="302"/>
      <c r="C12" s="302"/>
      <c r="D12" s="302"/>
      <c r="E12" s="302"/>
      <c r="F12" s="302"/>
      <c r="G12" s="302"/>
      <c r="H12" s="302"/>
      <c r="I12" s="302"/>
      <c r="J12" s="302"/>
      <c r="K12" s="304" t="s">
        <v>303</v>
      </c>
      <c r="L12" s="304"/>
      <c r="M12" s="304"/>
      <c r="N12" s="304"/>
      <c r="O12" s="304"/>
      <c r="P12" s="304"/>
      <c r="Q12" s="305"/>
    </row>
    <row r="13" spans="1:17">
      <c r="A13" s="301" t="s">
        <v>304</v>
      </c>
      <c r="B13" s="302"/>
      <c r="C13" s="302"/>
      <c r="D13" s="302"/>
      <c r="E13" s="302"/>
      <c r="F13" s="302"/>
      <c r="G13" s="302"/>
      <c r="H13" s="302"/>
      <c r="I13" s="302"/>
      <c r="J13" s="302"/>
      <c r="K13" s="302"/>
      <c r="L13" s="302"/>
      <c r="M13" s="302"/>
      <c r="N13" s="302"/>
      <c r="O13" s="302"/>
      <c r="P13" s="302"/>
      <c r="Q13" s="303"/>
    </row>
    <row r="14" spans="1:17" ht="16" thickBot="1">
      <c r="A14" s="292" t="s">
        <v>305</v>
      </c>
      <c r="B14" s="293"/>
      <c r="C14" s="293"/>
      <c r="D14" s="293"/>
      <c r="E14" s="293"/>
      <c r="F14" s="293"/>
      <c r="G14" s="293"/>
      <c r="H14" s="293"/>
      <c r="I14" s="293"/>
      <c r="J14" s="293"/>
      <c r="K14" s="293"/>
      <c r="L14" s="293"/>
      <c r="M14" s="293"/>
      <c r="N14" s="293"/>
      <c r="O14" s="293"/>
      <c r="P14" s="293"/>
      <c r="Q14" s="316"/>
    </row>
    <row r="15" spans="1:17" ht="16" thickBot="1">
      <c r="A15" s="177"/>
      <c r="B15" s="177"/>
      <c r="C15" s="177"/>
      <c r="D15" s="177"/>
      <c r="E15" s="177"/>
      <c r="F15" s="177"/>
      <c r="G15" s="177"/>
      <c r="H15" s="177"/>
      <c r="I15" s="177"/>
      <c r="J15" s="177"/>
      <c r="K15" s="177"/>
      <c r="L15" s="177"/>
      <c r="M15" s="177"/>
      <c r="N15" s="177"/>
      <c r="O15" s="177"/>
      <c r="P15" s="177"/>
      <c r="Q15" s="177"/>
    </row>
    <row r="16" spans="1:17">
      <c r="A16" s="298" t="s">
        <v>306</v>
      </c>
      <c r="B16" s="299"/>
      <c r="C16" s="299"/>
      <c r="D16" s="299"/>
      <c r="E16" s="299"/>
      <c r="F16" s="299"/>
      <c r="G16" s="299"/>
      <c r="H16" s="299"/>
      <c r="I16" s="299"/>
      <c r="J16" s="299"/>
      <c r="K16" s="299"/>
      <c r="L16" s="299"/>
      <c r="M16" s="299"/>
      <c r="N16" s="299"/>
      <c r="O16" s="299"/>
      <c r="P16" s="299"/>
      <c r="Q16" s="300"/>
    </row>
    <row r="17" spans="1:17" ht="15" customHeight="1">
      <c r="A17" s="301" t="s">
        <v>307</v>
      </c>
      <c r="B17" s="302"/>
      <c r="C17" s="302"/>
      <c r="D17" s="302"/>
      <c r="E17" s="302"/>
      <c r="F17" s="302"/>
      <c r="G17" s="302"/>
      <c r="H17" s="302"/>
      <c r="I17" s="302"/>
      <c r="J17" s="302"/>
      <c r="K17" s="302"/>
      <c r="L17" s="302"/>
      <c r="M17" s="302"/>
      <c r="N17" s="302"/>
      <c r="O17" s="302"/>
      <c r="P17" s="302"/>
      <c r="Q17" s="303"/>
    </row>
    <row r="18" spans="1:17">
      <c r="A18" s="301"/>
      <c r="B18" s="302"/>
      <c r="C18" s="302"/>
      <c r="D18" s="302"/>
      <c r="E18" s="302"/>
      <c r="F18" s="302"/>
      <c r="G18" s="302"/>
      <c r="H18" s="302"/>
      <c r="I18" s="302"/>
      <c r="J18" s="302"/>
      <c r="K18" s="302"/>
      <c r="L18" s="302"/>
      <c r="M18" s="302"/>
      <c r="N18" s="302"/>
      <c r="O18" s="302"/>
      <c r="P18" s="302"/>
      <c r="Q18" s="303"/>
    </row>
    <row r="19" spans="1:17">
      <c r="A19" s="301"/>
      <c r="B19" s="302"/>
      <c r="C19" s="302"/>
      <c r="D19" s="302"/>
      <c r="E19" s="302"/>
      <c r="F19" s="302"/>
      <c r="G19" s="302"/>
      <c r="H19" s="302"/>
      <c r="I19" s="302"/>
      <c r="J19" s="302"/>
      <c r="K19" s="302"/>
      <c r="L19" s="302"/>
      <c r="M19" s="302"/>
      <c r="N19" s="302"/>
      <c r="O19" s="302"/>
      <c r="P19" s="302"/>
      <c r="Q19" s="303"/>
    </row>
    <row r="20" spans="1:17">
      <c r="A20" s="301"/>
      <c r="B20" s="302"/>
      <c r="C20" s="302"/>
      <c r="D20" s="302"/>
      <c r="E20" s="302"/>
      <c r="F20" s="302"/>
      <c r="G20" s="302"/>
      <c r="H20" s="302"/>
      <c r="I20" s="302"/>
      <c r="J20" s="302"/>
      <c r="K20" s="302"/>
      <c r="L20" s="302"/>
      <c r="M20" s="302"/>
      <c r="N20" s="302"/>
      <c r="O20" s="302"/>
      <c r="P20" s="302"/>
      <c r="Q20" s="303"/>
    </row>
    <row r="21" spans="1:17">
      <c r="A21" s="289" t="s">
        <v>308</v>
      </c>
      <c r="B21" s="290"/>
      <c r="C21" s="290"/>
      <c r="D21" s="290"/>
      <c r="E21" s="290"/>
      <c r="F21" s="290"/>
      <c r="G21" s="290"/>
      <c r="H21" s="290"/>
      <c r="I21" s="290"/>
      <c r="J21" s="290"/>
      <c r="K21" s="290"/>
      <c r="L21" s="290"/>
      <c r="M21" s="290"/>
      <c r="N21" s="290"/>
      <c r="O21" s="290"/>
      <c r="P21" s="290"/>
      <c r="Q21" s="291"/>
    </row>
    <row r="22" spans="1:17">
      <c r="A22" s="289"/>
      <c r="B22" s="290"/>
      <c r="C22" s="290"/>
      <c r="D22" s="290"/>
      <c r="E22" s="290"/>
      <c r="F22" s="290"/>
      <c r="G22" s="290"/>
      <c r="H22" s="290"/>
      <c r="I22" s="290"/>
      <c r="J22" s="290"/>
      <c r="K22" s="290"/>
      <c r="L22" s="290"/>
      <c r="M22" s="290"/>
      <c r="N22" s="290"/>
      <c r="O22" s="290"/>
      <c r="P22" s="290"/>
      <c r="Q22" s="291"/>
    </row>
    <row r="23" spans="1:17" ht="15" customHeight="1" thickBot="1">
      <c r="A23" s="286" t="s">
        <v>309</v>
      </c>
      <c r="B23" s="287"/>
      <c r="C23" s="287"/>
      <c r="D23" s="287"/>
      <c r="E23" s="287"/>
      <c r="F23" s="287"/>
      <c r="G23" s="287"/>
      <c r="H23" s="287"/>
      <c r="I23" s="287"/>
      <c r="J23" s="287"/>
      <c r="K23" s="287"/>
      <c r="L23" s="287"/>
      <c r="M23" s="287"/>
      <c r="N23" s="287"/>
      <c r="O23" s="287"/>
      <c r="P23" s="287"/>
      <c r="Q23" s="288"/>
    </row>
    <row r="24" spans="1:17" ht="15" customHeight="1" thickBot="1">
      <c r="A24" s="178" t="s">
        <v>310</v>
      </c>
    </row>
    <row r="25" spans="1:17" ht="15" customHeight="1">
      <c r="A25" s="298" t="s">
        <v>311</v>
      </c>
      <c r="B25" s="299"/>
      <c r="C25" s="299"/>
      <c r="D25" s="299"/>
      <c r="E25" s="299"/>
      <c r="F25" s="299"/>
      <c r="G25" s="299"/>
      <c r="H25" s="299"/>
      <c r="I25" s="299"/>
      <c r="J25" s="299"/>
      <c r="K25" s="299"/>
      <c r="L25" s="299"/>
      <c r="M25" s="299"/>
      <c r="N25" s="299"/>
      <c r="O25" s="299"/>
      <c r="P25" s="299"/>
      <c r="Q25" s="300"/>
    </row>
    <row r="26" spans="1:17">
      <c r="A26" s="301" t="s">
        <v>312</v>
      </c>
      <c r="B26" s="302"/>
      <c r="C26" s="302"/>
      <c r="D26" s="302"/>
      <c r="E26" s="302"/>
      <c r="F26" s="302"/>
      <c r="G26" s="302"/>
      <c r="H26" s="302"/>
      <c r="I26" s="302"/>
      <c r="J26" s="302"/>
      <c r="K26" s="302"/>
      <c r="L26" s="302"/>
      <c r="M26" s="302"/>
      <c r="N26" s="302"/>
      <c r="O26" s="302"/>
      <c r="P26" s="302"/>
      <c r="Q26" s="303"/>
    </row>
    <row r="27" spans="1:17">
      <c r="A27" s="289" t="s">
        <v>313</v>
      </c>
      <c r="B27" s="290"/>
      <c r="C27" s="290"/>
      <c r="D27" s="290"/>
      <c r="E27" s="290"/>
      <c r="F27" s="290"/>
      <c r="G27" s="290"/>
      <c r="H27" s="290"/>
      <c r="I27" s="290"/>
      <c r="J27" s="290"/>
      <c r="K27" s="290"/>
      <c r="L27" s="290"/>
      <c r="M27" s="290"/>
      <c r="N27" s="290"/>
      <c r="O27" s="290"/>
      <c r="P27" s="290"/>
      <c r="Q27" s="291"/>
    </row>
    <row r="28" spans="1:17" ht="19.25" customHeight="1" thickBot="1">
      <c r="A28" s="292" t="s">
        <v>314</v>
      </c>
      <c r="B28" s="293"/>
      <c r="C28" s="293"/>
      <c r="D28" s="293"/>
      <c r="E28" s="293"/>
      <c r="F28" s="293"/>
      <c r="G28" s="293"/>
      <c r="H28" s="294" t="s">
        <v>315</v>
      </c>
      <c r="I28" s="294"/>
      <c r="J28" s="294"/>
      <c r="K28" s="294"/>
      <c r="L28" s="294"/>
      <c r="M28" s="294"/>
      <c r="N28" s="294"/>
      <c r="O28" s="294"/>
      <c r="P28" s="294"/>
      <c r="Q28" s="295"/>
    </row>
    <row r="30" spans="1:17" ht="16">
      <c r="B30" s="108"/>
      <c r="C30" s="108"/>
      <c r="D30" s="108"/>
      <c r="E30" s="296" t="s">
        <v>316</v>
      </c>
      <c r="F30" s="296"/>
      <c r="G30" s="296"/>
      <c r="H30" s="296"/>
      <c r="I30" s="296"/>
      <c r="J30" s="297" t="s">
        <v>317</v>
      </c>
      <c r="K30" s="297"/>
      <c r="L30" s="179"/>
      <c r="M30" s="108"/>
      <c r="N30" s="108"/>
      <c r="O30" s="108"/>
      <c r="P30" s="108"/>
      <c r="Q30" s="108"/>
    </row>
    <row r="31" spans="1:17">
      <c r="C31" s="179"/>
    </row>
  </sheetData>
  <mergeCells count="19">
    <mergeCell ref="A13:Q13"/>
    <mergeCell ref="A14:Q14"/>
    <mergeCell ref="A16:Q16"/>
    <mergeCell ref="A17:Q20"/>
    <mergeCell ref="A21:Q22"/>
    <mergeCell ref="A11:Q11"/>
    <mergeCell ref="A12:J12"/>
    <mergeCell ref="K12:Q12"/>
    <mergeCell ref="A2:Q3"/>
    <mergeCell ref="A4:Q4"/>
    <mergeCell ref="A5:Q9"/>
    <mergeCell ref="A23:Q23"/>
    <mergeCell ref="A27:Q27"/>
    <mergeCell ref="A28:G28"/>
    <mergeCell ref="H28:Q28"/>
    <mergeCell ref="E30:I30"/>
    <mergeCell ref="J30:K30"/>
    <mergeCell ref="A25:Q25"/>
    <mergeCell ref="A26:Q26"/>
  </mergeCells>
  <hyperlinks>
    <hyperlink ref="A27:Q27" r:id="rId1" display="Applied Computational Economics and Finance, Mario J. Miranda &amp; Paul L. Fackler, MIT Press. " xr:uid="{F8C1B65B-20A1-4471-BC59-D8CF5BC01CB5}"/>
    <hyperlink ref="A23:Q23" r:id="rId2" display=" https://www.dynare.org" xr:uid="{19D7F43A-0B59-498E-ADD9-E2681A13CE75}"/>
    <hyperlink ref="H28:J28" r:id="rId3" display="CompEcon Toolbox for Matlab" xr:uid="{13DBABA5-F680-4D59-BBA8-1285E18FD552}"/>
    <hyperlink ref="K12" r:id="rId4" xr:uid="{0DD30126-94DF-445A-90D4-668D9EDCDB32}"/>
    <hyperlink ref="J30" r:id="rId5" xr:uid="{6FDF470A-BAB8-4341-AE80-203F61ACFA4D}"/>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Calibration</vt:lpstr>
      <vt:lpstr>Exogenous_series</vt:lpstr>
      <vt:lpstr>Scenario</vt:lpstr>
      <vt:lpstr>Disasters</vt:lpstr>
      <vt:lpstr>Graphs</vt:lpstr>
      <vt:lpstr>XLSoutput</vt:lpstr>
      <vt:lpstr>Realism</vt:lpstr>
      <vt:lpstr>Alignment</vt:lpstr>
      <vt:lpstr>Donor_Savings</vt:lpstr>
      <vt:lpstr>Disclaimer</vt:lpstr>
    </vt:vector>
  </TitlesOfParts>
  <Manager/>
  <Company>International Monetary Fund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International Monetary Fund</dc:creator>
  <cp:keywords/>
  <dc:description/>
  <cp:lastModifiedBy>John Halstead</cp:lastModifiedBy>
  <cp:revision/>
  <dcterms:created xsi:type="dcterms:W3CDTF">2015-06-12T18:48:08Z</dcterms:created>
  <dcterms:modified xsi:type="dcterms:W3CDTF">2026-07-20T09:35:36Z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eDOCS AutoSave">
    <vt:lpwstr>20230605093456326</vt:lpwstr>
  </property>
</Properties>
</file>